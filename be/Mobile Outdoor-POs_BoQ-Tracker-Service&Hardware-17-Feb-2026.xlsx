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safiullah_paracha_nokia_com/Documents/Mobile Team OD (Rollout &amp; Acceptance)/Mobile OD-POs Tracker/2026 New PO Process/"/>
    </mc:Choice>
  </mc:AlternateContent>
  <xr:revisionPtr revIDLastSave="3003" documentId="13_ncr:1_{EFEF4027-C4A6-45A7-B750-AEC359FD1FBA}" xr6:coauthVersionLast="47" xr6:coauthVersionMax="47" xr10:uidLastSave="{3A02306E-4CF8-495B-B7FE-AC2EF11F2D73}"/>
  <bookViews>
    <workbookView xWindow="-110" yWindow="-110" windowWidth="19420" windowHeight="11500" xr2:uid="{A21ED69B-7352-41FE-8966-42190D43CD81}"/>
  </bookViews>
  <sheets>
    <sheet name="POs Services&amp;HW" sheetId="26" r:id="rId1"/>
    <sheet name="BoQ Models-Hafedh" sheetId="33" r:id="rId2"/>
    <sheet name="PO-LIs Mapping" sheetId="31" r:id="rId3"/>
    <sheet name="POs distribution" sheetId="9" r:id="rId4"/>
    <sheet name="PO distribution sites list" sheetId="8" r:id="rId5"/>
  </sheets>
  <definedNames>
    <definedName name="_xlnm._FilterDatabase" localSheetId="1" hidden="1">'BoQ Models-Hafedh'!$A$7:$BF$95</definedName>
    <definedName name="_xlnm._FilterDatabase" localSheetId="4" hidden="1">'PO distribution sites list'!$A$2:$G$2344</definedName>
    <definedName name="_xlnm._FilterDatabase" localSheetId="2" hidden="1">'PO-LIs Mapping'!$A$1:$E$359</definedName>
    <definedName name="_xlnm._FilterDatabase" localSheetId="0" hidden="1">'POs Services&amp;HW'!$A$8:$CL$106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98" i="26" l="1"/>
  <c r="BX97" i="26"/>
  <c r="BX96" i="26"/>
  <c r="BX95" i="26"/>
  <c r="BX94" i="26"/>
  <c r="BX93" i="26"/>
  <c r="BX92" i="26"/>
  <c r="BX89" i="26"/>
  <c r="BX91" i="26"/>
  <c r="BX90" i="26"/>
  <c r="BX106" i="26" l="1"/>
  <c r="BX105" i="26"/>
  <c r="BX104" i="26"/>
  <c r="BX103" i="26"/>
  <c r="BX102" i="26"/>
  <c r="BX101" i="26"/>
  <c r="BX72" i="26"/>
  <c r="BX71" i="26"/>
  <c r="BX70" i="26"/>
  <c r="A1" i="8"/>
  <c r="BZ7" i="26" l="1"/>
  <c r="CA7" i="26"/>
  <c r="CB7" i="26"/>
  <c r="CC7" i="26"/>
  <c r="BY7" i="26"/>
  <c r="BX86" i="26" l="1"/>
  <c r="BX88" i="26"/>
  <c r="BX87" i="26"/>
  <c r="BX85" i="26"/>
  <c r="BX83" i="26"/>
  <c r="L77" i="33"/>
  <c r="L75" i="33"/>
  <c r="L74" i="33"/>
  <c r="L72" i="33"/>
  <c r="L59" i="33"/>
  <c r="L55" i="33"/>
  <c r="L68" i="33" s="1"/>
  <c r="L52" i="33"/>
  <c r="L40" i="33"/>
  <c r="L39" i="33"/>
  <c r="L37" i="33"/>
  <c r="L34" i="33"/>
  <c r="L33" i="33"/>
  <c r="L51" i="33" s="1"/>
  <c r="L32" i="33"/>
  <c r="L20" i="33"/>
  <c r="L19" i="33"/>
  <c r="L18" i="33"/>
  <c r="L17" i="33"/>
  <c r="L16" i="33"/>
  <c r="L73" i="33" s="1"/>
  <c r="L9" i="33"/>
  <c r="L13" i="33" s="1"/>
  <c r="L8" i="33"/>
  <c r="K77" i="33"/>
  <c r="K75" i="33"/>
  <c r="K74" i="33"/>
  <c r="K73" i="33"/>
  <c r="K68" i="33"/>
  <c r="K59" i="33"/>
  <c r="K55" i="33"/>
  <c r="K40" i="33"/>
  <c r="K52" i="33" s="1"/>
  <c r="K39" i="33"/>
  <c r="K37" i="33"/>
  <c r="K34" i="33"/>
  <c r="K33" i="33"/>
  <c r="K51" i="33" s="1"/>
  <c r="K19" i="33"/>
  <c r="K18" i="33"/>
  <c r="K17" i="33"/>
  <c r="K16" i="33"/>
  <c r="K72" i="33" s="1"/>
  <c r="K8" i="33"/>
  <c r="K32" i="33" s="1"/>
  <c r="CJ7" i="26"/>
  <c r="CE7" i="26"/>
  <c r="CF7" i="26"/>
  <c r="CG7" i="26"/>
  <c r="CH7" i="26"/>
  <c r="CI7" i="26"/>
  <c r="CK7" i="26"/>
  <c r="CL7" i="26"/>
  <c r="CD7" i="26"/>
  <c r="E7" i="26"/>
  <c r="BX30" i="26"/>
  <c r="BX24" i="26"/>
  <c r="BX23" i="26"/>
  <c r="BX29" i="26"/>
  <c r="BX22" i="26"/>
  <c r="Q8" i="33"/>
  <c r="Q9" i="33"/>
  <c r="Q10" i="33" s="1"/>
  <c r="Q11" i="33" s="1"/>
  <c r="Q16" i="33"/>
  <c r="Q17" i="33"/>
  <c r="Q72" i="33" s="1"/>
  <c r="Q33" i="33"/>
  <c r="Q51" i="33" s="1"/>
  <c r="Q34" i="33"/>
  <c r="Q39" i="33" s="1"/>
  <c r="Q37" i="33"/>
  <c r="Q40" i="33"/>
  <c r="Q52" i="33" s="1"/>
  <c r="Q55" i="33"/>
  <c r="Q59" i="33"/>
  <c r="Q74" i="33"/>
  <c r="Q75" i="33"/>
  <c r="O8" i="33"/>
  <c r="O9" i="33" s="1"/>
  <c r="O16" i="33"/>
  <c r="O17" i="33"/>
  <c r="O20" i="33"/>
  <c r="O32" i="33"/>
  <c r="O33" i="33"/>
  <c r="O51" i="33" s="1"/>
  <c r="O34" i="33"/>
  <c r="O37" i="33"/>
  <c r="O40" i="33"/>
  <c r="O52" i="33"/>
  <c r="O55" i="33"/>
  <c r="O59" i="33"/>
  <c r="O74" i="33"/>
  <c r="O75" i="33"/>
  <c r="J8" i="33"/>
  <c r="J32" i="33" s="1"/>
  <c r="J16" i="33"/>
  <c r="J17" i="33"/>
  <c r="J33" i="33"/>
  <c r="J51" i="33" s="1"/>
  <c r="J34" i="33"/>
  <c r="J37" i="33"/>
  <c r="J39" i="33"/>
  <c r="J40" i="33"/>
  <c r="J52" i="33" s="1"/>
  <c r="J55" i="33"/>
  <c r="J59" i="33"/>
  <c r="J68" i="33"/>
  <c r="J74" i="33"/>
  <c r="J75" i="33"/>
  <c r="J77" i="33"/>
  <c r="L10" i="33" l="1"/>
  <c r="L11" i="33" s="1"/>
  <c r="L5" i="33" s="1"/>
  <c r="J72" i="33"/>
  <c r="K9" i="33"/>
  <c r="O72" i="33"/>
  <c r="J73" i="33"/>
  <c r="Q13" i="33"/>
  <c r="O10" i="33"/>
  <c r="O11" i="33" s="1"/>
  <c r="O13" i="33"/>
  <c r="Q32" i="33"/>
  <c r="J9" i="33"/>
  <c r="BX15" i="26"/>
  <c r="BX31" i="26"/>
  <c r="BX32" i="26"/>
  <c r="BX39" i="26"/>
  <c r="BX34" i="26"/>
  <c r="BX54" i="26"/>
  <c r="BX59" i="26"/>
  <c r="BX37" i="26"/>
  <c r="BX38" i="26"/>
  <c r="BX56" i="26"/>
  <c r="BX74" i="26"/>
  <c r="BX41" i="26"/>
  <c r="BX42" i="26"/>
  <c r="BX73" i="26"/>
  <c r="BX81" i="26"/>
  <c r="BX45" i="26"/>
  <c r="BX46" i="26"/>
  <c r="BX47" i="26"/>
  <c r="BX48" i="26"/>
  <c r="BX49" i="26"/>
  <c r="BX50" i="26"/>
  <c r="BX58" i="26"/>
  <c r="BX76" i="26"/>
  <c r="BX12" i="26"/>
  <c r="BX13" i="26"/>
  <c r="BX10" i="26"/>
  <c r="BX11" i="26"/>
  <c r="BX9" i="26"/>
  <c r="BX16" i="26"/>
  <c r="BX17" i="26"/>
  <c r="BX44" i="26"/>
  <c r="BX43" i="26"/>
  <c r="BX25" i="26"/>
  <c r="BX26" i="26"/>
  <c r="BX18" i="26"/>
  <c r="BX19" i="26"/>
  <c r="BX27" i="26"/>
  <c r="BX28" i="26"/>
  <c r="BX20" i="26"/>
  <c r="BX21" i="26"/>
  <c r="BX40" i="26"/>
  <c r="BX36" i="26"/>
  <c r="BX57" i="26"/>
  <c r="BX75" i="26"/>
  <c r="BX77" i="26"/>
  <c r="BX60" i="26"/>
  <c r="BX61" i="26"/>
  <c r="BX62" i="26"/>
  <c r="BX63" i="26"/>
  <c r="BX64" i="26"/>
  <c r="BX65" i="26"/>
  <c r="BX66" i="26"/>
  <c r="BX67" i="26"/>
  <c r="BX68" i="26"/>
  <c r="BX69" i="26"/>
  <c r="BX33" i="26"/>
  <c r="BX52" i="26"/>
  <c r="BX51" i="26"/>
  <c r="BX55" i="26"/>
  <c r="BX35" i="26"/>
  <c r="BX78" i="26"/>
  <c r="BX79" i="26"/>
  <c r="BX80" i="26"/>
  <c r="BX53" i="26"/>
  <c r="BX82" i="26"/>
  <c r="BX84" i="26"/>
  <c r="BX99" i="26"/>
  <c r="BX100" i="26"/>
  <c r="BX14" i="26"/>
  <c r="T7" i="9"/>
  <c r="T8" i="9"/>
  <c r="BB86" i="33"/>
  <c r="BI7" i="26"/>
  <c r="BI8" i="26" s="1"/>
  <c r="AK21" i="9"/>
  <c r="AK12" i="9"/>
  <c r="AK13" i="9"/>
  <c r="AK14" i="9"/>
  <c r="AK15" i="9"/>
  <c r="AK16" i="9"/>
  <c r="AK17" i="9"/>
  <c r="AK18" i="9"/>
  <c r="AK19" i="9"/>
  <c r="AK20" i="9"/>
  <c r="AK11" i="9"/>
  <c r="AK9" i="9"/>
  <c r="AK6" i="9"/>
  <c r="AK7" i="9"/>
  <c r="AK8" i="9"/>
  <c r="AK5" i="9"/>
  <c r="AF15" i="9"/>
  <c r="AF18" i="9"/>
  <c r="AF21" i="9"/>
  <c r="AF12" i="9"/>
  <c r="AF6" i="9"/>
  <c r="AF7" i="9"/>
  <c r="AF8" i="9"/>
  <c r="AF9" i="9"/>
  <c r="AF5" i="9"/>
  <c r="AB5" i="9"/>
  <c r="AA12" i="9"/>
  <c r="AA13" i="9"/>
  <c r="AA14" i="9"/>
  <c r="AA15" i="9"/>
  <c r="AA16" i="9"/>
  <c r="AA17" i="9"/>
  <c r="AA18" i="9"/>
  <c r="AA19" i="9"/>
  <c r="AA20" i="9"/>
  <c r="AA21" i="9"/>
  <c r="AA11" i="9"/>
  <c r="AA6" i="9"/>
  <c r="AA7" i="9"/>
  <c r="AA8" i="9"/>
  <c r="AA9" i="9"/>
  <c r="AA5" i="9"/>
  <c r="S5" i="9"/>
  <c r="T5" i="9" s="1"/>
  <c r="X22" i="9"/>
  <c r="W22" i="9"/>
  <c r="V22" i="9"/>
  <c r="AA22" i="9" s="1"/>
  <c r="U22" i="9"/>
  <c r="R22" i="9"/>
  <c r="S21" i="9"/>
  <c r="T21" i="9" s="1"/>
  <c r="S20" i="9"/>
  <c r="S19" i="9"/>
  <c r="S18" i="9"/>
  <c r="S17" i="9"/>
  <c r="T17" i="9" s="1"/>
  <c r="S16" i="9"/>
  <c r="S15" i="9"/>
  <c r="S14" i="9"/>
  <c r="T14" i="9" s="1"/>
  <c r="S13" i="9"/>
  <c r="S12" i="9"/>
  <c r="T12" i="9" s="1"/>
  <c r="S11" i="9"/>
  <c r="T11" i="9" s="1"/>
  <c r="S9" i="9"/>
  <c r="T9" i="9" s="1"/>
  <c r="S8" i="9"/>
  <c r="S7" i="9"/>
  <c r="S6" i="9"/>
  <c r="T6" i="9" s="1"/>
  <c r="K13" i="33" l="1"/>
  <c r="K10" i="33"/>
  <c r="K11" i="33" s="1"/>
  <c r="Q5" i="33"/>
  <c r="O5" i="33"/>
  <c r="J10" i="33"/>
  <c r="J11" i="33" s="1"/>
  <c r="J13" i="33"/>
  <c r="AK22" i="9"/>
  <c r="S22" i="9"/>
  <c r="T22" i="9" s="1"/>
  <c r="K5" i="33" l="1"/>
  <c r="J5" i="33"/>
  <c r="S7" i="26"/>
  <c r="S8" i="26" s="1"/>
  <c r="AJ95" i="33" l="1"/>
  <c r="AI95" i="33"/>
  <c r="BF86" i="33"/>
  <c r="BE86" i="33"/>
  <c r="BD86" i="33"/>
  <c r="BC86" i="33"/>
  <c r="BA86" i="33"/>
  <c r="AZ84" i="33"/>
  <c r="AU84" i="33"/>
  <c r="AT84" i="33"/>
  <c r="AK81" i="33"/>
  <c r="AK5" i="33" s="1"/>
  <c r="AF79" i="33"/>
  <c r="AE79" i="33"/>
  <c r="AU77" i="33"/>
  <c r="AU60" i="33" s="1"/>
  <c r="AN77" i="33"/>
  <c r="AM77" i="33"/>
  <c r="AM60" i="33" s="1"/>
  <c r="AZ76" i="33"/>
  <c r="AY76" i="33"/>
  <c r="AX76" i="33"/>
  <c r="AW76" i="33"/>
  <c r="AV76" i="33"/>
  <c r="AS76" i="33"/>
  <c r="AR76" i="33"/>
  <c r="AQ76" i="33"/>
  <c r="AP76" i="33"/>
  <c r="AO76" i="33"/>
  <c r="AN76" i="33"/>
  <c r="AM76" i="33"/>
  <c r="AL76" i="33"/>
  <c r="R76" i="33"/>
  <c r="P76" i="33"/>
  <c r="N76" i="33"/>
  <c r="M76" i="33"/>
  <c r="I76" i="33"/>
  <c r="BC74" i="33"/>
  <c r="AZ74" i="33"/>
  <c r="AY74" i="33"/>
  <c r="AX74" i="33"/>
  <c r="AW74" i="33"/>
  <c r="AV74" i="33"/>
  <c r="AU74" i="33"/>
  <c r="AT74" i="33"/>
  <c r="AS74" i="33"/>
  <c r="AR74" i="33"/>
  <c r="AQ74" i="33"/>
  <c r="AP74" i="33"/>
  <c r="AO74" i="33"/>
  <c r="AN74" i="33"/>
  <c r="AM74" i="33"/>
  <c r="AL74" i="33"/>
  <c r="AI74" i="33"/>
  <c r="AH74" i="33"/>
  <c r="AG74" i="33"/>
  <c r="AF74" i="33"/>
  <c r="AE74" i="33"/>
  <c r="AD74" i="33"/>
  <c r="AC74" i="33"/>
  <c r="AB74" i="33"/>
  <c r="AA74" i="33"/>
  <c r="Z74" i="33"/>
  <c r="Y74" i="33"/>
  <c r="X74" i="33"/>
  <c r="W74" i="33"/>
  <c r="V74" i="33"/>
  <c r="R74" i="33"/>
  <c r="P74" i="33"/>
  <c r="N74" i="33"/>
  <c r="M74" i="33"/>
  <c r="I74" i="33"/>
  <c r="BC73" i="33"/>
  <c r="AZ73" i="33"/>
  <c r="AY73" i="33"/>
  <c r="AX73" i="33"/>
  <c r="AW73" i="33"/>
  <c r="AV73" i="33"/>
  <c r="AU73" i="33"/>
  <c r="AT73" i="33"/>
  <c r="AS73" i="33"/>
  <c r="AR73" i="33"/>
  <c r="AQ73" i="33"/>
  <c r="AP73" i="33"/>
  <c r="AO73" i="33"/>
  <c r="AN73" i="33"/>
  <c r="AM73" i="33"/>
  <c r="AL73" i="33"/>
  <c r="AH73" i="33"/>
  <c r="AG73" i="33"/>
  <c r="AD73" i="33"/>
  <c r="AC73" i="33"/>
  <c r="AB73" i="33"/>
  <c r="AA73" i="33"/>
  <c r="Z73" i="33"/>
  <c r="Y73" i="33"/>
  <c r="X73" i="33"/>
  <c r="W73" i="33"/>
  <c r="V73" i="33"/>
  <c r="R73" i="33"/>
  <c r="P73" i="33"/>
  <c r="N73" i="33"/>
  <c r="M73" i="33"/>
  <c r="I73" i="33"/>
  <c r="BF72" i="33"/>
  <c r="BE72" i="33"/>
  <c r="BD72" i="33"/>
  <c r="BB72" i="33"/>
  <c r="BA72" i="33"/>
  <c r="AG72" i="33"/>
  <c r="AB72" i="33"/>
  <c r="X72" i="33"/>
  <c r="W72" i="33"/>
  <c r="BF71" i="33"/>
  <c r="BE71" i="33"/>
  <c r="BD71" i="33"/>
  <c r="BB71" i="33"/>
  <c r="BA71" i="33"/>
  <c r="AH71" i="33"/>
  <c r="AG71" i="33"/>
  <c r="AC71" i="33"/>
  <c r="AB71" i="33"/>
  <c r="X71" i="33"/>
  <c r="W71" i="33"/>
  <c r="AZ70" i="33"/>
  <c r="AW70" i="33"/>
  <c r="AN70" i="33"/>
  <c r="AY69" i="33"/>
  <c r="AX69" i="33"/>
  <c r="AO69" i="33"/>
  <c r="AL69" i="33"/>
  <c r="AH68" i="33"/>
  <c r="N68" i="33"/>
  <c r="AD67" i="33"/>
  <c r="AC67" i="33"/>
  <c r="Y67" i="33"/>
  <c r="W67" i="33"/>
  <c r="V67" i="33"/>
  <c r="M67" i="33"/>
  <c r="I67" i="33"/>
  <c r="BD93" i="33"/>
  <c r="BB93" i="33"/>
  <c r="AH65" i="33"/>
  <c r="BC64" i="33"/>
  <c r="AG63" i="33"/>
  <c r="AD63" i="33"/>
  <c r="AC63" i="33"/>
  <c r="AB63" i="33"/>
  <c r="AA63" i="33"/>
  <c r="Z63" i="33"/>
  <c r="Y63" i="33"/>
  <c r="X63" i="33"/>
  <c r="W63" i="33"/>
  <c r="V63" i="33"/>
  <c r="AZ60" i="33"/>
  <c r="AY60" i="33"/>
  <c r="AX60" i="33"/>
  <c r="AW60" i="33"/>
  <c r="AV60" i="33"/>
  <c r="AT60" i="33"/>
  <c r="AS60" i="33"/>
  <c r="AR60" i="33"/>
  <c r="AQ60" i="33"/>
  <c r="AP60" i="33"/>
  <c r="AO60" i="33"/>
  <c r="AL60" i="33"/>
  <c r="R59" i="33"/>
  <c r="P59" i="33"/>
  <c r="N59" i="33"/>
  <c r="M59" i="33"/>
  <c r="I59" i="33"/>
  <c r="AY55" i="33"/>
  <c r="AX55" i="33"/>
  <c r="AW55" i="33"/>
  <c r="AV55" i="33"/>
  <c r="AV69" i="33" s="1"/>
  <c r="AS55" i="33"/>
  <c r="AS69" i="33" s="1"/>
  <c r="AR55" i="33"/>
  <c r="AR69" i="33" s="1"/>
  <c r="AQ55" i="33"/>
  <c r="AQ69" i="33" s="1"/>
  <c r="AP55" i="33"/>
  <c r="AP69" i="33" s="1"/>
  <c r="AO55" i="33"/>
  <c r="AN55" i="33"/>
  <c r="AM55" i="33"/>
  <c r="AM70" i="33" s="1"/>
  <c r="AL55" i="33"/>
  <c r="AH55" i="33"/>
  <c r="AD55" i="33"/>
  <c r="AC55" i="33"/>
  <c r="AB55" i="33"/>
  <c r="AB67" i="33" s="1"/>
  <c r="AA55" i="33"/>
  <c r="Z55" i="33"/>
  <c r="Y55" i="33"/>
  <c r="X55" i="33"/>
  <c r="W55" i="33"/>
  <c r="V55" i="33"/>
  <c r="R55" i="33"/>
  <c r="P55" i="33"/>
  <c r="N55" i="33"/>
  <c r="M55" i="33"/>
  <c r="I55" i="33"/>
  <c r="BE54" i="33"/>
  <c r="BD54" i="33"/>
  <c r="BC54" i="33"/>
  <c r="BB54" i="33"/>
  <c r="BA54" i="33"/>
  <c r="AZ54" i="33"/>
  <c r="AY54" i="33"/>
  <c r="AX54" i="33"/>
  <c r="AW54" i="33"/>
  <c r="AU54" i="33"/>
  <c r="AT54" i="33"/>
  <c r="AS54" i="33"/>
  <c r="AR54" i="33"/>
  <c r="AQ54" i="33"/>
  <c r="AP54" i="33"/>
  <c r="AN54" i="33"/>
  <c r="AL54" i="33"/>
  <c r="BE53" i="33"/>
  <c r="BD53" i="33"/>
  <c r="BC53" i="33"/>
  <c r="BB53" i="33"/>
  <c r="BA53" i="33"/>
  <c r="AZ53" i="33"/>
  <c r="AY53" i="33"/>
  <c r="AX53" i="33"/>
  <c r="AW53" i="33"/>
  <c r="AU53" i="33"/>
  <c r="AT53" i="33"/>
  <c r="AS53" i="33"/>
  <c r="AR53" i="33"/>
  <c r="AQ53" i="33"/>
  <c r="AP53" i="33"/>
  <c r="AN53" i="33"/>
  <c r="AL53" i="33"/>
  <c r="AH52" i="33"/>
  <c r="AG52" i="33"/>
  <c r="AH51" i="33"/>
  <c r="AC51" i="33"/>
  <c r="AB51" i="33"/>
  <c r="AA51" i="33"/>
  <c r="Z51" i="33"/>
  <c r="U51" i="33"/>
  <c r="T51" i="33"/>
  <c r="S51" i="33"/>
  <c r="AW50" i="33"/>
  <c r="AU50" i="33"/>
  <c r="AT50" i="33"/>
  <c r="AR50" i="33"/>
  <c r="AP50" i="33"/>
  <c r="AL50" i="33"/>
  <c r="AZ49" i="33"/>
  <c r="AW49" i="33"/>
  <c r="AU49" i="33"/>
  <c r="AT49" i="33"/>
  <c r="AS49" i="33"/>
  <c r="AR49" i="33"/>
  <c r="AQ49" i="33"/>
  <c r="AP49" i="33"/>
  <c r="AL49" i="33"/>
  <c r="AZ48" i="33"/>
  <c r="AY48" i="33"/>
  <c r="AX48" i="33"/>
  <c r="AW48" i="33"/>
  <c r="AU48" i="33"/>
  <c r="AT48" i="33"/>
  <c r="AS48" i="33"/>
  <c r="AR48" i="33"/>
  <c r="AQ48" i="33"/>
  <c r="AP48" i="33"/>
  <c r="AN48" i="33"/>
  <c r="AL48" i="33"/>
  <c r="AZ47" i="33"/>
  <c r="AW47" i="33"/>
  <c r="AU47" i="33"/>
  <c r="AT47" i="33"/>
  <c r="AS47" i="33"/>
  <c r="AR47" i="33"/>
  <c r="AQ47" i="33"/>
  <c r="AP47" i="33"/>
  <c r="AL47" i="33"/>
  <c r="BE46" i="33"/>
  <c r="BD46" i="33"/>
  <c r="BC46" i="33"/>
  <c r="BB46" i="33"/>
  <c r="BA46" i="33"/>
  <c r="AZ45" i="33"/>
  <c r="AY45" i="33"/>
  <c r="AX45" i="33"/>
  <c r="AW45" i="33"/>
  <c r="AV45" i="33"/>
  <c r="AS45" i="33"/>
  <c r="AR45" i="33"/>
  <c r="AQ45" i="33"/>
  <c r="AP45" i="33"/>
  <c r="BE44" i="33"/>
  <c r="BD44" i="33"/>
  <c r="BC44" i="33"/>
  <c r="BB44" i="33"/>
  <c r="BA44" i="33"/>
  <c r="BE43" i="33"/>
  <c r="BD43" i="33"/>
  <c r="BC43" i="33"/>
  <c r="BB43" i="33"/>
  <c r="BA43" i="33"/>
  <c r="AZ42" i="33"/>
  <c r="AW42" i="33"/>
  <c r="AU42" i="33"/>
  <c r="AT42" i="33"/>
  <c r="AS42" i="33"/>
  <c r="AR42" i="33"/>
  <c r="AQ42" i="33"/>
  <c r="AP42" i="33"/>
  <c r="AL42" i="33"/>
  <c r="AZ41" i="33"/>
  <c r="AY41" i="33"/>
  <c r="AX41" i="33"/>
  <c r="AW41" i="33"/>
  <c r="AU41" i="33"/>
  <c r="AT41" i="33"/>
  <c r="AS41" i="33"/>
  <c r="AR41" i="33"/>
  <c r="AQ41" i="33"/>
  <c r="AP41" i="33"/>
  <c r="AN41" i="33"/>
  <c r="AL41" i="33"/>
  <c r="AH40" i="33"/>
  <c r="AG40" i="33"/>
  <c r="R40" i="33"/>
  <c r="R52" i="33" s="1"/>
  <c r="P40" i="33"/>
  <c r="P52" i="33" s="1"/>
  <c r="N40" i="33"/>
  <c r="N52" i="33" s="1"/>
  <c r="M40" i="33"/>
  <c r="M52" i="33" s="1"/>
  <c r="I40" i="33"/>
  <c r="I52" i="33" s="1"/>
  <c r="AH39" i="33"/>
  <c r="AD39" i="33"/>
  <c r="AC39" i="33"/>
  <c r="AB39" i="33"/>
  <c r="Y39" i="33"/>
  <c r="X39" i="33"/>
  <c r="W39" i="33"/>
  <c r="V39" i="33"/>
  <c r="T39" i="33"/>
  <c r="S39" i="33"/>
  <c r="AB37" i="33"/>
  <c r="AA37" i="33"/>
  <c r="AA39" i="33" s="1"/>
  <c r="Z37" i="33"/>
  <c r="Z39" i="33" s="1"/>
  <c r="Y37" i="33"/>
  <c r="X37" i="33"/>
  <c r="W37" i="33"/>
  <c r="V37" i="33"/>
  <c r="R37" i="33"/>
  <c r="P37" i="33"/>
  <c r="N37" i="33"/>
  <c r="M37" i="33"/>
  <c r="I37" i="33"/>
  <c r="AH34" i="33"/>
  <c r="AD34" i="33"/>
  <c r="AC34" i="33"/>
  <c r="AA34" i="33"/>
  <c r="Z34" i="33"/>
  <c r="X34" i="33"/>
  <c r="W34" i="33"/>
  <c r="V34" i="33"/>
  <c r="U34" i="33"/>
  <c r="S34" i="33"/>
  <c r="R34" i="33"/>
  <c r="R39" i="33" s="1"/>
  <c r="P34" i="33"/>
  <c r="P39" i="33" s="1"/>
  <c r="AH33" i="33"/>
  <c r="AD33" i="33"/>
  <c r="AD51" i="33" s="1"/>
  <c r="AC33" i="33"/>
  <c r="AA33" i="33"/>
  <c r="Z33" i="33"/>
  <c r="Y33" i="33"/>
  <c r="Y51" i="33" s="1"/>
  <c r="X33" i="33"/>
  <c r="X51" i="33" s="1"/>
  <c r="W33" i="33"/>
  <c r="W51" i="33" s="1"/>
  <c r="V33" i="33"/>
  <c r="V51" i="33" s="1"/>
  <c r="U33" i="33"/>
  <c r="T33" i="33"/>
  <c r="S33" i="33"/>
  <c r="R33" i="33"/>
  <c r="R51" i="33" s="1"/>
  <c r="P33" i="33"/>
  <c r="P51" i="33" s="1"/>
  <c r="N33" i="33"/>
  <c r="N51" i="33" s="1"/>
  <c r="M33" i="33"/>
  <c r="M51" i="33" s="1"/>
  <c r="I33" i="33"/>
  <c r="I51" i="33" s="1"/>
  <c r="AZ31" i="33"/>
  <c r="AQ31" i="33"/>
  <c r="AX30" i="33"/>
  <c r="AR30" i="33"/>
  <c r="AN30" i="33"/>
  <c r="AY29" i="33"/>
  <c r="AS29" i="33"/>
  <c r="AW25" i="33"/>
  <c r="AU25" i="33"/>
  <c r="AT25" i="33"/>
  <c r="AR25" i="33"/>
  <c r="AP25" i="33"/>
  <c r="AL25" i="33"/>
  <c r="AS24" i="33"/>
  <c r="AH21" i="33"/>
  <c r="AC21" i="33"/>
  <c r="R21" i="33"/>
  <c r="P21" i="33"/>
  <c r="N21" i="33"/>
  <c r="N39" i="33" s="1"/>
  <c r="M21" i="33"/>
  <c r="M39" i="33" s="1"/>
  <c r="I21" i="33"/>
  <c r="I39" i="33" s="1"/>
  <c r="AH20" i="33"/>
  <c r="N20" i="33"/>
  <c r="BC19" i="33"/>
  <c r="BC71" i="33" s="1"/>
  <c r="Z19" i="33"/>
  <c r="Z72" i="33" s="1"/>
  <c r="V19" i="33"/>
  <c r="V71" i="33" s="1"/>
  <c r="AD18" i="33"/>
  <c r="AD72" i="33" s="1"/>
  <c r="Y18" i="33"/>
  <c r="Y71" i="33" s="1"/>
  <c r="R17" i="33"/>
  <c r="P17" i="33"/>
  <c r="N17" i="33"/>
  <c r="M17" i="33"/>
  <c r="I17" i="33"/>
  <c r="R16" i="33"/>
  <c r="P16" i="33"/>
  <c r="N16" i="33"/>
  <c r="M16" i="33"/>
  <c r="I16" i="33"/>
  <c r="AS13" i="33"/>
  <c r="AR13" i="33"/>
  <c r="AQ13" i="33"/>
  <c r="AP13" i="33"/>
  <c r="AO13" i="33"/>
  <c r="AN13" i="33"/>
  <c r="AM13" i="33"/>
  <c r="AL13" i="33"/>
  <c r="BF11" i="33"/>
  <c r="BE11" i="33"/>
  <c r="BD11" i="33"/>
  <c r="AZ11" i="33"/>
  <c r="AY11" i="33"/>
  <c r="AX11" i="33"/>
  <c r="AW11" i="33"/>
  <c r="AV11" i="33"/>
  <c r="AT11" i="33"/>
  <c r="AS11" i="33"/>
  <c r="AR11" i="33"/>
  <c r="AQ11" i="33"/>
  <c r="AP11" i="33"/>
  <c r="AO11" i="33"/>
  <c r="AN11" i="33"/>
  <c r="AM11" i="33"/>
  <c r="AL11" i="33"/>
  <c r="AI11" i="33"/>
  <c r="AH11" i="33"/>
  <c r="AF11" i="33"/>
  <c r="AD11" i="33"/>
  <c r="AC11" i="33"/>
  <c r="AA11" i="33"/>
  <c r="Z11" i="33"/>
  <c r="W11" i="33"/>
  <c r="AJ10" i="33"/>
  <c r="AJ5" i="33" s="1"/>
  <c r="AG10" i="33"/>
  <c r="AV9" i="33"/>
  <c r="AS9" i="33"/>
  <c r="AR9" i="33"/>
  <c r="AQ9" i="33"/>
  <c r="AP9" i="33"/>
  <c r="AO9" i="33"/>
  <c r="AN9" i="33"/>
  <c r="AM9" i="33"/>
  <c r="AL9" i="33"/>
  <c r="AI9" i="33"/>
  <c r="AF9" i="33"/>
  <c r="AD9" i="33"/>
  <c r="AC9" i="33"/>
  <c r="AA9" i="33"/>
  <c r="Z9" i="33"/>
  <c r="W9" i="33"/>
  <c r="R8" i="33"/>
  <c r="R32" i="33" s="1"/>
  <c r="P8" i="33"/>
  <c r="P32" i="33" s="1"/>
  <c r="N8" i="33"/>
  <c r="N32" i="33" s="1"/>
  <c r="M8" i="33"/>
  <c r="M32" i="33" s="1"/>
  <c r="I8" i="33"/>
  <c r="AE5" i="33" l="1"/>
  <c r="AI5" i="33"/>
  <c r="S5" i="33"/>
  <c r="M72" i="33"/>
  <c r="R71" i="33"/>
  <c r="I34" i="33"/>
  <c r="I72" i="33"/>
  <c r="AH5" i="33"/>
  <c r="N71" i="33"/>
  <c r="T5" i="33"/>
  <c r="AT5" i="33"/>
  <c r="AO5" i="33"/>
  <c r="U5" i="33"/>
  <c r="BF5" i="33"/>
  <c r="AU5" i="33"/>
  <c r="BE5" i="33"/>
  <c r="X5" i="33"/>
  <c r="BD5" i="33"/>
  <c r="W5" i="33"/>
  <c r="P72" i="33"/>
  <c r="AY5" i="33"/>
  <c r="M34" i="33"/>
  <c r="AW5" i="33"/>
  <c r="AP5" i="33"/>
  <c r="R72" i="33"/>
  <c r="BC72" i="33"/>
  <c r="BC5" i="33" s="1"/>
  <c r="AR5" i="33"/>
  <c r="AL5" i="33"/>
  <c r="I71" i="33"/>
  <c r="M71" i="33"/>
  <c r="AS5" i="33"/>
  <c r="AC5" i="33"/>
  <c r="AZ5" i="33"/>
  <c r="AN5" i="33"/>
  <c r="BA5" i="33"/>
  <c r="AG5" i="33"/>
  <c r="BB5" i="33"/>
  <c r="Z71" i="33"/>
  <c r="Z5" i="33" s="1"/>
  <c r="AF5" i="33"/>
  <c r="AV5" i="33"/>
  <c r="AX5" i="33"/>
  <c r="AD71" i="33"/>
  <c r="AD5" i="33" s="1"/>
  <c r="AM5" i="33"/>
  <c r="AA5" i="33"/>
  <c r="AQ5" i="33"/>
  <c r="N72" i="33"/>
  <c r="AB5" i="33"/>
  <c r="P71" i="33"/>
  <c r="M9" i="33"/>
  <c r="I32" i="33"/>
  <c r="N34" i="33"/>
  <c r="V72" i="33"/>
  <c r="V5" i="33" s="1"/>
  <c r="I9" i="33"/>
  <c r="N9" i="33"/>
  <c r="Y72" i="33"/>
  <c r="Y5" i="33" s="1"/>
  <c r="P9" i="33"/>
  <c r="R9" i="33"/>
  <c r="M13" i="33" l="1"/>
  <c r="M10" i="33"/>
  <c r="M11" i="33" s="1"/>
  <c r="P10" i="33"/>
  <c r="P13" i="33"/>
  <c r="I10" i="33"/>
  <c r="I11" i="33" s="1"/>
  <c r="I13" i="33"/>
  <c r="R13" i="33"/>
  <c r="R10" i="33"/>
  <c r="R11" i="33" s="1"/>
  <c r="N13" i="33"/>
  <c r="N10" i="33"/>
  <c r="N11" i="33" s="1"/>
  <c r="I5" i="33" l="1"/>
  <c r="M5" i="33"/>
  <c r="R5" i="33"/>
  <c r="N5" i="33"/>
  <c r="P11" i="33"/>
  <c r="P5" i="33" s="1"/>
  <c r="AA7" i="26" l="1"/>
  <c r="AA8" i="26" s="1"/>
  <c r="U7" i="26"/>
  <c r="U8" i="26" s="1"/>
  <c r="V7" i="26"/>
  <c r="V8" i="26" s="1"/>
  <c r="W7" i="26"/>
  <c r="W8" i="26" s="1"/>
  <c r="H7" i="26"/>
  <c r="H8" i="26" s="1"/>
  <c r="I7" i="26"/>
  <c r="I8" i="26" s="1"/>
  <c r="J7" i="26"/>
  <c r="J8" i="26" s="1"/>
  <c r="K7" i="26"/>
  <c r="K8" i="26" s="1"/>
  <c r="L7" i="26"/>
  <c r="L8" i="26" s="1"/>
  <c r="M7" i="26"/>
  <c r="M8" i="26" s="1"/>
  <c r="N7" i="26"/>
  <c r="N8" i="26" s="1"/>
  <c r="O7" i="26"/>
  <c r="O8" i="26" s="1"/>
  <c r="P7" i="26"/>
  <c r="P8" i="26" s="1"/>
  <c r="Q7" i="26"/>
  <c r="Q8" i="26" s="1"/>
  <c r="R7" i="26"/>
  <c r="R8" i="26" s="1"/>
  <c r="T7" i="26"/>
  <c r="T8" i="26" s="1"/>
  <c r="X7" i="26"/>
  <c r="X8" i="26" s="1"/>
  <c r="Y7" i="26"/>
  <c r="Y8" i="26" s="1"/>
  <c r="Z7" i="26"/>
  <c r="Z8" i="26" s="1"/>
  <c r="AB7" i="26"/>
  <c r="AB8" i="26" s="1"/>
  <c r="AC7" i="26"/>
  <c r="AC8" i="26" s="1"/>
  <c r="AD7" i="26"/>
  <c r="AD8" i="26" s="1"/>
  <c r="AE7" i="26"/>
  <c r="AE8" i="26" s="1"/>
  <c r="AF7" i="26"/>
  <c r="AF8" i="26" s="1"/>
  <c r="AG7" i="26"/>
  <c r="AG8" i="26" s="1"/>
  <c r="AH7" i="26"/>
  <c r="AH8" i="26" s="1"/>
  <c r="AI7" i="26"/>
  <c r="AI8" i="26" s="1"/>
  <c r="AJ7" i="26"/>
  <c r="AJ8" i="26" s="1"/>
  <c r="AK7" i="26"/>
  <c r="AK8" i="26" s="1"/>
  <c r="AL7" i="26"/>
  <c r="AL8" i="26" s="1"/>
  <c r="AM7" i="26"/>
  <c r="AM8" i="26" s="1"/>
  <c r="AN7" i="26"/>
  <c r="AN8" i="26" s="1"/>
  <c r="AO7" i="26"/>
  <c r="AO8" i="26" s="1"/>
  <c r="AP7" i="26"/>
  <c r="AP8" i="26" s="1"/>
  <c r="AQ7" i="26"/>
  <c r="AQ8" i="26" s="1"/>
  <c r="AR7" i="26"/>
  <c r="AR8" i="26" s="1"/>
  <c r="AS7" i="26"/>
  <c r="AS8" i="26" s="1"/>
  <c r="AT7" i="26"/>
  <c r="AT8" i="26" s="1"/>
  <c r="AU7" i="26"/>
  <c r="AU8" i="26" s="1"/>
  <c r="AV7" i="26"/>
  <c r="AV8" i="26" s="1"/>
  <c r="AW7" i="26"/>
  <c r="AW8" i="26" s="1"/>
  <c r="AX7" i="26"/>
  <c r="AX8" i="26" s="1"/>
  <c r="AY7" i="26"/>
  <c r="AY8" i="26" s="1"/>
  <c r="AZ7" i="26"/>
  <c r="AZ8" i="26" s="1"/>
  <c r="BA7" i="26"/>
  <c r="BA8" i="26" s="1"/>
  <c r="BB7" i="26"/>
  <c r="BB8" i="26" s="1"/>
  <c r="BC7" i="26"/>
  <c r="BC8" i="26" s="1"/>
  <c r="BD7" i="26"/>
  <c r="BD8" i="26" s="1"/>
  <c r="BE7" i="26"/>
  <c r="BE8" i="26" s="1"/>
  <c r="BF7" i="26"/>
  <c r="BF8" i="26" s="1"/>
  <c r="BG7" i="26"/>
  <c r="BG8" i="26" s="1"/>
  <c r="BH7" i="26"/>
  <c r="BH8" i="26" s="1"/>
  <c r="BJ7" i="26"/>
  <c r="BJ8" i="26" s="1"/>
  <c r="BK7" i="26"/>
  <c r="BK8" i="26" s="1"/>
  <c r="BL7" i="26"/>
  <c r="BL8" i="26" s="1"/>
  <c r="BM7" i="26"/>
  <c r="BM8" i="26" s="1"/>
  <c r="BN7" i="26"/>
  <c r="BN8" i="26" s="1"/>
  <c r="BO7" i="26"/>
  <c r="BO8" i="26" s="1"/>
  <c r="BP7" i="26"/>
  <c r="BP8" i="26" s="1"/>
  <c r="BQ7" i="26"/>
  <c r="BQ8" i="26" s="1"/>
  <c r="BR7" i="26"/>
  <c r="BR8" i="26" s="1"/>
  <c r="BS7" i="26"/>
  <c r="BS8" i="26" s="1"/>
  <c r="BT7" i="26"/>
  <c r="BT8" i="26" s="1"/>
  <c r="BU7" i="26"/>
  <c r="BU8" i="26" s="1"/>
  <c r="BV7" i="26"/>
  <c r="BV8" i="26" s="1"/>
  <c r="BW7" i="26"/>
  <c r="BW8" i="26" s="1"/>
  <c r="B1" i="8" l="1"/>
  <c r="C1" i="8"/>
  <c r="D1" i="8"/>
  <c r="E1" i="8"/>
  <c r="F1" i="8"/>
  <c r="G1" i="8"/>
  <c r="Z11" i="9" l="1"/>
  <c r="Z18" i="9"/>
  <c r="AJ22" i="9" l="1"/>
  <c r="AL22" i="9" s="1"/>
  <c r="AM12" i="9"/>
  <c r="AL13" i="9"/>
  <c r="AL14" i="9"/>
  <c r="AL16" i="9"/>
  <c r="AM19" i="9"/>
  <c r="AL20" i="9"/>
  <c r="AM21" i="9"/>
  <c r="AL11" i="9"/>
  <c r="AL7" i="9"/>
  <c r="AM8" i="9"/>
  <c r="AL9" i="9"/>
  <c r="AL5" i="9"/>
  <c r="AL8" i="9" l="1"/>
  <c r="AM18" i="9"/>
  <c r="AL18" i="9"/>
  <c r="AM9" i="9"/>
  <c r="AM7" i="9"/>
  <c r="AM5" i="9"/>
  <c r="AM11" i="9"/>
  <c r="AM17" i="9"/>
  <c r="AM6" i="9"/>
  <c r="AL19" i="9"/>
  <c r="AL17" i="9"/>
  <c r="AH15" i="9"/>
  <c r="J22" i="9" l="1"/>
  <c r="K6" i="9"/>
  <c r="AB6" i="9" l="1"/>
  <c r="K5" i="9"/>
  <c r="K7" i="9"/>
  <c r="K8" i="9"/>
  <c r="K9" i="9"/>
  <c r="K21" i="9"/>
  <c r="K12" i="9"/>
  <c r="K13" i="9"/>
  <c r="K14" i="9"/>
  <c r="L14" i="9" s="1"/>
  <c r="K15" i="9"/>
  <c r="K16" i="9"/>
  <c r="K17" i="9"/>
  <c r="K18" i="9"/>
  <c r="K19" i="9"/>
  <c r="K20" i="9"/>
  <c r="K11" i="9"/>
  <c r="L11" i="9" s="1"/>
  <c r="P22" i="9"/>
  <c r="AM22" i="9" s="1"/>
  <c r="AL6" i="9" l="1"/>
  <c r="AL12" i="9" l="1"/>
  <c r="C21" i="9" l="1"/>
  <c r="AH21" i="9"/>
  <c r="AL21" i="9" l="1"/>
  <c r="AG6" i="9" l="1"/>
  <c r="AH6" i="9" l="1"/>
  <c r="AH5" i="9"/>
  <c r="AH18" i="9" l="1"/>
  <c r="AH12" i="9"/>
  <c r="AC5" i="9"/>
  <c r="AG12" i="9" l="1"/>
  <c r="AG13" i="9"/>
  <c r="AG14" i="9"/>
  <c r="AG15" i="9"/>
  <c r="AG16" i="9"/>
  <c r="AG17" i="9"/>
  <c r="AG18" i="9"/>
  <c r="AG19" i="9"/>
  <c r="AG20" i="9"/>
  <c r="AG21" i="9"/>
  <c r="AG11" i="9"/>
  <c r="AG7" i="9"/>
  <c r="AG8" i="9"/>
  <c r="AG9" i="9"/>
  <c r="AG5" i="9"/>
  <c r="O22" i="9"/>
  <c r="N22" i="9"/>
  <c r="AF22" i="9"/>
  <c r="AE22" i="9"/>
  <c r="Z22" i="9"/>
  <c r="H22" i="9"/>
  <c r="AB12" i="9"/>
  <c r="AB13" i="9"/>
  <c r="AB14" i="9"/>
  <c r="AB16" i="9"/>
  <c r="AB17" i="9"/>
  <c r="AB19" i="9"/>
  <c r="AB20" i="9"/>
  <c r="AB21" i="9"/>
  <c r="AB11" i="9"/>
  <c r="AB7" i="9"/>
  <c r="AB8" i="9"/>
  <c r="AB9" i="9"/>
  <c r="AC18" i="9"/>
  <c r="C12" i="9"/>
  <c r="C13" i="9"/>
  <c r="L13" i="9"/>
  <c r="L15" i="9"/>
  <c r="L16" i="9"/>
  <c r="AC22" i="9" l="1"/>
  <c r="AH22" i="9"/>
  <c r="AB18" i="9"/>
  <c r="AB15" i="9"/>
  <c r="AG22" i="9"/>
  <c r="AC9" i="9"/>
  <c r="L12" i="9"/>
  <c r="L17" i="9"/>
  <c r="L18" i="9"/>
  <c r="L19" i="9"/>
  <c r="L21" i="9"/>
  <c r="C5" i="9"/>
  <c r="AL15" i="9" l="1"/>
  <c r="L6" i="9"/>
  <c r="AC12" i="9"/>
  <c r="AC13" i="9"/>
  <c r="AC14" i="9"/>
  <c r="AC15" i="9"/>
  <c r="AC16" i="9"/>
  <c r="AC17" i="9"/>
  <c r="AC19" i="9"/>
  <c r="AC21" i="9"/>
  <c r="AC11" i="9"/>
  <c r="AC6" i="9"/>
  <c r="AC7" i="9"/>
  <c r="AC8" i="9"/>
  <c r="M22" i="9"/>
  <c r="K22" i="9" s="1"/>
  <c r="L22" i="9" s="1"/>
  <c r="L9" i="9"/>
  <c r="L5" i="9"/>
  <c r="AB22" i="9" l="1"/>
  <c r="C9" i="9"/>
  <c r="B22" i="9" l="1"/>
  <c r="D13" i="9" l="1"/>
  <c r="C11" i="9" l="1"/>
  <c r="F22" i="9"/>
  <c r="G22" i="9"/>
  <c r="E22" i="9"/>
  <c r="C20" i="9" l="1"/>
  <c r="C19" i="9"/>
  <c r="D19" i="9" s="1"/>
  <c r="D12" i="9"/>
  <c r="C18" i="9"/>
  <c r="C17" i="9"/>
  <c r="D17" i="9" s="1"/>
  <c r="C15" i="9"/>
  <c r="D15" i="9" s="1"/>
  <c r="C16" i="9"/>
  <c r="D16" i="9" s="1"/>
  <c r="C14" i="9"/>
  <c r="D14" i="9" s="1"/>
  <c r="D9" i="9"/>
  <c r="C8" i="9"/>
  <c r="C7" i="9"/>
  <c r="C6" i="9"/>
  <c r="D18" i="9" l="1"/>
  <c r="C22" i="9"/>
  <c r="D22" i="9" s="1"/>
  <c r="D5" i="9"/>
  <c r="D21" i="9"/>
  <c r="D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Islam Asaad Attia Eissa (Nokia)</author>
  </authors>
  <commentList>
    <comment ref="C11" authorId="0" shapeId="0" xr:uid="{B91634ED-BDC8-420D-87F2-15407697D168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x2 sites for Tal Muraab IPAA+ AVQL HW Conversion</t>
        </r>
      </text>
    </comment>
    <comment ref="C12" authorId="0" shapeId="0" xr:uid="{8D920BA0-5ADE-41BF-A17E-6A431F5A3AD1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x12 Sites n41 services for 3CC &amp; HW conversion</t>
        </r>
      </text>
    </comment>
    <comment ref="C14" authorId="0" shapeId="0" xr:uid="{21DBB159-8F03-43EC-A01C-FA01D157EB83}">
      <text>
        <r>
          <rPr>
            <b/>
            <sz val="9"/>
            <color indexed="81"/>
            <rFont val="Tahoma"/>
            <family val="2"/>
          </rPr>
          <t>Islam Asaad Attia Eissa (Nokia):</t>
        </r>
        <r>
          <rPr>
            <sz val="9"/>
            <color indexed="81"/>
            <rFont val="Tahoma"/>
            <family val="2"/>
          </rPr>
          <t xml:space="preserve">
RDV AQHC</t>
        </r>
      </text>
    </comment>
  </commentList>
</comments>
</file>

<file path=xl/sharedStrings.xml><?xml version="1.0" encoding="utf-8"?>
<sst xmlns="http://schemas.openxmlformats.org/spreadsheetml/2006/main" count="14819" uniqueCount="2177">
  <si>
    <t>Scope</t>
  </si>
  <si>
    <t>Partner</t>
  </si>
  <si>
    <t>Request Status</t>
  </si>
  <si>
    <t>Du PO#</t>
  </si>
  <si>
    <t>Integration Status</t>
  </si>
  <si>
    <t>Integration Date</t>
  </si>
  <si>
    <t>Du PO Convention name</t>
  </si>
  <si>
    <t>PO Year Issuance</t>
  </si>
  <si>
    <t>AUH3525</t>
  </si>
  <si>
    <t>AUH3251</t>
  </si>
  <si>
    <t>AUH3224</t>
  </si>
  <si>
    <t>AUH1082</t>
  </si>
  <si>
    <t>AUH2354</t>
  </si>
  <si>
    <t>AUH2852</t>
  </si>
  <si>
    <t>AUH2822</t>
  </si>
  <si>
    <t>IPAA+</t>
  </si>
  <si>
    <t>AUH3683</t>
  </si>
  <si>
    <t>AUH2553</t>
  </si>
  <si>
    <t>AUH3167</t>
  </si>
  <si>
    <t>New SRAN</t>
  </si>
  <si>
    <t>AUH2194</t>
  </si>
  <si>
    <t>AUV6277</t>
  </si>
  <si>
    <t>RDV Deployment</t>
  </si>
  <si>
    <t>RDV</t>
  </si>
  <si>
    <t>AUV6278</t>
  </si>
  <si>
    <t>AUH2651</t>
  </si>
  <si>
    <t>AUH2469</t>
  </si>
  <si>
    <t>5G Expansion-3CC</t>
  </si>
  <si>
    <t>AUH2558</t>
  </si>
  <si>
    <t>AUH2159</t>
  </si>
  <si>
    <t>AUH3409</t>
  </si>
  <si>
    <t>AUH3577</t>
  </si>
  <si>
    <t>AUH3834</t>
  </si>
  <si>
    <t>AUH6120</t>
  </si>
  <si>
    <t>AUH3775</t>
  </si>
  <si>
    <t>AUH2472</t>
  </si>
  <si>
    <t>AUH2834</t>
  </si>
  <si>
    <t>AUH2316</t>
  </si>
  <si>
    <t>Sector Addition-n41 Re-use</t>
  </si>
  <si>
    <t>AUH2193</t>
  </si>
  <si>
    <t>AUH2581</t>
  </si>
  <si>
    <t>AUH3615</t>
  </si>
  <si>
    <t>AUG6453</t>
  </si>
  <si>
    <t>AUH2510</t>
  </si>
  <si>
    <t>AUH2779</t>
  </si>
  <si>
    <t>AUH2282</t>
  </si>
  <si>
    <t>AUH3942</t>
  </si>
  <si>
    <t>AUH3965</t>
  </si>
  <si>
    <t>AUH3270</t>
  </si>
  <si>
    <t>AUH3149</t>
  </si>
  <si>
    <t>AUG4354</t>
  </si>
  <si>
    <t>AUH3435</t>
  </si>
  <si>
    <t>AUH3745</t>
  </si>
  <si>
    <t>AUH2853</t>
  </si>
  <si>
    <t>AUH3726</t>
  </si>
  <si>
    <t>AUH3059</t>
  </si>
  <si>
    <t>AUH3820</t>
  </si>
  <si>
    <t>AUH2874</t>
  </si>
  <si>
    <t>AUH3455</t>
  </si>
  <si>
    <t>AUG4443</t>
  </si>
  <si>
    <t>AUV6280</t>
  </si>
  <si>
    <t>AUV6279</t>
  </si>
  <si>
    <t>AUH2278</t>
  </si>
  <si>
    <t>AUH6559</t>
  </si>
  <si>
    <t>AUV6275</t>
  </si>
  <si>
    <t>AUV6276</t>
  </si>
  <si>
    <t>AUH3052</t>
  </si>
  <si>
    <t>AUH3053</t>
  </si>
  <si>
    <t>AUH3142</t>
  </si>
  <si>
    <t>AUH3041</t>
  </si>
  <si>
    <t>AUH2795</t>
  </si>
  <si>
    <t>AUH2796</t>
  </si>
  <si>
    <t>AUH3479</t>
  </si>
  <si>
    <t>AUH3379</t>
  </si>
  <si>
    <t>AUH6213</t>
  </si>
  <si>
    <t>AUH2812</t>
  </si>
  <si>
    <t>AUH3547</t>
  </si>
  <si>
    <t>AUH1917</t>
  </si>
  <si>
    <t>AUV6281</t>
  </si>
  <si>
    <t>AUH2782</t>
  </si>
  <si>
    <t>AUH3730</t>
  </si>
  <si>
    <t>AUH3645</t>
  </si>
  <si>
    <t>RDV Second Relocation</t>
  </si>
  <si>
    <t>AUH3272</t>
  </si>
  <si>
    <t>AUH6070</t>
  </si>
  <si>
    <t>AUH6492</t>
  </si>
  <si>
    <t>AUG6089</t>
  </si>
  <si>
    <t>AUG6109</t>
  </si>
  <si>
    <t>Relocation</t>
  </si>
  <si>
    <t>AUH3734</t>
  </si>
  <si>
    <t>AUH2612</t>
  </si>
  <si>
    <t>AUH1047</t>
  </si>
  <si>
    <t>AUH1049</t>
  </si>
  <si>
    <t>AUH1339</t>
  </si>
  <si>
    <t>AUH3141</t>
  </si>
  <si>
    <t>AUH3031</t>
  </si>
  <si>
    <t>AUH2439</t>
  </si>
  <si>
    <t>AUH2203</t>
  </si>
  <si>
    <t>AUH3982</t>
  </si>
  <si>
    <t>AUG4431</t>
  </si>
  <si>
    <t>AUH2721</t>
  </si>
  <si>
    <t>AUG6048</t>
  </si>
  <si>
    <t>AUG4365</t>
  </si>
  <si>
    <t>AUV6283</t>
  </si>
  <si>
    <t>AUV6282</t>
  </si>
  <si>
    <t>AUG6075</t>
  </si>
  <si>
    <t>AUH2141</t>
  </si>
  <si>
    <t>AUH3375</t>
  </si>
  <si>
    <t>AUH2108</t>
  </si>
  <si>
    <t>AUG6051</t>
  </si>
  <si>
    <t>AUH2246</t>
  </si>
  <si>
    <t>AUH2663</t>
  </si>
  <si>
    <t>AUH3194</t>
  </si>
  <si>
    <t>AUH6129</t>
  </si>
  <si>
    <t>AUH2160</t>
  </si>
  <si>
    <t>AUH2453</t>
  </si>
  <si>
    <t>AUH2454</t>
  </si>
  <si>
    <t>AUH3036</t>
  </si>
  <si>
    <t>AUH3516</t>
  </si>
  <si>
    <t>AUH3517</t>
  </si>
  <si>
    <t>AUH2140</t>
  </si>
  <si>
    <t>AUH2149</t>
  </si>
  <si>
    <t>AUH2150</t>
  </si>
  <si>
    <t>AUH3386</t>
  </si>
  <si>
    <t>AUH2660</t>
  </si>
  <si>
    <t>AUH3431</t>
  </si>
  <si>
    <t>AUH2455</t>
  </si>
  <si>
    <t>AUH3035</t>
  </si>
  <si>
    <t>AUH2596</t>
  </si>
  <si>
    <t>AUH2740</t>
  </si>
  <si>
    <t>AUV6284</t>
  </si>
  <si>
    <t>AUH6563</t>
  </si>
  <si>
    <t>AUH6593</t>
  </si>
  <si>
    <t>AUH3268</t>
  </si>
  <si>
    <t>AUH3271</t>
  </si>
  <si>
    <t>AUH3440</t>
  </si>
  <si>
    <t>AUH3269</t>
  </si>
  <si>
    <t>AUH3266</t>
  </si>
  <si>
    <t>AUH2562</t>
  </si>
  <si>
    <t>AUH2481</t>
  </si>
  <si>
    <t>AUH3519</t>
  </si>
  <si>
    <t>AUH2667</t>
  </si>
  <si>
    <t>AUH2433</t>
  </si>
  <si>
    <t>AUH2437</t>
  </si>
  <si>
    <t>AUH2665</t>
  </si>
  <si>
    <t>AUH3263</t>
  </si>
  <si>
    <t>AUH3267</t>
  </si>
  <si>
    <t>AUH6156</t>
  </si>
  <si>
    <t>AUH3245</t>
  </si>
  <si>
    <t>AUH6102</t>
  </si>
  <si>
    <t>AUH2607</t>
  </si>
  <si>
    <t>AUH3189</t>
  </si>
  <si>
    <t>AUH2794</t>
  </si>
  <si>
    <t>AUH2598</t>
  </si>
  <si>
    <t>AUH6606</t>
  </si>
  <si>
    <t>AUH2037</t>
  </si>
  <si>
    <t>AUH2456</t>
  </si>
  <si>
    <t>AUH3620</t>
  </si>
  <si>
    <t>AUH2436</t>
  </si>
  <si>
    <t>AUH2603</t>
  </si>
  <si>
    <t>AUH2438</t>
  </si>
  <si>
    <t>AUH2594</t>
  </si>
  <si>
    <t>AUH2595</t>
  </si>
  <si>
    <t>AUH2270</t>
  </si>
  <si>
    <t>AUH3575</t>
  </si>
  <si>
    <t>AUH2964</t>
  </si>
  <si>
    <t>5G HW Conversion</t>
  </si>
  <si>
    <t>AUH6557</t>
  </si>
  <si>
    <t>AUH3185</t>
  </si>
  <si>
    <t>AUH2019</t>
  </si>
  <si>
    <t>AUH3027</t>
  </si>
  <si>
    <t>AUH3186</t>
  </si>
  <si>
    <t>AUH3901</t>
  </si>
  <si>
    <t>AUH6575</t>
  </si>
  <si>
    <t>AUV6285</t>
  </si>
  <si>
    <t>AUH2629</t>
  </si>
  <si>
    <t>AUH3451</t>
  </si>
  <si>
    <t>AUH2389</t>
  </si>
  <si>
    <t>AUH2362</t>
  </si>
  <si>
    <t>AUH2366</t>
  </si>
  <si>
    <t>AUH3831</t>
  </si>
  <si>
    <t>AUH3278</t>
  </si>
  <si>
    <t>AUH2266</t>
  </si>
  <si>
    <t>AUH2116</t>
  </si>
  <si>
    <t>AUH2166</t>
  </si>
  <si>
    <t>AUH2121</t>
  </si>
  <si>
    <t>AUG4439</t>
  </si>
  <si>
    <t>AUH2115</t>
  </si>
  <si>
    <t>AUH2364</t>
  </si>
  <si>
    <t>AUH2368</t>
  </si>
  <si>
    <t>AUH2586</t>
  </si>
  <si>
    <t>AUH3522</t>
  </si>
  <si>
    <t>AUH2548</t>
  </si>
  <si>
    <t>AUH2889</t>
  </si>
  <si>
    <t>AUH2373</t>
  </si>
  <si>
    <t>AUH2859</t>
  </si>
  <si>
    <t>AUH2363</t>
  </si>
  <si>
    <t>AUH2459</t>
  </si>
  <si>
    <t>AUH3741</t>
  </si>
  <si>
    <t>AUH2119</t>
  </si>
  <si>
    <t>AUH2545</t>
  </si>
  <si>
    <t>AUH3859</t>
  </si>
  <si>
    <t>AUH2457</t>
  </si>
  <si>
    <t>AUH2600</t>
  </si>
  <si>
    <t>AUH6576</t>
  </si>
  <si>
    <t>AUH2458</t>
  </si>
  <si>
    <t>AUH2547</t>
  </si>
  <si>
    <t>AUH2549</t>
  </si>
  <si>
    <t>AUH2122</t>
  </si>
  <si>
    <t>AUH2158</t>
  </si>
  <si>
    <t>AUH6605</t>
  </si>
  <si>
    <t>AUH2588</t>
  </si>
  <si>
    <t>AUV6287</t>
  </si>
  <si>
    <t>AUH3695</t>
  </si>
  <si>
    <t>AUH6504</t>
  </si>
  <si>
    <t>AUH1901</t>
  </si>
  <si>
    <t>AUH6417</t>
  </si>
  <si>
    <t>AUH2477</t>
  </si>
  <si>
    <t>AUH2589</t>
  </si>
  <si>
    <t>AUH3856</t>
  </si>
  <si>
    <t>AUH3696</t>
  </si>
  <si>
    <t>AUH6604</t>
  </si>
  <si>
    <t>AUH2531</t>
  </si>
  <si>
    <t>AUH6615</t>
  </si>
  <si>
    <t>AUH2783</t>
  </si>
  <si>
    <t>AUH3038</t>
  </si>
  <si>
    <t>AUH3876</t>
  </si>
  <si>
    <t>AUH2928</t>
  </si>
  <si>
    <t>AUH2951</t>
  </si>
  <si>
    <t>AUH2947</t>
  </si>
  <si>
    <t>AUH2929</t>
  </si>
  <si>
    <t>AUH6403</t>
  </si>
  <si>
    <t>AUH3740</t>
  </si>
  <si>
    <t>AUH3732</t>
  </si>
  <si>
    <t>AUH3829</t>
  </si>
  <si>
    <t>AUH6530</t>
  </si>
  <si>
    <t>AUH2975</t>
  </si>
  <si>
    <t>AUH3135</t>
  </si>
  <si>
    <t>AUH3150</t>
  </si>
  <si>
    <t>AUH6628</t>
  </si>
  <si>
    <t>AUH3749</t>
  </si>
  <si>
    <t>AUH2942</t>
  </si>
  <si>
    <t>AUH2393</t>
  </si>
  <si>
    <t>AUH2958</t>
  </si>
  <si>
    <t>AUH6543</t>
  </si>
  <si>
    <t>AUH2726</t>
  </si>
  <si>
    <t>AUH2623</t>
  </si>
  <si>
    <t>AUH3497</t>
  </si>
  <si>
    <t>AUG6451</t>
  </si>
  <si>
    <t>AUH2774</t>
  </si>
  <si>
    <t>AUG6035</t>
  </si>
  <si>
    <t>AUG6247</t>
  </si>
  <si>
    <t>AUH2169</t>
  </si>
  <si>
    <t>AUH3249</t>
  </si>
  <si>
    <t>AUH3603</t>
  </si>
  <si>
    <t>AUH3395</t>
  </si>
  <si>
    <t>AUH2939</t>
  </si>
  <si>
    <t>AUH2943</t>
  </si>
  <si>
    <t>AUH6568</t>
  </si>
  <si>
    <t>3CC N78 (New) + N41 (Existing HW)</t>
  </si>
  <si>
    <t>AUH6338</t>
  </si>
  <si>
    <t>AUH3860</t>
  </si>
  <si>
    <t>AUH1085</t>
  </si>
  <si>
    <t>AUH2406</t>
  </si>
  <si>
    <t>AUH2324</t>
  </si>
  <si>
    <t>AUH1356</t>
  </si>
  <si>
    <t>AUH2896</t>
  </si>
  <si>
    <t>AUH3693</t>
  </si>
  <si>
    <t>AUH2311</t>
  </si>
  <si>
    <t>AUH3542</t>
  </si>
  <si>
    <t>AUH2508</t>
  </si>
  <si>
    <t>AUH3089</t>
  </si>
  <si>
    <t>AUH1391</t>
  </si>
  <si>
    <t>AUH2657</t>
  </si>
  <si>
    <t>AUH6603</t>
  </si>
  <si>
    <t>AUH6630</t>
  </si>
  <si>
    <t>AUH1393</t>
  </si>
  <si>
    <t>AUH1362</t>
  </si>
  <si>
    <t>AUH1354</t>
  </si>
  <si>
    <t>AUH6173</t>
  </si>
  <si>
    <t>AUH2976</t>
  </si>
  <si>
    <t>AUH3414</t>
  </si>
  <si>
    <t>AUH3416</t>
  </si>
  <si>
    <t>AUH6064</t>
  </si>
  <si>
    <t>AUH2252</t>
  </si>
  <si>
    <t>AUH2467</t>
  </si>
  <si>
    <t>AUH2786</t>
  </si>
  <si>
    <t>AUH2261</t>
  </si>
  <si>
    <t>AUH6518</t>
  </si>
  <si>
    <t>AUV6291</t>
  </si>
  <si>
    <t>AUH1961</t>
  </si>
  <si>
    <t>AUH6528</t>
  </si>
  <si>
    <t>AUH2587</t>
  </si>
  <si>
    <t>AUH2374</t>
  </si>
  <si>
    <t>AUH2879</t>
  </si>
  <si>
    <t>AUH6301</t>
  </si>
  <si>
    <t>AUH2011</t>
  </si>
  <si>
    <t>AUH6624</t>
  </si>
  <si>
    <t>AUH3412</t>
  </si>
  <si>
    <t>AUH3419</t>
  </si>
  <si>
    <t>AUH1353</t>
  </si>
  <si>
    <t>AUH2254</t>
  </si>
  <si>
    <t>AUH3359</t>
  </si>
  <si>
    <t>AUV6290</t>
  </si>
  <si>
    <t>AUH3912</t>
  </si>
  <si>
    <t>AUH2576</t>
  </si>
  <si>
    <t>AUH3243</t>
  </si>
  <si>
    <t>AUH2146</t>
  </si>
  <si>
    <t>AUH3441</t>
  </si>
  <si>
    <t>AUH2857</t>
  </si>
  <si>
    <t>AUH2253</t>
  </si>
  <si>
    <t>AUG4370</t>
  </si>
  <si>
    <t>AUH2376</t>
  </si>
  <si>
    <t>AUH3537</t>
  </si>
  <si>
    <t>2025</t>
  </si>
  <si>
    <t>AUH3413</t>
  </si>
  <si>
    <t>AUH1896</t>
  </si>
  <si>
    <t>5G Expansion-n41 Re-use</t>
  </si>
  <si>
    <t>AUH6086</t>
  </si>
  <si>
    <t>AUH2997</t>
  </si>
  <si>
    <t>AUH3992</t>
  </si>
  <si>
    <t>AUH3417</t>
  </si>
  <si>
    <t>AUH3999</t>
  </si>
  <si>
    <t>AUH2937</t>
  </si>
  <si>
    <t>AUH6491</t>
  </si>
  <si>
    <t>AUH3005</t>
  </si>
  <si>
    <t>AUH2519</t>
  </si>
  <si>
    <t>AUH6427</t>
  </si>
  <si>
    <t>AUH6134</t>
  </si>
  <si>
    <t>AUH3124</t>
  </si>
  <si>
    <t>AUH3944</t>
  </si>
  <si>
    <t>AUH2161</t>
  </si>
  <si>
    <t>AUH2431</t>
  </si>
  <si>
    <t>AUH3123</t>
  </si>
  <si>
    <t>AUH2365</t>
  </si>
  <si>
    <t>AUV6288</t>
  </si>
  <si>
    <t>AUH2513</t>
  </si>
  <si>
    <t>AUH1331</t>
  </si>
  <si>
    <t>AUG6249</t>
  </si>
  <si>
    <t>AUH1330</t>
  </si>
  <si>
    <t>AUH6183</t>
  </si>
  <si>
    <t>AUH1816</t>
  </si>
  <si>
    <t>AUV6292</t>
  </si>
  <si>
    <t>AUV6289</t>
  </si>
  <si>
    <t>AUV6293</t>
  </si>
  <si>
    <t>AUG6252</t>
  </si>
  <si>
    <t>AUH3415</t>
  </si>
  <si>
    <t>AUH3151</t>
  </si>
  <si>
    <t>AUV6294</t>
  </si>
  <si>
    <t>AUH2318</t>
  </si>
  <si>
    <t>AUH2529</t>
  </si>
  <si>
    <t>AUH2208</t>
  </si>
  <si>
    <t>AUG4364</t>
  </si>
  <si>
    <t>AUH2172</t>
  </si>
  <si>
    <t>AUH2178</t>
  </si>
  <si>
    <t>AUH2179</t>
  </si>
  <si>
    <t>AUH2274</t>
  </si>
  <si>
    <t>AUH2711</t>
  </si>
  <si>
    <t>AUH2611</t>
  </si>
  <si>
    <t>AUH2463</t>
  </si>
  <si>
    <t>AUH6589</t>
  </si>
  <si>
    <t>AUH3190</t>
  </si>
  <si>
    <t>AUH2682</t>
  </si>
  <si>
    <t>AUH2687</t>
  </si>
  <si>
    <t>AUH6529</t>
  </si>
  <si>
    <t>AUH6550</t>
  </si>
  <si>
    <t>AUH3432</t>
  </si>
  <si>
    <t>AUH3433</t>
  </si>
  <si>
    <t>AUH2277</t>
  </si>
  <si>
    <t>AUH3855</t>
  </si>
  <si>
    <t>AUH6541</t>
  </si>
  <si>
    <t>AUH3574</t>
  </si>
  <si>
    <t>AUH3827</t>
  </si>
  <si>
    <t>AUH3237</t>
  </si>
  <si>
    <t>FOC-98238</t>
  </si>
  <si>
    <t>AUH3175</t>
  </si>
  <si>
    <t>AUH2546</t>
  </si>
  <si>
    <t>AUH3550</t>
  </si>
  <si>
    <t>AUH3503</t>
  </si>
  <si>
    <t>AUH2404</t>
  </si>
  <si>
    <t>AUH2460</t>
  </si>
  <si>
    <t>AUH3233</t>
  </si>
  <si>
    <t>AUH2151</t>
  </si>
  <si>
    <t>AUH2793</t>
  </si>
  <si>
    <t>AUH3502</t>
  </si>
  <si>
    <t>AUH2405</t>
  </si>
  <si>
    <t>AUH6170</t>
  </si>
  <si>
    <t>AUH2870</t>
  </si>
  <si>
    <t>AUH3256</t>
  </si>
  <si>
    <t>AUH1375</t>
  </si>
  <si>
    <t>AUH1878</t>
  </si>
  <si>
    <t>AUH2385</t>
  </si>
  <si>
    <t>AUH3279</t>
  </si>
  <si>
    <t>AUH3434</t>
  </si>
  <si>
    <t>AUH3396</t>
  </si>
  <si>
    <t>AUH2912</t>
  </si>
  <si>
    <t>AUH1066</t>
  </si>
  <si>
    <t>AUH3765</t>
  </si>
  <si>
    <t>AUH3506</t>
  </si>
  <si>
    <t>AUH3988</t>
  </si>
  <si>
    <t>AUH2968</t>
  </si>
  <si>
    <t>AUH2471</t>
  </si>
  <si>
    <t>AUH3424</t>
  </si>
  <si>
    <t>AUH3091</t>
  </si>
  <si>
    <t>AUH2448</t>
  </si>
  <si>
    <t>AUG6253</t>
  </si>
  <si>
    <t>2G Relocation</t>
  </si>
  <si>
    <t>AUH1076</t>
  </si>
  <si>
    <t>AUH2815</t>
  </si>
  <si>
    <t>AUH3632</t>
  </si>
  <si>
    <t>AUH2675</t>
  </si>
  <si>
    <t>AUH2787</t>
  </si>
  <si>
    <t>AUH1349</t>
  </si>
  <si>
    <t>AUH6174</t>
  </si>
  <si>
    <t>AUH3923</t>
  </si>
  <si>
    <t>AUH3766</t>
  </si>
  <si>
    <t>AUH3054</t>
  </si>
  <si>
    <t>AUH6172</t>
  </si>
  <si>
    <t>AUH6178</t>
  </si>
  <si>
    <t>AUH3917</t>
  </si>
  <si>
    <t>AUH1937</t>
  </si>
  <si>
    <t>AUH3463</t>
  </si>
  <si>
    <t>AUH6158</t>
  </si>
  <si>
    <t>AUH1351</t>
  </si>
  <si>
    <t>AUH1401</t>
  </si>
  <si>
    <t>AUH6180</t>
  </si>
  <si>
    <t>AUH2281</t>
  </si>
  <si>
    <t>AUH3937</t>
  </si>
  <si>
    <t>AUH2386</t>
  </si>
  <si>
    <t>AUH2206</t>
  </si>
  <si>
    <t>AUH3196</t>
  </si>
  <si>
    <t>AUG6254</t>
  </si>
  <si>
    <t>AUH2881</t>
  </si>
  <si>
    <t>AUH2377</t>
  </si>
  <si>
    <t>AUH3722</t>
  </si>
  <si>
    <t>AUG6041</t>
  </si>
  <si>
    <t>AUG6050</t>
  </si>
  <si>
    <t>AUH2132</t>
  </si>
  <si>
    <t>AUH2361</t>
  </si>
  <si>
    <t>AUH2384</t>
  </si>
  <si>
    <t>AUH2468</t>
  </si>
  <si>
    <t>AUH3832</t>
  </si>
  <si>
    <t>AUH2360</t>
  </si>
  <si>
    <t>AUH3262</t>
  </si>
  <si>
    <t>AUH3201</t>
  </si>
  <si>
    <t>AUG4338</t>
  </si>
  <si>
    <t>AUH2207</t>
  </si>
  <si>
    <t>AUH2370</t>
  </si>
  <si>
    <t>AUH2379</t>
  </si>
  <si>
    <t>AUH2214</t>
  </si>
  <si>
    <t>AUH2470</t>
  </si>
  <si>
    <t>AUH2180</t>
  </si>
  <si>
    <t>AUH2799</t>
  </si>
  <si>
    <t>AUH3137</t>
  </si>
  <si>
    <t>AUH3492</t>
  </si>
  <si>
    <t>AUH3518</t>
  </si>
  <si>
    <t>AUH3316</t>
  </si>
  <si>
    <t>AUH3524</t>
  </si>
  <si>
    <t>AUH3540</t>
  </si>
  <si>
    <t>AUH3204</t>
  </si>
  <si>
    <t>AUH2650</t>
  </si>
  <si>
    <t>AUH2378</t>
  </si>
  <si>
    <t>AUH2382</t>
  </si>
  <si>
    <t>AUH2599</t>
  </si>
  <si>
    <t>AUH2098</t>
  </si>
  <si>
    <t>AUH2216</t>
  </si>
  <si>
    <t>AUH2359</t>
  </si>
  <si>
    <t>AUH2371</t>
  </si>
  <si>
    <t>AUH3212</t>
  </si>
  <si>
    <t>AUH2372</t>
  </si>
  <si>
    <t>AUH2380</t>
  </si>
  <si>
    <t>AUH2381</t>
  </si>
  <si>
    <t>AUH2466</t>
  </si>
  <si>
    <t>AUH3111</t>
  </si>
  <si>
    <t>AUH2367</t>
  </si>
  <si>
    <t>AUH2601</t>
  </si>
  <si>
    <t>AUH2770</t>
  </si>
  <si>
    <t>AUH3210</t>
  </si>
  <si>
    <t>AUH3136</t>
  </si>
  <si>
    <t>AUH2720</t>
  </si>
  <si>
    <t>AUH2646</t>
  </si>
  <si>
    <t>AUH2755</t>
  </si>
  <si>
    <t>AUH3211</t>
  </si>
  <si>
    <t>AUH3213</t>
  </si>
  <si>
    <t>AUH3281</t>
  </si>
  <si>
    <t>AUH3345</t>
  </si>
  <si>
    <t>AUH6534</t>
  </si>
  <si>
    <t>AUH3685</t>
  </si>
  <si>
    <t>AUH6392</t>
  </si>
  <si>
    <t>AUH2999</t>
  </si>
  <si>
    <t>AUH3887</t>
  </si>
  <si>
    <t>AUH2714</t>
  </si>
  <si>
    <t>AUH2275</t>
  </si>
  <si>
    <t>AUH6579</t>
  </si>
  <si>
    <t>AUH1935</t>
  </si>
  <si>
    <t>AUH3561</t>
  </si>
  <si>
    <t>AUH1911</t>
  </si>
  <si>
    <t>AUH2731</t>
  </si>
  <si>
    <t>AUH6212</t>
  </si>
  <si>
    <t>AUH3420</t>
  </si>
  <si>
    <t>AUH1891</t>
  </si>
  <si>
    <t>AUH1325</t>
  </si>
  <si>
    <t>AUG6236</t>
  </si>
  <si>
    <t>AUH2843</t>
  </si>
  <si>
    <t>AUH1895</t>
  </si>
  <si>
    <t>AUH1035</t>
  </si>
  <si>
    <t>AUH2231</t>
  </si>
  <si>
    <t>AUH6629</t>
  </si>
  <si>
    <t>AUH6171</t>
  </si>
  <si>
    <t>AUH1231</t>
  </si>
  <si>
    <t>AUH3903</t>
  </si>
  <si>
    <t>AUH3336</t>
  </si>
  <si>
    <t>AUH2010</t>
  </si>
  <si>
    <t>AUH2641</t>
  </si>
  <si>
    <t>AUV6295</t>
  </si>
  <si>
    <t>AUG4347</t>
  </si>
  <si>
    <t>AUH3073</t>
  </si>
  <si>
    <t>AUH3074</t>
  </si>
  <si>
    <t>AUH3082</t>
  </si>
  <si>
    <t>AUH3083</t>
  </si>
  <si>
    <t>AUH3062</t>
  </si>
  <si>
    <t>AUH3078</t>
  </si>
  <si>
    <t>AUH3079</t>
  </si>
  <si>
    <t>AUH3633</t>
  </si>
  <si>
    <t>AUH3081</t>
  </si>
  <si>
    <t>AUH6625</t>
  </si>
  <si>
    <t>AUH1989</t>
  </si>
  <si>
    <t>AUV6296</t>
  </si>
  <si>
    <t>AUV6297</t>
  </si>
  <si>
    <t>AUH3057</t>
  </si>
  <si>
    <t>AUH3056</t>
  </si>
  <si>
    <t>AUH3058</t>
  </si>
  <si>
    <t>AUH3061</t>
  </si>
  <si>
    <t>AUH3064</t>
  </si>
  <si>
    <t>AUH3068</t>
  </si>
  <si>
    <t>AUH3075</t>
  </si>
  <si>
    <t>AUH3076</t>
  </si>
  <si>
    <t>AUH3080</t>
  </si>
  <si>
    <t>AUH3181</t>
  </si>
  <si>
    <t>AUH3863</t>
  </si>
  <si>
    <t>AUH3862</t>
  </si>
  <si>
    <t>AUG4346</t>
  </si>
  <si>
    <t>AUH3077</t>
  </si>
  <si>
    <t>AUH3063</t>
  </si>
  <si>
    <t>AUH1910</t>
  </si>
  <si>
    <t>AUV6299</t>
  </si>
  <si>
    <t>AUH6627</t>
  </si>
  <si>
    <t>AUV6298</t>
  </si>
  <si>
    <t>AUH6623</t>
  </si>
  <si>
    <t>AUH1079</t>
  </si>
  <si>
    <t>AUH1194</t>
  </si>
  <si>
    <t>AUH6044</t>
  </si>
  <si>
    <t>AUH3535</t>
  </si>
  <si>
    <t>AUH3663</t>
  </si>
  <si>
    <t>AUH3664</t>
  </si>
  <si>
    <t>AUV6300</t>
  </si>
  <si>
    <t>AUV6301</t>
  </si>
  <si>
    <t>AUH6478</t>
  </si>
  <si>
    <t>AUG6255</t>
  </si>
  <si>
    <t>AUH3875</t>
  </si>
  <si>
    <t>AUH1905</t>
  </si>
  <si>
    <t>AUH1913</t>
  </si>
  <si>
    <t>AUH3654</t>
  </si>
  <si>
    <t>AUH1139</t>
  </si>
  <si>
    <t>AUH1921</t>
  </si>
  <si>
    <t>AUH2606</t>
  </si>
  <si>
    <t>AUH1345</t>
  </si>
  <si>
    <t>AUH6175</t>
  </si>
  <si>
    <t>AUH1480</t>
  </si>
  <si>
    <t>AUH4368</t>
  </si>
  <si>
    <t>AUH1671</t>
  </si>
  <si>
    <t>AUH3235</t>
  </si>
  <si>
    <t>AUH3616</t>
  </si>
  <si>
    <t>AUH3691</t>
  </si>
  <si>
    <t>AUH6176</t>
  </si>
  <si>
    <t>AUH6374</t>
  </si>
  <si>
    <t>AUH2579</t>
  </si>
  <si>
    <t>AUH6626</t>
  </si>
  <si>
    <t>AUH2778</t>
  </si>
  <si>
    <t>AUV6302</t>
  </si>
  <si>
    <t>AUV6303</t>
  </si>
  <si>
    <t>AUH2509</t>
  </si>
  <si>
    <t>AUG6131</t>
  </si>
  <si>
    <t>AUH3334</t>
  </si>
  <si>
    <t>AUH3398</t>
  </si>
  <si>
    <t>AUH2482</t>
  </si>
  <si>
    <t>AUH3400</t>
  </si>
  <si>
    <t>AUH3750</t>
  </si>
  <si>
    <t>AUH3608</t>
  </si>
  <si>
    <t>AUH6094</t>
  </si>
  <si>
    <t>AUH6465</t>
  </si>
  <si>
    <t>AUH3565</t>
  </si>
  <si>
    <t>AUH3672</t>
  </si>
  <si>
    <t>AUH3673</t>
  </si>
  <si>
    <t>AUH3287</t>
  </si>
  <si>
    <t>AUH3763</t>
  </si>
  <si>
    <t>AUH3563</t>
  </si>
  <si>
    <t>AUH6412</t>
  </si>
  <si>
    <t>AUH3758</t>
  </si>
  <si>
    <t>AUH6441</t>
  </si>
  <si>
    <t>AUH3392</t>
  </si>
  <si>
    <t>AUH3292</t>
  </si>
  <si>
    <t>AUH2914</t>
  </si>
  <si>
    <t>AUH3655</t>
  </si>
  <si>
    <t>AUH3231</t>
  </si>
  <si>
    <t>AUH3291</t>
  </si>
  <si>
    <t>AUH3191</t>
  </si>
  <si>
    <t>AUH6457</t>
  </si>
  <si>
    <t>AUH6426</t>
  </si>
  <si>
    <t>AUH6460</t>
  </si>
  <si>
    <t>AUH3909</t>
  </si>
  <si>
    <t>AUH3296</t>
  </si>
  <si>
    <t>AUH2974</t>
  </si>
  <si>
    <t>AUH3286</t>
  </si>
  <si>
    <t>AUH3307</t>
  </si>
  <si>
    <t>AUH2176</t>
  </si>
  <si>
    <t>AUH2662</t>
  </si>
  <si>
    <t>AUH1677</t>
  </si>
  <si>
    <t>AUH6474</t>
  </si>
  <si>
    <t>AUH2816</t>
  </si>
  <si>
    <t>AUH6355</t>
  </si>
  <si>
    <t>AUH6356</t>
  </si>
  <si>
    <t>AUH2575</t>
  </si>
  <si>
    <t>AUH2112</t>
  </si>
  <si>
    <t>AUH3028</t>
  </si>
  <si>
    <t>AUH2410</t>
  </si>
  <si>
    <t>AUH2441</t>
  </si>
  <si>
    <t>AUH2450</t>
  </si>
  <si>
    <t>AUG6058</t>
  </si>
  <si>
    <t>AUH2569</t>
  </si>
  <si>
    <t>AUH2452</t>
  </si>
  <si>
    <t>AUH3040</t>
  </si>
  <si>
    <t>AUH3001</t>
  </si>
  <si>
    <t>AUH2746</t>
  </si>
  <si>
    <t>AUH6357</t>
  </si>
  <si>
    <t>AUH2775</t>
  </si>
  <si>
    <t>AUH3366</t>
  </si>
  <si>
    <t>AUH2734</t>
  </si>
  <si>
    <t>AUH3679</t>
  </si>
  <si>
    <t>AUH2901</t>
  </si>
  <si>
    <t>AUH3403</t>
  </si>
  <si>
    <t>AUH6595</t>
  </si>
  <si>
    <t>AUH3384</t>
  </si>
  <si>
    <t>AUH2264</t>
  </si>
  <si>
    <t>AUH3372</t>
  </si>
  <si>
    <t>AUH2903</t>
  </si>
  <si>
    <t>AUH3402</t>
  </si>
  <si>
    <t>AUH3640</t>
  </si>
  <si>
    <t>AUH2241</t>
  </si>
  <si>
    <t>AUH2640</t>
  </si>
  <si>
    <t>AUH3826</t>
  </si>
  <si>
    <t>AUH2729</t>
  </si>
  <si>
    <t>AUH2893</t>
  </si>
  <si>
    <t>AUH2643</t>
  </si>
  <si>
    <t>AUH2639</t>
  </si>
  <si>
    <t>AUH2773</t>
  </si>
  <si>
    <t>AUH2915</t>
  </si>
  <si>
    <t>AUH6305</t>
  </si>
  <si>
    <t>AUH6466</t>
  </si>
  <si>
    <t>AUH3179</t>
  </si>
  <si>
    <t>AUH2910</t>
  </si>
  <si>
    <t>AUH3523</t>
  </si>
  <si>
    <t>AUH2005</t>
  </si>
  <si>
    <t>AUH3449</t>
  </si>
  <si>
    <t>AUH2449</t>
  </si>
  <si>
    <t>AUH2810</t>
  </si>
  <si>
    <t>AUH6545</t>
  </si>
  <si>
    <t>AUH2228</t>
  </si>
  <si>
    <t>AUH1687</t>
  </si>
  <si>
    <t>AUH2564</t>
  </si>
  <si>
    <t>AUG6455</t>
  </si>
  <si>
    <t>AUH2917</t>
  </si>
  <si>
    <t>AUH2920</t>
  </si>
  <si>
    <t>AUH2898</t>
  </si>
  <si>
    <t>AUH3593</t>
  </si>
  <si>
    <t>AUH3069</t>
  </si>
  <si>
    <t>AUH2823</t>
  </si>
  <si>
    <t>AUH2904</t>
  </si>
  <si>
    <t>AUH2908</t>
  </si>
  <si>
    <t>AUH2909</t>
  </si>
  <si>
    <t>AUH3619</t>
  </si>
  <si>
    <t>AUH2897</t>
  </si>
  <si>
    <t>AUH2432</t>
  </si>
  <si>
    <t>AUH6429</t>
  </si>
  <si>
    <t>AUH2918</t>
  </si>
  <si>
    <t>AUH6522</t>
  </si>
  <si>
    <t>AUH6631</t>
  </si>
  <si>
    <t>AUH2223</t>
  </si>
  <si>
    <t>AUH3751</t>
  </si>
  <si>
    <t>AUH3622</t>
  </si>
  <si>
    <t>AUH2446</t>
  </si>
  <si>
    <t>AUH6464</t>
  </si>
  <si>
    <t>AUH2604</t>
  </si>
  <si>
    <t>AUH2861</t>
  </si>
  <si>
    <t>AUH2608</t>
  </si>
  <si>
    <t>AUG6020</t>
  </si>
  <si>
    <t>AUH3755</t>
  </si>
  <si>
    <t>AUH2061</t>
  </si>
  <si>
    <t>AUH2960</t>
  </si>
  <si>
    <t>AUG4436</t>
  </si>
  <si>
    <t>AUH2674</t>
  </si>
  <si>
    <t>AUH6468</t>
  </si>
  <si>
    <t>AUH2864</t>
  </si>
  <si>
    <t>AUH2411</t>
  </si>
  <si>
    <t>AUH2757</t>
  </si>
  <si>
    <t>AUH2478</t>
  </si>
  <si>
    <t>AUH2142</t>
  </si>
  <si>
    <t>AUH3618</t>
  </si>
  <si>
    <t>AUH3533</t>
  </si>
  <si>
    <t>AUH3438</t>
  </si>
  <si>
    <t>AUH3446</t>
  </si>
  <si>
    <t>AUH2476</t>
  </si>
  <si>
    <t>AUH3015</t>
  </si>
  <si>
    <t>AUH3010</t>
  </si>
  <si>
    <t>AUH2582</t>
  </si>
  <si>
    <t>AUH3144</t>
  </si>
  <si>
    <t>AUH3790</t>
  </si>
  <si>
    <t>AUH2970</t>
  </si>
  <si>
    <t>AUH6488</t>
  </si>
  <si>
    <t>AUH6449</t>
  </si>
  <si>
    <t>AUH6398</t>
  </si>
  <si>
    <t>AUH3590</t>
  </si>
  <si>
    <t>AUH6493</t>
  </si>
  <si>
    <t>AUH3148</t>
  </si>
  <si>
    <t>AUH2919</t>
  </si>
  <si>
    <t>AUH3684</t>
  </si>
  <si>
    <t>AUH3601</t>
  </si>
  <si>
    <t>AUH3602</t>
  </si>
  <si>
    <t>AUH3099</t>
  </si>
  <si>
    <t>AUH2963</t>
  </si>
  <si>
    <t>AUH3591</t>
  </si>
  <si>
    <t>AUH2578</t>
  </si>
  <si>
    <t>AUH6416</t>
  </si>
  <si>
    <t>AUH6431</t>
  </si>
  <si>
    <t>AUH2177</t>
  </si>
  <si>
    <t>AUH2181</t>
  </si>
  <si>
    <t>AUH3445</t>
  </si>
  <si>
    <t>AUH2573</t>
  </si>
  <si>
    <t>AUG6067</t>
  </si>
  <si>
    <t>AUH6043</t>
  </si>
  <si>
    <t>AUH2609</t>
  </si>
  <si>
    <t>AUH2856</t>
  </si>
  <si>
    <t>AUH6350</t>
  </si>
  <si>
    <t>AUH2911</t>
  </si>
  <si>
    <t>AUH6402</t>
  </si>
  <si>
    <t>AUH3600</t>
  </si>
  <si>
    <t>AUH6620</t>
  </si>
  <si>
    <t>AUH6573</t>
  </si>
  <si>
    <t>AUH2956</t>
  </si>
  <si>
    <t>AUH6061</t>
  </si>
  <si>
    <t>AUH2597</t>
  </si>
  <si>
    <t>AUH2747</t>
  </si>
  <si>
    <t>AUH1148</t>
  </si>
  <si>
    <t>AUH3984</t>
  </si>
  <si>
    <t>AUH3986</t>
  </si>
  <si>
    <t>AUH3989</t>
  </si>
  <si>
    <t>AUH3990</t>
  </si>
  <si>
    <t>AUH3991</t>
  </si>
  <si>
    <t>AUH3247</t>
  </si>
  <si>
    <t>AUH3360</t>
  </si>
  <si>
    <t>AUH1088</t>
  </si>
  <si>
    <t>AUH1327</t>
  </si>
  <si>
    <t>AUH1347</t>
  </si>
  <si>
    <t>AUH1060</t>
  </si>
  <si>
    <t>AUH1196</t>
  </si>
  <si>
    <t>AUH6562</t>
  </si>
  <si>
    <t>AUG6219</t>
  </si>
  <si>
    <t>AUH2645</t>
  </si>
  <si>
    <t>AUH1922</t>
  </si>
  <si>
    <t>AUH1919</t>
  </si>
  <si>
    <t>AUH1923</t>
  </si>
  <si>
    <t>AUH3972</t>
  </si>
  <si>
    <t>AUH4417</t>
  </si>
  <si>
    <t>AUH2878</t>
  </si>
  <si>
    <t>AUH1967</t>
  </si>
  <si>
    <t>AUH1912</t>
  </si>
  <si>
    <t>AUH6569</t>
  </si>
  <si>
    <t>AUH2829</t>
  </si>
  <si>
    <t>AUH2490</t>
  </si>
  <si>
    <t>AUH2585</t>
  </si>
  <si>
    <t>AUH2977</t>
  </si>
  <si>
    <t>AUH3494</t>
  </si>
  <si>
    <t>AUH3598</t>
  </si>
  <si>
    <t>AUH6399</t>
  </si>
  <si>
    <t>AUH6400</t>
  </si>
  <si>
    <t>AUG6060</t>
  </si>
  <si>
    <t>AUH2899</t>
  </si>
  <si>
    <t>AUH2137</t>
  </si>
  <si>
    <t>AUH2777</t>
  </si>
  <si>
    <t>AUH2670</t>
  </si>
  <si>
    <t>AUH3257</t>
  </si>
  <si>
    <t>AUH6418</t>
  </si>
  <si>
    <t>AUH2673</t>
  </si>
  <si>
    <t>AUH6558</t>
  </si>
  <si>
    <t>AUH6401</t>
  </si>
  <si>
    <t>AUH3557</t>
  </si>
  <si>
    <t>AUH2728</t>
  </si>
  <si>
    <t>AUH3117</t>
  </si>
  <si>
    <t>AUH3118</t>
  </si>
  <si>
    <t>AUH2957</t>
  </si>
  <si>
    <t>AUH2907</t>
  </si>
  <si>
    <t>AUH3934</t>
  </si>
  <si>
    <t>AUH2335</t>
  </si>
  <si>
    <t>AUH2154</t>
  </si>
  <si>
    <t>AUH2197</t>
  </si>
  <si>
    <t>AUH2198</t>
  </si>
  <si>
    <t>AUH3599</t>
  </si>
  <si>
    <t>AUH3717</t>
  </si>
  <si>
    <t>AUH3878</t>
  </si>
  <si>
    <t>AUH6458</t>
  </si>
  <si>
    <t>AUH2574</t>
  </si>
  <si>
    <t>AUH3833</t>
  </si>
  <si>
    <t>AUH2620</t>
  </si>
  <si>
    <t>AUG6231</t>
  </si>
  <si>
    <t>AUH1080</t>
  </si>
  <si>
    <t xml:space="preserve">AUH1625 </t>
  </si>
  <si>
    <t>AUH2836</t>
  </si>
  <si>
    <t>AUV6304</t>
  </si>
  <si>
    <t>AUH2619</t>
  </si>
  <si>
    <t>AUV6306</t>
  </si>
  <si>
    <t>AUH2860</t>
  </si>
  <si>
    <t>AUV6307</t>
  </si>
  <si>
    <t>AUH3614</t>
  </si>
  <si>
    <t>AUH3786</t>
  </si>
  <si>
    <t>AUH6182</t>
  </si>
  <si>
    <t>AUH3462</t>
  </si>
  <si>
    <t>AUH3795</t>
  </si>
  <si>
    <t>AUH2955</t>
  </si>
  <si>
    <t>AUH3285</t>
  </si>
  <si>
    <t>AUH6586</t>
  </si>
  <si>
    <t>AUH3304</t>
  </si>
  <si>
    <t>AUH3362</t>
  </si>
  <si>
    <t>AUH3358</t>
  </si>
  <si>
    <t>AUH3356</t>
  </si>
  <si>
    <t>AUH6452</t>
  </si>
  <si>
    <t>AUH3426</t>
  </si>
  <si>
    <t>AUH2784</t>
  </si>
  <si>
    <t>AUH2792</t>
  </si>
  <si>
    <t>AUH6326</t>
  </si>
  <si>
    <t>AUH6036</t>
  </si>
  <si>
    <t>AUH3468</t>
  </si>
  <si>
    <t>Mobile OD Figures</t>
  </si>
  <si>
    <t>2024 Progress</t>
  </si>
  <si>
    <t>POs</t>
  </si>
  <si>
    <t>2025 Progress</t>
  </si>
  <si>
    <t>FOC_2025 (98238) Status</t>
  </si>
  <si>
    <t>2024 Year Scope</t>
  </si>
  <si>
    <t>2024 Actual Achieved</t>
  </si>
  <si>
    <t>%Completion</t>
  </si>
  <si>
    <t>From</t>
  </si>
  <si>
    <t>2025 Year Target
(Initial + Addition)</t>
  </si>
  <si>
    <t>2025 Actual Achieved</t>
  </si>
  <si>
    <t>PO9_2024 (88436)-Total PO QTYs</t>
  </si>
  <si>
    <t>PO9_Completed_2024 (88436)</t>
  </si>
  <si>
    <t>PO9_Remaining_2024 (88436)</t>
  </si>
  <si>
    <t>%PO9_2024 Completion</t>
  </si>
  <si>
    <t>FOC_2025 (98238)-Total PO QTYs</t>
  </si>
  <si>
    <t>FOC_Completed_2025 (98238)</t>
  </si>
  <si>
    <t>FOC_Remaining_2025 (98238)</t>
  </si>
  <si>
    <t>%FOC_2025 Completion</t>
  </si>
  <si>
    <t>Year Target</t>
  </si>
  <si>
    <t>PO6_2022 (78881)</t>
  </si>
  <si>
    <t>PO7_2023 (82906)</t>
  </si>
  <si>
    <t>PO8_2023 (84411)</t>
  </si>
  <si>
    <t>PO9_2024 (88436)</t>
  </si>
  <si>
    <t>FOC_2025
(98238)</t>
  </si>
  <si>
    <t>SRAN Scope</t>
  </si>
  <si>
    <t>SRAN Exp</t>
  </si>
  <si>
    <t>U900 Exp</t>
  </si>
  <si>
    <t>Sector addition</t>
  </si>
  <si>
    <r>
      <t> </t>
    </r>
    <r>
      <rPr>
        <b/>
        <sz val="20"/>
        <color rgb="FFFFFFFF"/>
        <rFont val="Aptos Narrow"/>
        <family val="2"/>
      </rPr>
      <t>5G Scope </t>
    </r>
  </si>
  <si>
    <t>New 5G N78</t>
  </si>
  <si>
    <t>N41 Reuse</t>
  </si>
  <si>
    <t>New 5G N41</t>
  </si>
  <si>
    <t>5G N41 AQHC</t>
  </si>
  <si>
    <t>5G N78 AQQY</t>
  </si>
  <si>
    <t>5G 3CC Exp</t>
  </si>
  <si>
    <t>Band Swap</t>
  </si>
  <si>
    <t>5G FDD</t>
  </si>
  <si>
    <t>5G 600</t>
  </si>
  <si>
    <t xml:space="preserve">IPAA   </t>
  </si>
  <si>
    <t>Total</t>
  </si>
  <si>
    <t>Site Code</t>
  </si>
  <si>
    <t>#CPO</t>
  </si>
  <si>
    <t>Integrated Year</t>
  </si>
  <si>
    <t>HW Remark</t>
  </si>
  <si>
    <t>AUH3238</t>
  </si>
  <si>
    <t>PO7-2023</t>
  </si>
  <si>
    <t>2024</t>
  </si>
  <si>
    <t>AUH6140</t>
  </si>
  <si>
    <t>PO8-2023</t>
  </si>
  <si>
    <t>New 5G</t>
  </si>
  <si>
    <t>AUH3922</t>
  </si>
  <si>
    <t>AUH3411</t>
  </si>
  <si>
    <t>IPAA</t>
  </si>
  <si>
    <t>Expand from 2CC&gt;&gt;3CC</t>
  </si>
  <si>
    <t>PO9-2024</t>
  </si>
  <si>
    <t>Isterdad-88436</t>
  </si>
  <si>
    <t>AUH3981</t>
  </si>
  <si>
    <t>PO6-2022</t>
  </si>
  <si>
    <t>AQHC</t>
  </si>
  <si>
    <t>AQQY</t>
  </si>
  <si>
    <t>New 5G+5G Expansion-n41 Re-use</t>
  </si>
  <si>
    <t>SRAN Exp-1</t>
  </si>
  <si>
    <t>SRAN Exp-2</t>
  </si>
  <si>
    <t>SRAN Exp-3</t>
  </si>
  <si>
    <t>SRAN Exp-4</t>
  </si>
  <si>
    <t>SRAN Exp-5</t>
  </si>
  <si>
    <t>FOC-2025</t>
  </si>
  <si>
    <t xml:space="preserve">AUH4368 </t>
  </si>
  <si>
    <t xml:space="preserve">AUH2478 </t>
  </si>
  <si>
    <t>5G</t>
  </si>
  <si>
    <t>AUH2407</t>
  </si>
  <si>
    <t>AUH2848</t>
  </si>
  <si>
    <t>AUH2866</t>
  </si>
  <si>
    <t>AUH2867</t>
  </si>
  <si>
    <t>AUH1682</t>
  </si>
  <si>
    <t>AUH3971</t>
  </si>
  <si>
    <t>AUH3260</t>
  </si>
  <si>
    <t>AUH3043</t>
  </si>
  <si>
    <t>AUH2070</t>
  </si>
  <si>
    <t>AUH3460</t>
  </si>
  <si>
    <t>AUH3405</t>
  </si>
  <si>
    <t>AUH3332</t>
  </si>
  <si>
    <t>AUH1990</t>
  </si>
  <si>
    <t>AUH6122</t>
  </si>
  <si>
    <t>AUH2480</t>
  </si>
  <si>
    <t>AUH3039</t>
  </si>
  <si>
    <t>AUH3774</t>
  </si>
  <si>
    <t>AUH3363</t>
  </si>
  <si>
    <t>AUH6331</t>
  </si>
  <si>
    <t>AUH3659</t>
  </si>
  <si>
    <t>AUH2267</t>
  </si>
  <si>
    <t>AUH2686</t>
  </si>
  <si>
    <t>AUH2445</t>
  </si>
  <si>
    <t>AUH3666</t>
  </si>
  <si>
    <t>AUH3888</t>
  </si>
  <si>
    <t>AUH6463</t>
  </si>
  <si>
    <t>AUH2727</t>
  </si>
  <si>
    <t>AUH6435</t>
  </si>
  <si>
    <t>AUH6388</t>
  </si>
  <si>
    <t>AUH2235</t>
  </si>
  <si>
    <t>AUH3538</t>
  </si>
  <si>
    <t>AUH2871</t>
  </si>
  <si>
    <t>AUH2109</t>
  </si>
  <si>
    <t>AUH6363</t>
  </si>
  <si>
    <t>AUH3430</t>
  </si>
  <si>
    <t>AUG6246</t>
  </si>
  <si>
    <t>AUH2858</t>
  </si>
  <si>
    <t>AUH3024</t>
  </si>
  <si>
    <t>AUV6305</t>
  </si>
  <si>
    <t>AUH3006</t>
  </si>
  <si>
    <t>AUH6613</t>
  </si>
  <si>
    <t>AUH6346</t>
  </si>
  <si>
    <t>AUH1318</t>
  </si>
  <si>
    <t>AUH1964</t>
  </si>
  <si>
    <t>AUH3351</t>
  </si>
  <si>
    <t>AUH1939</t>
  </si>
  <si>
    <t>AUH4369</t>
  </si>
  <si>
    <t>AUH2886</t>
  </si>
  <si>
    <t>AUH2885</t>
  </si>
  <si>
    <t>AUH2883</t>
  </si>
  <si>
    <t>AUH2865</t>
  </si>
  <si>
    <t>AUH2863</t>
  </si>
  <si>
    <t>AUH2175</t>
  </si>
  <si>
    <t>AUH2672</t>
  </si>
  <si>
    <t>AUH6467</t>
  </si>
  <si>
    <t>AUH6404</t>
  </si>
  <si>
    <t>AUH6481</t>
  </si>
  <si>
    <t>AUH1918</t>
  </si>
  <si>
    <t>AUH6473</t>
  </si>
  <si>
    <t>AUH3051</t>
  </si>
  <si>
    <t>AUH3589</t>
  </si>
  <si>
    <t>AUH3588</t>
  </si>
  <si>
    <t>AUH3465</t>
  </si>
  <si>
    <t>AUH3587</t>
  </si>
  <si>
    <t>AUH6111</t>
  </si>
  <si>
    <t>AUH3143</t>
  </si>
  <si>
    <t>AUG6088</t>
  </si>
  <si>
    <t>AUH2501</t>
  </si>
  <si>
    <t>AUH2502</t>
  </si>
  <si>
    <t>AUH3234</t>
  </si>
  <si>
    <t>AUH2837</t>
  </si>
  <si>
    <t>AUH2862</t>
  </si>
  <si>
    <t>AUH2357</t>
  </si>
  <si>
    <t>AUH3657</t>
  </si>
  <si>
    <t>AUH3720</t>
  </si>
  <si>
    <t>AUV6308</t>
  </si>
  <si>
    <t>AUH4423</t>
  </si>
  <si>
    <t>AUH4422</t>
  </si>
  <si>
    <t>AUH3382</t>
  </si>
  <si>
    <t>AUH2985</t>
  </si>
  <si>
    <t>AUH4421</t>
  </si>
  <si>
    <t>AUH4420</t>
  </si>
  <si>
    <t>AUH4425</t>
  </si>
  <si>
    <t>AUH3152</t>
  </si>
  <si>
    <t>AUH4513</t>
  </si>
  <si>
    <t>AUH2415</t>
  </si>
  <si>
    <t>AUH2983</t>
  </si>
  <si>
    <t>AUH2700</t>
  </si>
  <si>
    <t>AUH2697</t>
  </si>
  <si>
    <t>AUH2696</t>
  </si>
  <si>
    <t>AUH2695</t>
  </si>
  <si>
    <t>AUG6104</t>
  </si>
  <si>
    <t>AUH4384</t>
  </si>
  <si>
    <t>AUH4031</t>
  </si>
  <si>
    <t>AUH2819</t>
  </si>
  <si>
    <t>AUH4419</t>
  </si>
  <si>
    <t>AUH6475</t>
  </si>
  <si>
    <t>AUH2533</t>
  </si>
  <si>
    <t>AUG6017</t>
  </si>
  <si>
    <t>AUH2403</t>
  </si>
  <si>
    <t>AUH2213</t>
  </si>
  <si>
    <t>AUH2426</t>
  </si>
  <si>
    <t>AUH2992</t>
  </si>
  <si>
    <t>AUH3674</t>
  </si>
  <si>
    <t>AUG6042</t>
  </si>
  <si>
    <t>AUH4424</t>
  </si>
  <si>
    <t>AUH1930</t>
  </si>
  <si>
    <t>AUH2195</t>
  </si>
  <si>
    <t>AUH1068</t>
  </si>
  <si>
    <t>AUG6037</t>
  </si>
  <si>
    <t>AUG4356</t>
  </si>
  <si>
    <t>AUH3916</t>
  </si>
  <si>
    <t>AUH4007</t>
  </si>
  <si>
    <t>PO10-2025</t>
  </si>
  <si>
    <t>Isterdad-106745</t>
  </si>
  <si>
    <t>PO10_2025 (106745)</t>
  </si>
  <si>
    <t>AUH1880</t>
  </si>
  <si>
    <t>AUH1314</t>
  </si>
  <si>
    <t>AUH2315</t>
  </si>
  <si>
    <t>AUH2938</t>
  </si>
  <si>
    <t>AUH2065</t>
  </si>
  <si>
    <t>AUH3368</t>
  </si>
  <si>
    <t>5G Expansion Project ETC Approval</t>
  </si>
  <si>
    <t>AUH3534</t>
  </si>
  <si>
    <t>AUH4110</t>
  </si>
  <si>
    <t>AUG6024</t>
  </si>
  <si>
    <t>AUG6025</t>
  </si>
  <si>
    <t>AUH3585</t>
  </si>
  <si>
    <t>AUH3605</t>
  </si>
  <si>
    <t>AUH3596</t>
  </si>
  <si>
    <t>AUH1963</t>
  </si>
  <si>
    <t>AUH1925</t>
  </si>
  <si>
    <t>AUH1842</t>
  </si>
  <si>
    <t>AUH2442</t>
  </si>
  <si>
    <t>AUH2923</t>
  </si>
  <si>
    <t>AUH3184</t>
  </si>
  <si>
    <t>AUH3644</t>
  </si>
  <si>
    <t>AUH2260</t>
  </si>
  <si>
    <t>AUH2249</t>
  </si>
  <si>
    <t>AUH2257</t>
  </si>
  <si>
    <t>AUH3597</t>
  </si>
  <si>
    <t>AUH6394</t>
  </si>
  <si>
    <t>AUH4413</t>
  </si>
  <si>
    <t>AUH2924</t>
  </si>
  <si>
    <t>AUH6490</t>
  </si>
  <si>
    <t>AUH6499</t>
  </si>
  <si>
    <t>AUH6383</t>
  </si>
  <si>
    <t>AUH2669</t>
  </si>
  <si>
    <t>AUH2269</t>
  </si>
  <si>
    <t>AUH6520</t>
  </si>
  <si>
    <t>AUH3583</t>
  </si>
  <si>
    <t>AUH3418</t>
  </si>
  <si>
    <t>AUH3425</t>
  </si>
  <si>
    <t>AUH3427</t>
  </si>
  <si>
    <t>AUH2966</t>
  </si>
  <si>
    <t>AUH6462</t>
  </si>
  <si>
    <t>AUH3543</t>
  </si>
  <si>
    <t>AUH2413</t>
  </si>
  <si>
    <t xml:space="preserve">AUH2173 </t>
  </si>
  <si>
    <t>AUH6353</t>
  </si>
  <si>
    <t>AUH3553</t>
  </si>
  <si>
    <t>AUH6455</t>
  </si>
  <si>
    <t>AUH4480</t>
  </si>
  <si>
    <t>P10_2025 (106745)-Total PO QTYs</t>
  </si>
  <si>
    <t>PO10_Completed_2025 (106745)</t>
  </si>
  <si>
    <t>%PO10_2025 Completion</t>
  </si>
  <si>
    <t>PO10_Remaining_2025 (106745)</t>
  </si>
  <si>
    <t>AUH3793</t>
  </si>
  <si>
    <t>NR-FDD</t>
  </si>
  <si>
    <t>AUH1350</t>
  </si>
  <si>
    <t>AUH2485</t>
  </si>
  <si>
    <t>AUH3716</t>
  </si>
  <si>
    <t>U900</t>
  </si>
  <si>
    <t>AUH3070</t>
  </si>
  <si>
    <t>AUH2763</t>
  </si>
  <si>
    <t>AUH3259</t>
  </si>
  <si>
    <t>PO Convention name</t>
  </si>
  <si>
    <t>PO LI Description</t>
  </si>
  <si>
    <t>Tal Muraab</t>
  </si>
  <si>
    <t>AUH2854</t>
  </si>
  <si>
    <t>AUH3265</t>
  </si>
  <si>
    <t>AUH2705</t>
  </si>
  <si>
    <t>AUH6352</t>
  </si>
  <si>
    <t>AUH2330</t>
  </si>
  <si>
    <t>AUH3202</t>
  </si>
  <si>
    <t>AUH3206</t>
  </si>
  <si>
    <t>AUH2021</t>
  </si>
  <si>
    <t>AUH2189</t>
  </si>
  <si>
    <t>AUH2375</t>
  </si>
  <si>
    <t>AUH2567</t>
  </si>
  <si>
    <t>AUH6135</t>
  </si>
  <si>
    <t>AUH2892</t>
  </si>
  <si>
    <t>PO9_2024 (88436) Status (Isterdad 1)</t>
  </si>
  <si>
    <t>PO10_2025 (106745) Status (Isterdad 2)</t>
  </si>
  <si>
    <t>AUH2247</t>
  </si>
  <si>
    <t>AUH2532</t>
  </si>
  <si>
    <t>AUH2042</t>
  </si>
  <si>
    <t>AUH2916</t>
  </si>
  <si>
    <t>AUH2895</t>
  </si>
  <si>
    <t>AUH1906</t>
  </si>
  <si>
    <t>AUH3526</t>
  </si>
  <si>
    <t>AUH6145</t>
  </si>
  <si>
    <t>AUH6622</t>
  </si>
  <si>
    <t>AUH2173</t>
  </si>
  <si>
    <t>⁠AUH2567</t>
  </si>
  <si>
    <t>⁠AUH3206</t>
  </si>
  <si>
    <t>AUH2118</t>
  </si>
  <si>
    <t>AUH6476</t>
  </si>
  <si>
    <t>AUH6483</t>
  </si>
  <si>
    <t>AUH1991</t>
  </si>
  <si>
    <t>AUH4094</t>
  </si>
  <si>
    <t>AUH4479</t>
  </si>
  <si>
    <t>AUH4010</t>
  </si>
  <si>
    <t>AUH1973</t>
  </si>
  <si>
    <t>AUH1881</t>
  </si>
  <si>
    <t>AUH2973</t>
  </si>
  <si>
    <t>AUH2301</t>
  </si>
  <si>
    <t>AUH2144</t>
  </si>
  <si>
    <t>AUH2312</t>
  </si>
  <si>
    <t>AUH2636</t>
  </si>
  <si>
    <t>AUH3195</t>
  </si>
  <si>
    <t>AUH3373</t>
  </si>
  <si>
    <t>AUH6411</t>
  </si>
  <si>
    <t>AUH6406</t>
  </si>
  <si>
    <t>AUH6434</t>
  </si>
  <si>
    <t>AUH6438</t>
  </si>
  <si>
    <t>AUH1254</t>
  </si>
  <si>
    <t>AUH4210</t>
  </si>
  <si>
    <t>AUH4096</t>
  </si>
  <si>
    <t>AUH4093</t>
  </si>
  <si>
    <t>AUH2876</t>
  </si>
  <si>
    <t>AUH4095</t>
  </si>
  <si>
    <t>AUH1992</t>
  </si>
  <si>
    <t>AUH2133</t>
  </si>
  <si>
    <t>AUH2785</t>
  </si>
  <si>
    <t>AUH6253</t>
  </si>
  <si>
    <t>AUH3242</t>
  </si>
  <si>
    <t>AUH3759</t>
  </si>
  <si>
    <t>AUH3668</t>
  </si>
  <si>
    <t>AUH1322</t>
  </si>
  <si>
    <t>AUH4217</t>
  </si>
  <si>
    <t>AUH6525</t>
  </si>
  <si>
    <t>AUH1976</t>
  </si>
  <si>
    <t>AUH3908</t>
  </si>
  <si>
    <t>AUG6244</t>
  </si>
  <si>
    <t>AUH2840</t>
  </si>
  <si>
    <t>AUH3724</t>
  </si>
  <si>
    <t>AUH3710</t>
  </si>
  <si>
    <t>AUH2555</t>
  </si>
  <si>
    <t>AUH6115</t>
  </si>
  <si>
    <t>AUH2520</t>
  </si>
  <si>
    <t>AUH6076</t>
  </si>
  <si>
    <t>AUH6561</t>
  </si>
  <si>
    <t>AUH3939</t>
  </si>
  <si>
    <t>AUG6260</t>
  </si>
  <si>
    <t>AUH4253</t>
  </si>
  <si>
    <t>AUH2605</t>
  </si>
  <si>
    <t>AUH2483</t>
  </si>
  <si>
    <t>L2100</t>
  </si>
  <si>
    <t>AUH3727</t>
  </si>
  <si>
    <t>AUH6116</t>
  </si>
  <si>
    <t>AUH4259</t>
  </si>
  <si>
    <t>AUH4260</t>
  </si>
  <si>
    <t>AUH4179</t>
  </si>
  <si>
    <t>AUH4178</t>
  </si>
  <si>
    <t>AUV6317</t>
  </si>
  <si>
    <t>AUV6316</t>
  </si>
  <si>
    <t>AUH2024</t>
  </si>
  <si>
    <t>AUH2305</t>
  </si>
  <si>
    <t>AUH2248</t>
  </si>
  <si>
    <t>AUH2484</t>
  </si>
  <si>
    <t>AUH3218</t>
  </si>
  <si>
    <t>AUH3029</t>
  </si>
  <si>
    <t>AUH3954</t>
  </si>
  <si>
    <t>AUH6500</t>
  </si>
  <si>
    <t>AUH6521</t>
  </si>
  <si>
    <t>AUH3566</t>
  </si>
  <si>
    <t>AUH3223</t>
  </si>
  <si>
    <t>AUH2820</t>
  </si>
  <si>
    <t>AUH1936</t>
  </si>
  <si>
    <t>AUH3346</t>
  </si>
  <si>
    <t>AUH3014</t>
  </si>
  <si>
    <t>AUH2930</t>
  </si>
  <si>
    <t>AUH2950</t>
  </si>
  <si>
    <t>AUH2563</t>
  </si>
  <si>
    <t>AUH4258</t>
  </si>
  <si>
    <t>AUH3719</t>
  </si>
  <si>
    <t>AUH6376</t>
  </si>
  <si>
    <t>AUH6432</t>
  </si>
  <si>
    <t>AUH2022</t>
  </si>
  <si>
    <t>AUH2027</t>
  </si>
  <si>
    <t>AUH2309</t>
  </si>
  <si>
    <t>AUH2934</t>
  </si>
  <si>
    <t>AUH2948</t>
  </si>
  <si>
    <t>AUH2949</t>
  </si>
  <si>
    <t>AUH2952</t>
  </si>
  <si>
    <t>AUH2736</t>
  </si>
  <si>
    <t>AUH2962</t>
  </si>
  <si>
    <t>AUH2931</t>
  </si>
  <si>
    <t>AUH2932</t>
  </si>
  <si>
    <t>AUH6211</t>
  </si>
  <si>
    <t>AUH6444</t>
  </si>
  <si>
    <t>AUH6621</t>
  </si>
  <si>
    <t>AUH1297</t>
  </si>
  <si>
    <t>AUH2933</t>
  </si>
  <si>
    <t>AUH2935</t>
  </si>
  <si>
    <t>AUH2936</t>
  </si>
  <si>
    <t>AUH2941</t>
  </si>
  <si>
    <t>AUV6313</t>
  </si>
  <si>
    <t>AUH3572</t>
  </si>
  <si>
    <t>AUH3573</t>
  </si>
  <si>
    <t>AUH3842</t>
  </si>
  <si>
    <t>AUH2772</t>
  </si>
  <si>
    <t>AUH3018</t>
  </si>
  <si>
    <t>AUH6021</t>
  </si>
  <si>
    <t>AUH2872</t>
  </si>
  <si>
    <t>AUH2788</t>
  </si>
  <si>
    <t>AUH6555</t>
  </si>
  <si>
    <t>AUH6556</t>
  </si>
  <si>
    <t>AUH6391</t>
  </si>
  <si>
    <t>L1800</t>
  </si>
  <si>
    <t>AUG4448</t>
  </si>
  <si>
    <t>AUH2143</t>
  </si>
  <si>
    <t>AUV6311</t>
  </si>
  <si>
    <t>AUV6312</t>
  </si>
  <si>
    <t>AUH6439</t>
  </si>
  <si>
    <t>AUH6437</t>
  </si>
  <si>
    <t>AUH6387</t>
  </si>
  <si>
    <t>AUV6310</t>
  </si>
  <si>
    <t>AUV6318</t>
  </si>
  <si>
    <t>AUH2530</t>
  </si>
  <si>
    <t>AUH2680</t>
  </si>
  <si>
    <t>AUH3264</t>
  </si>
  <si>
    <t>AUH3681</t>
  </si>
  <si>
    <t>AUH2356</t>
  </si>
  <si>
    <t>AUH2635</t>
  </si>
  <si>
    <t>AUH4541</t>
  </si>
  <si>
    <t>AUH4281</t>
  </si>
  <si>
    <t>AUH3938</t>
  </si>
  <si>
    <t>AUG6258</t>
  </si>
  <si>
    <t>AUH2716</t>
  </si>
  <si>
    <t>AUH3221</t>
  </si>
  <si>
    <t>AUH3785</t>
  </si>
  <si>
    <t>AUH2487</t>
  </si>
  <si>
    <t>AUH3388</t>
  </si>
  <si>
    <t>AUH6480</t>
  </si>
  <si>
    <t>AUH3484</t>
  </si>
  <si>
    <t>Region</t>
  </si>
  <si>
    <t>AHGA retreival L2100 +N3</t>
  </si>
  <si>
    <t>AUH3176</t>
  </si>
  <si>
    <t>AUH3514</t>
  </si>
  <si>
    <t>AUH3244</t>
  </si>
  <si>
    <t>AUH2412</t>
  </si>
  <si>
    <t>AUH3509</t>
  </si>
  <si>
    <t>AUH2164</t>
  </si>
  <si>
    <t>AUH2551</t>
  </si>
  <si>
    <t>AUH2294</t>
  </si>
  <si>
    <t>AUH2424</t>
  </si>
  <si>
    <t>AUH2764</t>
  </si>
  <si>
    <t>AUH2758</t>
  </si>
  <si>
    <t>AUH2147</t>
  </si>
  <si>
    <t>AUH2135</t>
  </si>
  <si>
    <t>AUH2423</t>
  </si>
  <si>
    <t>AUH2201</t>
  </si>
  <si>
    <t>AUH2106</t>
  </si>
  <si>
    <t>AUH2397</t>
  </si>
  <si>
    <t>AUH2420</t>
  </si>
  <si>
    <t>AUH2708</t>
  </si>
  <si>
    <t>AUH3284</t>
  </si>
  <si>
    <t>AUH3306</t>
  </si>
  <si>
    <t>AUH4482</t>
  </si>
  <si>
    <t>AUV6314</t>
  </si>
  <si>
    <t>AUH6179</t>
  </si>
  <si>
    <t>AUH2637</t>
  </si>
  <si>
    <t>AUH2200</t>
  </si>
  <si>
    <t>AUH6590</t>
  </si>
  <si>
    <t>AUH6614</t>
  </si>
  <si>
    <t>AUH2004</t>
  </si>
  <si>
    <t>AUH2014</t>
  </si>
  <si>
    <t>AUH2012</t>
  </si>
  <si>
    <t>AUH2302</t>
  </si>
  <si>
    <t>AUH2002</t>
  </si>
  <si>
    <t>AUH6378</t>
  </si>
  <si>
    <t>AUH6390</t>
  </si>
  <si>
    <t>AUH3549</t>
  </si>
  <si>
    <t>SRAN Expansion-5G NR FDD</t>
  </si>
  <si>
    <t>AUH3389</t>
  </si>
  <si>
    <t>AUH2087</t>
  </si>
  <si>
    <t>AUH2613</t>
  </si>
  <si>
    <t>AUH6405</t>
  </si>
  <si>
    <t>AUH6407</t>
  </si>
  <si>
    <t>AUH6456</t>
  </si>
  <si>
    <t>AUH3650</t>
  </si>
  <si>
    <t>AUH1444</t>
  </si>
  <si>
    <t>AUH2279</t>
  </si>
  <si>
    <t>AUH2906</t>
  </si>
  <si>
    <t>AUH3146</t>
  </si>
  <si>
    <t>AUH2986</t>
  </si>
  <si>
    <t>AUH2008</t>
  </si>
  <si>
    <t>AUH2015</t>
  </si>
  <si>
    <t>AUH2006</t>
  </si>
  <si>
    <t>AUH2069</t>
  </si>
  <si>
    <t>AUH2029</t>
  </si>
  <si>
    <t>AUH2240</t>
  </si>
  <si>
    <t>AUH2882</t>
  </si>
  <si>
    <t>AUH2493</t>
  </si>
  <si>
    <t>AUH2494</t>
  </si>
  <si>
    <t>AUH2495</t>
  </si>
  <si>
    <t>AUH2306</t>
  </si>
  <si>
    <t>AUH2032</t>
  </si>
  <si>
    <t>AUH2031</t>
  </si>
  <si>
    <t>AUH2104</t>
  </si>
  <si>
    <t>AUH3818</t>
  </si>
  <si>
    <t>AUH3611</t>
  </si>
  <si>
    <t>AUH6361</t>
  </si>
  <si>
    <t>AUH2844</t>
  </si>
  <si>
    <t>AUH3812</t>
  </si>
  <si>
    <t>AUH2847</t>
  </si>
  <si>
    <t>AUH6527</t>
  </si>
  <si>
    <t>AUH2691</t>
  </si>
  <si>
    <t>HEXABEAM</t>
  </si>
  <si>
    <t>AUH4416</t>
  </si>
  <si>
    <t>AUH2009</t>
  </si>
  <si>
    <t>AUH4256</t>
  </si>
  <si>
    <t>AUH4182</t>
  </si>
  <si>
    <t>AUH2342</t>
  </si>
  <si>
    <t>AUH2079</t>
  </si>
  <si>
    <t>AUH3733</t>
  </si>
  <si>
    <t>AUH2632</t>
  </si>
  <si>
    <t>AUH2091</t>
  </si>
  <si>
    <t>AUH2921</t>
  </si>
  <si>
    <t>AUH2922</t>
  </si>
  <si>
    <t>AUH2925</t>
  </si>
  <si>
    <t>AUH2926</t>
  </si>
  <si>
    <t>AUH2927</t>
  </si>
  <si>
    <t>AUH6592</t>
  </si>
  <si>
    <t>AUH3910</t>
  </si>
  <si>
    <t>AUH6004</t>
  </si>
  <si>
    <t>AUH2232</t>
  </si>
  <si>
    <t>AUH3567</t>
  </si>
  <si>
    <t>AUH2039</t>
  </si>
  <si>
    <t>AUH2304</t>
  </si>
  <si>
    <t>AUH3447</t>
  </si>
  <si>
    <t>AUH2040</t>
  </si>
  <si>
    <t>AUH6112</t>
  </si>
  <si>
    <t>AUH2496</t>
  </si>
  <si>
    <t>AUH2698</t>
  </si>
  <si>
    <t>AUH2338</t>
  </si>
  <si>
    <t>AUH2905</t>
  </si>
  <si>
    <t>AUH4550</t>
  </si>
  <si>
    <t>AUH4391</t>
  </si>
  <si>
    <t>AUH3830</t>
  </si>
  <si>
    <t>AUH2902</t>
  </si>
  <si>
    <t>AUH1323</t>
  </si>
  <si>
    <t>AUH2760</t>
  </si>
  <si>
    <t>AUH3353</t>
  </si>
  <si>
    <t>AUH3207</t>
  </si>
  <si>
    <t>AUH6384</t>
  </si>
  <si>
    <t>AVHQA</t>
  </si>
  <si>
    <t>AUH3725</t>
  </si>
  <si>
    <t>AUH2060</t>
  </si>
  <si>
    <t>AUH3437</t>
  </si>
  <si>
    <t>AUH2568</t>
  </si>
  <si>
    <t>AUH3439</t>
  </si>
  <si>
    <t>AUH3705</t>
  </si>
  <si>
    <t>AUH2145</t>
  </si>
  <si>
    <t>AUH2018</t>
  </si>
  <si>
    <t>AUH2303</t>
  </si>
  <si>
    <t>AUH6137</t>
  </si>
  <si>
    <t>AUV6320</t>
  </si>
  <si>
    <t>AVHA</t>
  </si>
  <si>
    <t>AUH2023</t>
  </si>
  <si>
    <t>AUH2184</t>
  </si>
  <si>
    <t>AUH2007</t>
  </si>
  <si>
    <t>Distance</t>
  </si>
  <si>
    <t>Site ID</t>
  </si>
  <si>
    <t>Description</t>
  </si>
  <si>
    <t>Category</t>
  </si>
  <si>
    <t>HW</t>
  </si>
  <si>
    <t>Service</t>
  </si>
  <si>
    <t>Ultra-High Capacity Outdoor BBU</t>
  </si>
  <si>
    <t>Ultra-High Capacity Outdoor BBU Extension</t>
  </si>
  <si>
    <t>SW</t>
  </si>
  <si>
    <t>5G Activation License on existing RRH-RFM</t>
  </si>
  <si>
    <t>AYGE GPS OD New Sites upto 30m</t>
  </si>
  <si>
    <t>5G Adv Ultra Capacity AirScale Outdoor BBU</t>
  </si>
  <si>
    <t>SRAN Ultra-High Capacity Outdoor BBU</t>
  </si>
  <si>
    <t>ARMA AirScale RFM 6T6R B20 360W</t>
  </si>
  <si>
    <t>ARDA AirScale RFM 6T6R B8 480W</t>
  </si>
  <si>
    <t>AHPMDI AirScale RRH 2T2R B8/20/28 240W</t>
  </si>
  <si>
    <t>AHEGx AirScale Dual RRH 4T4R B1/3 480W</t>
  </si>
  <si>
    <t>AHOA AirScale RRH 2T4R B71 120W</t>
  </si>
  <si>
    <t>AHLOB AirScale Dual RRH 4T4R B71/85 320W</t>
  </si>
  <si>
    <t>Habrok 32T32R MAA 192AE n78 320W</t>
  </si>
  <si>
    <t>Habrok 64T64R MAA 192AE n78 320W</t>
  </si>
  <si>
    <t>AKQJ AirScale RRH 8T8R n78 320W</t>
  </si>
  <si>
    <t>AQHC AirScale MAA 32T32R 192AE n41 320W</t>
  </si>
  <si>
    <t>Habrok 64T64R MAA 192AE n41 400W</t>
  </si>
  <si>
    <t>ACOx Outdoor Cabinet</t>
  </si>
  <si>
    <t>LTE Application SW Features package per Cell</t>
  </si>
  <si>
    <t>Carrier Aggregation LK per cell</t>
  </si>
  <si>
    <t>3G Application SW Features package per Cell</t>
  </si>
  <si>
    <t>5G eMBB Software Package per cell - 100 MHz (3 years SW RTU License)</t>
  </si>
  <si>
    <t>5G eMBB ASW Package per cell - NR FDD upto 10MHz Carrier BW- (3 years SW RTU License)</t>
  </si>
  <si>
    <t>5G eMBB 3CC TDD DL CA activation 2xn78 + 1xn41 - 3x100MHz (3 years SW RTU License)</t>
  </si>
  <si>
    <t>5G 16 DL Layer Activation per sector (3 years SW RTU License)</t>
  </si>
  <si>
    <t>5G 4 UL Layer Activation per sector (3 years SW RTU License)</t>
  </si>
  <si>
    <t>5G 8 UL Layer Activation from 4UL Layer per sector (3 years SW RTU License)</t>
  </si>
  <si>
    <t>LTE NetAct LK per Cell</t>
  </si>
  <si>
    <t>3G NetAct LK per Cell</t>
  </si>
  <si>
    <t>5G NetAct LKs per Cell</t>
  </si>
  <si>
    <t>5G RAN -  Voice Over NR feature Package - per sector</t>
  </si>
  <si>
    <t>IPAA+ Platform Antenna 2.1m 2L6H (PFAA) - Passive Antenna</t>
  </si>
  <si>
    <t>PFAx M DT/UT kit 76-140mm</t>
  </si>
  <si>
    <t>Airscale IPAA+ AxQx Slide-in Frame C</t>
  </si>
  <si>
    <t>New Rollout - Implementation SRAN 3G/LTE - 3 sector (incl. PM &amp; Acceptance)</t>
  </si>
  <si>
    <t>New Rollout - Implementation 5G -3 sector (incl. PM &amp; Acceptance)</t>
  </si>
  <si>
    <t>New Rollout - Implementation SRAN 3G/LTE/5G - 3 sector (incl. PM &amp; Acceptance)</t>
  </si>
  <si>
    <t>New Rollout - Implementation SRAN 3G/LTE/5G/5G FDD - 3 sector (incl. PM &amp; Acceptance)</t>
  </si>
  <si>
    <t>Implementation Expansion HW Max - SRAN 3G/LTE  (incl. PM &amp; Acceptance)</t>
  </si>
  <si>
    <t>New Rollout - Implementation 5G FDD -3 sector (incl. PM &amp; Acceptance)</t>
  </si>
  <si>
    <t>Implementation of Sector addition on existing site</t>
  </si>
  <si>
    <t>Implementation - NR FDD - Fiber Addition Service on Existing Site</t>
  </si>
  <si>
    <t>5G NR FDD SW Activation Service on existing HW</t>
  </si>
  <si>
    <t>Inst Material SRAN 3G/LTE upto 50m</t>
  </si>
  <si>
    <t>Inst Material SRAN 3G/LTE from 50 to 100m</t>
  </si>
  <si>
    <t>Inst Material 5G mMIMO 3-sector upto 50m</t>
  </si>
  <si>
    <t>Inst Material 5G mMIMO 3-sector 50 to 100m</t>
  </si>
  <si>
    <t>Jumper - 5m</t>
  </si>
  <si>
    <t>Logistics and transportation Services per site</t>
  </si>
  <si>
    <t>Installation &amp; commissioning of Outdoor Power Solution</t>
  </si>
  <si>
    <t>Remote Sites - Implementation SRAN 3G/LTE or 5G  (incl. PM &amp; Acceptance)</t>
  </si>
  <si>
    <t>Special Access Military- CICPA Sites - Implementation SRAN 3G/LTE or 5G  (incl. PM &amp; Acceptance)</t>
  </si>
  <si>
    <t>Dismantling, Packaging &amp; Removal of 5G MAA</t>
  </si>
  <si>
    <t>NR FDD - CPRI Fiber Link Ancillaries incl 2xSFP+ upto 50m</t>
  </si>
  <si>
    <t>NR FDD - CPRI Fiber Link Ancillaries incl 2xSFP+ 50-100m</t>
  </si>
  <si>
    <t>NR FDD - CPRI Fiber Link Ancillaries incl 2xSFP+ above 100m</t>
  </si>
  <si>
    <t>CRAN Activation SW LK</t>
  </si>
  <si>
    <t>RAN Site Configuration support services per month on other nodes (TXM/IP/MW/Core)</t>
  </si>
  <si>
    <t>MOCN 5G Resource Sharing</t>
  </si>
  <si>
    <t>Line</t>
  </si>
  <si>
    <t>Code</t>
  </si>
  <si>
    <t>Part Number / Description</t>
  </si>
  <si>
    <t xml:space="preserve">QTY </t>
  </si>
  <si>
    <t>AMIX AirScale Ultra High Capacity - 50G Backplane - Subrack</t>
  </si>
  <si>
    <t>Airscale, SRAN, Outdoor, BBU Extension</t>
  </si>
  <si>
    <t>RRH, ARGA, Airscale, 6T6R, RFM, B1, 480W</t>
  </si>
  <si>
    <t>AirScale, AREA, RFM, 6T6R, B3, 480W</t>
  </si>
  <si>
    <t>AEHC AirScale MAA 64T64R 192AE n41 320W</t>
  </si>
  <si>
    <t>AQQY AirScale MAA 32T32R 128AE n41 240W</t>
  </si>
  <si>
    <t>Habrok Dubal Band 32T32R MAA 192AE n78+n41 400W</t>
  </si>
  <si>
    <t>FA3UB 5G mmWave ASMR Ext Mod n258 24G</t>
  </si>
  <si>
    <t>AWKUC AS mmWave 4T4R n258 63 dBm (AC)</t>
  </si>
  <si>
    <t>License, Carrier Aggregation, 2CC, LK per cell</t>
  </si>
  <si>
    <t>Service, Activation of 2nd Layer on LTE1800, F2</t>
  </si>
  <si>
    <t>Service, L1800 - F2 Soft Expansion, LTE-1800 F2 expansion from 10MHz to 15MHz</t>
  </si>
  <si>
    <t>L2100 - F2 Soft Expansion (LTE-2100 F2 Bandwidth increase upto 20MHz)</t>
  </si>
  <si>
    <t>Service, MIMO LK ,4x4</t>
  </si>
  <si>
    <t>Software, Activation with ASW, Upgrade to 200 MHz per sector, 5G, n78, additional 100 MHz, CA package, eMBB</t>
  </si>
  <si>
    <t>5G Essential eMBB ASW Package per sector - 100 MHz (3 years SW RTU License) - mmWave</t>
  </si>
  <si>
    <t>5G eMBB FDD+TD CA ASW Package per Cell</t>
  </si>
  <si>
    <t>5G eMBB 2CC UL CA ASW Package per Cell</t>
  </si>
  <si>
    <t>5G_mMIMO_320W_Upgrade per Sector</t>
  </si>
  <si>
    <t>Power Distributor, FPFH</t>
  </si>
  <si>
    <t>Compact IPAA+ 1.63m 2L4H including Slide Frame and Downtilt/Uptilt Kit</t>
  </si>
  <si>
    <t>Compact Ultra High Capacity Subrack - AMOE</t>
  </si>
  <si>
    <t>Smart Node - LTE Only - B3B7</t>
  </si>
  <si>
    <t>Smart Node - 5G - B78</t>
  </si>
  <si>
    <t>PFAK 2.1m 2WL4H for IPAA+</t>
  </si>
  <si>
    <t>AMMC AirScale IPAA AEHC slide-in frame C</t>
  </si>
  <si>
    <t>AMMN Airscale IPAA AVHA Slide-in Frame C</t>
  </si>
  <si>
    <t>AMMP AirScale IPAA AQHC slide-in frame C</t>
  </si>
  <si>
    <t>Modernization implementation SRAN 3G/4G  (incl. PM, Dismantling  &amp; Acceptance) - HW</t>
  </si>
  <si>
    <t>Modernization implementation 5G  (incl. PM, Dismantling  &amp; Acceptance)</t>
  </si>
  <si>
    <t>Modernization SW Activation of additional LAYER on Existing HW - SRAN 3G/LTE</t>
  </si>
  <si>
    <t>SW Activation Service of additional LAYER on Existing HW - SRAN 3G/LTE</t>
  </si>
  <si>
    <t>Jumper - 10M</t>
  </si>
  <si>
    <t>TI Survey of new or existing site</t>
  </si>
  <si>
    <t>Service, Supply And Installation DC Breaker</t>
  </si>
  <si>
    <t>Services, Dismantling, Packaging, Removal , BTS Cabinets, 3G 4G only</t>
  </si>
  <si>
    <t>Service, Crane usage, upto 100 Ton</t>
  </si>
  <si>
    <t>BTS re-installation</t>
  </si>
  <si>
    <t>Access Fee, per Person</t>
  </si>
  <si>
    <t>Service, Installation, IPAA Antenna</t>
  </si>
  <si>
    <t>Swap Service Of Old Antennas By Hex Band</t>
  </si>
  <si>
    <t>2G Site dismantling and reverse transportation</t>
  </si>
  <si>
    <t>2G Remote Site dismantling and reverse transportation</t>
  </si>
  <si>
    <t>2G Controller dismantling</t>
  </si>
  <si>
    <t>RIC services per month</t>
  </si>
  <si>
    <t>Swap / Modernization equipment warehousing upto 6 months (incl. transportation from site to WH)</t>
  </si>
  <si>
    <t>Service, Removal MW Equipment Per Link Up To 1.8M</t>
  </si>
  <si>
    <t>RAN Capacity Assessment and Audit</t>
  </si>
  <si>
    <t>Delta HW for CRAN 4T4R RRH</t>
  </si>
  <si>
    <t>SAQ services for site access per site code</t>
  </si>
  <si>
    <t>SON (3G/4G/5G/FTTA) platform, hardware</t>
  </si>
  <si>
    <t>SON (3G/4G/5G/FTTA) platform, 3G SW per cell</t>
  </si>
  <si>
    <t>SON (3G/4G/5G/FTTA) platform, 4G SW per cell</t>
  </si>
  <si>
    <t>SON (3G/4G/5G/FTTA) platform, 5G SW per cell</t>
  </si>
  <si>
    <t>SON (3G/4G/5G/FTTA) platform, Implementation Services</t>
  </si>
  <si>
    <t>SON SW Upgrade per Year</t>
  </si>
  <si>
    <t>SON SW Upgrade Service</t>
  </si>
  <si>
    <t>5G RAN Network slice activation (per slice 100MHz cell)</t>
  </si>
  <si>
    <t>Additional 5G NW eMBB Slice per gNB</t>
  </si>
  <si>
    <t>NetAct for Radio slicing management CLTU per Cell (100 MHz)</t>
  </si>
  <si>
    <t>5G RAN Slice activation per gNB</t>
  </si>
  <si>
    <t>Power Module, Vertiv rectifier, upgrades</t>
  </si>
  <si>
    <t>Rectifier, Delta Power, DPR2900, 2.9KW</t>
  </si>
  <si>
    <t>Service, Adding And Configure Extra Power Module Per Site</t>
  </si>
  <si>
    <t>License, Cloud RNC, Airscale, RC 3, Gbps &amp; CS Erl</t>
  </si>
  <si>
    <t>Implemenation of AirScale RNC</t>
  </si>
  <si>
    <t>5G Releases Upgrade (Including sub releases) per sector (100 MHZ)</t>
  </si>
  <si>
    <t>Service, Release Upgrade, 5G</t>
  </si>
  <si>
    <t>SRAN  Releases Upgrade (Including sub release) Per Cell</t>
  </si>
  <si>
    <t>Service, Release Upgrade, SRAN</t>
  </si>
  <si>
    <t>RNC Release upgrade Services</t>
  </si>
  <si>
    <t>MantaRay NM NetAct Release Upgrade</t>
  </si>
  <si>
    <t>MantaRay NM NetAct Release Upgrade Services</t>
  </si>
  <si>
    <t>CBAM SW Lic</t>
  </si>
  <si>
    <t>CBAM PS</t>
  </si>
  <si>
    <t>WCDMA OMS</t>
  </si>
  <si>
    <t>WCDMA OMS Integration Services</t>
  </si>
  <si>
    <t>2G_Layer3_DCAP_Server</t>
  </si>
  <si>
    <t>Implementation for 2G_Layer3_DCAP_Server</t>
  </si>
  <si>
    <t>3G_Layer3_DCAP_Server</t>
  </si>
  <si>
    <t>Implementation for 3G_Layer3_DCAP_Server</t>
  </si>
  <si>
    <t>Server, 5G, Layer3, DCAP</t>
  </si>
  <si>
    <t>Service, Implementation of 5G, Layer 3, DCAP, Server</t>
  </si>
  <si>
    <t>Monte Carlo Simulation Services per activity</t>
  </si>
  <si>
    <t>Model Tunning Services per activity</t>
  </si>
  <si>
    <t>Spectrum Scanning Services per activity</t>
  </si>
  <si>
    <t>Training (1 session  X  5 days per session  X  12 attendees per session) in du Premesis</t>
  </si>
  <si>
    <t>Testbed</t>
  </si>
  <si>
    <t>Feature activation &amp; Testing Service (Lab &amp; Pilot cluster)</t>
  </si>
  <si>
    <t>IP Configuration HLD-LLD Handling for 3G/4G/5G Sites &amp; NMS</t>
  </si>
  <si>
    <t>Service, CGI/LBS Platform Per Month</t>
  </si>
  <si>
    <t>Airscale Cloud BSC - 8800  TRX incl. Max Licenses (CS Erl)</t>
  </si>
  <si>
    <t>NetAct Report Customisation and Activation Services</t>
  </si>
  <si>
    <t>NetAct API report creation and activation service</t>
  </si>
  <si>
    <t>Feature activation &amp; Testing Service</t>
  </si>
  <si>
    <t>BSC Planning</t>
  </si>
  <si>
    <t>2G Application SW Features package per TRX</t>
  </si>
  <si>
    <t>2G NetAct LK per TRX</t>
  </si>
  <si>
    <t>Implemenation of AirScale BSC</t>
  </si>
  <si>
    <t>Airscale RM2x Rack for AirScale RNC/BSC - Low Configuration</t>
  </si>
  <si>
    <t>Airscale Indoor Subrack</t>
  </si>
  <si>
    <t>Ultra-High Capacity IBS BBU</t>
  </si>
  <si>
    <t>SRAN Airscale IBS BBU Extension</t>
  </si>
  <si>
    <t>High Capacity Airscale IBS BBU Extension</t>
  </si>
  <si>
    <t>Ultra-High Capacity IBS BBU Extension</t>
  </si>
  <si>
    <t>IBS LTE &amp; 5G Sharing License on Existing Hardware</t>
  </si>
  <si>
    <t>GPS IBS - New Sites</t>
  </si>
  <si>
    <t>APHG ASiR-sHUB HF</t>
  </si>
  <si>
    <t>High Capacity Compact IBS BBU</t>
  </si>
  <si>
    <t>AWHGEQx AirScale Indoor Radio B1/n1+B3/n3+n78 ASiR-pRRH</t>
  </si>
  <si>
    <t>AWHQB AirScale Indoor Radio n78 ASiR-pRRH</t>
  </si>
  <si>
    <t>Converter, HF, APHF, AsiR</t>
  </si>
  <si>
    <t>AHEGA AirScale Dual RRH 2T4R B1/3 240W</t>
  </si>
  <si>
    <t>AHPMDB AirScale RRH 2T4R B8/20/28 240W</t>
  </si>
  <si>
    <t>AWHHK AirScale RRH 2T2R n41 200W</t>
  </si>
  <si>
    <t>LTE IBS Application SW Features package per Cell</t>
  </si>
  <si>
    <t>IBS Activation of L1800 F2 per Cell</t>
  </si>
  <si>
    <t>IBS Carrier Aggregation LK per cell</t>
  </si>
  <si>
    <t>3G IBS Application SW Features package per Cell</t>
  </si>
  <si>
    <t>LTE IBS L800 Activation LK- Per Cell</t>
  </si>
  <si>
    <t>5G IBS eMBB ASW Package per sector - 100 MHz (3 years SW RTU License)</t>
  </si>
  <si>
    <t>5G IBS n78 additional 100MHz Activation with ASW eMBB + DL CA Package - Upgrade to 200MHz per Sector</t>
  </si>
  <si>
    <t>5G IBS eMBB FDD+TD DL CA ASW Package per Cell</t>
  </si>
  <si>
    <t>LTE IBS NetAct LK per Cell</t>
  </si>
  <si>
    <t>3G IBS NetAct LK per Cell</t>
  </si>
  <si>
    <t>5G IBS NetAct LKs per Cell</t>
  </si>
  <si>
    <t>APAM AirScale AC-DC Power Unit 2300W</t>
  </si>
  <si>
    <t>New Rollout - Implementation IBS BBU SRAN 3G/LTE Equipment Room  (Incl PM/Acceptance)</t>
  </si>
  <si>
    <t>New Rollout - Implementation IBS BBU 5G Equipment Room  (Incl PM/Acceptance)</t>
  </si>
  <si>
    <t>New Rollout - Implementation IBS BBU 3G/LTE/5G/5G FDD Equipment Room  (Incl PM/Acceptance)</t>
  </si>
  <si>
    <t>New Rollout - Implementation IBS BBU 3G/LTE/5G Equipment Room  (Incl PM/Acceptance)</t>
  </si>
  <si>
    <t>New Rollout - Implementation IBS BBU 5G FDD Equipment Room  (Incl PM/Acceptance)</t>
  </si>
  <si>
    <t>New Rollout - Implementation IBS RRH (Incl PM/Acceptance)</t>
  </si>
  <si>
    <t>New Rollout - Implementation IBS mRRH (Incl PM/Acceptance)</t>
  </si>
  <si>
    <t>New Rollout - Implementation IBS pRRH (Incl PM/Acceptance)</t>
  </si>
  <si>
    <t>Airscale Capacity Extension Module Implementation Service</t>
  </si>
  <si>
    <t>Expansion - Implementation IBS BBU SRAN 3G/LTE Equipment Room  (Incl PM/Acceptance)</t>
  </si>
  <si>
    <t>Expansion - Implementation of IBS NR FDD on Existing site</t>
  </si>
  <si>
    <t>Modernization - Implementation IBS RRH (Incl PM/Acceptance)</t>
  </si>
  <si>
    <t>Inst Material IBS RRH</t>
  </si>
  <si>
    <t>Service, Installation Material AirScale mRRH</t>
  </si>
  <si>
    <t>Service, Installation Material AirScale pRRH</t>
  </si>
  <si>
    <t>Inst Materials IBS BBU equipment room</t>
  </si>
  <si>
    <t>SW Activation Service of additional LAYER on Existing IBS HW - NR FDD</t>
  </si>
  <si>
    <t>Installation &amp; commissioning of Indoor Power Solution</t>
  </si>
  <si>
    <t>SAQ services for New and Expansion sites</t>
  </si>
  <si>
    <t>RIC Configuration Service per Site</t>
  </si>
  <si>
    <t>Preparation of GSM rooms &amp; Tapping points</t>
  </si>
  <si>
    <t>Man Lift service per day</t>
  </si>
  <si>
    <t>Excess Unit of Cabling (Metre) - 3 Phase Per Meter</t>
  </si>
  <si>
    <t>35mm - Grounding Cable per meter</t>
  </si>
  <si>
    <t>Ceiling (Plaster sheet) - Per M sq</t>
  </si>
  <si>
    <t>100 x 100 mm PVC Duct Per Meter</t>
  </si>
  <si>
    <t>Ceiling -Suspended - M sq</t>
  </si>
  <si>
    <t>Patch Panel, 96 Port LC Duplex 1U Fibre With Body Kit Loaded With Lc Adapter</t>
  </si>
  <si>
    <t>Isolator, 32A</t>
  </si>
  <si>
    <t>3 Phase - AC Power Distribution Meter per pcs</t>
  </si>
  <si>
    <t>Base Package - 3 Phase Per Set</t>
  </si>
  <si>
    <t>DAS Tapping for site sharing</t>
  </si>
  <si>
    <t>Fire-Sealant per Whole</t>
  </si>
  <si>
    <t>200mm - Grounding busbar  upto 8 holes per pcs</t>
  </si>
  <si>
    <t>Service, GSM Site Preparation For Shared IBS Site</t>
  </si>
  <si>
    <t>Metal Isolator 63A 3 phase</t>
  </si>
  <si>
    <t>Uni Rack-Supply &amp; Installation</t>
  </si>
  <si>
    <t>3m Transmission Pole - Parapet Mounted</t>
  </si>
  <si>
    <t>DC system - Rectifier Installation Services - per Rectifier set</t>
  </si>
  <si>
    <t>Hot Dip Galvanised 100mm Outdoor-Covered Tray Per Meter</t>
  </si>
  <si>
    <t>Hot Dip Galvanised 400mm indoor-Open Ladder Per Meter</t>
  </si>
  <si>
    <t>Power contact point per pcs</t>
  </si>
  <si>
    <t>Small / Mini DB Base Package - Per Set</t>
  </si>
  <si>
    <t>Fiber Optic Pulling , 12 Core Cable installation (IBS)</t>
  </si>
  <si>
    <t>Safety Engineering - Ladder -3m/Walkway/Guard Rail</t>
  </si>
  <si>
    <t>Splicing and termination for FO cable up to bundle of 12 cores - Per Core</t>
  </si>
  <si>
    <t>Fiber Optic Pulling , Hybrid/AiO Cable installation (IBS)</t>
  </si>
  <si>
    <t>5G IBS Design</t>
  </si>
  <si>
    <t>IBS L2100 - F2 Soft Expansion (LTE-2100 F2 Bandwidth increase upto 20MHz)</t>
  </si>
  <si>
    <t>High Capacity Compact OD BBU - ASOFx</t>
  </si>
  <si>
    <t>Ultra High Capacity Compact BBU - ASOH</t>
  </si>
  <si>
    <t>Multi RAT High Capacity Compact BBU - ASOG</t>
  </si>
  <si>
    <t>AHDA AirScale RRH 2T4R B8 120W</t>
  </si>
  <si>
    <t>AZHL AirScale RRH 8T8R B41 320W</t>
  </si>
  <si>
    <t>AKHD AirScale RRH 8T8R n41 400W</t>
  </si>
  <si>
    <t>SW Activation Service of additional LAYER on Existing IBS HW - SRAN 3G/LTE</t>
  </si>
  <si>
    <t>Modernization - Implementation IBS BBU Equipment Room  (Incl PM/Acceptance)</t>
  </si>
  <si>
    <t>NW Service,IBS RRH</t>
  </si>
  <si>
    <t>Service, New Rollout Implementation, Special Sites IBS BBU equipment room, Including PM/Logistics</t>
  </si>
  <si>
    <t>PIM testing per Site - IBS</t>
  </si>
  <si>
    <t>Material for PIM Rectification (GSM room only)</t>
  </si>
  <si>
    <t>PIM Rectification Service (GSM room only)</t>
  </si>
  <si>
    <t>SAQ services for Special Access Sites</t>
  </si>
  <si>
    <t>Hybrid Fiber Cable Length (meters) incl. CAT6A</t>
  </si>
  <si>
    <t>3m Transmission Pole - Self Supporting-Non penetrating</t>
  </si>
  <si>
    <t>1.5m Transmission Pole - Parapet Mounted</t>
  </si>
  <si>
    <t>Split System Air Con - 2.5T -Complete Set</t>
  </si>
  <si>
    <t>SAQ services for Site Sharing project per site code </t>
  </si>
  <si>
    <t>Supply &amp; Installation of Copper strip including Strip Base and Junction 4-Way</t>
  </si>
  <si>
    <t>Coring requirement for Power Cable/Grounding Cables/Fiber/GPS cable Installation</t>
  </si>
  <si>
    <t>MCB Installation in BM_SMDB ( BM SMDB) for Siemens or Schneider or ABB</t>
  </si>
  <si>
    <t>MCCB Installation in BM_SMDB Brand as per BM Requirement</t>
  </si>
  <si>
    <t>Supply, delivery &amp; Installation Ladder -Walkway/Guard Rail with Cage</t>
  </si>
  <si>
    <t>Supply, delivery &amp; Installation Ladder -Walkway/Guard Rail without Cage</t>
  </si>
  <si>
    <t>Rental - Aluminum Scaffolding Mobile Tower Incl Transportation &amp; Inspection Certificate</t>
  </si>
  <si>
    <t>Grounding Cable 16mm Per Meter</t>
  </si>
  <si>
    <t>Grounding Cable 10mm Per Meter</t>
  </si>
  <si>
    <t>Copper Rod (Supply, Delivery &amp; Installation)</t>
  </si>
  <si>
    <t>Supply, Delivery &amp; installation of chemical bolts for MW pole fixation</t>
  </si>
  <si>
    <t>Supply, Delivery &amp; installation of Armoured cable</t>
  </si>
  <si>
    <t>Wall Paint along with Wall Putty ( In case of Dismantling &amp; Relocation)</t>
  </si>
  <si>
    <t>AC power cable 4 core</t>
  </si>
  <si>
    <t>AC power cable 5 core</t>
  </si>
  <si>
    <t>6WAY-AC PDU with 4mm Cable (Sample ATTACHED)</t>
  </si>
  <si>
    <t>Rental DW 1.45 m x 2.50 m - Aluminium Scaffolding Mobile Tower</t>
  </si>
  <si>
    <t>50mm PVC flexible pipe</t>
  </si>
  <si>
    <t>25mm PVC flexible pipe</t>
  </si>
  <si>
    <t>41X21 Slotted channel and Thread Road- 8mm</t>
  </si>
  <si>
    <t>Polythene Sheet 500G</t>
  </si>
  <si>
    <t>Ceiling Closing Channel</t>
  </si>
  <si>
    <t>Power Cables (Accord 3PPC Kettle)</t>
  </si>
  <si>
    <t>Cable, 1/2-Inch Cellflex Low-Loss Foam-Dielectric Coaxial</t>
  </si>
  <si>
    <t>Directional Coupler, 10dB, 380-2700 MHz, 4.3-10</t>
  </si>
  <si>
    <t>Power Socket, 13A</t>
  </si>
  <si>
    <t>Terminator 25W 50 Ohm 4.3-10 Connector</t>
  </si>
  <si>
    <t>Directional Coupler, 15dB, 698-2700 MHz, 4.3-10</t>
  </si>
  <si>
    <t>DC Power Cable, 16 Sqmm, Blue &amp; Black</t>
  </si>
  <si>
    <t>Directional Coupler, 20dB, 380–2700 MHz, 4.3-10</t>
  </si>
  <si>
    <t>Splitter, Indoor Pwr. 2X4.3-10 -Female Outputs 0.8-2.7 GHz</t>
  </si>
  <si>
    <t>RCBO, 32A 100MA</t>
  </si>
  <si>
    <t>MCB, 32A TP 10KA</t>
  </si>
  <si>
    <t>Network Patch Panel, 360DMis-24LC, SM Blue</t>
  </si>
  <si>
    <t>6 mtr Pole Self-supporting - Non Penetrating with Concrete Blocks(Supply &amp; Installation)</t>
  </si>
  <si>
    <t>Jumper Cable 1M ½-Inch 4.3-10-Male/4.3-10-Male</t>
  </si>
  <si>
    <t>Directional Coupler, 8dB, 380–2700 MHz, 4.3-10</t>
  </si>
  <si>
    <t>AC Power Cable 6 MMx3 Core, Single Phase</t>
  </si>
  <si>
    <t>Splitter, Indoor Pwr. 4X4-Female Outputs 0.8-2.7 GHz</t>
  </si>
  <si>
    <t>Directional/Flat In-building Antenna, 698-960 MHz,1710-2700 MHz, 4.3-10 connector</t>
  </si>
  <si>
    <t>Jumper Interface Types Din Male And 4.3-10 Male 3M</t>
  </si>
  <si>
    <t>Cable, Single Triplexer 700-800//900//1800-2600 MHz, DC Bypass on all ports, with 4.3-10 connectors</t>
  </si>
  <si>
    <t>Circuit Breaker 16A</t>
  </si>
  <si>
    <t>Circuit Breaker 32A</t>
  </si>
  <si>
    <t>Circuit Breaker 40A</t>
  </si>
  <si>
    <t>Circuit Breaker 63A</t>
  </si>
  <si>
    <t>Cable, 1/2 Inch, 4.3-10 Male Right Angle</t>
  </si>
  <si>
    <t>Air Dielectric Hybrid Coupler, 698–3000 MHz</t>
  </si>
  <si>
    <t>Directional MIMO Antenna - CMAX-DM30-CPUSEi- 11dBi</t>
  </si>
  <si>
    <t>Distribution Board,   4 Way</t>
  </si>
  <si>
    <t>Fiber Optic Pulling , 24 Core Cable installation (IBS)</t>
  </si>
  <si>
    <t>Fiber Optic, duplex, SM, 200M with installation</t>
  </si>
  <si>
    <t>Fiber Patch Panel(24F)-Supply &amp; Installation</t>
  </si>
  <si>
    <t>Fiber Termination Box (FTB)-Supply &amp; Installation</t>
  </si>
  <si>
    <t>Directional Coupler, 6dB, 380-2700 MHz, 4.3-10</t>
  </si>
  <si>
    <t>AVA5-50, Heliax Virtual Air Coaxial Cable, Corrugated Copper, 7/8 In, Black Pe Jacket Per Meter</t>
  </si>
  <si>
    <t>Connector, Hybrid Combiner 4.3-10</t>
  </si>
  <si>
    <t>Load for Hybrid Coupler-100W</t>
  </si>
  <si>
    <t>Cable, LC SM Pigtail, 1M</t>
  </si>
  <si>
    <t>LDF4-50A, Heliax Low Density Foam Coaxial Cable, Corrugated Copper, 1/2-Inch, Black PE Jacket Per Meter</t>
  </si>
  <si>
    <t>Splitter, Indoor Pwr. 3X4-Female Outputs 0.8-2.7 GHz</t>
  </si>
  <si>
    <t>MIMO Antenna, Omni, 4.3-10 Connector</t>
  </si>
  <si>
    <t>MIMO Antenna, Panel/Flat, 4.3-10 Connector</t>
  </si>
  <si>
    <t>Service, MW pole installation</t>
  </si>
  <si>
    <t>PVC Coated Metal Flexible Adaptor</t>
  </si>
  <si>
    <t>PVC Coated Metal Flexible Conduit</t>
  </si>
  <si>
    <t>Quadplexer 1S-QPX D2-08/09/18/21-23-26 DC Pass</t>
  </si>
  <si>
    <t>Service, Swap Rectifier With Delta Type And Migration For All Connected Devices, Including The Packing And Transfer To The Warehouse</t>
  </si>
  <si>
    <t>Cable, 4.3-10 Male For 1/2 In FSJ4-50B</t>
  </si>
  <si>
    <t>Service, Relocation &amp; Swapping of BTS</t>
  </si>
  <si>
    <t>Diplexer, 380–2200 MHz/2300–2690 MHz, DC Pass</t>
  </si>
  <si>
    <t>Single Hanger Kit, 1/2 In Coaxial Cable, Double Stack; Includes Hardware And Angle Adapter</t>
  </si>
  <si>
    <t>Splicing and termination for FO cable up to bundle of 24 cores - Per Core</t>
  </si>
  <si>
    <t>Adaptor, SV Flex Flexible Conduit, 25MM</t>
  </si>
  <si>
    <t>Patch Cord, Tera Speed LC To LC Fiber, 1.6Mm Duplex, LSZH, Yellow Jacket, 10M</t>
  </si>
  <si>
    <t>Patch Cord, Tera Speed LC To LC Fiber, 1.6Mm Duplex, LSZH, Yellow Jacket, 15M</t>
  </si>
  <si>
    <t>Supply, Delivery &amp; installation of 4 Core Armored cable 16mm</t>
  </si>
  <si>
    <t>MCCB Breaker for BM SMDB 40A</t>
  </si>
  <si>
    <t>MCCB Breaker for BM SMDB 63A</t>
  </si>
  <si>
    <t>MCCB Breaker for BM SMDB 100A</t>
  </si>
  <si>
    <t>Thread Rod- 8mm</t>
  </si>
  <si>
    <t>Civil Racks for RRUs ( Delta Racks )</t>
  </si>
  <si>
    <t>Wall Scanning for Coring</t>
  </si>
  <si>
    <t>Drip Tray for AC inside GSM Room</t>
  </si>
  <si>
    <t>IP65 AC DB</t>
  </si>
  <si>
    <t>Metal Isolator 40A 3 phase ( ABB or Hager)</t>
  </si>
  <si>
    <t>APHH ASiR RF Converter</t>
  </si>
  <si>
    <t>RAN Sharing - Host - MOCN SRAN 3G per Cell</t>
  </si>
  <si>
    <t>RAN Sharing - Host - MOCN SRAN LTE per Cell</t>
  </si>
  <si>
    <t>RAN Sharing - Host - MOCN 5G NR TDD per Cell</t>
  </si>
  <si>
    <t>RAN Sharing - Host - NetAct SRAN 3G per Cell</t>
  </si>
  <si>
    <t>RAN Sharing - Host - NetAct SRAN LTE per Cell</t>
  </si>
  <si>
    <t>RAN Sharing - Host - NetAct 5G NR per Cell</t>
  </si>
  <si>
    <t>MOCN LTE Resource Sharing</t>
  </si>
  <si>
    <t>Attenuator upto 100W 30 dB NM-NF 0-4GHz</t>
  </si>
  <si>
    <t>IBS Jumper 43M-43F 1.0M SF FR</t>
  </si>
  <si>
    <t>Adaptor 4.3M-NF</t>
  </si>
  <si>
    <t>RF Jumper 1.5M N male to SMA male</t>
  </si>
  <si>
    <t>AMRB AirScale one clip bracket 126-200</t>
  </si>
  <si>
    <t>AOxx 10G SFP+ 1310nm 10km SM</t>
  </si>
  <si>
    <t>AOxx 10G SFP+ 850nm 300m MM</t>
  </si>
  <si>
    <t>Airscale Cloud BSC - 5500  TRX incl. Max Licenses (CS Erl)</t>
  </si>
  <si>
    <t>Planning for 2G SRAN</t>
  </si>
  <si>
    <t>2G ASBSC Support &amp; Maintenance</t>
  </si>
  <si>
    <t>Cat</t>
  </si>
  <si>
    <t>#Line</t>
  </si>
  <si>
    <t>#Code</t>
  </si>
  <si>
    <t>Consumed in 2026</t>
  </si>
  <si>
    <t>Remaining in PO</t>
  </si>
  <si>
    <t xml:space="preserve">Total PO QTY </t>
  </si>
  <si>
    <t>OD_5G
3 Sectors
2CC
64T64R -200M - 320W
2x5G NR N78 (BandSwap) 
(16DL Per Sector &amp; 8 UL Per Sector)
n41 (Dismantle HW) to n78 (New)
Inclduing dismantling services</t>
  </si>
  <si>
    <t>Subscope</t>
  </si>
  <si>
    <t>OD_SRAN
3 Sectors
2xU900+1xLTE800+ 1xLTE1800+1xL2100 
New Sites 3G/LTE 3CC</t>
  </si>
  <si>
    <t>OD_5G
3 Sectors
2CC
64T64R -200M - 320W
2x5G NR N78 (New) 
(16DL Per Sector &amp; 8 UL Per Sector)</t>
  </si>
  <si>
    <t>AC ARMOD Cable</t>
  </si>
  <si>
    <t>Any Remark</t>
  </si>
  <si>
    <t>Requested Date</t>
  </si>
  <si>
    <t>Newly added</t>
  </si>
  <si>
    <t>Habrok Dubal Band 2x32T32R MAA n78+n41 400W</t>
  </si>
  <si>
    <t>AVHA Habrok 64T64R MAA 192AE n41 400W</t>
  </si>
  <si>
    <t>AVHQA Habrok Dubal Band 2x32T32R MAA n78+n41 400W</t>
  </si>
  <si>
    <t>L2100 - F2 Soft Expansion (LTE-2100 F2 expansion from 10MHz to 20MHz)</t>
  </si>
  <si>
    <t>5G eMBB 2CC (FDD+TDD) UL CA ASW Package per Cell</t>
  </si>
  <si>
    <t>Type</t>
  </si>
  <si>
    <t>SRAN Exp SW</t>
  </si>
  <si>
    <t>SRAN Exp HW/SW</t>
  </si>
  <si>
    <t>New 5G Colocation</t>
  </si>
  <si>
    <t>5G Band Swap</t>
  </si>
  <si>
    <t>5G Expansion</t>
  </si>
  <si>
    <t>3S</t>
  </si>
  <si>
    <t>2S</t>
  </si>
  <si>
    <t>4S</t>
  </si>
  <si>
    <t>2S+1xHex</t>
  </si>
  <si>
    <t>3xHex</t>
  </si>
  <si>
    <t>1cc to 3cc</t>
  </si>
  <si>
    <t>2cc to 3cc</t>
  </si>
  <si>
    <t>n41-HW re-use</t>
  </si>
  <si>
    <t>add new n78 HW</t>
  </si>
  <si>
    <t>add new n41 HW 64T</t>
  </si>
  <si>
    <t>add new n41 HW 32T</t>
  </si>
  <si>
    <t>5G_3cc_Exp_DualBand</t>
  </si>
  <si>
    <t>Model Name towards dU</t>
  </si>
  <si>
    <t xml:space="preserve">new 3g/lte 
3xSectors
lte/3g colocation
3cc
</t>
  </si>
  <si>
    <t xml:space="preserve">new 3g/lte 
2xSectors
lte/3g colocation
3cc
</t>
  </si>
  <si>
    <t xml:space="preserve">new 3g/lte 
4xSectors
lte/3g colocation
3cc
</t>
  </si>
  <si>
    <t>new 3g/lte 
3xSectors
lte/3g colocation
3cc
2xNormal Sectors + 1x Hexa</t>
  </si>
  <si>
    <t xml:space="preserve">new 3g/lte 
3x Hexabem Sectors
lte/3g colocation
3cc
</t>
  </si>
  <si>
    <t>SRAN_Exp_SW_1cc_to_3cc_(L800 or L1800)</t>
  </si>
  <si>
    <t xml:space="preserve">SRAN_Exp_SW_2cc_to_3cc_(L800+L1800)
</t>
  </si>
  <si>
    <t>SRAN_Exp_SW_2cc_to_3cc_(L800+L2100_or_L1800+L2100)</t>
  </si>
  <si>
    <t>SRAN_Exp_HW_1cc_to_3cc_add_L1.8_HW_L2.1_HW_Exist</t>
  </si>
  <si>
    <t>SRAN_Exp_HW_1cc_to_3cc_add_L1.8/L2.1_HW_BB_Exp</t>
  </si>
  <si>
    <t>SRAN_Exp_HW__1cc_to_3cc_L1800+L2100</t>
  </si>
  <si>
    <t>SRAN_Exp_2cc_to_3cc_add_L2.1_HW</t>
  </si>
  <si>
    <t>SRAN_Exp_HW_2cc_to_3cc_add_L1.8_HW</t>
  </si>
  <si>
    <t>SRAN_Exp_HW_SW_2cc_to_3cc_HW_re-use_add_L1.8</t>
  </si>
  <si>
    <t>SRAN_Exp_HW_add_L2.1_HW_reuse</t>
  </si>
  <si>
    <t>SRAN_Exp_HexaBeam (HW)</t>
  </si>
  <si>
    <t>SRAN_Exp_DualBeam (HW)</t>
  </si>
  <si>
    <t>SRAN_HW_Retrieval_Services</t>
  </si>
  <si>
    <t>SRAN_HW_Retrieval_Services with  BB modernization</t>
  </si>
  <si>
    <t>U900 Expansion (HW)</t>
  </si>
  <si>
    <t>SRAN Sectr Addition (HW)</t>
  </si>
  <si>
    <t>BaseBand Expansion</t>
  </si>
  <si>
    <t>SRAN 2G Expansion</t>
  </si>
  <si>
    <t>RDV Integration Services</t>
  </si>
  <si>
    <t>5g_new_colocation_2cc_n78</t>
  </si>
  <si>
    <t>5g_new_colocation_1cc_n41_HW_redeployment</t>
  </si>
  <si>
    <t>5g_new_colocation_1cc_n41_new_HW_64T</t>
  </si>
  <si>
    <t>5g_new_colocation_2cc_n78_HW_redeployment</t>
  </si>
  <si>
    <t>5g_new_colocation_3cc_n78_n41_dualBand</t>
  </si>
  <si>
    <t>5g_new_colocation_3cc_n78_n41_new_78_HW_64T_new_n41_HW_64T</t>
  </si>
  <si>
    <t>5g_new_colocation_3cc_n78_n41_new_78_HW_32T_new_n41_HW_32T</t>
  </si>
  <si>
    <t>5g_Band_Swap_with_BB_Exp</t>
  </si>
  <si>
    <t>5g_Band_Swap_without_BB_Exp</t>
  </si>
  <si>
    <t>5g_3cc_Exp_reuse_n41_HW_Existing_HW_n78</t>
  </si>
  <si>
    <t>5g_3cc_Exp_new_n78_HW_with_BB_Exp_Existing_HW_n41</t>
  </si>
  <si>
    <t>5g_3cc_Exp_new_n41_HW_64T_with_BB_ExP_Existing_HW_n78</t>
  </si>
  <si>
    <t>5g_3cc_Exp_new_n41_HW_32T_Existing_HW_n78</t>
  </si>
  <si>
    <t>5g_3cc_Exp_n78_n41_new_dualBand_HW_Dism_Existing_HW</t>
  </si>
  <si>
    <t>5g_Exp_nr_fdd_n3_without_BB_Exp (without FDD site visit)</t>
  </si>
  <si>
    <t>5g_Exp_nr_fdd_n3_without_BB_Exp (with Site visit)</t>
  </si>
  <si>
    <t>5g_Exp_nr_fdd_n3_without_BB_Exp_new_b3_Rfmod (with FDD site visit)</t>
  </si>
  <si>
    <t>5g_Exp_nr_fdd_n3_with_BB_Exp (With FDD Site Visit)</t>
  </si>
  <si>
    <t>5g_Exp_nr_fdd_n3_with_BB_Exp (Without FDD Site Visit)</t>
  </si>
  <si>
    <t>5g_Exp_nr_fdd_n3_Connectivity</t>
  </si>
  <si>
    <t xml:space="preserve">HW </t>
  </si>
  <si>
    <t>ASIM+1xABIA+1xABIP+3xAHEGG+1xARMA+1xARDA+1xFPFH</t>
  </si>
  <si>
    <t>ASIM+1xABIA+1xABIP+2xAHEGG+1xARMA+1xARDA+1xFPFH</t>
  </si>
  <si>
    <t>ASIM+1xABIA+1xABIP+3xAHEGG+1xARMA+1xARDA+1xAHPMDI+1xFPFH</t>
  </si>
  <si>
    <t>ASIM+1xABIA+1xABIP+5xAHEGG+1xARMA+1xARDA+2xFPFH</t>
  </si>
  <si>
    <t>ASIM+1xABIA+1xABIP+9xAHEGG+1xARMA+1xARDA+2xFPFH</t>
  </si>
  <si>
    <t xml:space="preserve">SW
</t>
  </si>
  <si>
    <t>2xAREA, 1xFPFH</t>
  </si>
  <si>
    <t>1xASIM. 1xABIP, 3xAHEGG, 1xFPFH (HW Cfg depnds on Existing Cfg, Extra Hw can be ARGA and AREA)</t>
  </si>
  <si>
    <t>3xAHEGG (can be also mix of ARGA+AREA)</t>
  </si>
  <si>
    <t>1xARGA (1xFPFH depends on Existing Hw Cfg)</t>
  </si>
  <si>
    <t>2xAREA (1xFPFH depends on Existing Hw Cfg)</t>
  </si>
  <si>
    <t>1xASIM, 1xABIP, 1xFPFH (Hw depends on existing HW Cfg)</t>
  </si>
  <si>
    <t>3xAHGA, 1xFPFH</t>
  </si>
  <si>
    <t>1xASIM, 1xABIP, 3xAHEGG, 1xFPFH (Hw depends on Existign Cfg)</t>
  </si>
  <si>
    <t>1xASIM, 1xABIP, 1xAREA (Hw depends on Existing Cfg)</t>
  </si>
  <si>
    <t>Services</t>
  </si>
  <si>
    <t>1xASIM+1xABIP</t>
  </si>
  <si>
    <t>1xABIA, 1xARDA</t>
  </si>
  <si>
    <t>1xABIP, 1xAHEGG, 1xAHPMDI</t>
  </si>
  <si>
    <t>1xASIM, 1xABIP</t>
  </si>
  <si>
    <t>1xABIA</t>
  </si>
  <si>
    <t>1xASIM+1xABIP+3xAVQL+1xFPFH</t>
  </si>
  <si>
    <t>1xASIM+1xABIP+3xAEHC+1xFPFH (AEHC re-use)</t>
  </si>
  <si>
    <t>1xASIM+1xABIP+3xAVHA+1xFPFH</t>
  </si>
  <si>
    <t>1xASIM+1xABIP+3xAQVL or 3xAQQL+1xFPFH ( AVQL/AQQL re-use)</t>
  </si>
  <si>
    <t>1xASIM+2xABIP+3xAVQL+3xAHEC+2xFPFH (AEHC re-use)</t>
  </si>
  <si>
    <t>1xASIM+2xABIP+3xAVHQA+2xFPFH</t>
  </si>
  <si>
    <t>1xASIM+2xABIP+3xAVQL+3xAVHA+2xFPFH</t>
  </si>
  <si>
    <t>1xASIM+2xABIP+3xAVQD+3xAQHC+2xFPFH</t>
  </si>
  <si>
    <t>1xABIP+3xAVQL</t>
  </si>
  <si>
    <t>3xAVQL</t>
  </si>
  <si>
    <t>1xASIM+1xABIP if needed (depends on Existing Hw Cfg), 3xAHEc (re-use)</t>
  </si>
  <si>
    <t>1xABIP, 3xAVHA</t>
  </si>
  <si>
    <t>1xABIP, 3xAQHC</t>
  </si>
  <si>
    <t>1xABIP, 3xAVHQA</t>
  </si>
  <si>
    <t>Links</t>
  </si>
  <si>
    <t>Links+imp services</t>
  </si>
  <si>
    <t>links+b3 Radio +imp services</t>
  </si>
  <si>
    <t>links+BB+imp services</t>
  </si>
  <si>
    <t>links+BB</t>
  </si>
  <si>
    <t>links+BB (BB depends, not all sites requires extra ABIP, only those with ABIO requires ABIO swap by ABIP). Links depends on existing b3 radio count</t>
  </si>
  <si>
    <t>Site Qty</t>
  </si>
  <si>
    <t>CAT</t>
  </si>
  <si>
    <t>BU</t>
  </si>
  <si>
    <t>Cat.</t>
  </si>
  <si>
    <t>Hw Mapping</t>
  </si>
  <si>
    <t>UoM</t>
  </si>
  <si>
    <t>OD_SRAN
2 Sectors
2xU900+1xLTE800+ 1xLTE1800+1xL2100 
New Sites 3G/LTE 3CC</t>
  </si>
  <si>
    <t>OD_SRAN
4 Sectors
2xU900+1xLTE800+ 1xLTE1800+1xL2100 
New Sites 3G/LTE 3CC</t>
  </si>
  <si>
    <t>OD_SRAN
3 Sectors
2xU900+1xLTE800+ 1xLTE1800+1xL2100 
New Sites 3G/LTE 3CC, 1Sector with HexaBeam</t>
  </si>
  <si>
    <t>OD_SRAN
3 Hexabeam Sectors
2xU900+1xLTE800+ 1xLTE1800+1xL2100 
New Sites 3G/LTE 3CC</t>
  </si>
  <si>
    <t>OD_SRAN
SW Expansion
3 Sectors
1cc (l1800) or 1cc( l800) to 3cc (800/1800/2100) expansion</t>
  </si>
  <si>
    <t>OD_SRAN
SW Expansion
3 Sectors
2cc (L800/L1800) to 3cc (800/1800/2100) expansion</t>
  </si>
  <si>
    <t>OD_SRAN
SW Expansion
3 Sectors
2cc (L800/L2100 or L1800/L2100) to 3cc (800/1800/2100) expansion</t>
  </si>
  <si>
    <t>OD_SRAN
HW+SW Expansion
3 Sectors
1cc (L800) to 3cc (800/1800/2100) 
(add Only L1.8 HW, L2.1 HW exsits)</t>
  </si>
  <si>
    <t>OD_SRAN
HW+SW Expansion
3 Sectors
1cc (L800) to 3cc (800/1800/2100)
(add L1.8 and L2.1 HW + BB)</t>
  </si>
  <si>
    <t>OD_SRAN
HW+SW Expansion
3 Sectors
1cc (L800) to 3cc (800/1800/2100)
(add L1.8 and L2.1 HW)</t>
  </si>
  <si>
    <t>OD_SRAN
HW+SW Expansion
3 Sectors
2cc (800/1800) to 3cc (800/1800/2100)
(add L2.1 HW)</t>
  </si>
  <si>
    <t>OD_SRAN
HW+SW Expansion
3 Sectors
2cc (800/2100) to 3cc (800/1800/2100)
(add L1.8 HW)</t>
  </si>
  <si>
    <t>OD_SRAN
HW+SW Expansion
3 Sectors
2cc (800/2100) to 3cc (800/1800/2100)
(L1.8 HW re-use)</t>
  </si>
  <si>
    <t>OD_SRAN
HW+SW Expansion
3 Sectors
3cc (L800/1800/1800+) to 3cc (800/1800/2100)
(L2.1 HW re-use, AHGA)</t>
  </si>
  <si>
    <t>OD_SRAN
HW Expansion
1 Sector
Multi-Beam
 (HexaBeam)
 LTE: L1800+2100</t>
  </si>
  <si>
    <t>OD_SRAN
HW Expansion
6 Sectors
Multi-Beam
 (DualBeam)
 LTE: L1800+2100</t>
  </si>
  <si>
    <t>OD_SRAN
HW Retrieval
1 Sectors
L2100
Services</t>
  </si>
  <si>
    <t>OD_SRAN
HW Retrieval
1 Sectors
L2100
Services with BB Modernization</t>
  </si>
  <si>
    <t>OD_SRAN
HW Expansion
3 Sectors
U900 (F1+F2)
Existing Site</t>
  </si>
  <si>
    <t>OD_SRAN
HW Expansion
1 Sectors
4th Sector Addition
 LTE: L1800+L800+2100
3G: U900</t>
  </si>
  <si>
    <t>Baseband Expansion</t>
  </si>
  <si>
    <t>2G Expansion</t>
  </si>
  <si>
    <t>RDV
Services</t>
  </si>
  <si>
    <t>OD_5G
3 Sectors
n41 Redeployment
with Service
(Redeploy AAU)
New GPS + Inst material</t>
  </si>
  <si>
    <t>OD_5G
3 Sectors
new n41 HW
64T64R, 400W</t>
  </si>
  <si>
    <t>OD_5G
3 Sectors
n78 Redeployment
with Service
(Redeploy AAU)
New GPS + Inst material</t>
  </si>
  <si>
    <t>OD_5G
3 Sectors
3CC
64T64R_300M - 320W
2x5G NR N78 (New) +
1x5G NR N41 (Re-Use HW)
 (16DL Per Sector &amp; 8 UL Per Sector)</t>
  </si>
  <si>
    <t>OD_5G
3 Sectors - Dual Band HW
3CC
64T64R_300M - 320W
2x5G NR N78 (New) + 1x5G NR N41 (New)
(16DL Per Sector &amp; 8 UL Per Sector) - n78 
(8DL Per Sector &amp; 4 UL Per Sector)  - n41 
with 3CC License</t>
  </si>
  <si>
    <t>OD_5G
3 Sectors 
3CC
n78_64T64R_200M - 320W
n41_64T64R_100M_400w
2x5G NR N78 (New) + 1x5G NR N41 (New)
(16DL Per Sector &amp; 8 UL Per Sector) - n78 
(8DL Per Sector &amp; 4 UL Per Sector)  - n41 
with 3CC License</t>
  </si>
  <si>
    <t>OD_5G
3 Sectors 
3CC
n78_32T32R_200M - 320W
n41_32T32R_100M_320w
2x5G NR N78 (New) + 1x5G NR N41 (New)
(16DL Per Sector &amp; 8 UL Per Sector) - n78 
(8DL Per Sector &amp; 4 UL Per Sector)  - n41 
with 3CC License</t>
  </si>
  <si>
    <t>OD_5G
3 Sectors
2CC
64T64R -200M - 320W
2x5G NR N78 (BandSwap) 
(16DL Per Sector &amp; 8 UL Per Sector)
n41 (Dismantle HW) to n78 (New)
With Baseband Expansion (1xABIP)
Inclduing dismantling services</t>
  </si>
  <si>
    <t>OD_5G
3 Sectors
3CC
64T64R
2x5G NR N78 + 1x5G NR N41
n41 Redeployment with Service on top of existing n78 HW</t>
  </si>
  <si>
    <t xml:space="preserve">OD_5G
3 Sectors
3CC
64T64R
2x5G NR N78 + 1x5G NR N41
(Add new n78 HW  on top of existing n41 HW)
(16DL Per Sector &amp; 8 UL Per Sector)
</t>
  </si>
  <si>
    <t>OD_5G
3 Sectors
3CC
64T64R
2x5G NR N78 + 1x5G NR N41
(Add new n41 HW  64T 400w on top of existing n78 HW)</t>
  </si>
  <si>
    <t xml:space="preserve">OD_5G
3 Sectors
3CC
64T64R
2x5G NR N78 + 1x5G NR N41
(Add new n41 HW  32T 320w on top of existing n78 HW)
</t>
  </si>
  <si>
    <t>OD_5G
3 Sectors
3CC
32T32R - 300M - 400w
2x5G NR N78 + 1x5G NR N41
(HW Swap by Dual Band AAU)
(16DL Per Sector &amp; 8 UL Per Sector)
n41 or n78 (Dismantle HW) to n78+n41 (New Dual Band HW)
Inclduing dismantling services</t>
  </si>
  <si>
    <t>OD_5G
3 Sectors
2T2R_15MHz
FDD NR_ 1800MHz 
(SW)</t>
  </si>
  <si>
    <t>OD_5G
3 Sectors
2T2R_15MHz
FDD NR_ 1800MHz 
(SW) including site visit services</t>
  </si>
  <si>
    <t>OD_5G
3 Sectors
2T2R_15MHz
FDD NR_ 1800MHz 
(add B3 radio HW)</t>
  </si>
  <si>
    <t>OD_5G
3 Sectors
2T2R_15MHz
FDD NR_ 1800MHz 
(HW-baseband Expansion)
With FDD Scope Site visit</t>
  </si>
  <si>
    <t>OD_5G
3 Sectors
2T2R_15MHz
FDD NR_ 1800MHz 
(HW-baseband Expansion)
Without FDD Scope Site visit</t>
  </si>
  <si>
    <t>OD_5G
3 Sectors
2T2R_15MHz
FDD NR_ 1800MHz 
Connectivity Only without site visit services</t>
  </si>
  <si>
    <t>OD</t>
  </si>
  <si>
    <t>Product</t>
  </si>
  <si>
    <t>AMIx AirScale Ultra High Capacity - 50G Backplane - Subrack</t>
  </si>
  <si>
    <t>AMIx</t>
  </si>
  <si>
    <t>Aligned</t>
  </si>
  <si>
    <t>each</t>
  </si>
  <si>
    <t>ASIM</t>
  </si>
  <si>
    <t>SRAN Airscale Outdoor BBU Extension</t>
  </si>
  <si>
    <t>ABIA</t>
  </si>
  <si>
    <t>ABIP</t>
  </si>
  <si>
    <t>Zeros</t>
  </si>
  <si>
    <t>AYGE</t>
  </si>
  <si>
    <t>ARGA AirScale RFM 6T6R B1 480W</t>
  </si>
  <si>
    <t>AREA AirScale RFM 6T6R B3 480W</t>
  </si>
  <si>
    <t>AVQD</t>
  </si>
  <si>
    <t>AVQL</t>
  </si>
  <si>
    <t xml:space="preserve">AEHC AirScale MAA 64T64R 192AE n41 320W </t>
  </si>
  <si>
    <t>AQQY AirScale MAA 32T32R 128AE n78 240W</t>
  </si>
  <si>
    <t>per cell</t>
  </si>
  <si>
    <t>2CC Carrier Aggregation LK per cell</t>
  </si>
  <si>
    <t>Activation of 2nd Layer on LTE1800</t>
  </si>
  <si>
    <t>per Site</t>
  </si>
  <si>
    <t>L1800 - F2 Soft Expansion (LTE-1800 F2 expansion from 10MHz to 15MHz)</t>
  </si>
  <si>
    <t xml:space="preserve">4x4 MIMO LK per cell </t>
  </si>
  <si>
    <t>5G n78 additional 100MHz Activation with ASW eMBB + DL CA Package - Upgrade to 200MHz per Sector</t>
  </si>
  <si>
    <t>5G eMBB FDD+TD DL CA ASW Package per Cell</t>
  </si>
  <si>
    <t>per Sector</t>
  </si>
  <si>
    <t>5G_64T64R_320W_Upgrade per Sector</t>
  </si>
  <si>
    <t>FPFH Power Distributor</t>
  </si>
  <si>
    <t>FPFH</t>
  </si>
  <si>
    <t>Jumper - 10m</t>
  </si>
  <si>
    <t xml:space="preserve">TI Survey of existing site </t>
  </si>
  <si>
    <t>Supply and Install DC breaker at existing site per piece (up to 63 Amps)</t>
  </si>
  <si>
    <t>Dismantling, Packaging &amp; Removal of BTS cabinets (3G &amp; 4G Only)</t>
  </si>
  <si>
    <t>Crane usage, upto 100 Ton</t>
  </si>
  <si>
    <t>BTS Re- Installation</t>
  </si>
  <si>
    <t>Access Fee per Person per one time / each renewwal</t>
  </si>
  <si>
    <t>Service for IPAA Antennas Installation</t>
  </si>
  <si>
    <t>Service swap of old antennas by HEX band (material supply will be by du)</t>
  </si>
  <si>
    <t>per Fiber Link</t>
  </si>
  <si>
    <t>CNS</t>
  </si>
  <si>
    <t xml:space="preserve">Adding and configure extra power module per site </t>
  </si>
  <si>
    <t>New Rollout - Implementation 5G -3 sector - 6 radios (incl. PM &amp; Acceptance)</t>
  </si>
  <si>
    <t>Implementation Expansion HW Baseband (incl. PM &amp; Acceptance)</t>
  </si>
  <si>
    <t xml:space="preserve">NEW SRAN
</t>
  </si>
  <si>
    <t>5g_new_colocation_3cc_n78_n41_HW_reuse</t>
  </si>
  <si>
    <t>AVQD AirScale MAA 32T32R 192AE n41 320W</t>
  </si>
  <si>
    <t>AVQL Habrok 64T64R MAA 192AE n78 320W</t>
  </si>
  <si>
    <t>Verification</t>
  </si>
  <si>
    <t>Serv.</t>
  </si>
  <si>
    <t>2026 Progress</t>
  </si>
  <si>
    <t>2026 Year Target
(Initial + Addition)</t>
  </si>
  <si>
    <t>2026 Actual Achieved</t>
  </si>
  <si>
    <t>2026</t>
  </si>
  <si>
    <t>#line</t>
  </si>
  <si>
    <t>NA</t>
  </si>
  <si>
    <t>SMP</t>
  </si>
  <si>
    <t>NEW 5G Colocation</t>
  </si>
  <si>
    <t>AUH3580</t>
  </si>
  <si>
    <r>
      <t>Ultra-High Capacity Outdoor BBU-</t>
    </r>
    <r>
      <rPr>
        <b/>
        <sz val="9"/>
        <color theme="1"/>
        <rFont val="Aptos Narrow"/>
        <family val="2"/>
      </rPr>
      <t>ASIM</t>
    </r>
  </si>
  <si>
    <r>
      <t>Ultra-High Capacity Outdoor BBU Extension-</t>
    </r>
    <r>
      <rPr>
        <b/>
        <sz val="9"/>
        <color theme="1"/>
        <rFont val="Aptos Narrow"/>
        <family val="2"/>
      </rPr>
      <t>ABIP</t>
    </r>
  </si>
  <si>
    <t>AUH</t>
  </si>
  <si>
    <t>NR-FDD Connectivity</t>
  </si>
  <si>
    <t>XAD</t>
  </si>
  <si>
    <t>Year Scope</t>
  </si>
  <si>
    <t>Covenant</t>
  </si>
  <si>
    <t>WR</t>
  </si>
  <si>
    <t>AUH1155</t>
  </si>
  <si>
    <t>HAYAT</t>
  </si>
  <si>
    <t>AUH6578</t>
  </si>
  <si>
    <t>300km</t>
  </si>
  <si>
    <t>AQQL installed (IPAA+)-Paid</t>
  </si>
  <si>
    <t>231km</t>
  </si>
  <si>
    <t>Netkom</t>
  </si>
  <si>
    <t>AUH4646</t>
  </si>
  <si>
    <t>AUH4549</t>
  </si>
  <si>
    <t>5G Antenna SWAP_IPAA+</t>
  </si>
  <si>
    <t>AUH3848</t>
  </si>
  <si>
    <t>AUH1804</t>
  </si>
  <si>
    <t>AUH1813</t>
  </si>
  <si>
    <t>AUH1846</t>
  </si>
  <si>
    <t>AUH1848</t>
  </si>
  <si>
    <t>AUH1809</t>
  </si>
  <si>
    <t>AUH1806</t>
  </si>
  <si>
    <t>AUH1790</t>
  </si>
  <si>
    <t>220kM</t>
  </si>
  <si>
    <t>Requested by Islam</t>
  </si>
  <si>
    <t>Hafedh Verification</t>
  </si>
  <si>
    <t>Verify</t>
  </si>
  <si>
    <t>Sum</t>
  </si>
  <si>
    <t>Completed</t>
  </si>
  <si>
    <t>AUH3638</t>
  </si>
  <si>
    <t>3S-2CC-AREA</t>
  </si>
  <si>
    <t xml:space="preserve">new 3g/lte 
3xSectors
lte/3g colocation
2cc
</t>
  </si>
  <si>
    <t>ASIM+1xABIA+1xABIP+1xAREA+1xARMA+1xARDA+1xFPFH</t>
  </si>
  <si>
    <t>OD_SRAN
3 Sectors
2xU900+1xLTE800+ 1xLTE1800 
New Sites 3G/LTE 2CC</t>
  </si>
  <si>
    <t>4S - 2CC AREA</t>
  </si>
  <si>
    <t xml:space="preserve">new 3g/lte 
4xSectors
lte/3g colocation
2cc
</t>
  </si>
  <si>
    <t>ASIM+1xABIA+1xABIP+1xAREA+1xARMA+1xARDA+1xAHPMDI+1xFPFH</t>
  </si>
  <si>
    <t>OD_SRAN
4 Sectors
2xU900+1xLTE800+ 1xLTE1800+1xL2100 
New Sites 3G/LTE 2CC</t>
  </si>
  <si>
    <t>3S+1xHex</t>
  </si>
  <si>
    <t>new 3g/lte 
3xSectors
lte/3g colocation
3cc
3xNormal Sectors + 1x Hexa</t>
  </si>
  <si>
    <t>ASIM+1xABIA+1xABIP+6xAHEGG+1xARMA+1xARDA+2xFPFH</t>
  </si>
  <si>
    <t>OD_SRAN
4 Sectors
2xU900+1xLTE800+ 1xLTE1800+1xL2100 
New Sites 3G/LTE 3CC, 3 Normal + 4th Sector as HexaBeam</t>
  </si>
  <si>
    <t>new 3g/lte 3xSectors lte/3g colocation 3cc</t>
  </si>
  <si>
    <t>Requested by Safiullah</t>
  </si>
  <si>
    <t>new 3g/lte 3xSectors lte/3g colocation 2cc</t>
  </si>
  <si>
    <t>Additional Cost - 4x4</t>
  </si>
  <si>
    <t>new 3g/lte 4xSectors lte/3g colocation 2cc</t>
  </si>
  <si>
    <t>314 KM</t>
  </si>
  <si>
    <t>292KM</t>
  </si>
  <si>
    <t>102KM</t>
  </si>
  <si>
    <t>AUH2155</t>
  </si>
  <si>
    <t>AUH3343</t>
  </si>
  <si>
    <t xml:space="preserve">AUH3240 </t>
  </si>
  <si>
    <t>AUH2053</t>
  </si>
  <si>
    <t>AUH2308</t>
  </si>
  <si>
    <t>AUH2525</t>
  </si>
  <si>
    <t>AUH3107</t>
  </si>
  <si>
    <t xml:space="preserve">AUH6552 </t>
  </si>
  <si>
    <t>SRAN Expansion</t>
  </si>
  <si>
    <t>AMOD to ACOC</t>
  </si>
  <si>
    <t>330KM</t>
  </si>
  <si>
    <t>410KM</t>
  </si>
  <si>
    <t>SMP-WO-1311362</t>
  </si>
  <si>
    <t>SMP-WO-1311364</t>
  </si>
  <si>
    <t>SMP-WO-1311365</t>
  </si>
  <si>
    <t>SMP-WO-1311366</t>
  </si>
  <si>
    <t>SMP-WO-1311371</t>
  </si>
  <si>
    <t>SMP-WO-1311373</t>
  </si>
  <si>
    <t>SMP-WO-1311375</t>
  </si>
  <si>
    <t>SMP-WO-1311376</t>
  </si>
  <si>
    <t>SMP-WO-1311379</t>
  </si>
  <si>
    <t>SMP-WO-1311380</t>
  </si>
  <si>
    <t>SMP-WO-1311381</t>
  </si>
  <si>
    <t>SMP-WO-1311382</t>
  </si>
  <si>
    <t>SMP-WO-1311383</t>
  </si>
  <si>
    <t>SMP-WO-1311384</t>
  </si>
  <si>
    <t>SMP-WO-1311385</t>
  </si>
  <si>
    <t>SMP-WO-1311386</t>
  </si>
  <si>
    <t>SMP-WO-1311387</t>
  </si>
  <si>
    <t>SMP-WO-1311388</t>
  </si>
  <si>
    <t>SMP-WO-1311389</t>
  </si>
  <si>
    <t>SMP-WO-1311391</t>
  </si>
  <si>
    <t>SMP-WO-1311392</t>
  </si>
  <si>
    <t>SMP-WO-1311393</t>
  </si>
  <si>
    <t>SMP-WO-1311394</t>
  </si>
  <si>
    <t>SMP-WO-1311395</t>
  </si>
  <si>
    <t>SMP-WO-1311396</t>
  </si>
  <si>
    <t>SMP-WO-1311397</t>
  </si>
  <si>
    <t>SMP-WO-1311398</t>
  </si>
  <si>
    <t>SMP-WO-1311400</t>
  </si>
  <si>
    <t>SMP-WO-1311401</t>
  </si>
  <si>
    <t>SMP-WO-1311402</t>
  </si>
  <si>
    <t>SMP-WO-1311403</t>
  </si>
  <si>
    <t>SMP-WO-1311405</t>
  </si>
  <si>
    <t>SMP-WO-1311406</t>
  </si>
  <si>
    <t>SMP-WO-1311407</t>
  </si>
  <si>
    <t>SMP-WO-1311408</t>
  </si>
  <si>
    <t>SMP-WO-1311409</t>
  </si>
  <si>
    <t>SMP-WO-1311410</t>
  </si>
  <si>
    <t>SMP-WO-1311411</t>
  </si>
  <si>
    <t>SMP-WO-1311412</t>
  </si>
  <si>
    <t>SMP-WO-1311414</t>
  </si>
  <si>
    <t>SMP-WO-1311415</t>
  </si>
  <si>
    <t>SMP-WO-1311417</t>
  </si>
  <si>
    <t>SMP-WO-1311418</t>
  </si>
  <si>
    <t>SMP-WO-1311684</t>
  </si>
  <si>
    <t>SMP-WO-1311685</t>
  </si>
  <si>
    <t>SMP-WO-1311686</t>
  </si>
  <si>
    <t>SMP-WO-1311687</t>
  </si>
  <si>
    <t>SMP-WO-1311688</t>
  </si>
  <si>
    <t>SMP-WO-1311689</t>
  </si>
  <si>
    <t>SMP-WO-1311690</t>
  </si>
  <si>
    <t>SMP-WO-1311691</t>
  </si>
  <si>
    <t>SMP-WO-1311692</t>
  </si>
  <si>
    <t>SMP-WO-1311693</t>
  </si>
  <si>
    <t>SMP-WO-1311694</t>
  </si>
  <si>
    <t>SMP-WO-1311695</t>
  </si>
  <si>
    <t>SMP-WO-1311696</t>
  </si>
  <si>
    <t>SMP-WO-1311697</t>
  </si>
  <si>
    <t>SMP-WO-1311698</t>
  </si>
  <si>
    <t>SMP-WO-1311699</t>
  </si>
  <si>
    <t>SMP-WO-1311700</t>
  </si>
  <si>
    <t>SMP-WO-1311701</t>
  </si>
  <si>
    <t>SMP-WO-1311703</t>
  </si>
  <si>
    <t>SMP-WO-1312332</t>
  </si>
  <si>
    <t>SMP-WO-1312333</t>
  </si>
  <si>
    <t>AUH4197</t>
  </si>
  <si>
    <t>AUH3067</t>
  </si>
  <si>
    <t>AUH2733</t>
  </si>
  <si>
    <t>AUH4507</t>
  </si>
  <si>
    <t>SMP-WO-1313802</t>
  </si>
  <si>
    <t>SMP-WO-1313780</t>
  </si>
  <si>
    <t>SMP-WO-1313804</t>
  </si>
  <si>
    <t>SMP-WO-1313781</t>
  </si>
  <si>
    <t>SMP-WO-1313782</t>
  </si>
  <si>
    <t>SMP-WO-1313783</t>
  </si>
  <si>
    <t>SMP-WO-1313784</t>
  </si>
  <si>
    <t>TBD</t>
  </si>
  <si>
    <t>3S-3CC-AREA/ARGA</t>
  </si>
  <si>
    <t>ASIM+1xABIA+1xABIP+1xAREA+1xARGA+1xARMA+1xARDA+1xFPFH</t>
  </si>
  <si>
    <t>4S-3CC-AREA/ARGA</t>
  </si>
  <si>
    <t>ASIM+1xABIA+1xABIP+1xAREA+1xARGA+1xARMA+1xARDA+1xAHPMDI+1xFPFH</t>
  </si>
  <si>
    <t>OD_SRAN
3S-LTE, 4S-3G
2xU900+1xLTE800+ 1xLTE1800+1xL2100 
New Sites 3G/LTE 3CC</t>
  </si>
  <si>
    <t>210KM</t>
  </si>
  <si>
    <t>AUH4186</t>
  </si>
  <si>
    <t>Antenna Swap_5G</t>
  </si>
  <si>
    <t>5G Antenna SWAP_HEXABAND</t>
  </si>
  <si>
    <t>AUH4289</t>
  </si>
  <si>
    <t>Full Site_Dismantling</t>
  </si>
  <si>
    <t>AUG4355</t>
  </si>
  <si>
    <t>Full site Dismantling</t>
  </si>
  <si>
    <t>Existing AQQL replaced with IPAA+_AVQL</t>
  </si>
  <si>
    <t>Unit Price ($)</t>
  </si>
  <si>
    <t>SMP-WO-1315565</t>
  </si>
  <si>
    <t>SMP-WO-1315584</t>
  </si>
  <si>
    <t>SMP-WO-1315567</t>
  </si>
  <si>
    <t>SMP-WO-1315568</t>
  </si>
  <si>
    <t>SMP-WO-1315570</t>
  </si>
  <si>
    <t>SMP-WO-1315571</t>
  </si>
  <si>
    <t>SMP-WO-1315572</t>
  </si>
  <si>
    <t>Cherry picker - AED7200</t>
  </si>
  <si>
    <t>new 3g/lte 3x Hexabem Sectors lte/3g colocation 3cc</t>
  </si>
  <si>
    <t>250KM</t>
  </si>
  <si>
    <t>AUH2988</t>
  </si>
  <si>
    <t>CICPA/Military Factor</t>
  </si>
  <si>
    <t>CICPA</t>
  </si>
  <si>
    <t>HOI</t>
  </si>
  <si>
    <t>AUG4289</t>
  </si>
  <si>
    <t>SMP-WO-1316915</t>
  </si>
  <si>
    <t>SMP-WO-1316916</t>
  </si>
  <si>
    <t>SMP-WO-1316917</t>
  </si>
  <si>
    <t>AUH3651</t>
  </si>
  <si>
    <t>308kM</t>
  </si>
  <si>
    <t>316kM</t>
  </si>
  <si>
    <t>324kM</t>
  </si>
  <si>
    <t>272kM</t>
  </si>
  <si>
    <t>302kM</t>
  </si>
  <si>
    <t>305kM</t>
  </si>
  <si>
    <t>SMP-WO-1316980</t>
  </si>
  <si>
    <t>SMP-WO-1316982</t>
  </si>
  <si>
    <t>SMP-WO-1316983</t>
  </si>
  <si>
    <t>SMP-WO-1316984</t>
  </si>
  <si>
    <t>SMP-WO-1316985</t>
  </si>
  <si>
    <t>SMP-WO-1316987</t>
  </si>
  <si>
    <t>AUH3333</t>
  </si>
  <si>
    <t>AUH2806</t>
  </si>
  <si>
    <t>AUH1960</t>
  </si>
  <si>
    <t>AUH1821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</si>
</sst>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\-mmm\-yyyy;@"/>
    <numFmt numFmtId="166" formatCode="[$-14C09]d\ mmmm\ yyyy;@"/>
    <numFmt numFmtId="167" formatCode="_-[$$-409]* #,##0.0_ ;_-[$$-409]* \-#,##0.0\ ;_-[$$-409]* &quot;-&quot;??_ ;_-@_ "/>
    <numFmt numFmtId="168" formatCode="_-[$$-409]* #,##0.00_ ;_-[$$-409]* \-#,##0.00\ ;_-[$$-409]* &quot;-&quot;??_ ;_-@_ "/>
  </numFmts>
  <fonts count="5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Aptos Narrow"/>
      <family val="2"/>
    </font>
    <font>
      <b/>
      <sz val="16"/>
      <color theme="1"/>
      <name val="Aptos Narrow"/>
      <family val="2"/>
    </font>
    <font>
      <b/>
      <sz val="20"/>
      <color rgb="FFFFFFFF"/>
      <name val="Aptos Narrow"/>
      <family val="2"/>
    </font>
    <font>
      <sz val="16"/>
      <color theme="1"/>
      <name val="Aptos Narrow"/>
      <family val="2"/>
    </font>
    <font>
      <sz val="20"/>
      <color rgb="FF000000"/>
      <name val="Aptos Narrow"/>
      <family val="2"/>
    </font>
    <font>
      <b/>
      <sz val="20"/>
      <color rgb="FF000000"/>
      <name val="Aptos Narrow"/>
      <family val="2"/>
    </font>
    <font>
      <b/>
      <sz val="16"/>
      <color theme="0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2"/>
      <color theme="1"/>
      <name val="Aptos Narrow"/>
      <family val="2"/>
    </font>
    <font>
      <sz val="9"/>
      <color theme="1"/>
      <name val="Aptos Narrow"/>
      <family val="2"/>
    </font>
    <font>
      <b/>
      <sz val="9"/>
      <color rgb="FFFFFFFF"/>
      <name val="Aptos Narrow"/>
      <family val="2"/>
    </font>
    <font>
      <sz val="11"/>
      <color theme="0"/>
      <name val="Calibri"/>
      <family val="2"/>
      <scheme val="minor"/>
    </font>
    <font>
      <b/>
      <sz val="8"/>
      <color theme="1"/>
      <name val="Aptos Narrow"/>
      <family val="2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20"/>
      <color theme="1"/>
      <name val="Aptos Narrow"/>
      <family val="2"/>
    </font>
    <font>
      <b/>
      <sz val="8"/>
      <color rgb="FF00B050"/>
      <name val="Aptos Narrow"/>
      <family val="2"/>
    </font>
    <font>
      <b/>
      <sz val="8"/>
      <color rgb="FFC00000"/>
      <name val="Aptos Narrow"/>
      <family val="2"/>
    </font>
    <font>
      <b/>
      <sz val="9"/>
      <color theme="1"/>
      <name val="Aptos Narrow"/>
      <family val="2"/>
    </font>
    <font>
      <b/>
      <sz val="9"/>
      <color rgb="FF00B050"/>
      <name val="Aptos Narrow"/>
      <family val="2"/>
    </font>
    <font>
      <b/>
      <sz val="9"/>
      <color rgb="FFC00000"/>
      <name val="Aptos Narrow"/>
      <family val="2"/>
    </font>
    <font>
      <b/>
      <sz val="16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theme="1"/>
      <name val="Aptos Narrow"/>
      <family val="2"/>
    </font>
    <font>
      <b/>
      <sz val="8"/>
      <color theme="0"/>
      <name val="Aptos Narrow"/>
      <family val="2"/>
    </font>
    <font>
      <sz val="9"/>
      <color theme="1"/>
      <name val="Aptos Narrow"/>
      <family val="2"/>
    </font>
    <font>
      <sz val="12"/>
      <color theme="1"/>
      <name val="Aptos Narrow"/>
      <family val="2"/>
    </font>
    <font>
      <b/>
      <sz val="9"/>
      <color theme="1"/>
      <name val="Aptos Narrow"/>
      <family val="2"/>
    </font>
    <font>
      <sz val="8"/>
      <color theme="1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16"/>
      <color theme="0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DAFF"/>
        <bgColor indexed="64"/>
      </patternFill>
    </fill>
    <fill>
      <patternFill patternType="solid">
        <fgColor rgb="FF43F9D1"/>
        <bgColor indexed="64"/>
      </patternFill>
    </fill>
    <fill>
      <patternFill patternType="solid">
        <fgColor rgb="FF06B48E"/>
        <bgColor indexed="64"/>
      </patternFill>
    </fill>
    <fill>
      <patternFill patternType="solid">
        <fgColor rgb="FF00A2FF"/>
        <bgColor indexed="64"/>
      </patternFill>
    </fill>
    <fill>
      <patternFill patternType="solid">
        <fgColor rgb="FF7ED7FE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7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2" xfId="0" quotePrefix="1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/>
    </xf>
    <xf numFmtId="9" fontId="11" fillId="0" borderId="2" xfId="3" applyFont="1" applyBorder="1" applyAlignment="1">
      <alignment horizontal="center" vertical="center"/>
    </xf>
    <xf numFmtId="9" fontId="11" fillId="12" borderId="2" xfId="3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0" fillId="8" borderId="10" xfId="0" applyFont="1" applyFill="1" applyBorder="1" applyAlignment="1">
      <alignment horizontal="center" vertical="center" wrapText="1" readingOrder="1"/>
    </xf>
    <xf numFmtId="0" fontId="10" fillId="8" borderId="11" xfId="0" applyFont="1" applyFill="1" applyBorder="1" applyAlignment="1">
      <alignment horizontal="center" vertical="center" wrapText="1" readingOrder="1"/>
    </xf>
    <xf numFmtId="0" fontId="10" fillId="8" borderId="12" xfId="0" applyFont="1" applyFill="1" applyBorder="1" applyAlignment="1">
      <alignment horizontal="center" vertical="center" wrapText="1" readingOrder="1"/>
    </xf>
    <xf numFmtId="0" fontId="10" fillId="8" borderId="13" xfId="0" applyFont="1" applyFill="1" applyBorder="1" applyAlignment="1">
      <alignment horizontal="center" vertical="center" wrapText="1" readingOrder="1"/>
    </xf>
    <xf numFmtId="0" fontId="10" fillId="8" borderId="14" xfId="0" applyFont="1" applyFill="1" applyBorder="1" applyAlignment="1">
      <alignment horizontal="center" vertical="center" wrapText="1" readingOrder="1"/>
    </xf>
    <xf numFmtId="0" fontId="11" fillId="13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9" fontId="11" fillId="0" borderId="9" xfId="3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9" fontId="11" fillId="0" borderId="11" xfId="3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9" fontId="11" fillId="0" borderId="14" xfId="3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 readingOrder="1"/>
    </xf>
    <xf numFmtId="0" fontId="15" fillId="11" borderId="13" xfId="0" applyFont="1" applyFill="1" applyBorder="1" applyAlignment="1">
      <alignment horizontal="center" vertical="center" wrapText="1" readingOrder="1"/>
    </xf>
    <xf numFmtId="9" fontId="15" fillId="11" borderId="14" xfId="0" applyNumberFormat="1" applyFont="1" applyFill="1" applyBorder="1" applyAlignment="1">
      <alignment horizontal="center" vertical="center" wrapText="1" readingOrder="1"/>
    </xf>
    <xf numFmtId="0" fontId="15" fillId="8" borderId="6" xfId="0" applyFont="1" applyFill="1" applyBorder="1" applyAlignment="1">
      <alignment horizontal="center" vertical="center" wrapText="1" readingOrder="1"/>
    </xf>
    <xf numFmtId="0" fontId="15" fillId="8" borderId="2" xfId="0" applyFont="1" applyFill="1" applyBorder="1" applyAlignment="1">
      <alignment horizontal="center" vertical="center" wrapText="1" readingOrder="1"/>
    </xf>
    <xf numFmtId="0" fontId="15" fillId="13" borderId="4" xfId="0" applyFont="1" applyFill="1" applyBorder="1" applyAlignment="1">
      <alignment horizontal="center" vertical="center" wrapText="1" readingOrder="1"/>
    </xf>
    <xf numFmtId="0" fontId="15" fillId="13" borderId="2" xfId="0" applyFont="1" applyFill="1" applyBorder="1" applyAlignment="1">
      <alignment horizontal="center" vertical="center" wrapText="1" readingOrder="1"/>
    </xf>
    <xf numFmtId="0" fontId="15" fillId="11" borderId="2" xfId="0" applyFont="1" applyFill="1" applyBorder="1" applyAlignment="1">
      <alignment horizontal="center" vertical="center" wrapText="1" readingOrder="1"/>
    </xf>
    <xf numFmtId="0" fontId="15" fillId="5" borderId="2" xfId="0" applyFont="1" applyFill="1" applyBorder="1" applyAlignment="1">
      <alignment horizontal="center" vertical="center" wrapText="1" readingOrder="1"/>
    </xf>
    <xf numFmtId="9" fontId="15" fillId="11" borderId="2" xfId="0" applyNumberFormat="1" applyFont="1" applyFill="1" applyBorder="1" applyAlignment="1">
      <alignment horizontal="center" vertical="center" wrapText="1" readingOrder="1"/>
    </xf>
    <xf numFmtId="0" fontId="16" fillId="14" borderId="2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 readingOrder="1"/>
    </xf>
    <xf numFmtId="9" fontId="13" fillId="0" borderId="2" xfId="3" applyFont="1" applyBorder="1" applyAlignment="1">
      <alignment horizontal="center" vertical="center" wrapText="1"/>
    </xf>
    <xf numFmtId="9" fontId="11" fillId="12" borderId="2" xfId="3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 readingOrder="1"/>
    </xf>
    <xf numFmtId="9" fontId="16" fillId="14" borderId="2" xfId="3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2" xfId="0" quotePrefix="1" applyNumberFormat="1" applyFont="1" applyBorder="1" applyAlignment="1">
      <alignment horizontal="center" vertical="center"/>
    </xf>
    <xf numFmtId="0" fontId="18" fillId="0" borderId="0" xfId="0" applyFont="1"/>
    <xf numFmtId="165" fontId="19" fillId="0" borderId="2" xfId="0" quotePrefix="1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2" xfId="0" quotePrefix="1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2" xfId="0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2" xfId="0" quotePrefix="1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2" xfId="0" quotePrefix="1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5" fontId="25" fillId="0" borderId="2" xfId="0" applyNumberFormat="1" applyFont="1" applyBorder="1" applyAlignment="1">
      <alignment horizontal="center" vertical="center"/>
    </xf>
    <xf numFmtId="165" fontId="25" fillId="0" borderId="2" xfId="0" quotePrefix="1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5" fontId="26" fillId="0" borderId="2" xfId="0" applyNumberFormat="1" applyFont="1" applyBorder="1" applyAlignment="1">
      <alignment horizontal="center" vertical="center"/>
    </xf>
    <xf numFmtId="165" fontId="26" fillId="0" borderId="2" xfId="0" quotePrefix="1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2" xfId="0" quotePrefix="1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2" xfId="0" quotePrefix="1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49" fontId="31" fillId="15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23" borderId="24" xfId="0" applyFill="1" applyBorder="1" applyAlignment="1">
      <alignment horizontal="center" vertical="center" wrapText="1"/>
    </xf>
    <xf numFmtId="0" fontId="32" fillId="17" borderId="24" xfId="0" applyFont="1" applyFill="1" applyBorder="1" applyAlignment="1">
      <alignment horizontal="center" vertical="center" wrapText="1"/>
    </xf>
    <xf numFmtId="0" fontId="0" fillId="18" borderId="24" xfId="0" applyFill="1" applyBorder="1" applyAlignment="1">
      <alignment horizontal="center" vertical="center" wrapText="1"/>
    </xf>
    <xf numFmtId="0" fontId="0" fillId="18" borderId="25" xfId="0" applyFill="1" applyBorder="1" applyAlignment="1">
      <alignment horizontal="center" vertical="center" wrapText="1"/>
    </xf>
    <xf numFmtId="0" fontId="0" fillId="19" borderId="25" xfId="0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32" fillId="24" borderId="1" xfId="0" applyFont="1" applyFill="1" applyBorder="1" applyAlignment="1">
      <alignment horizontal="center" vertical="center" wrapText="1"/>
    </xf>
    <xf numFmtId="0" fontId="32" fillId="17" borderId="27" xfId="0" applyFont="1" applyFill="1" applyBorder="1" applyAlignment="1">
      <alignment horizontal="center" vertical="center" wrapText="1"/>
    </xf>
    <xf numFmtId="0" fontId="0" fillId="18" borderId="27" xfId="0" applyFill="1" applyBorder="1" applyAlignment="1">
      <alignment horizontal="center" vertical="center" wrapText="1"/>
    </xf>
    <xf numFmtId="0" fontId="0" fillId="19" borderId="27" xfId="0" applyFill="1" applyBorder="1" applyAlignment="1">
      <alignment horizontal="center" vertical="center" wrapText="1"/>
    </xf>
    <xf numFmtId="0" fontId="0" fillId="23" borderId="27" xfId="0" applyFill="1" applyBorder="1" applyAlignment="1">
      <alignment horizontal="center" vertical="center"/>
    </xf>
    <xf numFmtId="0" fontId="0" fillId="23" borderId="26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43" fontId="0" fillId="0" borderId="0" xfId="4" applyNumberFormat="1" applyFont="1" applyFill="1" applyAlignment="1">
      <alignment horizontal="center" vertical="center"/>
    </xf>
    <xf numFmtId="0" fontId="35" fillId="15" borderId="28" xfId="0" applyFont="1" applyFill="1" applyBorder="1" applyAlignment="1">
      <alignment horizontal="center" vertical="center"/>
    </xf>
    <xf numFmtId="0" fontId="36" fillId="23" borderId="27" xfId="0" applyFont="1" applyFill="1" applyBorder="1" applyAlignment="1">
      <alignment horizontal="center" vertical="center" wrapText="1"/>
    </xf>
    <xf numFmtId="0" fontId="35" fillId="17" borderId="27" xfId="0" applyFont="1" applyFill="1" applyBorder="1" applyAlignment="1">
      <alignment horizontal="center" vertical="center" wrapText="1"/>
    </xf>
    <xf numFmtId="0" fontId="36" fillId="18" borderId="27" xfId="0" applyFont="1" applyFill="1" applyBorder="1" applyAlignment="1">
      <alignment horizontal="center" vertical="center" wrapText="1"/>
    </xf>
    <xf numFmtId="0" fontId="36" fillId="20" borderId="26" xfId="0" applyFont="1" applyFill="1" applyBorder="1" applyAlignment="1">
      <alignment horizontal="center" vertical="center" wrapText="1"/>
    </xf>
    <xf numFmtId="0" fontId="36" fillId="20" borderId="1" xfId="0" applyFont="1" applyFill="1" applyBorder="1" applyAlignment="1">
      <alignment horizontal="center" vertical="center" wrapText="1"/>
    </xf>
    <xf numFmtId="0" fontId="35" fillId="21" borderId="1" xfId="0" applyFont="1" applyFill="1" applyBorder="1" applyAlignment="1">
      <alignment horizontal="center" vertical="center" wrapText="1"/>
    </xf>
    <xf numFmtId="0" fontId="36" fillId="22" borderId="1" xfId="0" applyFont="1" applyFill="1" applyBorder="1" applyAlignment="1">
      <alignment horizontal="center" vertical="center" wrapText="1"/>
    </xf>
    <xf numFmtId="0" fontId="36" fillId="21" borderId="1" xfId="0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center" vertical="center" wrapText="1"/>
    </xf>
    <xf numFmtId="0" fontId="37" fillId="4" borderId="29" xfId="0" applyFont="1" applyFill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22" borderId="29" xfId="0" applyFont="1" applyFill="1" applyBorder="1" applyAlignment="1">
      <alignment horizontal="center" vertical="center"/>
    </xf>
    <xf numFmtId="1" fontId="37" fillId="0" borderId="27" xfId="0" applyNumberFormat="1" applyFont="1" applyBorder="1" applyAlignment="1">
      <alignment horizontal="center" vertical="center"/>
    </xf>
    <xf numFmtId="1" fontId="37" fillId="0" borderId="26" xfId="0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textRotation="180" wrapText="1"/>
    </xf>
    <xf numFmtId="0" fontId="29" fillId="0" borderId="2" xfId="0" applyFont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textRotation="180"/>
    </xf>
    <xf numFmtId="0" fontId="39" fillId="0" borderId="2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38" fillId="16" borderId="2" xfId="0" applyFont="1" applyFill="1" applyBorder="1" applyAlignment="1">
      <alignment vertical="center"/>
    </xf>
    <xf numFmtId="0" fontId="29" fillId="16" borderId="2" xfId="0" applyFont="1" applyFill="1" applyBorder="1" applyAlignment="1">
      <alignment horizontal="center" vertical="center" wrapText="1"/>
    </xf>
    <xf numFmtId="0" fontId="29" fillId="16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textRotation="180"/>
    </xf>
    <xf numFmtId="0" fontId="41" fillId="2" borderId="2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/>
    </xf>
    <xf numFmtId="166" fontId="41" fillId="5" borderId="2" xfId="0" applyNumberFormat="1" applyFont="1" applyFill="1" applyBorder="1" applyAlignment="1">
      <alignment horizontal="center" vertical="center"/>
    </xf>
    <xf numFmtId="0" fontId="0" fillId="0" borderId="0" xfId="4" applyNumberFormat="1" applyFont="1" applyFill="1" applyAlignment="1">
      <alignment horizontal="center" vertical="center"/>
    </xf>
    <xf numFmtId="167" fontId="34" fillId="0" borderId="0" xfId="0" applyNumberFormat="1" applyFont="1" applyAlignment="1">
      <alignment horizontal="center" vertical="center"/>
    </xf>
    <xf numFmtId="0" fontId="37" fillId="22" borderId="30" xfId="0" applyFon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43" fontId="44" fillId="0" borderId="0" xfId="0" applyNumberFormat="1" applyFont="1" applyAlignment="1">
      <alignment horizontal="center" vertical="center"/>
    </xf>
    <xf numFmtId="43" fontId="44" fillId="0" borderId="0" xfId="4" applyNumberFormat="1" applyFont="1" applyFill="1" applyAlignment="1">
      <alignment horizontal="center" vertical="center"/>
    </xf>
    <xf numFmtId="0" fontId="44" fillId="19" borderId="28" xfId="0" applyFont="1" applyFill="1" applyBorder="1" applyAlignment="1">
      <alignment horizontal="center" vertical="center"/>
    </xf>
    <xf numFmtId="0" fontId="44" fillId="19" borderId="29" xfId="0" applyFont="1" applyFill="1" applyBorder="1" applyAlignment="1">
      <alignment horizontal="center" vertical="center"/>
    </xf>
    <xf numFmtId="0" fontId="45" fillId="5" borderId="29" xfId="0" applyFont="1" applyFill="1" applyBorder="1" applyAlignment="1">
      <alignment horizontal="center" vertical="center"/>
    </xf>
    <xf numFmtId="0" fontId="44" fillId="22" borderId="29" xfId="0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7" fillId="23" borderId="27" xfId="4" applyNumberFormat="1" applyFont="1" applyFill="1" applyBorder="1" applyAlignment="1">
      <alignment horizontal="center" vertical="center"/>
    </xf>
    <xf numFmtId="0" fontId="32" fillId="17" borderId="27" xfId="4" applyNumberFormat="1" applyFont="1" applyFill="1" applyBorder="1" applyAlignment="1">
      <alignment horizontal="center" vertical="center"/>
    </xf>
    <xf numFmtId="0" fontId="7" fillId="18" borderId="27" xfId="4" applyNumberFormat="1" applyFont="1" applyFill="1" applyBorder="1" applyAlignment="1">
      <alignment horizontal="center" vertical="center"/>
    </xf>
    <xf numFmtId="0" fontId="7" fillId="20" borderId="26" xfId="4" applyNumberFormat="1" applyFont="1" applyFill="1" applyBorder="1" applyAlignment="1">
      <alignment horizontal="center" vertical="center"/>
    </xf>
    <xf numFmtId="0" fontId="7" fillId="20" borderId="1" xfId="4" applyNumberFormat="1" applyFont="1" applyFill="1" applyBorder="1" applyAlignment="1">
      <alignment horizontal="center" vertical="center"/>
    </xf>
    <xf numFmtId="0" fontId="7" fillId="21" borderId="1" xfId="4" applyNumberFormat="1" applyFont="1" applyFill="1" applyBorder="1" applyAlignment="1">
      <alignment horizontal="center" vertical="center"/>
    </xf>
    <xf numFmtId="0" fontId="7" fillId="22" borderId="1" xfId="4" applyNumberFormat="1" applyFont="1" applyFill="1" applyBorder="1" applyAlignment="1">
      <alignment horizontal="center" vertical="center"/>
    </xf>
    <xf numFmtId="0" fontId="32" fillId="24" borderId="1" xfId="4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16" borderId="32" xfId="0" applyFill="1" applyBorder="1" applyAlignment="1">
      <alignment horizontal="center" vertical="center" wrapText="1"/>
    </xf>
    <xf numFmtId="0" fontId="0" fillId="16" borderId="33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0" fontId="32" fillId="17" borderId="32" xfId="0" applyFont="1" applyFill="1" applyBorder="1" applyAlignment="1">
      <alignment horizontal="center" vertical="center"/>
    </xf>
    <xf numFmtId="0" fontId="32" fillId="17" borderId="33" xfId="0" applyFont="1" applyFill="1" applyBorder="1" applyAlignment="1">
      <alignment horizontal="center" vertical="center"/>
    </xf>
    <xf numFmtId="0" fontId="32" fillId="17" borderId="34" xfId="0" applyFont="1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0" fontId="0" fillId="18" borderId="34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 wrapText="1"/>
    </xf>
    <xf numFmtId="0" fontId="30" fillId="16" borderId="2" xfId="0" applyFont="1" applyFill="1" applyBorder="1" applyAlignment="1">
      <alignment horizontal="center" vertical="center"/>
    </xf>
    <xf numFmtId="166" fontId="29" fillId="16" borderId="2" xfId="0" applyNumberFormat="1" applyFont="1" applyFill="1" applyBorder="1" applyAlignment="1">
      <alignment horizontal="center" vertical="center" wrapText="1"/>
    </xf>
    <xf numFmtId="166" fontId="29" fillId="16" borderId="2" xfId="0" applyNumberFormat="1" applyFont="1" applyFill="1" applyBorder="1" applyAlignment="1">
      <alignment horizontal="center" vertical="center"/>
    </xf>
    <xf numFmtId="166" fontId="41" fillId="3" borderId="2" xfId="0" applyNumberFormat="1" applyFont="1" applyFill="1" applyBorder="1" applyAlignment="1">
      <alignment horizontal="center" vertical="center"/>
    </xf>
    <xf numFmtId="166" fontId="22" fillId="4" borderId="2" xfId="0" applyNumberFormat="1" applyFont="1" applyFill="1" applyBorder="1" applyAlignment="1">
      <alignment horizontal="center" vertical="center" wrapText="1"/>
    </xf>
    <xf numFmtId="166" fontId="22" fillId="0" borderId="2" xfId="0" applyNumberFormat="1" applyFont="1" applyBorder="1" applyAlignment="1">
      <alignment horizontal="center" vertical="center" wrapText="1"/>
    </xf>
    <xf numFmtId="166" fontId="29" fillId="0" borderId="2" xfId="0" applyNumberFormat="1" applyFont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 wrapText="1"/>
    </xf>
    <xf numFmtId="0" fontId="38" fillId="16" borderId="2" xfId="0" applyFont="1" applyFill="1" applyBorder="1" applyAlignment="1">
      <alignment vertical="center" wrapText="1"/>
    </xf>
    <xf numFmtId="0" fontId="47" fillId="14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 textRotation="180" wrapText="1"/>
    </xf>
    <xf numFmtId="0" fontId="33" fillId="6" borderId="2" xfId="0" applyFont="1" applyFill="1" applyBorder="1" applyAlignment="1">
      <alignment horizontal="center" vertical="center"/>
    </xf>
    <xf numFmtId="0" fontId="38" fillId="16" borderId="2" xfId="0" applyFont="1" applyFill="1" applyBorder="1" applyAlignment="1">
      <alignment horizontal="center" vertical="center" wrapText="1"/>
    </xf>
    <xf numFmtId="0" fontId="38" fillId="16" borderId="2" xfId="0" applyFont="1" applyFill="1" applyBorder="1" applyAlignment="1">
      <alignment horizontal="center" vertical="center"/>
    </xf>
    <xf numFmtId="0" fontId="0" fillId="22" borderId="24" xfId="0" applyFill="1" applyBorder="1" applyAlignment="1">
      <alignment horizontal="center" vertical="center" wrapText="1"/>
    </xf>
    <xf numFmtId="0" fontId="0" fillId="22" borderId="27" xfId="0" applyFill="1" applyBorder="1" applyAlignment="1">
      <alignment horizontal="center" vertical="center" wrapText="1"/>
    </xf>
    <xf numFmtId="0" fontId="37" fillId="22" borderId="27" xfId="0" applyFont="1" applyFill="1" applyBorder="1" applyAlignment="1">
      <alignment horizontal="center" vertical="center"/>
    </xf>
    <xf numFmtId="0" fontId="37" fillId="22" borderId="36" xfId="0" applyFont="1" applyFill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 wrapText="1"/>
    </xf>
    <xf numFmtId="166" fontId="46" fillId="4" borderId="2" xfId="0" applyNumberFormat="1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37" fillId="14" borderId="27" xfId="0" applyFont="1" applyFill="1" applyBorder="1" applyAlignment="1">
      <alignment horizontal="center" vertical="center"/>
    </xf>
    <xf numFmtId="1" fontId="37" fillId="14" borderId="27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51" fillId="4" borderId="2" xfId="0" applyFont="1" applyFill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165" fontId="52" fillId="0" borderId="2" xfId="0" applyNumberFormat="1" applyFont="1" applyBorder="1" applyAlignment="1">
      <alignment horizontal="center" vertical="center"/>
    </xf>
    <xf numFmtId="165" fontId="52" fillId="0" borderId="2" xfId="0" quotePrefix="1" applyNumberFormat="1" applyFont="1" applyBorder="1" applyAlignment="1">
      <alignment horizontal="center" vertical="center"/>
    </xf>
    <xf numFmtId="0" fontId="53" fillId="16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 wrapText="1"/>
    </xf>
    <xf numFmtId="0" fontId="5" fillId="16" borderId="2" xfId="0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168" fontId="5" fillId="25" borderId="2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166" fontId="4" fillId="16" borderId="2" xfId="0" applyNumberFormat="1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 wrapText="1"/>
    </xf>
    <xf numFmtId="0" fontId="0" fillId="23" borderId="27" xfId="4" applyNumberFormat="1" applyFont="1" applyFill="1" applyBorder="1" applyAlignment="1">
      <alignment horizontal="center" vertical="center"/>
    </xf>
    <xf numFmtId="9" fontId="54" fillId="14" borderId="2" xfId="3" applyFon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1" borderId="22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32" fillId="17" borderId="20" xfId="0" applyFont="1" applyFill="1" applyBorder="1" applyAlignment="1">
      <alignment horizontal="center" vertical="center"/>
    </xf>
    <xf numFmtId="0" fontId="32" fillId="17" borderId="21" xfId="0" applyFont="1" applyFill="1" applyBorder="1" applyAlignment="1">
      <alignment horizontal="center" vertical="center"/>
    </xf>
    <xf numFmtId="0" fontId="32" fillId="17" borderId="22" xfId="0" applyFont="1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2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1"/>
    </xf>
    <xf numFmtId="0" fontId="10" fillId="7" borderId="10" xfId="0" applyFont="1" applyFill="1" applyBorder="1" applyAlignment="1">
      <alignment horizontal="center" vertical="center" wrapText="1" readingOrder="1"/>
    </xf>
    <xf numFmtId="0" fontId="10" fillId="7" borderId="12" xfId="0" applyFont="1" applyFill="1" applyBorder="1" applyAlignment="1">
      <alignment horizontal="center" vertical="center" wrapText="1" readingOrder="1"/>
    </xf>
    <xf numFmtId="0" fontId="10" fillId="7" borderId="2" xfId="0" applyFont="1" applyFill="1" applyBorder="1" applyAlignment="1">
      <alignment horizontal="center" vertical="center" wrapText="1" readingOrder="1"/>
    </xf>
    <xf numFmtId="0" fontId="10" fillId="7" borderId="13" xfId="0" applyFont="1" applyFill="1" applyBorder="1" applyAlignment="1">
      <alignment horizontal="center" vertical="center" wrapText="1" readingOrder="1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4" xfId="0" applyFont="1" applyFill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 wrapText="1" readingOrder="1"/>
    </xf>
    <xf numFmtId="0" fontId="12" fillId="9" borderId="0" xfId="0" applyFont="1" applyFill="1" applyAlignment="1">
      <alignment horizontal="center" vertical="center" wrapText="1" readingOrder="1"/>
    </xf>
    <xf numFmtId="0" fontId="14" fillId="10" borderId="19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 wrapText="1" readingOrder="1"/>
    </xf>
    <xf numFmtId="0" fontId="10" fillId="8" borderId="3" xfId="0" applyFont="1" applyFill="1" applyBorder="1" applyAlignment="1">
      <alignment horizontal="center" vertical="center" wrapText="1" readingOrder="1"/>
    </xf>
    <xf numFmtId="0" fontId="10" fillId="8" borderId="15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10" fillId="5" borderId="15" xfId="0" applyFont="1" applyFill="1" applyBorder="1" applyAlignment="1">
      <alignment horizontal="center" vertical="center" wrapText="1" readingOrder="1"/>
    </xf>
  </cellXfs>
  <cellStyles count="5">
    <cellStyle name="Comma 2 2" xfId="4" xr:uid="{B2D08AE7-9E0C-4CE3-A8DC-970059D36B98}"/>
    <cellStyle name="Normal" xfId="0" builtinId="0"/>
    <cellStyle name="Normal 2" xfId="1" xr:uid="{EE5F84D6-3846-4624-8924-36C98C0E4BB0}"/>
    <cellStyle name="Normal 3" xfId="2" xr:uid="{E87A0B48-AA95-482D-8F3B-D201A9373BDC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8E73-BC58-4203-98F2-6C472075F182}">
  <dimension ref="A1:CL253"/>
  <sheetViews>
    <sheetView tabSelected="1" zoomScale="80" zoomScaleNormal="80" workbookViewId="0">
      <pane xSplit="7" ySplit="8" topLeftCell="H84" activePane="bottomRight" state="frozen"/>
      <selection pane="topRight" activeCell="H1" sqref="H1"/>
      <selection pane="bottomLeft" activeCell="A9" sqref="A9"/>
      <selection pane="bottomRight" activeCell="A86" sqref="A86"/>
    </sheetView>
  </sheetViews>
  <sheetFormatPr defaultColWidth="5.453125" defaultRowHeight="16" x14ac:dyDescent="0.35"/>
  <cols>
    <col min="1" max="1" width="11.453125" style="92" bestFit="1" customWidth="1"/>
    <col min="2" max="2" width="12.7265625" style="92" bestFit="1" customWidth="1"/>
    <col min="3" max="3" width="14.26953125" style="92" bestFit="1" customWidth="1"/>
    <col min="4" max="4" width="16.81640625" style="92" bestFit="1" customWidth="1"/>
    <col min="5" max="5" width="10.7265625" style="92" bestFit="1" customWidth="1"/>
    <col min="6" max="6" width="54" style="92" bestFit="1" customWidth="1"/>
    <col min="7" max="7" width="18.1796875" style="194" customWidth="1"/>
    <col min="8" max="8" width="9.81640625" style="73" customWidth="1"/>
    <col min="9" max="9" width="10.7265625" style="73" customWidth="1"/>
    <col min="10" max="10" width="9.81640625" style="73" customWidth="1"/>
    <col min="11" max="11" width="11" style="73" customWidth="1"/>
    <col min="12" max="12" width="9.81640625" style="73" customWidth="1"/>
    <col min="13" max="21" width="10.7265625" style="73" customWidth="1"/>
    <col min="22" max="23" width="11.81640625" style="73" customWidth="1"/>
    <col min="24" max="24" width="9.81640625" style="73" customWidth="1"/>
    <col min="25" max="25" width="11" style="73" customWidth="1"/>
    <col min="26" max="26" width="9.81640625" style="73" customWidth="1"/>
    <col min="27" max="27" width="9.1796875" style="73" customWidth="1"/>
    <col min="28" max="29" width="9.81640625" style="73" customWidth="1"/>
    <col min="30" max="31" width="10.7265625" style="73" customWidth="1"/>
    <col min="32" max="33" width="11" style="73" customWidth="1"/>
    <col min="34" max="34" width="10.7265625" style="73" customWidth="1"/>
    <col min="35" max="35" width="11" style="73" customWidth="1"/>
    <col min="36" max="39" width="9.81640625" style="73" customWidth="1"/>
    <col min="40" max="40" width="11" style="73" customWidth="1"/>
    <col min="41" max="41" width="9.81640625" style="73" customWidth="1"/>
    <col min="42" max="43" width="11" style="73" customWidth="1"/>
    <col min="44" max="44" width="9.81640625" style="73" customWidth="1"/>
    <col min="45" max="45" width="10.7265625" style="73" customWidth="1"/>
    <col min="46" max="47" width="9.1796875" style="73" customWidth="1"/>
    <col min="48" max="50" width="10.7265625" style="73" customWidth="1"/>
    <col min="51" max="51" width="11" style="73" customWidth="1"/>
    <col min="52" max="52" width="9.1796875" style="73" customWidth="1"/>
    <col min="53" max="56" width="10.7265625" style="73" customWidth="1"/>
    <col min="57" max="58" width="11" style="73" customWidth="1"/>
    <col min="59" max="59" width="9.81640625" style="73" customWidth="1"/>
    <col min="60" max="60" width="11" style="73" customWidth="1"/>
    <col min="61" max="61" width="9.1796875" style="73" customWidth="1"/>
    <col min="62" max="62" width="9.81640625" style="73" customWidth="1"/>
    <col min="63" max="64" width="10.7265625" style="92" customWidth="1"/>
    <col min="65" max="65" width="9.1796875" style="92" customWidth="1"/>
    <col min="66" max="70" width="10.7265625" style="92" customWidth="1"/>
    <col min="71" max="71" width="11" style="92" customWidth="1"/>
    <col min="72" max="73" width="9.7265625" style="92" customWidth="1"/>
    <col min="74" max="75" width="9.81640625" style="92" customWidth="1"/>
    <col min="76" max="76" width="10.26953125" style="92" customWidth="1"/>
    <col min="77" max="77" width="18.54296875" style="92" customWidth="1"/>
    <col min="78" max="78" width="28.453125" style="92" customWidth="1"/>
    <col min="79" max="79" width="22" style="92" customWidth="1"/>
    <col min="80" max="80" width="32.54296875" style="92" customWidth="1"/>
    <col min="81" max="81" width="11.7265625" style="92" customWidth="1"/>
    <col min="82" max="82" width="18.1796875" style="92" customWidth="1"/>
    <col min="83" max="83" width="18.1796875" style="200" bestFit="1" customWidth="1"/>
    <col min="84" max="84" width="11.453125" style="92" bestFit="1" customWidth="1"/>
    <col min="85" max="85" width="15" style="217" bestFit="1" customWidth="1"/>
    <col min="86" max="86" width="14.453125" style="92" bestFit="1" customWidth="1"/>
    <col min="87" max="87" width="19.7265625" style="92" bestFit="1" customWidth="1"/>
    <col min="88" max="88" width="18.26953125" style="200" bestFit="1" customWidth="1"/>
    <col min="89" max="89" width="24.453125" style="92" bestFit="1" customWidth="1"/>
    <col min="90" max="90" width="18.7265625" style="92" bestFit="1" customWidth="1"/>
    <col min="91" max="16384" width="5.453125" style="92"/>
  </cols>
  <sheetData>
    <row r="1" spans="1:90" s="140" customFormat="1" ht="104.5" customHeight="1" x14ac:dyDescent="0.35">
      <c r="A1" s="202"/>
      <c r="B1" s="202"/>
      <c r="C1" s="202"/>
      <c r="D1" s="202"/>
      <c r="E1" s="206"/>
      <c r="F1" s="202"/>
      <c r="G1" s="152" t="s">
        <v>1388</v>
      </c>
      <c r="H1" s="139" t="s">
        <v>1456</v>
      </c>
      <c r="I1" s="139" t="s">
        <v>1986</v>
      </c>
      <c r="J1" s="139" t="s">
        <v>1457</v>
      </c>
      <c r="K1" s="139" t="s">
        <v>1987</v>
      </c>
      <c r="L1" s="139" t="s">
        <v>1396</v>
      </c>
      <c r="M1" s="139" t="s">
        <v>1399</v>
      </c>
      <c r="N1" s="139" t="s">
        <v>1400</v>
      </c>
      <c r="O1" s="139" t="s">
        <v>1458</v>
      </c>
      <c r="P1" s="139" t="s">
        <v>1459</v>
      </c>
      <c r="Q1" s="139" t="s">
        <v>1401</v>
      </c>
      <c r="R1" s="139" t="s">
        <v>1402</v>
      </c>
      <c r="S1" s="139" t="s">
        <v>1973</v>
      </c>
      <c r="T1" s="139" t="s">
        <v>1974</v>
      </c>
      <c r="U1" s="139" t="s">
        <v>1408</v>
      </c>
      <c r="V1" s="139" t="s">
        <v>1770</v>
      </c>
      <c r="W1" s="139" t="s">
        <v>1771</v>
      </c>
      <c r="X1" s="139" t="s">
        <v>1410</v>
      </c>
      <c r="Y1" s="139" t="s">
        <v>1411</v>
      </c>
      <c r="Z1" s="139" t="s">
        <v>1465</v>
      </c>
      <c r="AA1" s="139" t="s">
        <v>1772</v>
      </c>
      <c r="AB1" s="139" t="s">
        <v>1412</v>
      </c>
      <c r="AC1" s="139" t="s">
        <v>1413</v>
      </c>
      <c r="AD1" s="139" t="s">
        <v>1414</v>
      </c>
      <c r="AE1" s="139" t="s">
        <v>1470</v>
      </c>
      <c r="AF1" s="139" t="s">
        <v>1415</v>
      </c>
      <c r="AG1" s="139" t="s">
        <v>1472</v>
      </c>
      <c r="AH1" s="139" t="s">
        <v>1416</v>
      </c>
      <c r="AI1" s="139" t="s">
        <v>1773</v>
      </c>
      <c r="AJ1" s="139" t="s">
        <v>1417</v>
      </c>
      <c r="AK1" s="139" t="s">
        <v>1418</v>
      </c>
      <c r="AL1" s="139" t="s">
        <v>1419</v>
      </c>
      <c r="AM1" s="139" t="s">
        <v>1474</v>
      </c>
      <c r="AN1" s="139" t="s">
        <v>1420</v>
      </c>
      <c r="AO1" s="139" t="s">
        <v>1421</v>
      </c>
      <c r="AP1" s="139" t="s">
        <v>1422</v>
      </c>
      <c r="AQ1" s="139" t="s">
        <v>1423</v>
      </c>
      <c r="AR1" s="139" t="s">
        <v>1475</v>
      </c>
      <c r="AS1" s="139" t="s">
        <v>1424</v>
      </c>
      <c r="AT1" s="139" t="s">
        <v>1425</v>
      </c>
      <c r="AU1" s="139" t="s">
        <v>1426</v>
      </c>
      <c r="AV1" s="139" t="s">
        <v>1427</v>
      </c>
      <c r="AW1" s="139" t="s">
        <v>1428</v>
      </c>
      <c r="AX1" s="139" t="s">
        <v>1431</v>
      </c>
      <c r="AY1" s="139" t="s">
        <v>1432</v>
      </c>
      <c r="AZ1" s="139" t="s">
        <v>1433</v>
      </c>
      <c r="BA1" s="139" t="s">
        <v>1436</v>
      </c>
      <c r="BB1" s="139" t="s">
        <v>1437</v>
      </c>
      <c r="BC1" s="139" t="s">
        <v>1438</v>
      </c>
      <c r="BD1" s="139" t="s">
        <v>1439</v>
      </c>
      <c r="BE1" s="139" t="s">
        <v>1440</v>
      </c>
      <c r="BF1" s="139" t="s">
        <v>1488</v>
      </c>
      <c r="BG1" s="139" t="s">
        <v>1489</v>
      </c>
      <c r="BH1" s="139" t="s">
        <v>1441</v>
      </c>
      <c r="BI1" s="139" t="s">
        <v>1442</v>
      </c>
      <c r="BJ1" s="139" t="s">
        <v>1490</v>
      </c>
      <c r="BK1" s="139" t="s">
        <v>1443</v>
      </c>
      <c r="BL1" s="139" t="s">
        <v>1444</v>
      </c>
      <c r="BM1" s="139" t="s">
        <v>1491</v>
      </c>
      <c r="BN1" s="139" t="s">
        <v>1492</v>
      </c>
      <c r="BO1" s="139" t="s">
        <v>1493</v>
      </c>
      <c r="BP1" s="139" t="s">
        <v>1495</v>
      </c>
      <c r="BQ1" s="139" t="s">
        <v>1445</v>
      </c>
      <c r="BR1" s="139" t="s">
        <v>1496</v>
      </c>
      <c r="BS1" s="139" t="s">
        <v>1446</v>
      </c>
      <c r="BT1" s="139" t="s">
        <v>1447</v>
      </c>
      <c r="BU1" s="139" t="s">
        <v>1448</v>
      </c>
      <c r="BV1" s="139" t="s">
        <v>1519</v>
      </c>
      <c r="BW1" s="139" t="s">
        <v>1434</v>
      </c>
      <c r="BX1" s="204" t="s">
        <v>2014</v>
      </c>
      <c r="BY1" s="148"/>
      <c r="BZ1" s="148"/>
      <c r="CA1" s="148"/>
      <c r="CB1" s="148"/>
      <c r="CC1" s="148"/>
      <c r="CD1" s="148"/>
      <c r="CE1" s="195"/>
      <c r="CF1" s="148"/>
      <c r="CG1" s="148"/>
      <c r="CH1" s="148"/>
      <c r="CI1" s="148"/>
      <c r="CJ1" s="195"/>
      <c r="CK1" s="148"/>
      <c r="CL1" s="148"/>
    </row>
    <row r="2" spans="1:90" s="5" customFormat="1" ht="14.5" x14ac:dyDescent="0.35">
      <c r="A2" s="229"/>
      <c r="B2" s="229"/>
      <c r="C2" s="229"/>
      <c r="D2" s="229"/>
      <c r="E2" s="230"/>
      <c r="F2" s="229"/>
      <c r="G2" s="235" t="s">
        <v>1756</v>
      </c>
      <c r="H2" s="235">
        <v>1</v>
      </c>
      <c r="I2" s="235">
        <v>2</v>
      </c>
      <c r="J2" s="235">
        <v>3</v>
      </c>
      <c r="K2" s="235">
        <v>4</v>
      </c>
      <c r="L2" s="235">
        <v>6</v>
      </c>
      <c r="M2" s="235">
        <v>9</v>
      </c>
      <c r="N2" s="235">
        <v>10</v>
      </c>
      <c r="O2" s="235">
        <v>11</v>
      </c>
      <c r="P2" s="235">
        <v>12</v>
      </c>
      <c r="Q2" s="235">
        <v>13</v>
      </c>
      <c r="R2" s="235">
        <v>14</v>
      </c>
      <c r="S2" s="235">
        <v>18</v>
      </c>
      <c r="T2" s="235">
        <v>17</v>
      </c>
      <c r="U2" s="235">
        <v>21</v>
      </c>
      <c r="V2" s="235">
        <v>22</v>
      </c>
      <c r="W2" s="235">
        <v>23</v>
      </c>
      <c r="X2" s="235">
        <v>26</v>
      </c>
      <c r="Y2" s="235">
        <v>27</v>
      </c>
      <c r="Z2" s="235">
        <v>28</v>
      </c>
      <c r="AA2" s="235">
        <v>31</v>
      </c>
      <c r="AB2" s="235">
        <v>33</v>
      </c>
      <c r="AC2" s="235">
        <v>34</v>
      </c>
      <c r="AD2" s="235">
        <v>35</v>
      </c>
      <c r="AE2" s="235">
        <v>36</v>
      </c>
      <c r="AF2" s="235">
        <v>37</v>
      </c>
      <c r="AG2" s="235">
        <v>39</v>
      </c>
      <c r="AH2" s="235">
        <v>40</v>
      </c>
      <c r="AI2" s="235">
        <v>41</v>
      </c>
      <c r="AJ2" s="235">
        <v>42</v>
      </c>
      <c r="AK2" s="235">
        <v>43</v>
      </c>
      <c r="AL2" s="235">
        <v>44</v>
      </c>
      <c r="AM2" s="235">
        <v>45</v>
      </c>
      <c r="AN2" s="235">
        <v>46</v>
      </c>
      <c r="AO2" s="235">
        <v>47</v>
      </c>
      <c r="AP2" s="235">
        <v>48</v>
      </c>
      <c r="AQ2" s="235">
        <v>49</v>
      </c>
      <c r="AR2" s="235">
        <v>50</v>
      </c>
      <c r="AS2" s="235">
        <v>51</v>
      </c>
      <c r="AT2" s="235">
        <v>52</v>
      </c>
      <c r="AU2" s="235">
        <v>53</v>
      </c>
      <c r="AV2" s="235">
        <v>62</v>
      </c>
      <c r="AW2" s="235">
        <v>63</v>
      </c>
      <c r="AX2" s="235">
        <v>66</v>
      </c>
      <c r="AY2" s="235">
        <v>67</v>
      </c>
      <c r="AZ2" s="235">
        <v>68</v>
      </c>
      <c r="BA2" s="235">
        <v>74</v>
      </c>
      <c r="BB2" s="235">
        <v>75</v>
      </c>
      <c r="BC2" s="235">
        <v>76</v>
      </c>
      <c r="BD2" s="235">
        <v>77</v>
      </c>
      <c r="BE2" s="235">
        <v>78</v>
      </c>
      <c r="BF2" s="235">
        <v>79</v>
      </c>
      <c r="BG2" s="235">
        <v>80</v>
      </c>
      <c r="BH2" s="235">
        <v>81</v>
      </c>
      <c r="BI2" s="235">
        <v>82</v>
      </c>
      <c r="BJ2" s="235">
        <v>83</v>
      </c>
      <c r="BK2" s="235">
        <v>84</v>
      </c>
      <c r="BL2" s="235">
        <v>85</v>
      </c>
      <c r="BM2" s="235">
        <v>86</v>
      </c>
      <c r="BN2" s="235">
        <v>87</v>
      </c>
      <c r="BO2" s="235">
        <v>88</v>
      </c>
      <c r="BP2" s="235">
        <v>90</v>
      </c>
      <c r="BQ2" s="235">
        <v>91</v>
      </c>
      <c r="BR2" s="235">
        <v>92</v>
      </c>
      <c r="BS2" s="235">
        <v>93</v>
      </c>
      <c r="BT2" s="235">
        <v>94</v>
      </c>
      <c r="BU2" s="235">
        <v>95</v>
      </c>
      <c r="BV2" s="235">
        <v>118</v>
      </c>
      <c r="BW2" s="235">
        <v>156</v>
      </c>
      <c r="BX2" s="235"/>
      <c r="BY2" s="233"/>
      <c r="BZ2" s="233"/>
      <c r="CA2" s="233"/>
      <c r="CB2" s="233"/>
      <c r="CC2" s="233"/>
      <c r="CD2" s="233"/>
      <c r="CE2" s="234"/>
      <c r="CF2" s="233"/>
      <c r="CG2" s="233"/>
      <c r="CH2" s="233"/>
      <c r="CI2" s="233"/>
      <c r="CJ2" s="234"/>
      <c r="CK2" s="233"/>
      <c r="CL2" s="233"/>
    </row>
    <row r="3" spans="1:90" s="5" customFormat="1" ht="14.5" x14ac:dyDescent="0.35">
      <c r="A3" s="229"/>
      <c r="B3" s="229"/>
      <c r="C3" s="229"/>
      <c r="D3" s="229"/>
      <c r="E3" s="230"/>
      <c r="F3" s="229"/>
      <c r="G3" s="231" t="s">
        <v>2141</v>
      </c>
      <c r="H3" s="232">
        <v>538.84</v>
      </c>
      <c r="I3" s="232">
        <v>1126.28</v>
      </c>
      <c r="J3" s="232">
        <v>793.25</v>
      </c>
      <c r="K3" s="232">
        <v>2859.75</v>
      </c>
      <c r="L3" s="232">
        <v>186.56</v>
      </c>
      <c r="M3" s="232">
        <v>2294.86</v>
      </c>
      <c r="N3" s="232">
        <v>2395.98</v>
      </c>
      <c r="O3" s="232">
        <v>2193.11</v>
      </c>
      <c r="P3" s="232">
        <v>2088.6799999999998</v>
      </c>
      <c r="Q3" s="232">
        <v>2006.96</v>
      </c>
      <c r="R3" s="232">
        <v>3271.09</v>
      </c>
      <c r="S3" s="232">
        <v>5190.21</v>
      </c>
      <c r="T3" s="232">
        <v>7984.54</v>
      </c>
      <c r="U3" s="232">
        <v>4884.3599999999997</v>
      </c>
      <c r="V3" s="232">
        <v>10455.950000000001</v>
      </c>
      <c r="W3" s="232">
        <v>13494.55</v>
      </c>
      <c r="X3" s="232">
        <v>423.76</v>
      </c>
      <c r="Y3" s="232">
        <v>941.08</v>
      </c>
      <c r="Z3" s="232">
        <v>329.38</v>
      </c>
      <c r="AA3" s="232">
        <v>516.41999999999996</v>
      </c>
      <c r="AB3" s="232">
        <v>329.38</v>
      </c>
      <c r="AC3" s="232">
        <v>64.680000000000007</v>
      </c>
      <c r="AD3" s="232">
        <v>4735.7299999999996</v>
      </c>
      <c r="AE3" s="232">
        <v>3409.73</v>
      </c>
      <c r="AF3" s="232">
        <v>2329.17</v>
      </c>
      <c r="AG3" s="232">
        <v>1053.21</v>
      </c>
      <c r="AH3" s="232">
        <v>1595.78</v>
      </c>
      <c r="AI3" s="232">
        <v>478.73</v>
      </c>
      <c r="AJ3" s="232">
        <v>226.49</v>
      </c>
      <c r="AK3" s="232">
        <v>39.549999999999997</v>
      </c>
      <c r="AL3" s="232">
        <v>42.6</v>
      </c>
      <c r="AM3" s="232">
        <v>236.66</v>
      </c>
      <c r="AN3" s="232">
        <v>180.88</v>
      </c>
      <c r="AO3" s="232">
        <v>13.44</v>
      </c>
      <c r="AP3" s="232">
        <v>458.92</v>
      </c>
      <c r="AQ3" s="232">
        <v>151.07</v>
      </c>
      <c r="AR3" s="232">
        <v>393.47</v>
      </c>
      <c r="AS3" s="232">
        <v>4705.76</v>
      </c>
      <c r="AT3" s="232">
        <v>396.73</v>
      </c>
      <c r="AU3" s="232">
        <v>869.03</v>
      </c>
      <c r="AV3" s="232">
        <v>4209.96</v>
      </c>
      <c r="AW3" s="232">
        <v>4113.3100000000004</v>
      </c>
      <c r="AX3" s="232">
        <v>3625.23</v>
      </c>
      <c r="AY3" s="232">
        <v>3920.27</v>
      </c>
      <c r="AZ3" s="232">
        <v>840.65</v>
      </c>
      <c r="BA3" s="232">
        <v>1452.31</v>
      </c>
      <c r="BB3" s="232">
        <v>2653.53</v>
      </c>
      <c r="BC3" s="232">
        <v>1452.31</v>
      </c>
      <c r="BD3" s="232">
        <v>2653.53</v>
      </c>
      <c r="BE3" s="232">
        <v>16.22</v>
      </c>
      <c r="BF3" s="232">
        <v>35.380000000000003</v>
      </c>
      <c r="BG3" s="232">
        <v>275.39999999999998</v>
      </c>
      <c r="BH3" s="232">
        <v>483.96</v>
      </c>
      <c r="BI3" s="232">
        <v>958.28</v>
      </c>
      <c r="BJ3" s="232">
        <v>50.86</v>
      </c>
      <c r="BK3" s="232">
        <v>7647.17</v>
      </c>
      <c r="BL3" s="232">
        <v>8411.89</v>
      </c>
      <c r="BM3" s="232">
        <v>850</v>
      </c>
      <c r="BN3" s="232">
        <v>1237.5</v>
      </c>
      <c r="BO3" s="232">
        <v>1650</v>
      </c>
      <c r="BP3" s="232">
        <v>1048</v>
      </c>
      <c r="BQ3" s="232">
        <v>1898</v>
      </c>
      <c r="BR3" s="232">
        <v>1048</v>
      </c>
      <c r="BS3" s="232">
        <v>129.5</v>
      </c>
      <c r="BT3" s="232">
        <v>162.30000000000001</v>
      </c>
      <c r="BU3" s="232">
        <v>231</v>
      </c>
      <c r="BV3" s="232">
        <v>401.19</v>
      </c>
      <c r="BW3" s="232">
        <v>704</v>
      </c>
      <c r="BX3" s="231"/>
      <c r="BY3" s="233"/>
      <c r="BZ3" s="233"/>
      <c r="CA3" s="233"/>
      <c r="CB3" s="233"/>
      <c r="CC3" s="233"/>
      <c r="CD3" s="233"/>
      <c r="CE3" s="234"/>
      <c r="CF3" s="233"/>
      <c r="CG3" s="233"/>
      <c r="CH3" s="233"/>
      <c r="CI3" s="233"/>
      <c r="CJ3" s="234"/>
      <c r="CK3" s="233"/>
      <c r="CL3" s="233"/>
    </row>
    <row r="4" spans="1:90" ht="51" customHeight="1" x14ac:dyDescent="0.35">
      <c r="A4" s="147"/>
      <c r="B4" s="147"/>
      <c r="C4" s="147"/>
      <c r="D4" s="147"/>
      <c r="E4" s="207"/>
      <c r="F4" s="147"/>
      <c r="G4" s="153" t="s">
        <v>1757</v>
      </c>
      <c r="H4" s="143">
        <v>3036542312</v>
      </c>
      <c r="I4" s="143">
        <v>3036542313</v>
      </c>
      <c r="J4" s="143">
        <v>3028812899</v>
      </c>
      <c r="K4" s="143">
        <v>3036542315</v>
      </c>
      <c r="L4" s="143">
        <v>3036542317</v>
      </c>
      <c r="M4" s="143">
        <v>3036542323</v>
      </c>
      <c r="N4" s="143">
        <v>3036542324</v>
      </c>
      <c r="O4" s="143">
        <v>3040432028</v>
      </c>
      <c r="P4" s="143">
        <v>3089443593</v>
      </c>
      <c r="Q4" s="143">
        <v>3036542325</v>
      </c>
      <c r="R4" s="143">
        <v>3036542326</v>
      </c>
      <c r="S4" s="151">
        <v>3036542334</v>
      </c>
      <c r="T4" s="143">
        <v>3036542329</v>
      </c>
      <c r="U4" s="151">
        <v>3016948126</v>
      </c>
      <c r="V4" s="151">
        <v>3036542333</v>
      </c>
      <c r="W4" s="151">
        <v>3036542339</v>
      </c>
      <c r="X4" s="143">
        <v>3015737098</v>
      </c>
      <c r="Y4" s="143">
        <v>3099358456</v>
      </c>
      <c r="Z4" s="143">
        <v>3094537448</v>
      </c>
      <c r="AA4" s="143">
        <v>3075395159</v>
      </c>
      <c r="AB4" s="143">
        <v>3037815194</v>
      </c>
      <c r="AC4" s="143">
        <v>3036542345</v>
      </c>
      <c r="AD4" s="143">
        <v>3036542346</v>
      </c>
      <c r="AE4" s="143">
        <v>3030631799</v>
      </c>
      <c r="AF4" s="143">
        <v>3036542348</v>
      </c>
      <c r="AG4" s="143">
        <v>3016948132</v>
      </c>
      <c r="AH4" s="143">
        <v>3036542347</v>
      </c>
      <c r="AI4" s="143">
        <v>3036542349</v>
      </c>
      <c r="AJ4" s="143">
        <v>3016948133</v>
      </c>
      <c r="AK4" s="143">
        <v>3016948134</v>
      </c>
      <c r="AL4" s="143">
        <v>3016948135</v>
      </c>
      <c r="AM4" s="143">
        <v>3014313726</v>
      </c>
      <c r="AN4" s="143">
        <v>3036542350</v>
      </c>
      <c r="AO4" s="143">
        <v>3036542351</v>
      </c>
      <c r="AP4" s="143">
        <v>3036542352</v>
      </c>
      <c r="AQ4" s="143">
        <v>3036542413</v>
      </c>
      <c r="AR4" s="143">
        <v>3099018936</v>
      </c>
      <c r="AS4" s="143">
        <v>3016948128</v>
      </c>
      <c r="AT4" s="143">
        <v>3016948129</v>
      </c>
      <c r="AU4" s="143">
        <v>3036542470</v>
      </c>
      <c r="AV4" s="143">
        <v>3036542353</v>
      </c>
      <c r="AW4" s="143">
        <v>3036542354</v>
      </c>
      <c r="AX4" s="143">
        <v>3036542359</v>
      </c>
      <c r="AY4" s="143">
        <v>3036542357</v>
      </c>
      <c r="AZ4" s="143">
        <v>3036542358</v>
      </c>
      <c r="BA4" s="143">
        <v>3036542378</v>
      </c>
      <c r="BB4" s="143">
        <v>3036542392</v>
      </c>
      <c r="BC4" s="143">
        <v>3036542379</v>
      </c>
      <c r="BD4" s="143">
        <v>3036542393</v>
      </c>
      <c r="BE4" s="143">
        <v>3036542380</v>
      </c>
      <c r="BF4" s="143">
        <v>3036542391</v>
      </c>
      <c r="BG4" s="143">
        <v>3040347406</v>
      </c>
      <c r="BH4" s="143">
        <v>3036542365</v>
      </c>
      <c r="BI4" s="143">
        <v>3036542389</v>
      </c>
      <c r="BJ4" s="143">
        <v>3086144987</v>
      </c>
      <c r="BK4" s="143">
        <v>3036542394</v>
      </c>
      <c r="BL4" s="143">
        <v>3036542395</v>
      </c>
      <c r="BM4" s="143">
        <v>3077554604</v>
      </c>
      <c r="BN4" s="143">
        <v>3016532073</v>
      </c>
      <c r="BO4" s="143">
        <v>3046826895</v>
      </c>
      <c r="BP4" s="143">
        <v>3080473321</v>
      </c>
      <c r="BQ4" s="143">
        <v>3016948151</v>
      </c>
      <c r="BR4" s="143">
        <v>3054883004</v>
      </c>
      <c r="BS4" s="143">
        <v>3091203535</v>
      </c>
      <c r="BT4" s="143">
        <v>3091203536</v>
      </c>
      <c r="BU4" s="143">
        <v>3091203537</v>
      </c>
      <c r="BV4" s="143">
        <v>3033455133</v>
      </c>
      <c r="BW4" s="143">
        <v>3013320641</v>
      </c>
      <c r="BX4" s="143"/>
      <c r="BY4" s="149"/>
      <c r="BZ4" s="149"/>
      <c r="CA4" s="149"/>
      <c r="CB4" s="149"/>
      <c r="CC4" s="149"/>
      <c r="CD4" s="149"/>
      <c r="CE4" s="196"/>
      <c r="CF4" s="149"/>
      <c r="CG4" s="149"/>
      <c r="CH4" s="149"/>
      <c r="CI4" s="149"/>
      <c r="CJ4" s="196"/>
      <c r="CK4" s="149"/>
      <c r="CL4" s="149"/>
    </row>
    <row r="5" spans="1:90" ht="13.5" customHeight="1" x14ac:dyDescent="0.35">
      <c r="A5" s="147"/>
      <c r="B5" s="147"/>
      <c r="C5" s="147"/>
      <c r="D5" s="147"/>
      <c r="E5" s="207"/>
      <c r="F5" s="147"/>
      <c r="G5" s="153" t="s">
        <v>1389</v>
      </c>
      <c r="H5" s="141" t="s">
        <v>1390</v>
      </c>
      <c r="I5" s="141" t="s">
        <v>1390</v>
      </c>
      <c r="J5" s="141" t="s">
        <v>1390</v>
      </c>
      <c r="K5" s="141" t="s">
        <v>1390</v>
      </c>
      <c r="L5" s="141" t="s">
        <v>1390</v>
      </c>
      <c r="M5" s="141" t="s">
        <v>1390</v>
      </c>
      <c r="N5" s="141" t="s">
        <v>1390</v>
      </c>
      <c r="O5" s="141" t="s">
        <v>1390</v>
      </c>
      <c r="P5" s="141" t="s">
        <v>1390</v>
      </c>
      <c r="Q5" s="141" t="s">
        <v>1390</v>
      </c>
      <c r="R5" s="141" t="s">
        <v>1390</v>
      </c>
      <c r="S5" s="141" t="s">
        <v>1390</v>
      </c>
      <c r="T5" s="141" t="s">
        <v>1390</v>
      </c>
      <c r="U5" s="141" t="s">
        <v>1390</v>
      </c>
      <c r="V5" s="141" t="s">
        <v>1390</v>
      </c>
      <c r="W5" s="141" t="s">
        <v>1390</v>
      </c>
      <c r="X5" s="141" t="s">
        <v>1390</v>
      </c>
      <c r="Y5" s="141" t="s">
        <v>1394</v>
      </c>
      <c r="Z5" s="141" t="s">
        <v>1394</v>
      </c>
      <c r="AA5" s="141" t="s">
        <v>1394</v>
      </c>
      <c r="AB5" s="141" t="s">
        <v>1394</v>
      </c>
      <c r="AC5" s="141" t="s">
        <v>1394</v>
      </c>
      <c r="AD5" s="141" t="s">
        <v>1394</v>
      </c>
      <c r="AE5" s="141" t="s">
        <v>1394</v>
      </c>
      <c r="AF5" s="141" t="s">
        <v>1394</v>
      </c>
      <c r="AG5" s="141" t="s">
        <v>1394</v>
      </c>
      <c r="AH5" s="141" t="s">
        <v>1394</v>
      </c>
      <c r="AI5" s="141" t="s">
        <v>1394</v>
      </c>
      <c r="AJ5" s="141" t="s">
        <v>1394</v>
      </c>
      <c r="AK5" s="141" t="s">
        <v>1394</v>
      </c>
      <c r="AL5" s="141" t="s">
        <v>1394</v>
      </c>
      <c r="AM5" s="141" t="s">
        <v>1394</v>
      </c>
      <c r="AN5" s="141" t="s">
        <v>1394</v>
      </c>
      <c r="AO5" s="141" t="s">
        <v>1394</v>
      </c>
      <c r="AP5" s="141" t="s">
        <v>1394</v>
      </c>
      <c r="AQ5" s="141" t="s">
        <v>1394</v>
      </c>
      <c r="AR5" s="141" t="s">
        <v>1390</v>
      </c>
      <c r="AS5" s="141" t="s">
        <v>1390</v>
      </c>
      <c r="AT5" s="141" t="s">
        <v>1390</v>
      </c>
      <c r="AU5" s="141" t="s">
        <v>1390</v>
      </c>
      <c r="AV5" s="141" t="s">
        <v>1976</v>
      </c>
      <c r="AW5" s="141" t="s">
        <v>1976</v>
      </c>
      <c r="AX5" s="141" t="s">
        <v>1976</v>
      </c>
      <c r="AY5" s="141" t="s">
        <v>1976</v>
      </c>
      <c r="AZ5" s="141" t="s">
        <v>1976</v>
      </c>
      <c r="BA5" s="141" t="s">
        <v>1976</v>
      </c>
      <c r="BB5" s="141" t="s">
        <v>1976</v>
      </c>
      <c r="BC5" s="141" t="s">
        <v>1976</v>
      </c>
      <c r="BD5" s="141" t="s">
        <v>1976</v>
      </c>
      <c r="BE5" s="141" t="s">
        <v>1976</v>
      </c>
      <c r="BF5" s="141" t="s">
        <v>1976</v>
      </c>
      <c r="BG5" s="141" t="s">
        <v>1976</v>
      </c>
      <c r="BH5" s="141" t="s">
        <v>1976</v>
      </c>
      <c r="BI5" s="141" t="s">
        <v>1976</v>
      </c>
      <c r="BJ5" s="141" t="s">
        <v>1976</v>
      </c>
      <c r="BK5" s="141" t="s">
        <v>1976</v>
      </c>
      <c r="BL5" s="141" t="s">
        <v>1976</v>
      </c>
      <c r="BM5" s="141" t="s">
        <v>1976</v>
      </c>
      <c r="BN5" s="141" t="s">
        <v>1976</v>
      </c>
      <c r="BO5" s="141" t="s">
        <v>1976</v>
      </c>
      <c r="BP5" s="141" t="s">
        <v>1976</v>
      </c>
      <c r="BQ5" s="141" t="s">
        <v>1976</v>
      </c>
      <c r="BR5" s="141" t="s">
        <v>1976</v>
      </c>
      <c r="BS5" s="141" t="s">
        <v>1390</v>
      </c>
      <c r="BT5" s="141" t="s">
        <v>1390</v>
      </c>
      <c r="BU5" s="141" t="s">
        <v>1390</v>
      </c>
      <c r="BV5" s="141" t="s">
        <v>1976</v>
      </c>
      <c r="BW5" s="141" t="s">
        <v>1976</v>
      </c>
      <c r="BX5" s="205" t="s">
        <v>2015</v>
      </c>
      <c r="BY5" s="149"/>
      <c r="BZ5" s="149"/>
      <c r="CA5" s="149"/>
      <c r="CB5" s="149"/>
      <c r="CC5" s="149"/>
      <c r="CD5" s="149"/>
      <c r="CE5" s="196"/>
      <c r="CF5" s="149"/>
      <c r="CG5" s="149"/>
      <c r="CH5" s="149"/>
      <c r="CI5" s="149"/>
      <c r="CJ5" s="196"/>
      <c r="CK5" s="149"/>
      <c r="CL5" s="149"/>
    </row>
    <row r="6" spans="1:90" ht="26" x14ac:dyDescent="0.35">
      <c r="A6" s="147"/>
      <c r="B6" s="147"/>
      <c r="C6" s="147"/>
      <c r="D6" s="147"/>
      <c r="E6" s="207"/>
      <c r="F6" s="147"/>
      <c r="G6" s="153" t="s">
        <v>1760</v>
      </c>
      <c r="H6" s="142">
        <v>130</v>
      </c>
      <c r="I6" s="142">
        <v>538</v>
      </c>
      <c r="J6" s="142">
        <v>134</v>
      </c>
      <c r="K6" s="142">
        <v>2044</v>
      </c>
      <c r="L6" s="142">
        <v>469</v>
      </c>
      <c r="M6" s="142">
        <v>129</v>
      </c>
      <c r="N6" s="142">
        <v>134</v>
      </c>
      <c r="O6" s="142">
        <v>104</v>
      </c>
      <c r="P6" s="142">
        <v>222</v>
      </c>
      <c r="Q6" s="142">
        <v>10</v>
      </c>
      <c r="R6" s="142">
        <v>469</v>
      </c>
      <c r="S6" s="142">
        <v>0</v>
      </c>
      <c r="T6" s="142">
        <v>945</v>
      </c>
      <c r="U6" s="150">
        <v>0</v>
      </c>
      <c r="V6" s="150">
        <v>0</v>
      </c>
      <c r="W6" s="150">
        <v>0</v>
      </c>
      <c r="X6" s="142">
        <v>199</v>
      </c>
      <c r="Y6" s="142">
        <v>2159</v>
      </c>
      <c r="Z6" s="142">
        <v>785</v>
      </c>
      <c r="AA6" s="142">
        <v>0</v>
      </c>
      <c r="AB6" s="142">
        <v>806</v>
      </c>
      <c r="AC6" s="142">
        <v>830</v>
      </c>
      <c r="AD6" s="142">
        <v>945</v>
      </c>
      <c r="AE6" s="142">
        <v>945</v>
      </c>
      <c r="AF6" s="142">
        <v>4032</v>
      </c>
      <c r="AG6" s="142">
        <v>4032</v>
      </c>
      <c r="AH6" s="142">
        <v>288</v>
      </c>
      <c r="AI6" s="142">
        <v>4032</v>
      </c>
      <c r="AJ6" s="142">
        <v>945</v>
      </c>
      <c r="AK6" s="142">
        <v>945</v>
      </c>
      <c r="AL6" s="142">
        <v>945</v>
      </c>
      <c r="AM6" s="142">
        <v>945</v>
      </c>
      <c r="AN6" s="142">
        <v>2159</v>
      </c>
      <c r="AO6" s="142">
        <v>830</v>
      </c>
      <c r="AP6" s="142">
        <v>4977</v>
      </c>
      <c r="AQ6" s="142">
        <v>4977</v>
      </c>
      <c r="AR6" s="142">
        <v>618</v>
      </c>
      <c r="AS6" s="142">
        <v>45</v>
      </c>
      <c r="AT6" s="142">
        <v>45</v>
      </c>
      <c r="AU6" s="142">
        <v>45</v>
      </c>
      <c r="AV6" s="142">
        <v>96</v>
      </c>
      <c r="AW6" s="142">
        <v>160</v>
      </c>
      <c r="AX6" s="142">
        <v>95</v>
      </c>
      <c r="AY6" s="142">
        <v>1078</v>
      </c>
      <c r="AZ6" s="142">
        <v>10</v>
      </c>
      <c r="BA6" s="142">
        <v>148</v>
      </c>
      <c r="BB6" s="142">
        <v>72</v>
      </c>
      <c r="BC6" s="142">
        <v>180</v>
      </c>
      <c r="BD6" s="142">
        <v>246</v>
      </c>
      <c r="BE6" s="142">
        <v>4272</v>
      </c>
      <c r="BF6" s="142">
        <v>1178</v>
      </c>
      <c r="BG6" s="142">
        <v>819</v>
      </c>
      <c r="BH6" s="142">
        <v>2079</v>
      </c>
      <c r="BI6" s="142">
        <v>0</v>
      </c>
      <c r="BJ6" s="142">
        <v>810</v>
      </c>
      <c r="BK6" s="142">
        <v>374</v>
      </c>
      <c r="BL6" s="142">
        <v>56</v>
      </c>
      <c r="BM6" s="142">
        <v>42</v>
      </c>
      <c r="BN6" s="142">
        <v>35</v>
      </c>
      <c r="BO6" s="142">
        <v>50</v>
      </c>
      <c r="BP6" s="142">
        <v>16</v>
      </c>
      <c r="BQ6" s="142">
        <v>105</v>
      </c>
      <c r="BR6" s="142">
        <v>150</v>
      </c>
      <c r="BS6" s="142">
        <v>2914</v>
      </c>
      <c r="BT6" s="142">
        <v>1</v>
      </c>
      <c r="BU6" s="142">
        <v>2</v>
      </c>
      <c r="BV6" s="142">
        <v>229</v>
      </c>
      <c r="BW6" s="142">
        <v>213</v>
      </c>
      <c r="BX6" s="142"/>
      <c r="BY6" s="149"/>
      <c r="BZ6" s="149"/>
      <c r="CA6" s="149"/>
      <c r="CB6" s="149"/>
      <c r="CC6" s="149"/>
      <c r="CD6" s="149"/>
      <c r="CE6" s="196"/>
      <c r="CF6" s="149"/>
      <c r="CG6" s="149"/>
      <c r="CH6" s="149"/>
      <c r="CI6" s="149"/>
      <c r="CJ6" s="196"/>
      <c r="CK6" s="149"/>
      <c r="CL6" s="149"/>
    </row>
    <row r="7" spans="1:90" ht="26" x14ac:dyDescent="0.35">
      <c r="A7" s="147"/>
      <c r="B7" s="147"/>
      <c r="C7" s="147"/>
      <c r="D7" s="147"/>
      <c r="E7" s="224">
        <f>SUBTOTAL(3,E9:E854)</f>
        <v>98</v>
      </c>
      <c r="F7" s="147"/>
      <c r="G7" s="154" t="s">
        <v>1758</v>
      </c>
      <c r="H7" s="144">
        <f t="shared" ref="H7:AM7" si="0">SUM(H9:H1048576)</f>
        <v>11</v>
      </c>
      <c r="I7" s="144">
        <f t="shared" si="0"/>
        <v>40</v>
      </c>
      <c r="J7" s="144">
        <f t="shared" si="0"/>
        <v>11</v>
      </c>
      <c r="K7" s="144">
        <f t="shared" si="0"/>
        <v>48</v>
      </c>
      <c r="L7" s="144">
        <f t="shared" si="0"/>
        <v>37</v>
      </c>
      <c r="M7" s="144">
        <f t="shared" si="0"/>
        <v>11</v>
      </c>
      <c r="N7" s="144">
        <f t="shared" si="0"/>
        <v>11</v>
      </c>
      <c r="O7" s="144">
        <f t="shared" si="0"/>
        <v>1</v>
      </c>
      <c r="P7" s="144">
        <f t="shared" si="0"/>
        <v>9</v>
      </c>
      <c r="Q7" s="144">
        <f t="shared" si="0"/>
        <v>2</v>
      </c>
      <c r="R7" s="144">
        <f t="shared" si="0"/>
        <v>12</v>
      </c>
      <c r="S7" s="144">
        <f t="shared" si="0"/>
        <v>0</v>
      </c>
      <c r="T7" s="144">
        <f t="shared" si="0"/>
        <v>78</v>
      </c>
      <c r="U7" s="144">
        <f t="shared" si="0"/>
        <v>0</v>
      </c>
      <c r="V7" s="144">
        <f t="shared" si="0"/>
        <v>0</v>
      </c>
      <c r="W7" s="144">
        <f t="shared" si="0"/>
        <v>3</v>
      </c>
      <c r="X7" s="144">
        <f t="shared" si="0"/>
        <v>30</v>
      </c>
      <c r="Y7" s="144">
        <f t="shared" si="0"/>
        <v>105</v>
      </c>
      <c r="Z7" s="144">
        <f t="shared" si="0"/>
        <v>48</v>
      </c>
      <c r="AA7" s="144">
        <f t="shared" si="0"/>
        <v>0</v>
      </c>
      <c r="AB7" s="144">
        <f t="shared" si="0"/>
        <v>24</v>
      </c>
      <c r="AC7" s="144">
        <f t="shared" si="0"/>
        <v>70</v>
      </c>
      <c r="AD7" s="144">
        <f t="shared" si="0"/>
        <v>84</v>
      </c>
      <c r="AE7" s="144">
        <f t="shared" si="0"/>
        <v>81</v>
      </c>
      <c r="AF7" s="144">
        <f t="shared" si="0"/>
        <v>0</v>
      </c>
      <c r="AG7" s="144">
        <f t="shared" si="0"/>
        <v>0</v>
      </c>
      <c r="AH7" s="144">
        <f t="shared" si="0"/>
        <v>27</v>
      </c>
      <c r="AI7" s="144">
        <f t="shared" si="0"/>
        <v>0</v>
      </c>
      <c r="AJ7" s="144">
        <f t="shared" si="0"/>
        <v>81</v>
      </c>
      <c r="AK7" s="144">
        <f t="shared" si="0"/>
        <v>84</v>
      </c>
      <c r="AL7" s="144">
        <f t="shared" si="0"/>
        <v>81</v>
      </c>
      <c r="AM7" s="144">
        <f t="shared" si="0"/>
        <v>78</v>
      </c>
      <c r="AN7" s="144">
        <f t="shared" ref="AN7:BW7" si="1">SUM(AN9:AN1048576)</f>
        <v>105</v>
      </c>
      <c r="AO7" s="144">
        <f t="shared" si="1"/>
        <v>70</v>
      </c>
      <c r="AP7" s="144">
        <f t="shared" si="1"/>
        <v>84</v>
      </c>
      <c r="AQ7" s="144">
        <f t="shared" si="1"/>
        <v>84</v>
      </c>
      <c r="AR7" s="144">
        <f t="shared" si="1"/>
        <v>46</v>
      </c>
      <c r="AS7" s="144">
        <f t="shared" si="1"/>
        <v>18</v>
      </c>
      <c r="AT7" s="144">
        <f t="shared" si="1"/>
        <v>18</v>
      </c>
      <c r="AU7" s="144">
        <f t="shared" si="1"/>
        <v>18</v>
      </c>
      <c r="AV7" s="144">
        <f t="shared" si="1"/>
        <v>2</v>
      </c>
      <c r="AW7" s="144">
        <f t="shared" si="1"/>
        <v>25</v>
      </c>
      <c r="AX7" s="144">
        <f t="shared" si="1"/>
        <v>0</v>
      </c>
      <c r="AY7" s="144">
        <f t="shared" si="1"/>
        <v>0</v>
      </c>
      <c r="AZ7" s="144">
        <f t="shared" si="1"/>
        <v>0</v>
      </c>
      <c r="BA7" s="144">
        <f t="shared" si="1"/>
        <v>2</v>
      </c>
      <c r="BB7" s="144">
        <f t="shared" si="1"/>
        <v>11</v>
      </c>
      <c r="BC7" s="144">
        <f t="shared" si="1"/>
        <v>26</v>
      </c>
      <c r="BD7" s="144">
        <f t="shared" si="1"/>
        <v>10</v>
      </c>
      <c r="BE7" s="144">
        <f t="shared" si="1"/>
        <v>0</v>
      </c>
      <c r="BF7" s="144">
        <f t="shared" si="1"/>
        <v>28</v>
      </c>
      <c r="BG7" s="144">
        <f t="shared" si="1"/>
        <v>28</v>
      </c>
      <c r="BH7" s="144">
        <f t="shared" si="1"/>
        <v>45</v>
      </c>
      <c r="BI7" s="144">
        <f t="shared" si="1"/>
        <v>1</v>
      </c>
      <c r="BJ7" s="144">
        <f t="shared" si="1"/>
        <v>37</v>
      </c>
      <c r="BK7" s="144">
        <f t="shared" si="1"/>
        <v>18</v>
      </c>
      <c r="BL7" s="144">
        <f t="shared" si="1"/>
        <v>1</v>
      </c>
      <c r="BM7" s="144">
        <f t="shared" si="1"/>
        <v>19</v>
      </c>
      <c r="BN7" s="144">
        <f t="shared" si="1"/>
        <v>3</v>
      </c>
      <c r="BO7" s="144">
        <f t="shared" si="1"/>
        <v>2</v>
      </c>
      <c r="BP7" s="144">
        <f t="shared" si="1"/>
        <v>6</v>
      </c>
      <c r="BQ7" s="144">
        <f t="shared" si="1"/>
        <v>2</v>
      </c>
      <c r="BR7" s="144">
        <f t="shared" si="1"/>
        <v>1</v>
      </c>
      <c r="BS7" s="144">
        <f t="shared" si="1"/>
        <v>0</v>
      </c>
      <c r="BT7" s="144">
        <f t="shared" si="1"/>
        <v>48</v>
      </c>
      <c r="BU7" s="144">
        <f t="shared" si="1"/>
        <v>16</v>
      </c>
      <c r="BV7" s="144">
        <f t="shared" si="1"/>
        <v>0</v>
      </c>
      <c r="BW7" s="144">
        <f t="shared" si="1"/>
        <v>0</v>
      </c>
      <c r="BX7" s="144"/>
      <c r="BY7" s="224">
        <f t="shared" ref="BY7:CL7" si="2">SUBTOTAL(3,BY9:BY858)</f>
        <v>11</v>
      </c>
      <c r="BZ7" s="224">
        <f t="shared" si="2"/>
        <v>8</v>
      </c>
      <c r="CA7" s="224">
        <f t="shared" si="2"/>
        <v>1</v>
      </c>
      <c r="CB7" s="224">
        <f t="shared" si="2"/>
        <v>8</v>
      </c>
      <c r="CC7" s="224">
        <f t="shared" si="2"/>
        <v>98</v>
      </c>
      <c r="CD7" s="224">
        <f t="shared" si="2"/>
        <v>98</v>
      </c>
      <c r="CE7" s="224">
        <f t="shared" si="2"/>
        <v>98</v>
      </c>
      <c r="CF7" s="224">
        <f t="shared" si="2"/>
        <v>98</v>
      </c>
      <c r="CG7" s="224">
        <f t="shared" si="2"/>
        <v>87</v>
      </c>
      <c r="CH7" s="224">
        <f t="shared" si="2"/>
        <v>98</v>
      </c>
      <c r="CI7" s="224">
        <f t="shared" si="2"/>
        <v>52</v>
      </c>
      <c r="CJ7" s="224">
        <f t="shared" si="2"/>
        <v>52</v>
      </c>
      <c r="CK7" s="224">
        <f t="shared" si="2"/>
        <v>92</v>
      </c>
      <c r="CL7" s="224">
        <f t="shared" si="2"/>
        <v>92</v>
      </c>
    </row>
    <row r="8" spans="1:90" x14ac:dyDescent="0.35">
      <c r="A8" s="145" t="s">
        <v>1259</v>
      </c>
      <c r="B8" s="145" t="s">
        <v>1386</v>
      </c>
      <c r="C8" s="145" t="s">
        <v>0</v>
      </c>
      <c r="D8" s="145" t="s">
        <v>1762</v>
      </c>
      <c r="E8" s="145" t="s">
        <v>1387</v>
      </c>
      <c r="F8" s="145" t="s">
        <v>1792</v>
      </c>
      <c r="G8" s="155" t="s">
        <v>1759</v>
      </c>
      <c r="H8" s="146">
        <f>H6-H7</f>
        <v>119</v>
      </c>
      <c r="I8" s="146">
        <f t="shared" ref="I8:BV8" si="3">I6-I7</f>
        <v>498</v>
      </c>
      <c r="J8" s="146">
        <f t="shared" si="3"/>
        <v>123</v>
      </c>
      <c r="K8" s="146">
        <f t="shared" si="3"/>
        <v>1996</v>
      </c>
      <c r="L8" s="146">
        <f t="shared" si="3"/>
        <v>432</v>
      </c>
      <c r="M8" s="146">
        <f t="shared" si="3"/>
        <v>118</v>
      </c>
      <c r="N8" s="146">
        <f t="shared" si="3"/>
        <v>123</v>
      </c>
      <c r="O8" s="146">
        <f t="shared" si="3"/>
        <v>103</v>
      </c>
      <c r="P8" s="146">
        <f t="shared" si="3"/>
        <v>213</v>
      </c>
      <c r="Q8" s="146">
        <f t="shared" si="3"/>
        <v>8</v>
      </c>
      <c r="R8" s="146">
        <f t="shared" si="3"/>
        <v>457</v>
      </c>
      <c r="S8" s="146">
        <f t="shared" si="3"/>
        <v>0</v>
      </c>
      <c r="T8" s="146">
        <f t="shared" si="3"/>
        <v>867</v>
      </c>
      <c r="U8" s="146">
        <f t="shared" si="3"/>
        <v>0</v>
      </c>
      <c r="V8" s="146">
        <f t="shared" si="3"/>
        <v>0</v>
      </c>
      <c r="W8" s="146">
        <f t="shared" si="3"/>
        <v>-3</v>
      </c>
      <c r="X8" s="146">
        <f t="shared" si="3"/>
        <v>169</v>
      </c>
      <c r="Y8" s="146">
        <f t="shared" si="3"/>
        <v>2054</v>
      </c>
      <c r="Z8" s="146">
        <f t="shared" si="3"/>
        <v>737</v>
      </c>
      <c r="AA8" s="146">
        <f t="shared" si="3"/>
        <v>0</v>
      </c>
      <c r="AB8" s="146">
        <f t="shared" si="3"/>
        <v>782</v>
      </c>
      <c r="AC8" s="146">
        <f t="shared" si="3"/>
        <v>760</v>
      </c>
      <c r="AD8" s="146">
        <f t="shared" si="3"/>
        <v>861</v>
      </c>
      <c r="AE8" s="146">
        <f t="shared" si="3"/>
        <v>864</v>
      </c>
      <c r="AF8" s="146">
        <f t="shared" si="3"/>
        <v>4032</v>
      </c>
      <c r="AG8" s="146">
        <f t="shared" si="3"/>
        <v>4032</v>
      </c>
      <c r="AH8" s="146">
        <f t="shared" si="3"/>
        <v>261</v>
      </c>
      <c r="AI8" s="146">
        <f t="shared" si="3"/>
        <v>4032</v>
      </c>
      <c r="AJ8" s="146">
        <f t="shared" si="3"/>
        <v>864</v>
      </c>
      <c r="AK8" s="146">
        <f t="shared" si="3"/>
        <v>861</v>
      </c>
      <c r="AL8" s="146">
        <f t="shared" si="3"/>
        <v>864</v>
      </c>
      <c r="AM8" s="146">
        <f t="shared" si="3"/>
        <v>867</v>
      </c>
      <c r="AN8" s="146">
        <f t="shared" si="3"/>
        <v>2054</v>
      </c>
      <c r="AO8" s="146">
        <f t="shared" si="3"/>
        <v>760</v>
      </c>
      <c r="AP8" s="146">
        <f t="shared" si="3"/>
        <v>4893</v>
      </c>
      <c r="AQ8" s="146">
        <f t="shared" si="3"/>
        <v>4893</v>
      </c>
      <c r="AR8" s="146">
        <f t="shared" si="3"/>
        <v>572</v>
      </c>
      <c r="AS8" s="146">
        <f t="shared" si="3"/>
        <v>27</v>
      </c>
      <c r="AT8" s="146">
        <f t="shared" si="3"/>
        <v>27</v>
      </c>
      <c r="AU8" s="146">
        <f t="shared" si="3"/>
        <v>27</v>
      </c>
      <c r="AV8" s="146">
        <f t="shared" si="3"/>
        <v>94</v>
      </c>
      <c r="AW8" s="146">
        <f t="shared" si="3"/>
        <v>135</v>
      </c>
      <c r="AX8" s="146">
        <f t="shared" si="3"/>
        <v>95</v>
      </c>
      <c r="AY8" s="146">
        <f t="shared" si="3"/>
        <v>1078</v>
      </c>
      <c r="AZ8" s="146">
        <f t="shared" si="3"/>
        <v>10</v>
      </c>
      <c r="BA8" s="146">
        <f t="shared" si="3"/>
        <v>146</v>
      </c>
      <c r="BB8" s="146">
        <f t="shared" si="3"/>
        <v>61</v>
      </c>
      <c r="BC8" s="146">
        <f t="shared" si="3"/>
        <v>154</v>
      </c>
      <c r="BD8" s="146">
        <f t="shared" si="3"/>
        <v>236</v>
      </c>
      <c r="BE8" s="146">
        <f t="shared" si="3"/>
        <v>4272</v>
      </c>
      <c r="BF8" s="146">
        <f t="shared" si="3"/>
        <v>1150</v>
      </c>
      <c r="BG8" s="146">
        <f t="shared" si="3"/>
        <v>791</v>
      </c>
      <c r="BH8" s="146">
        <f t="shared" si="3"/>
        <v>2034</v>
      </c>
      <c r="BI8" s="146">
        <f t="shared" si="3"/>
        <v>-1</v>
      </c>
      <c r="BJ8" s="146">
        <f t="shared" si="3"/>
        <v>773</v>
      </c>
      <c r="BK8" s="146">
        <f t="shared" si="3"/>
        <v>356</v>
      </c>
      <c r="BL8" s="146">
        <f t="shared" si="3"/>
        <v>55</v>
      </c>
      <c r="BM8" s="146">
        <f t="shared" si="3"/>
        <v>23</v>
      </c>
      <c r="BN8" s="146">
        <f t="shared" si="3"/>
        <v>32</v>
      </c>
      <c r="BO8" s="146">
        <f t="shared" si="3"/>
        <v>48</v>
      </c>
      <c r="BP8" s="146">
        <f t="shared" si="3"/>
        <v>10</v>
      </c>
      <c r="BQ8" s="146">
        <f t="shared" si="3"/>
        <v>103</v>
      </c>
      <c r="BR8" s="146">
        <f t="shared" si="3"/>
        <v>149</v>
      </c>
      <c r="BS8" s="146">
        <f t="shared" si="3"/>
        <v>2914</v>
      </c>
      <c r="BT8" s="203">
        <f t="shared" si="3"/>
        <v>-47</v>
      </c>
      <c r="BU8" s="146">
        <f t="shared" si="3"/>
        <v>-14</v>
      </c>
      <c r="BV8" s="146">
        <f t="shared" si="3"/>
        <v>229</v>
      </c>
      <c r="BW8" s="146">
        <f t="shared" ref="BW8" si="4">BW6-BW7</f>
        <v>213</v>
      </c>
      <c r="BX8" s="146" t="s">
        <v>2016</v>
      </c>
      <c r="BY8" s="156" t="s">
        <v>1765</v>
      </c>
      <c r="BZ8" s="156" t="s">
        <v>2034</v>
      </c>
      <c r="CA8" s="156" t="s">
        <v>2153</v>
      </c>
      <c r="CB8" s="156" t="s">
        <v>1766</v>
      </c>
      <c r="CC8" s="156" t="s">
        <v>1</v>
      </c>
      <c r="CD8" s="156" t="s">
        <v>2</v>
      </c>
      <c r="CE8" s="197" t="s">
        <v>1767</v>
      </c>
      <c r="CF8" s="156" t="s">
        <v>3</v>
      </c>
      <c r="CG8" s="218" t="s">
        <v>1983</v>
      </c>
      <c r="CH8" s="156" t="s">
        <v>1991</v>
      </c>
      <c r="CI8" s="157" t="s">
        <v>4</v>
      </c>
      <c r="CJ8" s="158" t="s">
        <v>5</v>
      </c>
      <c r="CK8" s="157" t="s">
        <v>6</v>
      </c>
      <c r="CL8" s="157" t="s">
        <v>7</v>
      </c>
    </row>
    <row r="9" spans="1:90" x14ac:dyDescent="0.35">
      <c r="A9" s="97" t="s">
        <v>1988</v>
      </c>
      <c r="B9" s="201"/>
      <c r="C9" s="97" t="s">
        <v>911</v>
      </c>
      <c r="D9" s="97" t="s">
        <v>27</v>
      </c>
      <c r="E9" s="97" t="s">
        <v>1385</v>
      </c>
      <c r="F9" s="97" t="s">
        <v>1826</v>
      </c>
      <c r="G9" s="193"/>
      <c r="H9" s="97"/>
      <c r="I9" s="97">
        <v>1</v>
      </c>
      <c r="J9" s="97"/>
      <c r="K9" s="97">
        <v>1</v>
      </c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>
        <v>3</v>
      </c>
      <c r="AI9" s="97"/>
      <c r="AJ9" s="97"/>
      <c r="AK9" s="97"/>
      <c r="AL9" s="97"/>
      <c r="AM9" s="97"/>
      <c r="AN9" s="97"/>
      <c r="AO9" s="97"/>
      <c r="AP9" s="97"/>
      <c r="AQ9" s="97"/>
      <c r="AR9" s="97">
        <v>1</v>
      </c>
      <c r="AS9" s="97"/>
      <c r="AT9" s="97"/>
      <c r="AU9" s="97"/>
      <c r="AV9" s="97"/>
      <c r="AW9" s="97">
        <v>1</v>
      </c>
      <c r="AX9" s="97"/>
      <c r="AY9" s="97"/>
      <c r="AZ9" s="97"/>
      <c r="BA9" s="97"/>
      <c r="BB9" s="97"/>
      <c r="BC9" s="97">
        <v>1</v>
      </c>
      <c r="BD9" s="97"/>
      <c r="BE9" s="97"/>
      <c r="BF9" s="97"/>
      <c r="BG9" s="97">
        <v>1</v>
      </c>
      <c r="BH9" s="97">
        <v>1</v>
      </c>
      <c r="BI9" s="97"/>
      <c r="BJ9" s="97">
        <v>1</v>
      </c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>
        <f t="shared" ref="BX9:BX32" si="5">SUM(H9:BW9)</f>
        <v>11</v>
      </c>
      <c r="BY9" s="97"/>
      <c r="BZ9" s="97"/>
      <c r="CA9" s="97"/>
      <c r="CB9" s="97"/>
      <c r="CC9" s="97" t="s">
        <v>2000</v>
      </c>
      <c r="CD9" s="97" t="s">
        <v>2013</v>
      </c>
      <c r="CE9" s="198">
        <v>46057</v>
      </c>
      <c r="CF9" s="97">
        <v>106745</v>
      </c>
      <c r="CG9" s="219" t="s">
        <v>2079</v>
      </c>
      <c r="CH9" s="97">
        <v>2026</v>
      </c>
      <c r="CI9" s="97" t="s">
        <v>2017</v>
      </c>
      <c r="CJ9" s="198">
        <v>46025</v>
      </c>
      <c r="CK9" s="97" t="s">
        <v>1027</v>
      </c>
      <c r="CL9" s="97">
        <v>2025</v>
      </c>
    </row>
    <row r="10" spans="1:90" x14ac:dyDescent="0.35">
      <c r="A10" s="97" t="s">
        <v>1988</v>
      </c>
      <c r="B10" s="201"/>
      <c r="C10" s="97" t="s">
        <v>911</v>
      </c>
      <c r="D10" s="97" t="s">
        <v>1984</v>
      </c>
      <c r="E10" s="97" t="s">
        <v>2004</v>
      </c>
      <c r="F10" s="97" t="s">
        <v>1972</v>
      </c>
      <c r="G10" s="193"/>
      <c r="H10" s="97"/>
      <c r="I10" s="97">
        <v>1</v>
      </c>
      <c r="J10" s="97"/>
      <c r="K10" s="97">
        <v>2</v>
      </c>
      <c r="L10" s="97">
        <v>1</v>
      </c>
      <c r="M10" s="97"/>
      <c r="N10" s="97"/>
      <c r="O10" s="97"/>
      <c r="P10" s="97"/>
      <c r="Q10" s="97"/>
      <c r="R10" s="97"/>
      <c r="S10" s="97"/>
      <c r="T10" s="97">
        <v>3</v>
      </c>
      <c r="U10" s="97"/>
      <c r="V10" s="97"/>
      <c r="W10" s="97"/>
      <c r="X10" s="97"/>
      <c r="Y10" s="97"/>
      <c r="Z10" s="97"/>
      <c r="AA10" s="97"/>
      <c r="AB10" s="97"/>
      <c r="AC10" s="97"/>
      <c r="AD10" s="97">
        <v>3</v>
      </c>
      <c r="AE10" s="97">
        <v>3</v>
      </c>
      <c r="AF10" s="97"/>
      <c r="AG10" s="97"/>
      <c r="AH10" s="97">
        <v>3</v>
      </c>
      <c r="AI10" s="97"/>
      <c r="AJ10" s="97">
        <v>3</v>
      </c>
      <c r="AK10" s="97">
        <v>3</v>
      </c>
      <c r="AL10" s="97">
        <v>3</v>
      </c>
      <c r="AM10" s="97">
        <v>3</v>
      </c>
      <c r="AN10" s="97"/>
      <c r="AO10" s="97"/>
      <c r="AP10" s="97">
        <v>3</v>
      </c>
      <c r="AQ10" s="97">
        <v>3</v>
      </c>
      <c r="AR10" s="97">
        <v>2</v>
      </c>
      <c r="AS10" s="97"/>
      <c r="AT10" s="97"/>
      <c r="AU10" s="97"/>
      <c r="AV10" s="97"/>
      <c r="AW10" s="97">
        <v>2</v>
      </c>
      <c r="AX10" s="97"/>
      <c r="AY10" s="97"/>
      <c r="AZ10" s="97"/>
      <c r="BA10" s="97"/>
      <c r="BB10" s="97"/>
      <c r="BC10" s="97">
        <v>2</v>
      </c>
      <c r="BD10" s="97"/>
      <c r="BE10" s="97"/>
      <c r="BF10" s="97"/>
      <c r="BG10" s="97"/>
      <c r="BH10" s="97">
        <v>1</v>
      </c>
      <c r="BI10" s="97"/>
      <c r="BJ10" s="97">
        <v>2</v>
      </c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97">
        <f t="shared" si="5"/>
        <v>43</v>
      </c>
      <c r="BY10" s="97"/>
      <c r="BZ10" s="97"/>
      <c r="CA10" s="97"/>
      <c r="CB10" s="97"/>
      <c r="CC10" s="97" t="s">
        <v>1992</v>
      </c>
      <c r="CD10" s="97" t="s">
        <v>2013</v>
      </c>
      <c r="CE10" s="198">
        <v>46057</v>
      </c>
      <c r="CF10" s="97">
        <v>106745</v>
      </c>
      <c r="CG10" s="219" t="s">
        <v>2077</v>
      </c>
      <c r="CH10" s="97">
        <v>2026</v>
      </c>
      <c r="CI10" s="97" t="s">
        <v>2017</v>
      </c>
      <c r="CJ10" s="198">
        <v>46050</v>
      </c>
      <c r="CK10" s="97" t="s">
        <v>1027</v>
      </c>
      <c r="CL10" s="97">
        <v>2025</v>
      </c>
    </row>
    <row r="11" spans="1:90" x14ac:dyDescent="0.35">
      <c r="A11" s="97" t="s">
        <v>1988</v>
      </c>
      <c r="B11" s="201"/>
      <c r="C11" s="97" t="s">
        <v>911</v>
      </c>
      <c r="D11" s="97" t="s">
        <v>1989</v>
      </c>
      <c r="E11" s="97" t="s">
        <v>2004</v>
      </c>
      <c r="F11" s="97" t="s">
        <v>1836</v>
      </c>
      <c r="G11" s="193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>
        <v>3</v>
      </c>
      <c r="BU11" s="97"/>
      <c r="BV11" s="97"/>
      <c r="BW11" s="97"/>
      <c r="BX11" s="97">
        <f t="shared" si="5"/>
        <v>3</v>
      </c>
      <c r="BY11" s="97"/>
      <c r="BZ11" s="97"/>
      <c r="CA11" s="97"/>
      <c r="CB11" s="97"/>
      <c r="CC11" s="97" t="s">
        <v>1992</v>
      </c>
      <c r="CD11" s="97" t="s">
        <v>2013</v>
      </c>
      <c r="CE11" s="198">
        <v>46057</v>
      </c>
      <c r="CF11" s="97">
        <v>106745</v>
      </c>
      <c r="CG11" s="219" t="s">
        <v>2078</v>
      </c>
      <c r="CH11" s="97">
        <v>2026</v>
      </c>
      <c r="CI11" s="97" t="s">
        <v>2017</v>
      </c>
      <c r="CJ11" s="198">
        <v>46050</v>
      </c>
      <c r="CK11" s="97" t="s">
        <v>1027</v>
      </c>
      <c r="CL11" s="97">
        <v>2025</v>
      </c>
    </row>
    <row r="12" spans="1:90" x14ac:dyDescent="0.35">
      <c r="A12" s="97" t="s">
        <v>1988</v>
      </c>
      <c r="B12" s="201"/>
      <c r="C12" s="97" t="s">
        <v>911</v>
      </c>
      <c r="D12" s="201" t="s">
        <v>880</v>
      </c>
      <c r="E12" s="97" t="s">
        <v>971</v>
      </c>
      <c r="F12" s="97" t="s">
        <v>2003</v>
      </c>
      <c r="G12" s="193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>
        <v>3</v>
      </c>
      <c r="AT12" s="97">
        <v>3</v>
      </c>
      <c r="AU12" s="97">
        <v>3</v>
      </c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>
        <v>1</v>
      </c>
      <c r="BQ12" s="97"/>
      <c r="BR12" s="97"/>
      <c r="BS12" s="97"/>
      <c r="BT12" s="97"/>
      <c r="BU12" s="97"/>
      <c r="BV12" s="97"/>
      <c r="BW12" s="97"/>
      <c r="BX12" s="97">
        <f t="shared" si="5"/>
        <v>10</v>
      </c>
      <c r="BY12" s="97"/>
      <c r="BZ12" s="97"/>
      <c r="CA12" s="97"/>
      <c r="CB12" s="97"/>
      <c r="CC12" s="97" t="s">
        <v>1990</v>
      </c>
      <c r="CD12" s="97" t="s">
        <v>2013</v>
      </c>
      <c r="CE12" s="198">
        <v>46057</v>
      </c>
      <c r="CF12" s="225" t="s">
        <v>2126</v>
      </c>
      <c r="CG12" s="219" t="s">
        <v>2075</v>
      </c>
      <c r="CH12" s="97">
        <v>2025</v>
      </c>
      <c r="CI12" s="97" t="s">
        <v>2017</v>
      </c>
      <c r="CJ12" s="198">
        <v>46051</v>
      </c>
      <c r="CK12" s="97"/>
      <c r="CL12" s="97"/>
    </row>
    <row r="13" spans="1:90" x14ac:dyDescent="0.35">
      <c r="A13" s="97" t="s">
        <v>1988</v>
      </c>
      <c r="B13" s="201"/>
      <c r="C13" s="97" t="s">
        <v>911</v>
      </c>
      <c r="D13" s="201" t="s">
        <v>880</v>
      </c>
      <c r="E13" s="97" t="s">
        <v>975</v>
      </c>
      <c r="F13" s="97" t="s">
        <v>2003</v>
      </c>
      <c r="G13" s="193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>
        <v>3</v>
      </c>
      <c r="AT13" s="97">
        <v>3</v>
      </c>
      <c r="AU13" s="97">
        <v>3</v>
      </c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>
        <v>1</v>
      </c>
      <c r="BQ13" s="97"/>
      <c r="BR13" s="97"/>
      <c r="BS13" s="97"/>
      <c r="BT13" s="97"/>
      <c r="BU13" s="97"/>
      <c r="BV13" s="97"/>
      <c r="BW13" s="97"/>
      <c r="BX13" s="97">
        <f t="shared" si="5"/>
        <v>10</v>
      </c>
      <c r="BY13" s="97"/>
      <c r="BZ13" s="97"/>
      <c r="CA13" s="97"/>
      <c r="CB13" s="97"/>
      <c r="CC13" s="97" t="s">
        <v>1990</v>
      </c>
      <c r="CD13" s="97" t="s">
        <v>2013</v>
      </c>
      <c r="CE13" s="198">
        <v>46057</v>
      </c>
      <c r="CF13" s="225" t="s">
        <v>2126</v>
      </c>
      <c r="CG13" s="219" t="s">
        <v>2076</v>
      </c>
      <c r="CH13" s="97">
        <v>2025</v>
      </c>
      <c r="CI13" s="97" t="s">
        <v>2017</v>
      </c>
      <c r="CJ13" s="198">
        <v>46051</v>
      </c>
      <c r="CK13" s="97"/>
      <c r="CL13" s="97"/>
    </row>
    <row r="14" spans="1:90" x14ac:dyDescent="0.35">
      <c r="A14" s="97" t="s">
        <v>1988</v>
      </c>
      <c r="B14" s="97"/>
      <c r="C14" s="97" t="s">
        <v>911</v>
      </c>
      <c r="D14" s="97" t="s">
        <v>1984</v>
      </c>
      <c r="E14" s="97" t="s">
        <v>1985</v>
      </c>
      <c r="F14" s="97" t="s">
        <v>1817</v>
      </c>
      <c r="G14" s="193"/>
      <c r="H14" s="97"/>
      <c r="I14" s="97">
        <v>1</v>
      </c>
      <c r="J14" s="97"/>
      <c r="K14" s="97">
        <v>1</v>
      </c>
      <c r="L14" s="97">
        <v>1</v>
      </c>
      <c r="M14" s="97"/>
      <c r="N14" s="97"/>
      <c r="O14" s="97"/>
      <c r="P14" s="97"/>
      <c r="Q14" s="97"/>
      <c r="R14" s="97"/>
      <c r="S14" s="97"/>
      <c r="T14" s="97">
        <v>3</v>
      </c>
      <c r="U14" s="97"/>
      <c r="V14" s="97"/>
      <c r="W14" s="97"/>
      <c r="X14" s="97"/>
      <c r="Y14" s="97"/>
      <c r="Z14" s="97"/>
      <c r="AA14" s="97"/>
      <c r="AB14" s="97"/>
      <c r="AC14" s="97"/>
      <c r="AD14" s="97">
        <v>3</v>
      </c>
      <c r="AE14" s="97">
        <v>3</v>
      </c>
      <c r="AF14" s="97"/>
      <c r="AG14" s="97"/>
      <c r="AH14" s="97"/>
      <c r="AI14" s="97"/>
      <c r="AJ14" s="97">
        <v>3</v>
      </c>
      <c r="AK14" s="97">
        <v>3</v>
      </c>
      <c r="AL14" s="97">
        <v>3</v>
      </c>
      <c r="AM14" s="97">
        <v>3</v>
      </c>
      <c r="AN14" s="97"/>
      <c r="AO14" s="97"/>
      <c r="AP14" s="97">
        <v>3</v>
      </c>
      <c r="AQ14" s="97">
        <v>3</v>
      </c>
      <c r="AR14" s="97">
        <v>1</v>
      </c>
      <c r="AS14" s="97"/>
      <c r="AT14" s="97"/>
      <c r="AU14" s="97"/>
      <c r="AV14" s="97"/>
      <c r="AW14" s="97">
        <v>1</v>
      </c>
      <c r="AX14" s="97"/>
      <c r="AY14" s="97"/>
      <c r="AZ14" s="97"/>
      <c r="BA14" s="97"/>
      <c r="BB14" s="97"/>
      <c r="BC14" s="97">
        <v>1</v>
      </c>
      <c r="BD14" s="97"/>
      <c r="BE14" s="97"/>
      <c r="BF14" s="97"/>
      <c r="BG14" s="97">
        <v>1</v>
      </c>
      <c r="BH14" s="97">
        <v>1</v>
      </c>
      <c r="BI14" s="97"/>
      <c r="BJ14" s="97">
        <v>1</v>
      </c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>
        <f t="shared" si="5"/>
        <v>36</v>
      </c>
      <c r="BY14" s="97"/>
      <c r="BZ14" s="97"/>
      <c r="CA14" s="97"/>
      <c r="CB14" s="97"/>
      <c r="CC14" s="97" t="s">
        <v>1990</v>
      </c>
      <c r="CD14" s="97" t="s">
        <v>2013</v>
      </c>
      <c r="CE14" s="198">
        <v>46057</v>
      </c>
      <c r="CF14" s="97">
        <v>88436</v>
      </c>
      <c r="CG14" s="219" t="s">
        <v>2051</v>
      </c>
      <c r="CH14" s="97">
        <v>2026</v>
      </c>
      <c r="CI14" s="97" t="s">
        <v>2017</v>
      </c>
      <c r="CJ14" s="198">
        <v>46057</v>
      </c>
      <c r="CK14" s="97" t="s">
        <v>864</v>
      </c>
      <c r="CL14" s="97">
        <v>2024</v>
      </c>
    </row>
    <row r="15" spans="1:90" x14ac:dyDescent="0.35">
      <c r="A15" s="97" t="s">
        <v>1988</v>
      </c>
      <c r="B15" s="97"/>
      <c r="C15" s="97" t="s">
        <v>911</v>
      </c>
      <c r="D15" s="97" t="s">
        <v>1989</v>
      </c>
      <c r="E15" s="97" t="s">
        <v>1985</v>
      </c>
      <c r="F15" s="97" t="s">
        <v>1836</v>
      </c>
      <c r="G15" s="193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>
        <v>2</v>
      </c>
      <c r="BU15" s="97"/>
      <c r="BV15" s="97"/>
      <c r="BW15" s="97"/>
      <c r="BX15" s="97">
        <f t="shared" si="5"/>
        <v>2</v>
      </c>
      <c r="BY15" s="97"/>
      <c r="BZ15" s="97"/>
      <c r="CA15" s="97"/>
      <c r="CB15" s="97"/>
      <c r="CC15" s="97" t="s">
        <v>1990</v>
      </c>
      <c r="CD15" s="97" t="s">
        <v>2013</v>
      </c>
      <c r="CE15" s="198">
        <v>46057</v>
      </c>
      <c r="CF15" s="97">
        <v>106745</v>
      </c>
      <c r="CG15" s="219" t="s">
        <v>2055</v>
      </c>
      <c r="CH15" s="97">
        <v>2026</v>
      </c>
      <c r="CI15" s="97" t="s">
        <v>2017</v>
      </c>
      <c r="CJ15" s="198">
        <v>46057</v>
      </c>
      <c r="CK15" s="97" t="s">
        <v>1027</v>
      </c>
      <c r="CL15" s="97">
        <v>2025</v>
      </c>
    </row>
    <row r="16" spans="1:90" x14ac:dyDescent="0.35">
      <c r="A16" s="97" t="s">
        <v>1993</v>
      </c>
      <c r="B16" s="201" t="s">
        <v>2012</v>
      </c>
      <c r="C16" s="97" t="s">
        <v>911</v>
      </c>
      <c r="D16" s="97" t="s">
        <v>1984</v>
      </c>
      <c r="E16" s="97" t="s">
        <v>2007</v>
      </c>
      <c r="F16" s="97" t="s">
        <v>1817</v>
      </c>
      <c r="G16" s="193"/>
      <c r="H16" s="97"/>
      <c r="I16" s="97">
        <v>1</v>
      </c>
      <c r="J16" s="97"/>
      <c r="K16" s="97">
        <v>1</v>
      </c>
      <c r="L16" s="97">
        <v>1</v>
      </c>
      <c r="M16" s="97"/>
      <c r="N16" s="97"/>
      <c r="O16" s="97"/>
      <c r="P16" s="97"/>
      <c r="Q16" s="97"/>
      <c r="R16" s="97"/>
      <c r="S16" s="97"/>
      <c r="T16" s="97">
        <v>3</v>
      </c>
      <c r="U16" s="97"/>
      <c r="V16" s="97"/>
      <c r="W16" s="97"/>
      <c r="X16" s="97"/>
      <c r="Y16" s="97"/>
      <c r="Z16" s="97"/>
      <c r="AA16" s="97"/>
      <c r="AB16" s="97"/>
      <c r="AC16" s="97"/>
      <c r="AD16" s="97">
        <v>3</v>
      </c>
      <c r="AE16" s="97">
        <v>3</v>
      </c>
      <c r="AF16" s="97"/>
      <c r="AG16" s="97"/>
      <c r="AH16" s="97"/>
      <c r="AI16" s="97"/>
      <c r="AJ16" s="97">
        <v>3</v>
      </c>
      <c r="AK16" s="97">
        <v>3</v>
      </c>
      <c r="AL16" s="97">
        <v>3</v>
      </c>
      <c r="AM16" s="97">
        <v>3</v>
      </c>
      <c r="AN16" s="97"/>
      <c r="AO16" s="97"/>
      <c r="AP16" s="97">
        <v>3</v>
      </c>
      <c r="AQ16" s="97">
        <v>3</v>
      </c>
      <c r="AR16" s="97">
        <v>1</v>
      </c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>
        <v>1</v>
      </c>
      <c r="BE16" s="97"/>
      <c r="BF16" s="97"/>
      <c r="BG16" s="97"/>
      <c r="BH16" s="97">
        <v>1</v>
      </c>
      <c r="BI16" s="97"/>
      <c r="BJ16" s="97">
        <v>1</v>
      </c>
      <c r="BK16" s="97">
        <v>1</v>
      </c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>
        <f t="shared" si="5"/>
        <v>35</v>
      </c>
      <c r="BY16" s="97"/>
      <c r="BZ16" s="97"/>
      <c r="CA16" s="97"/>
      <c r="CB16" s="97"/>
      <c r="CC16" s="97" t="s">
        <v>1992</v>
      </c>
      <c r="CD16" s="97" t="s">
        <v>2013</v>
      </c>
      <c r="CE16" s="198">
        <v>46057</v>
      </c>
      <c r="CF16" s="97">
        <v>106745</v>
      </c>
      <c r="CG16" s="219" t="s">
        <v>2080</v>
      </c>
      <c r="CH16" s="97">
        <v>2026</v>
      </c>
      <c r="CI16" s="97" t="s">
        <v>2017</v>
      </c>
      <c r="CJ16" s="198">
        <v>46063</v>
      </c>
      <c r="CK16" s="97" t="s">
        <v>1027</v>
      </c>
      <c r="CL16" s="97">
        <v>2025</v>
      </c>
    </row>
    <row r="17" spans="1:90" x14ac:dyDescent="0.35">
      <c r="A17" s="97" t="s">
        <v>1993</v>
      </c>
      <c r="B17" s="201" t="s">
        <v>2012</v>
      </c>
      <c r="C17" s="97" t="s">
        <v>911</v>
      </c>
      <c r="D17" s="97" t="s">
        <v>1989</v>
      </c>
      <c r="E17" s="97" t="s">
        <v>2007</v>
      </c>
      <c r="F17" s="97" t="s">
        <v>1836</v>
      </c>
      <c r="G17" s="193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>
        <v>1</v>
      </c>
      <c r="BU17" s="97"/>
      <c r="BV17" s="97"/>
      <c r="BW17" s="97"/>
      <c r="BX17" s="97">
        <f t="shared" si="5"/>
        <v>1</v>
      </c>
      <c r="BY17" s="97"/>
      <c r="BZ17" s="97"/>
      <c r="CA17" s="97"/>
      <c r="CB17" s="97"/>
      <c r="CC17" s="97" t="s">
        <v>1992</v>
      </c>
      <c r="CD17" s="97" t="s">
        <v>2013</v>
      </c>
      <c r="CE17" s="198">
        <v>46057</v>
      </c>
      <c r="CF17" s="97">
        <v>106745</v>
      </c>
      <c r="CG17" s="219" t="s">
        <v>2081</v>
      </c>
      <c r="CH17" s="97">
        <v>2026</v>
      </c>
      <c r="CI17" s="97" t="s">
        <v>2017</v>
      </c>
      <c r="CJ17" s="198">
        <v>46063</v>
      </c>
      <c r="CK17" s="97" t="s">
        <v>1027</v>
      </c>
      <c r="CL17" s="97">
        <v>2025</v>
      </c>
    </row>
    <row r="18" spans="1:90" x14ac:dyDescent="0.35">
      <c r="A18" s="97" t="s">
        <v>1993</v>
      </c>
      <c r="B18" s="201" t="s">
        <v>2012</v>
      </c>
      <c r="C18" s="97" t="s">
        <v>911</v>
      </c>
      <c r="D18" s="97" t="s">
        <v>1984</v>
      </c>
      <c r="E18" s="97" t="s">
        <v>2010</v>
      </c>
      <c r="F18" s="97" t="s">
        <v>1817</v>
      </c>
      <c r="G18" s="193"/>
      <c r="H18" s="97"/>
      <c r="I18" s="97">
        <v>1</v>
      </c>
      <c r="J18" s="97"/>
      <c r="K18" s="97">
        <v>1</v>
      </c>
      <c r="L18" s="97">
        <v>1</v>
      </c>
      <c r="M18" s="97"/>
      <c r="N18" s="97"/>
      <c r="O18" s="97"/>
      <c r="P18" s="97"/>
      <c r="Q18" s="97"/>
      <c r="R18" s="97"/>
      <c r="S18" s="97"/>
      <c r="T18" s="97">
        <v>3</v>
      </c>
      <c r="U18" s="97"/>
      <c r="V18" s="97"/>
      <c r="W18" s="97"/>
      <c r="X18" s="97"/>
      <c r="Y18" s="97"/>
      <c r="Z18" s="97"/>
      <c r="AA18" s="97"/>
      <c r="AB18" s="97"/>
      <c r="AC18" s="97"/>
      <c r="AD18" s="97">
        <v>3</v>
      </c>
      <c r="AE18" s="97">
        <v>3</v>
      </c>
      <c r="AF18" s="97"/>
      <c r="AG18" s="97"/>
      <c r="AH18" s="97"/>
      <c r="AI18" s="97"/>
      <c r="AJ18" s="97">
        <v>3</v>
      </c>
      <c r="AK18" s="97">
        <v>3</v>
      </c>
      <c r="AL18" s="97">
        <v>3</v>
      </c>
      <c r="AM18" s="97">
        <v>3</v>
      </c>
      <c r="AN18" s="97"/>
      <c r="AO18" s="97"/>
      <c r="AP18" s="97">
        <v>3</v>
      </c>
      <c r="AQ18" s="97">
        <v>3</v>
      </c>
      <c r="AR18" s="97">
        <v>1</v>
      </c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>
        <v>1</v>
      </c>
      <c r="BE18" s="97"/>
      <c r="BF18" s="97"/>
      <c r="BG18" s="97"/>
      <c r="BH18" s="97">
        <v>1</v>
      </c>
      <c r="BI18" s="97"/>
      <c r="BJ18" s="97">
        <v>1</v>
      </c>
      <c r="BK18" s="97">
        <v>1</v>
      </c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>
        <f t="shared" si="5"/>
        <v>35</v>
      </c>
      <c r="BY18" s="97"/>
      <c r="BZ18" s="97"/>
      <c r="CA18" s="97"/>
      <c r="CB18" s="97"/>
      <c r="CC18" s="97" t="s">
        <v>2000</v>
      </c>
      <c r="CD18" s="97" t="s">
        <v>2013</v>
      </c>
      <c r="CE18" s="198">
        <v>46057</v>
      </c>
      <c r="CF18" s="97">
        <v>106745</v>
      </c>
      <c r="CG18" s="219" t="s">
        <v>2086</v>
      </c>
      <c r="CH18" s="97">
        <v>2026</v>
      </c>
      <c r="CI18" s="97" t="s">
        <v>2017</v>
      </c>
      <c r="CJ18" s="198">
        <v>46063</v>
      </c>
      <c r="CK18" s="97" t="s">
        <v>1027</v>
      </c>
      <c r="CL18" s="97">
        <v>2025</v>
      </c>
    </row>
    <row r="19" spans="1:90" x14ac:dyDescent="0.35">
      <c r="A19" s="97" t="s">
        <v>1993</v>
      </c>
      <c r="B19" s="201" t="s">
        <v>2012</v>
      </c>
      <c r="C19" s="97" t="s">
        <v>911</v>
      </c>
      <c r="D19" s="97" t="s">
        <v>1989</v>
      </c>
      <c r="E19" s="97" t="s">
        <v>2010</v>
      </c>
      <c r="F19" s="97" t="s">
        <v>1836</v>
      </c>
      <c r="G19" s="193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>
        <v>1</v>
      </c>
      <c r="BU19" s="97"/>
      <c r="BV19" s="97"/>
      <c r="BW19" s="97"/>
      <c r="BX19" s="97">
        <f t="shared" si="5"/>
        <v>1</v>
      </c>
      <c r="BY19" s="97"/>
      <c r="BZ19" s="97"/>
      <c r="CA19" s="97"/>
      <c r="CB19" s="97"/>
      <c r="CC19" s="97" t="s">
        <v>2000</v>
      </c>
      <c r="CD19" s="97" t="s">
        <v>2013</v>
      </c>
      <c r="CE19" s="198">
        <v>46057</v>
      </c>
      <c r="CF19" s="97">
        <v>106745</v>
      </c>
      <c r="CG19" s="219" t="s">
        <v>2087</v>
      </c>
      <c r="CH19" s="97">
        <v>2026</v>
      </c>
      <c r="CI19" s="97" t="s">
        <v>2017</v>
      </c>
      <c r="CJ19" s="198">
        <v>46063</v>
      </c>
      <c r="CK19" s="97" t="s">
        <v>1027</v>
      </c>
      <c r="CL19" s="97">
        <v>2025</v>
      </c>
    </row>
    <row r="20" spans="1:90" x14ac:dyDescent="0.35">
      <c r="A20" s="97" t="s">
        <v>1993</v>
      </c>
      <c r="B20" s="201" t="s">
        <v>2012</v>
      </c>
      <c r="C20" s="97" t="s">
        <v>911</v>
      </c>
      <c r="D20" s="97" t="s">
        <v>1984</v>
      </c>
      <c r="E20" s="97" t="s">
        <v>2011</v>
      </c>
      <c r="F20" s="97" t="s">
        <v>1817</v>
      </c>
      <c r="G20" s="193"/>
      <c r="H20" s="97"/>
      <c r="I20" s="97">
        <v>1</v>
      </c>
      <c r="J20" s="97"/>
      <c r="K20" s="97">
        <v>1</v>
      </c>
      <c r="L20" s="97">
        <v>1</v>
      </c>
      <c r="M20" s="97"/>
      <c r="N20" s="97"/>
      <c r="O20" s="97"/>
      <c r="P20" s="97"/>
      <c r="Q20" s="97"/>
      <c r="R20" s="97"/>
      <c r="S20" s="97"/>
      <c r="T20" s="97">
        <v>3</v>
      </c>
      <c r="U20" s="97"/>
      <c r="V20" s="97"/>
      <c r="W20" s="97"/>
      <c r="X20" s="97"/>
      <c r="Y20" s="97"/>
      <c r="Z20" s="97"/>
      <c r="AA20" s="97"/>
      <c r="AB20" s="97"/>
      <c r="AC20" s="97"/>
      <c r="AD20" s="97">
        <v>3</v>
      </c>
      <c r="AE20" s="97">
        <v>3</v>
      </c>
      <c r="AF20" s="97"/>
      <c r="AG20" s="97"/>
      <c r="AH20" s="97"/>
      <c r="AI20" s="97"/>
      <c r="AJ20" s="97">
        <v>3</v>
      </c>
      <c r="AK20" s="97">
        <v>3</v>
      </c>
      <c r="AL20" s="97">
        <v>3</v>
      </c>
      <c r="AM20" s="97">
        <v>3</v>
      </c>
      <c r="AN20" s="97"/>
      <c r="AO20" s="97"/>
      <c r="AP20" s="97">
        <v>3</v>
      </c>
      <c r="AQ20" s="97">
        <v>3</v>
      </c>
      <c r="AR20" s="97">
        <v>1</v>
      </c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>
        <v>1</v>
      </c>
      <c r="BE20" s="97"/>
      <c r="BF20" s="97"/>
      <c r="BG20" s="97"/>
      <c r="BH20" s="97">
        <v>1</v>
      </c>
      <c r="BI20" s="97"/>
      <c r="BJ20" s="97">
        <v>1</v>
      </c>
      <c r="BK20" s="97">
        <v>1</v>
      </c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97">
        <f t="shared" si="5"/>
        <v>35</v>
      </c>
      <c r="BY20" s="97"/>
      <c r="BZ20" s="97"/>
      <c r="CA20" s="97"/>
      <c r="CB20" s="97"/>
      <c r="CC20" s="97" t="s">
        <v>1990</v>
      </c>
      <c r="CD20" s="97" t="s">
        <v>2013</v>
      </c>
      <c r="CE20" s="198">
        <v>46057</v>
      </c>
      <c r="CF20" s="97">
        <v>106745</v>
      </c>
      <c r="CG20" s="219" t="s">
        <v>2090</v>
      </c>
      <c r="CH20" s="97">
        <v>2026</v>
      </c>
      <c r="CI20" s="97" t="s">
        <v>2017</v>
      </c>
      <c r="CJ20" s="198">
        <v>46063</v>
      </c>
      <c r="CK20" s="97" t="s">
        <v>1027</v>
      </c>
      <c r="CL20" s="97">
        <v>2025</v>
      </c>
    </row>
    <row r="21" spans="1:90" x14ac:dyDescent="0.35">
      <c r="A21" s="97" t="s">
        <v>1993</v>
      </c>
      <c r="B21" s="201" t="s">
        <v>2012</v>
      </c>
      <c r="C21" s="97" t="s">
        <v>911</v>
      </c>
      <c r="D21" s="97" t="s">
        <v>1989</v>
      </c>
      <c r="E21" s="97" t="s">
        <v>2011</v>
      </c>
      <c r="F21" s="97" t="s">
        <v>1836</v>
      </c>
      <c r="G21" s="193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>
        <v>1</v>
      </c>
      <c r="BU21" s="97"/>
      <c r="BV21" s="97"/>
      <c r="BW21" s="97"/>
      <c r="BX21" s="97">
        <f t="shared" si="5"/>
        <v>1</v>
      </c>
      <c r="BY21" s="97"/>
      <c r="BZ21" s="97"/>
      <c r="CA21" s="97"/>
      <c r="CB21" s="97"/>
      <c r="CC21" s="97" t="s">
        <v>1990</v>
      </c>
      <c r="CD21" s="97" t="s">
        <v>2013</v>
      </c>
      <c r="CE21" s="198">
        <v>46057</v>
      </c>
      <c r="CF21" s="97">
        <v>106745</v>
      </c>
      <c r="CG21" s="219" t="s">
        <v>2091</v>
      </c>
      <c r="CH21" s="97">
        <v>2026</v>
      </c>
      <c r="CI21" s="97" t="s">
        <v>2017</v>
      </c>
      <c r="CJ21" s="198">
        <v>46063</v>
      </c>
      <c r="CK21" s="97" t="s">
        <v>1027</v>
      </c>
      <c r="CL21" s="97">
        <v>2025</v>
      </c>
    </row>
    <row r="22" spans="1:90" x14ac:dyDescent="0.35">
      <c r="A22" s="201" t="s">
        <v>1993</v>
      </c>
      <c r="B22" s="201" t="s">
        <v>2012</v>
      </c>
      <c r="C22" s="201" t="s">
        <v>19</v>
      </c>
      <c r="D22" s="201" t="s">
        <v>19</v>
      </c>
      <c r="E22" s="201" t="s">
        <v>2011</v>
      </c>
      <c r="F22" s="201" t="s">
        <v>2033</v>
      </c>
      <c r="G22" s="212"/>
      <c r="H22" s="201">
        <v>1</v>
      </c>
      <c r="I22" s="201">
        <v>1</v>
      </c>
      <c r="J22" s="201">
        <v>1</v>
      </c>
      <c r="K22" s="201">
        <v>1</v>
      </c>
      <c r="L22" s="201">
        <v>1</v>
      </c>
      <c r="M22" s="201">
        <v>1</v>
      </c>
      <c r="N22" s="201">
        <v>1</v>
      </c>
      <c r="O22" s="201"/>
      <c r="P22" s="201">
        <v>1</v>
      </c>
      <c r="Q22" s="201"/>
      <c r="R22" s="201"/>
      <c r="S22" s="201"/>
      <c r="T22" s="201"/>
      <c r="U22" s="201"/>
      <c r="V22" s="201"/>
      <c r="W22" s="201"/>
      <c r="X22" s="201">
        <v>1</v>
      </c>
      <c r="Y22" s="201">
        <v>6</v>
      </c>
      <c r="Z22" s="201">
        <v>3</v>
      </c>
      <c r="AA22" s="201"/>
      <c r="AB22" s="201"/>
      <c r="AC22" s="201">
        <v>6</v>
      </c>
      <c r="AD22" s="201"/>
      <c r="AE22" s="201"/>
      <c r="AF22" s="201"/>
      <c r="AG22" s="201"/>
      <c r="AH22" s="201"/>
      <c r="AI22" s="201"/>
      <c r="AJ22" s="201"/>
      <c r="AK22" s="201"/>
      <c r="AL22" s="201"/>
      <c r="AM22" s="201"/>
      <c r="AN22" s="201">
        <v>6</v>
      </c>
      <c r="AO22" s="201">
        <v>6</v>
      </c>
      <c r="AP22" s="201"/>
      <c r="AQ22" s="201"/>
      <c r="AR22" s="201">
        <v>1</v>
      </c>
      <c r="AS22" s="201"/>
      <c r="AT22" s="201"/>
      <c r="AU22" s="201"/>
      <c r="AV22" s="201"/>
      <c r="AW22" s="201"/>
      <c r="AX22" s="201"/>
      <c r="AY22" s="201"/>
      <c r="AZ22" s="201"/>
      <c r="BA22" s="201"/>
      <c r="BB22" s="201">
        <v>1</v>
      </c>
      <c r="BC22" s="201"/>
      <c r="BD22" s="201"/>
      <c r="BE22" s="201"/>
      <c r="BF22" s="201"/>
      <c r="BG22" s="214">
        <v>1</v>
      </c>
      <c r="BH22" s="201">
        <v>1</v>
      </c>
      <c r="BI22" s="214"/>
      <c r="BJ22" s="201"/>
      <c r="BK22" s="214">
        <v>1</v>
      </c>
      <c r="BL22" s="201"/>
      <c r="BM22" s="201"/>
      <c r="BN22" s="201"/>
      <c r="BO22" s="201"/>
      <c r="BP22" s="201"/>
      <c r="BQ22" s="201"/>
      <c r="BR22" s="201"/>
      <c r="BS22" s="201"/>
      <c r="BT22" s="201"/>
      <c r="BU22" s="201"/>
      <c r="BV22" s="201"/>
      <c r="BW22" s="201"/>
      <c r="BX22" s="201">
        <f t="shared" si="5"/>
        <v>41</v>
      </c>
      <c r="BY22" s="201">
        <v>1</v>
      </c>
      <c r="BZ22" s="201"/>
      <c r="CA22" s="201"/>
      <c r="CB22" s="201"/>
      <c r="CC22" s="201" t="s">
        <v>1990</v>
      </c>
      <c r="CD22" s="201" t="s">
        <v>2032</v>
      </c>
      <c r="CE22" s="213">
        <v>46057</v>
      </c>
      <c r="CF22" s="201">
        <v>106745</v>
      </c>
      <c r="CG22" s="219" t="s">
        <v>2096</v>
      </c>
      <c r="CH22" s="201">
        <v>2026</v>
      </c>
      <c r="CI22" s="97" t="s">
        <v>2017</v>
      </c>
      <c r="CJ22" s="198">
        <v>46063</v>
      </c>
      <c r="CK22" s="201" t="s">
        <v>1027</v>
      </c>
      <c r="CL22" s="97">
        <v>2025</v>
      </c>
    </row>
    <row r="23" spans="1:90" x14ac:dyDescent="0.35">
      <c r="A23" s="201" t="s">
        <v>1993</v>
      </c>
      <c r="B23" s="201" t="s">
        <v>2037</v>
      </c>
      <c r="C23" s="201" t="s">
        <v>19</v>
      </c>
      <c r="D23" s="201" t="s">
        <v>19</v>
      </c>
      <c r="E23" s="201" t="s">
        <v>2010</v>
      </c>
      <c r="F23" s="201" t="s">
        <v>2033</v>
      </c>
      <c r="G23" s="212"/>
      <c r="H23" s="201">
        <v>1</v>
      </c>
      <c r="I23" s="201">
        <v>1</v>
      </c>
      <c r="J23" s="201">
        <v>1</v>
      </c>
      <c r="K23" s="201">
        <v>1</v>
      </c>
      <c r="L23" s="201">
        <v>1</v>
      </c>
      <c r="M23" s="201">
        <v>1</v>
      </c>
      <c r="N23" s="201">
        <v>1</v>
      </c>
      <c r="O23" s="201"/>
      <c r="P23" s="201">
        <v>1</v>
      </c>
      <c r="Q23" s="201"/>
      <c r="R23" s="201"/>
      <c r="S23" s="201"/>
      <c r="T23" s="201"/>
      <c r="U23" s="201"/>
      <c r="V23" s="201"/>
      <c r="W23" s="201"/>
      <c r="X23" s="201">
        <v>1</v>
      </c>
      <c r="Y23" s="201">
        <v>6</v>
      </c>
      <c r="Z23" s="201">
        <v>3</v>
      </c>
      <c r="AA23" s="201"/>
      <c r="AB23" s="201"/>
      <c r="AC23" s="201">
        <v>6</v>
      </c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>
        <v>6</v>
      </c>
      <c r="AO23" s="201">
        <v>6</v>
      </c>
      <c r="AP23" s="201"/>
      <c r="AQ23" s="201"/>
      <c r="AR23" s="201">
        <v>1</v>
      </c>
      <c r="AS23" s="201"/>
      <c r="AT23" s="201"/>
      <c r="AU23" s="201"/>
      <c r="AV23" s="201"/>
      <c r="AW23" s="201"/>
      <c r="AX23" s="201"/>
      <c r="AY23" s="201"/>
      <c r="AZ23" s="201"/>
      <c r="BA23" s="201"/>
      <c r="BB23" s="201">
        <v>1</v>
      </c>
      <c r="BC23" s="201"/>
      <c r="BD23" s="201"/>
      <c r="BE23" s="201"/>
      <c r="BF23" s="201"/>
      <c r="BG23" s="214">
        <v>1</v>
      </c>
      <c r="BH23" s="201">
        <v>1</v>
      </c>
      <c r="BI23" s="214"/>
      <c r="BJ23" s="201"/>
      <c r="BK23" s="214">
        <v>1</v>
      </c>
      <c r="BL23" s="201"/>
      <c r="BM23" s="201"/>
      <c r="BN23" s="201"/>
      <c r="BO23" s="201"/>
      <c r="BP23" s="201"/>
      <c r="BQ23" s="201"/>
      <c r="BR23" s="201"/>
      <c r="BS23" s="201"/>
      <c r="BT23" s="201"/>
      <c r="BU23" s="201"/>
      <c r="BV23" s="201"/>
      <c r="BW23" s="201"/>
      <c r="BX23" s="201">
        <f t="shared" si="5"/>
        <v>41</v>
      </c>
      <c r="BY23" s="201">
        <v>1</v>
      </c>
      <c r="BZ23" s="201">
        <v>1</v>
      </c>
      <c r="CA23" s="201"/>
      <c r="CB23" s="201"/>
      <c r="CC23" s="201" t="s">
        <v>2000</v>
      </c>
      <c r="CD23" s="201" t="s">
        <v>2032</v>
      </c>
      <c r="CE23" s="213">
        <v>46057</v>
      </c>
      <c r="CF23" s="201">
        <v>106745</v>
      </c>
      <c r="CG23" s="219" t="s">
        <v>2097</v>
      </c>
      <c r="CH23" s="201">
        <v>2026</v>
      </c>
      <c r="CI23" s="97" t="s">
        <v>2017</v>
      </c>
      <c r="CJ23" s="198">
        <v>46063</v>
      </c>
      <c r="CK23" s="201" t="s">
        <v>1027</v>
      </c>
      <c r="CL23" s="97">
        <v>2025</v>
      </c>
    </row>
    <row r="24" spans="1:90" x14ac:dyDescent="0.35">
      <c r="A24" s="201" t="s">
        <v>1993</v>
      </c>
      <c r="B24" s="201" t="s">
        <v>2049</v>
      </c>
      <c r="C24" s="201" t="s">
        <v>19</v>
      </c>
      <c r="D24" s="201" t="s">
        <v>19</v>
      </c>
      <c r="E24" s="201" t="s">
        <v>2007</v>
      </c>
      <c r="F24" s="201" t="s">
        <v>2033</v>
      </c>
      <c r="G24" s="212"/>
      <c r="H24" s="201">
        <v>1</v>
      </c>
      <c r="I24" s="201">
        <v>1</v>
      </c>
      <c r="J24" s="201">
        <v>1</v>
      </c>
      <c r="K24" s="201">
        <v>1</v>
      </c>
      <c r="L24" s="201">
        <v>1</v>
      </c>
      <c r="M24" s="201">
        <v>1</v>
      </c>
      <c r="N24" s="201">
        <v>1</v>
      </c>
      <c r="O24" s="201"/>
      <c r="P24" s="201">
        <v>1</v>
      </c>
      <c r="Q24" s="201"/>
      <c r="R24" s="201"/>
      <c r="S24" s="201"/>
      <c r="T24" s="201"/>
      <c r="U24" s="201"/>
      <c r="V24" s="201"/>
      <c r="W24" s="201"/>
      <c r="X24" s="201">
        <v>1</v>
      </c>
      <c r="Y24" s="201">
        <v>6</v>
      </c>
      <c r="Z24" s="201">
        <v>3</v>
      </c>
      <c r="AA24" s="201"/>
      <c r="AB24" s="201"/>
      <c r="AC24" s="201">
        <v>6</v>
      </c>
      <c r="AD24" s="201"/>
      <c r="AE24" s="201"/>
      <c r="AF24" s="201"/>
      <c r="AG24" s="201"/>
      <c r="AH24" s="201"/>
      <c r="AI24" s="201"/>
      <c r="AJ24" s="201"/>
      <c r="AK24" s="201"/>
      <c r="AL24" s="201"/>
      <c r="AM24" s="201"/>
      <c r="AN24" s="201">
        <v>6</v>
      </c>
      <c r="AO24" s="201">
        <v>6</v>
      </c>
      <c r="AP24" s="201"/>
      <c r="AQ24" s="201"/>
      <c r="AR24" s="201">
        <v>1</v>
      </c>
      <c r="AS24" s="201"/>
      <c r="AT24" s="201"/>
      <c r="AU24" s="201"/>
      <c r="AV24" s="201"/>
      <c r="AW24" s="201"/>
      <c r="AX24" s="201"/>
      <c r="AY24" s="201"/>
      <c r="AZ24" s="201"/>
      <c r="BA24" s="201"/>
      <c r="BB24" s="201">
        <v>1</v>
      </c>
      <c r="BC24" s="201"/>
      <c r="BD24" s="201"/>
      <c r="BE24" s="201"/>
      <c r="BF24" s="201"/>
      <c r="BG24" s="214">
        <v>1</v>
      </c>
      <c r="BH24" s="201">
        <v>1</v>
      </c>
      <c r="BI24" s="214"/>
      <c r="BJ24" s="201"/>
      <c r="BK24" s="214">
        <v>1</v>
      </c>
      <c r="BL24" s="201"/>
      <c r="BM24" s="201"/>
      <c r="BN24" s="201"/>
      <c r="BO24" s="201"/>
      <c r="BP24" s="201"/>
      <c r="BQ24" s="201"/>
      <c r="BR24" s="201"/>
      <c r="BS24" s="201"/>
      <c r="BT24" s="201"/>
      <c r="BU24" s="201"/>
      <c r="BV24" s="201"/>
      <c r="BW24" s="201"/>
      <c r="BX24" s="201">
        <f t="shared" si="5"/>
        <v>41</v>
      </c>
      <c r="BY24" s="201">
        <v>1</v>
      </c>
      <c r="BZ24" s="201">
        <v>1</v>
      </c>
      <c r="CA24" s="201"/>
      <c r="CB24" s="201"/>
      <c r="CC24" s="97" t="s">
        <v>1992</v>
      </c>
      <c r="CD24" s="97" t="s">
        <v>2032</v>
      </c>
      <c r="CE24" s="213">
        <v>46059</v>
      </c>
      <c r="CF24" s="97">
        <v>106745</v>
      </c>
      <c r="CG24" s="219" t="s">
        <v>2113</v>
      </c>
      <c r="CH24" s="97">
        <v>2026</v>
      </c>
      <c r="CI24" s="97" t="s">
        <v>2017</v>
      </c>
      <c r="CJ24" s="198">
        <v>46063</v>
      </c>
      <c r="CK24" s="97" t="s">
        <v>1027</v>
      </c>
      <c r="CL24" s="97">
        <v>2025</v>
      </c>
    </row>
    <row r="25" spans="1:90" x14ac:dyDescent="0.35">
      <c r="A25" s="97" t="s">
        <v>1993</v>
      </c>
      <c r="B25" s="201" t="s">
        <v>2012</v>
      </c>
      <c r="C25" s="97" t="s">
        <v>911</v>
      </c>
      <c r="D25" s="97" t="s">
        <v>1984</v>
      </c>
      <c r="E25" s="97" t="s">
        <v>2009</v>
      </c>
      <c r="F25" s="97" t="s">
        <v>1817</v>
      </c>
      <c r="G25" s="193"/>
      <c r="H25" s="97"/>
      <c r="I25" s="97">
        <v>1</v>
      </c>
      <c r="J25" s="97"/>
      <c r="K25" s="97">
        <v>1</v>
      </c>
      <c r="L25" s="97">
        <v>1</v>
      </c>
      <c r="M25" s="97"/>
      <c r="N25" s="97"/>
      <c r="O25" s="97"/>
      <c r="P25" s="97"/>
      <c r="Q25" s="97"/>
      <c r="R25" s="97"/>
      <c r="S25" s="97"/>
      <c r="T25" s="97">
        <v>3</v>
      </c>
      <c r="U25" s="97"/>
      <c r="V25" s="97"/>
      <c r="W25" s="97"/>
      <c r="X25" s="97"/>
      <c r="Y25" s="97"/>
      <c r="Z25" s="97"/>
      <c r="AA25" s="97"/>
      <c r="AB25" s="97"/>
      <c r="AC25" s="97"/>
      <c r="AD25" s="97">
        <v>3</v>
      </c>
      <c r="AE25" s="97">
        <v>3</v>
      </c>
      <c r="AF25" s="97"/>
      <c r="AG25" s="97"/>
      <c r="AH25" s="97"/>
      <c r="AI25" s="97"/>
      <c r="AJ25" s="97">
        <v>3</v>
      </c>
      <c r="AK25" s="97">
        <v>3</v>
      </c>
      <c r="AL25" s="97">
        <v>3</v>
      </c>
      <c r="AM25" s="97">
        <v>3</v>
      </c>
      <c r="AN25" s="97"/>
      <c r="AO25" s="97"/>
      <c r="AP25" s="97">
        <v>3</v>
      </c>
      <c r="AQ25" s="97">
        <v>3</v>
      </c>
      <c r="AR25" s="97">
        <v>1</v>
      </c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>
        <v>1</v>
      </c>
      <c r="BE25" s="97"/>
      <c r="BF25" s="97"/>
      <c r="BG25" s="97"/>
      <c r="BH25" s="97">
        <v>1</v>
      </c>
      <c r="BI25" s="97"/>
      <c r="BJ25" s="97">
        <v>1</v>
      </c>
      <c r="BK25" s="97">
        <v>1</v>
      </c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>
        <f t="shared" si="5"/>
        <v>35</v>
      </c>
      <c r="BY25" s="97"/>
      <c r="BZ25" s="97"/>
      <c r="CA25" s="97"/>
      <c r="CB25" s="97"/>
      <c r="CC25" s="97" t="s">
        <v>2000</v>
      </c>
      <c r="CD25" s="97" t="s">
        <v>2013</v>
      </c>
      <c r="CE25" s="198">
        <v>46057</v>
      </c>
      <c r="CF25" s="97">
        <v>106745</v>
      </c>
      <c r="CG25" s="219" t="s">
        <v>2084</v>
      </c>
      <c r="CH25" s="97">
        <v>2026</v>
      </c>
      <c r="CI25" s="97" t="s">
        <v>2017</v>
      </c>
      <c r="CJ25" s="198">
        <v>46064</v>
      </c>
      <c r="CK25" s="97" t="s">
        <v>1027</v>
      </c>
      <c r="CL25" s="97">
        <v>2025</v>
      </c>
    </row>
    <row r="26" spans="1:90" x14ac:dyDescent="0.35">
      <c r="A26" s="97" t="s">
        <v>1993</v>
      </c>
      <c r="B26" s="201" t="s">
        <v>2012</v>
      </c>
      <c r="C26" s="97" t="s">
        <v>911</v>
      </c>
      <c r="D26" s="97" t="s">
        <v>1989</v>
      </c>
      <c r="E26" s="97" t="s">
        <v>2009</v>
      </c>
      <c r="F26" s="97" t="s">
        <v>1836</v>
      </c>
      <c r="G26" s="193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>
        <v>1</v>
      </c>
      <c r="BU26" s="97"/>
      <c r="BV26" s="97"/>
      <c r="BW26" s="97"/>
      <c r="BX26" s="97">
        <f t="shared" si="5"/>
        <v>1</v>
      </c>
      <c r="BY26" s="97"/>
      <c r="BZ26" s="97"/>
      <c r="CA26" s="97"/>
      <c r="CB26" s="97"/>
      <c r="CC26" s="97" t="s">
        <v>2000</v>
      </c>
      <c r="CD26" s="97" t="s">
        <v>2013</v>
      </c>
      <c r="CE26" s="198">
        <v>46057</v>
      </c>
      <c r="CF26" s="97">
        <v>106745</v>
      </c>
      <c r="CG26" s="219" t="s">
        <v>2085</v>
      </c>
      <c r="CH26" s="97">
        <v>2026</v>
      </c>
      <c r="CI26" s="97" t="s">
        <v>2017</v>
      </c>
      <c r="CJ26" s="198">
        <v>46064</v>
      </c>
      <c r="CK26" s="97" t="s">
        <v>1027</v>
      </c>
      <c r="CL26" s="97">
        <v>2025</v>
      </c>
    </row>
    <row r="27" spans="1:90" x14ac:dyDescent="0.35">
      <c r="A27" s="97" t="s">
        <v>1993</v>
      </c>
      <c r="B27" s="201" t="s">
        <v>2012</v>
      </c>
      <c r="C27" s="97" t="s">
        <v>911</v>
      </c>
      <c r="D27" s="97" t="s">
        <v>1984</v>
      </c>
      <c r="E27" s="97" t="s">
        <v>2005</v>
      </c>
      <c r="F27" s="97" t="s">
        <v>1817</v>
      </c>
      <c r="G27" s="193"/>
      <c r="H27" s="97"/>
      <c r="I27" s="97">
        <v>1</v>
      </c>
      <c r="J27" s="97"/>
      <c r="K27" s="97">
        <v>1</v>
      </c>
      <c r="L27" s="97">
        <v>1</v>
      </c>
      <c r="M27" s="97"/>
      <c r="N27" s="97"/>
      <c r="O27" s="97"/>
      <c r="P27" s="97"/>
      <c r="Q27" s="97"/>
      <c r="R27" s="97"/>
      <c r="S27" s="97"/>
      <c r="T27" s="97">
        <v>3</v>
      </c>
      <c r="U27" s="97"/>
      <c r="V27" s="97"/>
      <c r="W27" s="97"/>
      <c r="X27" s="97"/>
      <c r="Y27" s="97"/>
      <c r="Z27" s="97"/>
      <c r="AA27" s="97"/>
      <c r="AB27" s="97"/>
      <c r="AC27" s="97"/>
      <c r="AD27" s="97">
        <v>3</v>
      </c>
      <c r="AE27" s="97">
        <v>3</v>
      </c>
      <c r="AF27" s="97"/>
      <c r="AG27" s="97"/>
      <c r="AH27" s="97"/>
      <c r="AI27" s="97"/>
      <c r="AJ27" s="97">
        <v>3</v>
      </c>
      <c r="AK27" s="97">
        <v>3</v>
      </c>
      <c r="AL27" s="97">
        <v>3</v>
      </c>
      <c r="AM27" s="97">
        <v>3</v>
      </c>
      <c r="AN27" s="97"/>
      <c r="AO27" s="97"/>
      <c r="AP27" s="97">
        <v>3</v>
      </c>
      <c r="AQ27" s="97">
        <v>3</v>
      </c>
      <c r="AR27" s="97">
        <v>1</v>
      </c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>
        <v>1</v>
      </c>
      <c r="BE27" s="97"/>
      <c r="BF27" s="97"/>
      <c r="BG27" s="97"/>
      <c r="BH27" s="97">
        <v>1</v>
      </c>
      <c r="BI27" s="97"/>
      <c r="BJ27" s="97">
        <v>1</v>
      </c>
      <c r="BK27" s="97">
        <v>1</v>
      </c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>
        <f t="shared" si="5"/>
        <v>35</v>
      </c>
      <c r="BY27" s="97"/>
      <c r="BZ27" s="97"/>
      <c r="CA27" s="97"/>
      <c r="CB27" s="97"/>
      <c r="CC27" s="97" t="s">
        <v>2000</v>
      </c>
      <c r="CD27" s="97" t="s">
        <v>2013</v>
      </c>
      <c r="CE27" s="198">
        <v>46057</v>
      </c>
      <c r="CF27" s="97">
        <v>106745</v>
      </c>
      <c r="CG27" s="219" t="s">
        <v>2088</v>
      </c>
      <c r="CH27" s="97">
        <v>2026</v>
      </c>
      <c r="CI27" s="97" t="s">
        <v>2017</v>
      </c>
      <c r="CJ27" s="198">
        <v>46064</v>
      </c>
      <c r="CK27" s="97" t="s">
        <v>1027</v>
      </c>
      <c r="CL27" s="97">
        <v>2025</v>
      </c>
    </row>
    <row r="28" spans="1:90" x14ac:dyDescent="0.35">
      <c r="A28" s="97" t="s">
        <v>1993</v>
      </c>
      <c r="B28" s="201" t="s">
        <v>2012</v>
      </c>
      <c r="C28" s="97" t="s">
        <v>911</v>
      </c>
      <c r="D28" s="97" t="s">
        <v>1989</v>
      </c>
      <c r="E28" s="97" t="s">
        <v>2005</v>
      </c>
      <c r="F28" s="97" t="s">
        <v>1836</v>
      </c>
      <c r="G28" s="193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>
        <v>1</v>
      </c>
      <c r="BU28" s="97"/>
      <c r="BV28" s="97"/>
      <c r="BW28" s="97"/>
      <c r="BX28" s="97">
        <f t="shared" si="5"/>
        <v>1</v>
      </c>
      <c r="BY28" s="97"/>
      <c r="BZ28" s="97"/>
      <c r="CA28" s="97"/>
      <c r="CB28" s="97"/>
      <c r="CC28" s="97" t="s">
        <v>2000</v>
      </c>
      <c r="CD28" s="97" t="s">
        <v>2013</v>
      </c>
      <c r="CE28" s="198">
        <v>46057</v>
      </c>
      <c r="CF28" s="97">
        <v>106745</v>
      </c>
      <c r="CG28" s="219" t="s">
        <v>2089</v>
      </c>
      <c r="CH28" s="97">
        <v>2026</v>
      </c>
      <c r="CI28" s="97" t="s">
        <v>2017</v>
      </c>
      <c r="CJ28" s="198">
        <v>46064</v>
      </c>
      <c r="CK28" s="97" t="s">
        <v>1027</v>
      </c>
      <c r="CL28" s="97">
        <v>2025</v>
      </c>
    </row>
    <row r="29" spans="1:90" x14ac:dyDescent="0.35">
      <c r="A29" s="201" t="s">
        <v>1993</v>
      </c>
      <c r="B29" s="201" t="s">
        <v>2036</v>
      </c>
      <c r="C29" s="201" t="s">
        <v>19</v>
      </c>
      <c r="D29" s="201" t="s">
        <v>19</v>
      </c>
      <c r="E29" s="201" t="s">
        <v>2009</v>
      </c>
      <c r="F29" s="201" t="s">
        <v>2033</v>
      </c>
      <c r="G29" s="212"/>
      <c r="H29" s="201">
        <v>1</v>
      </c>
      <c r="I29" s="201">
        <v>1</v>
      </c>
      <c r="J29" s="201">
        <v>1</v>
      </c>
      <c r="K29" s="201">
        <v>1</v>
      </c>
      <c r="L29" s="201">
        <v>1</v>
      </c>
      <c r="M29" s="201">
        <v>1</v>
      </c>
      <c r="N29" s="201">
        <v>1</v>
      </c>
      <c r="O29" s="201"/>
      <c r="P29" s="201">
        <v>1</v>
      </c>
      <c r="Q29" s="201"/>
      <c r="R29" s="201"/>
      <c r="S29" s="201"/>
      <c r="T29" s="201"/>
      <c r="U29" s="201"/>
      <c r="V29" s="201"/>
      <c r="W29" s="201"/>
      <c r="X29" s="201">
        <v>1</v>
      </c>
      <c r="Y29" s="201">
        <v>6</v>
      </c>
      <c r="Z29" s="201">
        <v>3</v>
      </c>
      <c r="AA29" s="201"/>
      <c r="AB29" s="201"/>
      <c r="AC29" s="201">
        <v>6</v>
      </c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>
        <v>6</v>
      </c>
      <c r="AO29" s="201">
        <v>6</v>
      </c>
      <c r="AP29" s="201"/>
      <c r="AQ29" s="201"/>
      <c r="AR29" s="201">
        <v>1</v>
      </c>
      <c r="AS29" s="201"/>
      <c r="AT29" s="201"/>
      <c r="AU29" s="201"/>
      <c r="AV29" s="201"/>
      <c r="AW29" s="201"/>
      <c r="AX29" s="201"/>
      <c r="AY29" s="201"/>
      <c r="AZ29" s="201"/>
      <c r="BA29" s="201"/>
      <c r="BB29" s="201">
        <v>1</v>
      </c>
      <c r="BC29" s="201"/>
      <c r="BD29" s="201"/>
      <c r="BE29" s="201"/>
      <c r="BF29" s="201"/>
      <c r="BG29" s="214">
        <v>1</v>
      </c>
      <c r="BH29" s="201">
        <v>1</v>
      </c>
      <c r="BI29" s="214"/>
      <c r="BJ29" s="201"/>
      <c r="BK29" s="214">
        <v>1</v>
      </c>
      <c r="BL29" s="201"/>
      <c r="BM29" s="201"/>
      <c r="BN29" s="201"/>
      <c r="BO29" s="201"/>
      <c r="BP29" s="201"/>
      <c r="BQ29" s="201"/>
      <c r="BR29" s="201"/>
      <c r="BS29" s="201"/>
      <c r="BT29" s="201"/>
      <c r="BU29" s="201"/>
      <c r="BV29" s="201"/>
      <c r="BW29" s="201"/>
      <c r="BX29" s="201">
        <f t="shared" si="5"/>
        <v>41</v>
      </c>
      <c r="BY29" s="201">
        <v>1</v>
      </c>
      <c r="BZ29" s="201">
        <v>1</v>
      </c>
      <c r="CA29" s="201"/>
      <c r="CB29" s="201"/>
      <c r="CC29" s="201" t="s">
        <v>2000</v>
      </c>
      <c r="CD29" s="201" t="s">
        <v>2032</v>
      </c>
      <c r="CE29" s="213">
        <v>46057</v>
      </c>
      <c r="CF29" s="201">
        <v>106745</v>
      </c>
      <c r="CG29" s="219" t="s">
        <v>2098</v>
      </c>
      <c r="CH29" s="201">
        <v>2026</v>
      </c>
      <c r="CI29" s="97" t="s">
        <v>2017</v>
      </c>
      <c r="CJ29" s="198">
        <v>46064</v>
      </c>
      <c r="CK29" s="201" t="s">
        <v>1027</v>
      </c>
      <c r="CL29" s="97">
        <v>2025</v>
      </c>
    </row>
    <row r="30" spans="1:90" x14ac:dyDescent="0.35">
      <c r="A30" s="201" t="s">
        <v>1993</v>
      </c>
      <c r="B30" s="201" t="s">
        <v>2050</v>
      </c>
      <c r="C30" s="201" t="s">
        <v>19</v>
      </c>
      <c r="D30" s="201" t="s">
        <v>19</v>
      </c>
      <c r="E30" s="201" t="s">
        <v>2005</v>
      </c>
      <c r="F30" s="201" t="s">
        <v>2033</v>
      </c>
      <c r="G30" s="212"/>
      <c r="H30" s="201">
        <v>1</v>
      </c>
      <c r="I30" s="201">
        <v>1</v>
      </c>
      <c r="J30" s="201">
        <v>1</v>
      </c>
      <c r="K30" s="201">
        <v>1</v>
      </c>
      <c r="L30" s="201">
        <v>1</v>
      </c>
      <c r="M30" s="201">
        <v>1</v>
      </c>
      <c r="N30" s="201">
        <v>1</v>
      </c>
      <c r="O30" s="201"/>
      <c r="P30" s="201">
        <v>1</v>
      </c>
      <c r="Q30" s="201"/>
      <c r="R30" s="201"/>
      <c r="S30" s="201"/>
      <c r="T30" s="201"/>
      <c r="U30" s="201"/>
      <c r="V30" s="201"/>
      <c r="W30" s="201"/>
      <c r="X30" s="201">
        <v>1</v>
      </c>
      <c r="Y30" s="201">
        <v>6</v>
      </c>
      <c r="Z30" s="201">
        <v>3</v>
      </c>
      <c r="AA30" s="201"/>
      <c r="AB30" s="201"/>
      <c r="AC30" s="201">
        <v>6</v>
      </c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>
        <v>6</v>
      </c>
      <c r="AO30" s="201">
        <v>6</v>
      </c>
      <c r="AP30" s="201"/>
      <c r="AQ30" s="201"/>
      <c r="AR30" s="201">
        <v>1</v>
      </c>
      <c r="AS30" s="201"/>
      <c r="AT30" s="201"/>
      <c r="AU30" s="201"/>
      <c r="AV30" s="201"/>
      <c r="AW30" s="201"/>
      <c r="AX30" s="201"/>
      <c r="AY30" s="201"/>
      <c r="AZ30" s="201"/>
      <c r="BA30" s="201"/>
      <c r="BB30" s="201">
        <v>1</v>
      </c>
      <c r="BC30" s="201"/>
      <c r="BD30" s="201"/>
      <c r="BE30" s="201"/>
      <c r="BF30" s="201"/>
      <c r="BG30" s="214">
        <v>1</v>
      </c>
      <c r="BH30" s="201">
        <v>1</v>
      </c>
      <c r="BI30" s="214"/>
      <c r="BJ30" s="201"/>
      <c r="BK30" s="214">
        <v>1</v>
      </c>
      <c r="BL30" s="201"/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>
        <f t="shared" si="5"/>
        <v>41</v>
      </c>
      <c r="BY30" s="201">
        <v>1</v>
      </c>
      <c r="BZ30" s="201">
        <v>1</v>
      </c>
      <c r="CA30" s="201"/>
      <c r="CB30" s="201"/>
      <c r="CC30" s="97" t="s">
        <v>1992</v>
      </c>
      <c r="CD30" s="97" t="s">
        <v>2032</v>
      </c>
      <c r="CE30" s="213">
        <v>46059</v>
      </c>
      <c r="CF30" s="97">
        <v>106745</v>
      </c>
      <c r="CG30" s="219" t="s">
        <v>2114</v>
      </c>
      <c r="CH30" s="97">
        <v>2026</v>
      </c>
      <c r="CI30" s="97" t="s">
        <v>2017</v>
      </c>
      <c r="CJ30" s="198">
        <v>46064</v>
      </c>
      <c r="CK30" s="97" t="s">
        <v>1027</v>
      </c>
      <c r="CL30" s="97">
        <v>2025</v>
      </c>
    </row>
    <row r="31" spans="1:90" x14ac:dyDescent="0.35">
      <c r="A31" s="97" t="s">
        <v>1988</v>
      </c>
      <c r="B31" s="97"/>
      <c r="C31" s="97" t="s">
        <v>911</v>
      </c>
      <c r="D31" s="97" t="s">
        <v>1984</v>
      </c>
      <c r="E31" s="97" t="s">
        <v>1994</v>
      </c>
      <c r="F31" s="97" t="s">
        <v>1817</v>
      </c>
      <c r="G31" s="193"/>
      <c r="H31" s="97"/>
      <c r="I31" s="97">
        <v>1</v>
      </c>
      <c r="J31" s="97"/>
      <c r="K31" s="97">
        <v>1</v>
      </c>
      <c r="L31" s="97">
        <v>1</v>
      </c>
      <c r="M31" s="97"/>
      <c r="N31" s="97"/>
      <c r="O31" s="97"/>
      <c r="P31" s="97"/>
      <c r="Q31" s="97"/>
      <c r="R31" s="97"/>
      <c r="S31" s="97"/>
      <c r="T31" s="97">
        <v>3</v>
      </c>
      <c r="U31" s="97"/>
      <c r="V31" s="97"/>
      <c r="W31" s="97"/>
      <c r="X31" s="97"/>
      <c r="Y31" s="97"/>
      <c r="Z31" s="97"/>
      <c r="AA31" s="97"/>
      <c r="AB31" s="97"/>
      <c r="AC31" s="97"/>
      <c r="AD31" s="97">
        <v>3</v>
      </c>
      <c r="AE31" s="97">
        <v>3</v>
      </c>
      <c r="AF31" s="97"/>
      <c r="AG31" s="97"/>
      <c r="AH31" s="97"/>
      <c r="AI31" s="97"/>
      <c r="AJ31" s="97">
        <v>3</v>
      </c>
      <c r="AK31" s="97">
        <v>3</v>
      </c>
      <c r="AL31" s="97">
        <v>3</v>
      </c>
      <c r="AM31" s="97">
        <v>3</v>
      </c>
      <c r="AN31" s="97"/>
      <c r="AO31" s="97"/>
      <c r="AP31" s="97">
        <v>3</v>
      </c>
      <c r="AQ31" s="97">
        <v>3</v>
      </c>
      <c r="AR31" s="97">
        <v>1</v>
      </c>
      <c r="AS31" s="97"/>
      <c r="AT31" s="97"/>
      <c r="AU31" s="97"/>
      <c r="AV31" s="97"/>
      <c r="AW31" s="97">
        <v>1</v>
      </c>
      <c r="AX31" s="97"/>
      <c r="AY31" s="97"/>
      <c r="AZ31" s="97"/>
      <c r="BA31" s="97"/>
      <c r="BB31" s="97"/>
      <c r="BC31" s="97">
        <v>1</v>
      </c>
      <c r="BD31" s="97"/>
      <c r="BE31" s="97"/>
      <c r="BF31" s="97"/>
      <c r="BG31" s="97">
        <v>1</v>
      </c>
      <c r="BH31" s="97">
        <v>1</v>
      </c>
      <c r="BI31" s="97"/>
      <c r="BJ31" s="97">
        <v>1</v>
      </c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>
        <f t="shared" si="5"/>
        <v>36</v>
      </c>
      <c r="BY31" s="97"/>
      <c r="BZ31" s="97"/>
      <c r="CA31" s="97"/>
      <c r="CB31" s="97" t="s">
        <v>1998</v>
      </c>
      <c r="CC31" s="97" t="s">
        <v>1992</v>
      </c>
      <c r="CD31" s="97" t="s">
        <v>2013</v>
      </c>
      <c r="CE31" s="198">
        <v>46057</v>
      </c>
      <c r="CF31" s="97">
        <v>88436</v>
      </c>
      <c r="CG31" s="219" t="s">
        <v>2052</v>
      </c>
      <c r="CH31" s="97">
        <v>2026</v>
      </c>
      <c r="CI31" s="97" t="s">
        <v>2017</v>
      </c>
      <c r="CJ31" s="198">
        <v>46069</v>
      </c>
      <c r="CK31" s="97" t="s">
        <v>864</v>
      </c>
      <c r="CL31" s="97">
        <v>2024</v>
      </c>
    </row>
    <row r="32" spans="1:90" x14ac:dyDescent="0.35">
      <c r="A32" s="97" t="s">
        <v>1988</v>
      </c>
      <c r="B32" s="97"/>
      <c r="C32" s="97" t="s">
        <v>911</v>
      </c>
      <c r="D32" s="97" t="s">
        <v>1989</v>
      </c>
      <c r="E32" s="97" t="s">
        <v>1994</v>
      </c>
      <c r="F32" s="97" t="s">
        <v>1836</v>
      </c>
      <c r="G32" s="193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>
        <v>2</v>
      </c>
      <c r="BU32" s="97"/>
      <c r="BV32" s="97"/>
      <c r="BW32" s="97"/>
      <c r="BX32" s="97">
        <f t="shared" si="5"/>
        <v>2</v>
      </c>
      <c r="BY32" s="97"/>
      <c r="BZ32" s="97"/>
      <c r="CA32" s="97"/>
      <c r="CB32" s="97"/>
      <c r="CC32" s="97" t="s">
        <v>1992</v>
      </c>
      <c r="CD32" s="97" t="s">
        <v>2013</v>
      </c>
      <c r="CE32" s="198">
        <v>46057</v>
      </c>
      <c r="CF32" s="97">
        <v>106745</v>
      </c>
      <c r="CG32" s="219" t="s">
        <v>2056</v>
      </c>
      <c r="CH32" s="97">
        <v>2026</v>
      </c>
      <c r="CI32" s="97" t="s">
        <v>2017</v>
      </c>
      <c r="CJ32" s="198">
        <v>46069</v>
      </c>
      <c r="CK32" s="97" t="s">
        <v>1027</v>
      </c>
      <c r="CL32" s="97">
        <v>2025</v>
      </c>
    </row>
    <row r="33" spans="1:90" x14ac:dyDescent="0.35">
      <c r="A33" s="97" t="s">
        <v>1988</v>
      </c>
      <c r="B33" s="201"/>
      <c r="C33" s="201" t="s">
        <v>911</v>
      </c>
      <c r="D33" s="201" t="s">
        <v>27</v>
      </c>
      <c r="E33" s="201" t="s">
        <v>2117</v>
      </c>
      <c r="F33" s="201" t="s">
        <v>1826</v>
      </c>
      <c r="G33" s="212"/>
      <c r="H33" s="201"/>
      <c r="I33" s="201">
        <v>1</v>
      </c>
      <c r="J33" s="201"/>
      <c r="K33" s="201">
        <v>1</v>
      </c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>
        <v>3</v>
      </c>
      <c r="AI33" s="201"/>
      <c r="AJ33" s="201"/>
      <c r="AK33" s="201"/>
      <c r="AL33" s="201"/>
      <c r="AM33" s="201"/>
      <c r="AN33" s="201"/>
      <c r="AO33" s="201"/>
      <c r="AP33" s="201"/>
      <c r="AQ33" s="201"/>
      <c r="AR33" s="201">
        <v>1</v>
      </c>
      <c r="AS33" s="201"/>
      <c r="AT33" s="201"/>
      <c r="AU33" s="201"/>
      <c r="AV33" s="201"/>
      <c r="AW33" s="201">
        <v>1</v>
      </c>
      <c r="AX33" s="201"/>
      <c r="AY33" s="201"/>
      <c r="AZ33" s="201"/>
      <c r="BA33" s="201"/>
      <c r="BB33" s="201"/>
      <c r="BC33" s="201">
        <v>1</v>
      </c>
      <c r="BD33" s="201"/>
      <c r="BE33" s="201"/>
      <c r="BF33" s="201"/>
      <c r="BG33" s="214">
        <v>1</v>
      </c>
      <c r="BH33" s="201">
        <v>1</v>
      </c>
      <c r="BI33" s="214"/>
      <c r="BJ33" s="201">
        <v>1</v>
      </c>
      <c r="BK33" s="214"/>
      <c r="BL33" s="201"/>
      <c r="BM33" s="201"/>
      <c r="BN33" s="201"/>
      <c r="BO33" s="201"/>
      <c r="BP33" s="201"/>
      <c r="BQ33" s="201"/>
      <c r="BR33" s="201"/>
      <c r="BS33" s="201"/>
      <c r="BT33" s="201"/>
      <c r="BU33" s="201"/>
      <c r="BV33" s="201"/>
      <c r="BW33" s="201"/>
      <c r="BX33" s="201">
        <f t="shared" ref="BX33:BX64" si="6">SUM(H33:BW33)</f>
        <v>11</v>
      </c>
      <c r="BY33" s="201"/>
      <c r="BZ33" s="201"/>
      <c r="CA33" s="201"/>
      <c r="CB33" s="201"/>
      <c r="CC33" s="97" t="s">
        <v>1992</v>
      </c>
      <c r="CD33" s="97" t="s">
        <v>2013</v>
      </c>
      <c r="CE33" s="213">
        <v>46063</v>
      </c>
      <c r="CF33" s="97" t="s">
        <v>374</v>
      </c>
      <c r="CG33" s="219" t="s">
        <v>2119</v>
      </c>
      <c r="CH33" s="97">
        <v>2026</v>
      </c>
      <c r="CI33" s="97" t="s">
        <v>2017</v>
      </c>
      <c r="CJ33" s="198">
        <v>46066</v>
      </c>
      <c r="CK33" s="97" t="s">
        <v>374</v>
      </c>
      <c r="CL33" s="97">
        <v>2025</v>
      </c>
    </row>
    <row r="34" spans="1:90" x14ac:dyDescent="0.35">
      <c r="A34" s="97" t="s">
        <v>1988</v>
      </c>
      <c r="B34" s="97"/>
      <c r="C34" s="97" t="s">
        <v>911</v>
      </c>
      <c r="D34" s="97" t="s">
        <v>1989</v>
      </c>
      <c r="E34" s="97" t="s">
        <v>764</v>
      </c>
      <c r="F34" s="97" t="s">
        <v>1836</v>
      </c>
      <c r="G34" s="193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>
        <v>2</v>
      </c>
      <c r="BU34" s="97"/>
      <c r="BV34" s="97"/>
      <c r="BW34" s="97"/>
      <c r="BX34" s="97">
        <f t="shared" si="6"/>
        <v>2</v>
      </c>
      <c r="BY34" s="97"/>
      <c r="BZ34" s="97"/>
      <c r="CA34" s="97"/>
      <c r="CB34" s="97"/>
      <c r="CC34" s="97" t="s">
        <v>1992</v>
      </c>
      <c r="CD34" s="97" t="s">
        <v>2013</v>
      </c>
      <c r="CE34" s="198">
        <v>46057</v>
      </c>
      <c r="CF34" s="97">
        <v>106745</v>
      </c>
      <c r="CG34" s="219" t="s">
        <v>2057</v>
      </c>
      <c r="CH34" s="97">
        <v>2026</v>
      </c>
      <c r="CI34" s="97" t="s">
        <v>2017</v>
      </c>
      <c r="CJ34" s="198">
        <v>46066</v>
      </c>
      <c r="CK34" s="97" t="s">
        <v>1027</v>
      </c>
      <c r="CL34" s="97">
        <v>2025</v>
      </c>
    </row>
    <row r="35" spans="1:90" x14ac:dyDescent="0.35">
      <c r="A35" s="97" t="s">
        <v>1988</v>
      </c>
      <c r="B35" s="98"/>
      <c r="C35" s="97" t="s">
        <v>911</v>
      </c>
      <c r="D35" s="201" t="s">
        <v>880</v>
      </c>
      <c r="E35" s="97" t="s">
        <v>1087</v>
      </c>
      <c r="F35" s="97" t="s">
        <v>2003</v>
      </c>
      <c r="G35" s="193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>
        <v>3</v>
      </c>
      <c r="AT35" s="97">
        <v>3</v>
      </c>
      <c r="AU35" s="97">
        <v>3</v>
      </c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>
        <v>1</v>
      </c>
      <c r="BQ35" s="97"/>
      <c r="BR35" s="97"/>
      <c r="BS35" s="97"/>
      <c r="BT35" s="97"/>
      <c r="BU35" s="97"/>
      <c r="BV35" s="97"/>
      <c r="BW35" s="97"/>
      <c r="BX35" s="97">
        <f t="shared" si="6"/>
        <v>10</v>
      </c>
      <c r="BY35" s="97"/>
      <c r="BZ35" s="97"/>
      <c r="CA35" s="97"/>
      <c r="CB35" s="97"/>
      <c r="CC35" s="97" t="s">
        <v>1992</v>
      </c>
      <c r="CD35" s="97" t="s">
        <v>2013</v>
      </c>
      <c r="CE35" s="213">
        <v>46063</v>
      </c>
      <c r="CF35" s="225" t="s">
        <v>2126</v>
      </c>
      <c r="CG35" s="219" t="s">
        <v>2123</v>
      </c>
      <c r="CH35" s="97">
        <v>2026</v>
      </c>
      <c r="CI35" s="97" t="s">
        <v>2017</v>
      </c>
      <c r="CJ35" s="198">
        <v>46066</v>
      </c>
      <c r="CK35" s="97"/>
      <c r="CL35" s="97"/>
    </row>
    <row r="36" spans="1:90" x14ac:dyDescent="0.35">
      <c r="A36" s="97" t="s">
        <v>1993</v>
      </c>
      <c r="B36" s="201" t="s">
        <v>2012</v>
      </c>
      <c r="C36" s="97" t="s">
        <v>911</v>
      </c>
      <c r="D36" s="97" t="s">
        <v>1989</v>
      </c>
      <c r="E36" s="97" t="s">
        <v>2006</v>
      </c>
      <c r="F36" s="97" t="s">
        <v>1836</v>
      </c>
      <c r="G36" s="193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>
        <v>1</v>
      </c>
      <c r="BV36" s="97"/>
      <c r="BW36" s="97"/>
      <c r="BX36" s="97">
        <f t="shared" si="6"/>
        <v>1</v>
      </c>
      <c r="BY36" s="97"/>
      <c r="BZ36" s="97"/>
      <c r="CA36" s="97"/>
      <c r="CB36" s="97"/>
      <c r="CC36" s="97" t="s">
        <v>1990</v>
      </c>
      <c r="CD36" s="97" t="s">
        <v>2013</v>
      </c>
      <c r="CE36" s="198">
        <v>46057</v>
      </c>
      <c r="CF36" s="97">
        <v>106745</v>
      </c>
      <c r="CG36" s="219" t="s">
        <v>2093</v>
      </c>
      <c r="CH36" s="97">
        <v>2026</v>
      </c>
      <c r="CI36" s="97" t="s">
        <v>2017</v>
      </c>
      <c r="CJ36" s="198">
        <v>46066</v>
      </c>
      <c r="CK36" s="97" t="s">
        <v>1027</v>
      </c>
      <c r="CL36" s="97">
        <v>2025</v>
      </c>
    </row>
    <row r="37" spans="1:90" x14ac:dyDescent="0.35">
      <c r="A37" s="97" t="s">
        <v>1993</v>
      </c>
      <c r="B37" s="97" t="s">
        <v>1997</v>
      </c>
      <c r="C37" s="97" t="s">
        <v>911</v>
      </c>
      <c r="D37" s="97" t="s">
        <v>1984</v>
      </c>
      <c r="E37" s="97" t="s">
        <v>1996</v>
      </c>
      <c r="F37" s="97" t="s">
        <v>1817</v>
      </c>
      <c r="G37" s="193"/>
      <c r="H37" s="97"/>
      <c r="I37" s="97">
        <v>1</v>
      </c>
      <c r="J37" s="97"/>
      <c r="K37" s="97">
        <v>1</v>
      </c>
      <c r="L37" s="97">
        <v>1</v>
      </c>
      <c r="M37" s="97"/>
      <c r="N37" s="97"/>
      <c r="O37" s="97"/>
      <c r="P37" s="97"/>
      <c r="Q37" s="97"/>
      <c r="R37" s="97"/>
      <c r="S37" s="97"/>
      <c r="T37" s="97">
        <v>3</v>
      </c>
      <c r="U37" s="97"/>
      <c r="V37" s="97"/>
      <c r="W37" s="97"/>
      <c r="X37" s="97"/>
      <c r="Y37" s="97"/>
      <c r="Z37" s="97"/>
      <c r="AA37" s="97"/>
      <c r="AB37" s="97"/>
      <c r="AC37" s="97"/>
      <c r="AD37" s="97">
        <v>3</v>
      </c>
      <c r="AE37" s="97">
        <v>3</v>
      </c>
      <c r="AF37" s="97"/>
      <c r="AG37" s="97"/>
      <c r="AH37" s="97"/>
      <c r="AI37" s="97"/>
      <c r="AJ37" s="97">
        <v>3</v>
      </c>
      <c r="AK37" s="97">
        <v>3</v>
      </c>
      <c r="AL37" s="97">
        <v>3</v>
      </c>
      <c r="AM37" s="97">
        <v>3</v>
      </c>
      <c r="AN37" s="97"/>
      <c r="AO37" s="97"/>
      <c r="AP37" s="97">
        <v>3</v>
      </c>
      <c r="AQ37" s="97">
        <v>3</v>
      </c>
      <c r="AR37" s="97">
        <v>1</v>
      </c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>
        <v>1</v>
      </c>
      <c r="BD37" s="97"/>
      <c r="BE37" s="97"/>
      <c r="BF37" s="97"/>
      <c r="BG37" s="97">
        <v>1</v>
      </c>
      <c r="BH37" s="97">
        <v>1</v>
      </c>
      <c r="BI37" s="97"/>
      <c r="BJ37" s="97">
        <v>1</v>
      </c>
      <c r="BK37" s="97">
        <v>1</v>
      </c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>
        <f t="shared" si="6"/>
        <v>36</v>
      </c>
      <c r="BY37" s="97"/>
      <c r="BZ37" s="97"/>
      <c r="CA37" s="97"/>
      <c r="CB37" s="97" t="s">
        <v>1998</v>
      </c>
      <c r="CC37" s="97" t="s">
        <v>1995</v>
      </c>
      <c r="CD37" s="97" t="s">
        <v>2013</v>
      </c>
      <c r="CE37" s="198">
        <v>46057</v>
      </c>
      <c r="CF37" s="97">
        <v>106745</v>
      </c>
      <c r="CG37" s="219" t="s">
        <v>2059</v>
      </c>
      <c r="CH37" s="97">
        <v>2026</v>
      </c>
      <c r="CI37" s="97"/>
      <c r="CJ37" s="198"/>
      <c r="CK37" s="97" t="s">
        <v>1027</v>
      </c>
      <c r="CL37" s="97">
        <v>2025</v>
      </c>
    </row>
    <row r="38" spans="1:90" x14ac:dyDescent="0.35">
      <c r="A38" s="97" t="s">
        <v>1993</v>
      </c>
      <c r="B38" s="97" t="s">
        <v>1997</v>
      </c>
      <c r="C38" s="97" t="s">
        <v>911</v>
      </c>
      <c r="D38" s="97" t="s">
        <v>1989</v>
      </c>
      <c r="E38" s="97" t="s">
        <v>1996</v>
      </c>
      <c r="F38" s="97" t="s">
        <v>1836</v>
      </c>
      <c r="G38" s="193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>
        <v>2</v>
      </c>
      <c r="BU38" s="97"/>
      <c r="BV38" s="97"/>
      <c r="BW38" s="97"/>
      <c r="BX38" s="97">
        <f t="shared" si="6"/>
        <v>2</v>
      </c>
      <c r="BY38" s="97"/>
      <c r="BZ38" s="97"/>
      <c r="CA38" s="97"/>
      <c r="CB38" s="97"/>
      <c r="CC38" s="97" t="s">
        <v>1995</v>
      </c>
      <c r="CD38" s="97" t="s">
        <v>2013</v>
      </c>
      <c r="CE38" s="198">
        <v>46057</v>
      </c>
      <c r="CF38" s="97">
        <v>106745</v>
      </c>
      <c r="CG38" s="219" t="s">
        <v>2060</v>
      </c>
      <c r="CH38" s="97">
        <v>2026</v>
      </c>
      <c r="CI38" s="97"/>
      <c r="CJ38" s="198"/>
      <c r="CK38" s="97" t="s">
        <v>1027</v>
      </c>
      <c r="CL38" s="97">
        <v>2025</v>
      </c>
    </row>
    <row r="39" spans="1:90" x14ac:dyDescent="0.35">
      <c r="A39" s="97" t="s">
        <v>1988</v>
      </c>
      <c r="B39" s="97"/>
      <c r="C39" s="97" t="s">
        <v>911</v>
      </c>
      <c r="D39" s="97" t="s">
        <v>1984</v>
      </c>
      <c r="E39" s="97" t="s">
        <v>764</v>
      </c>
      <c r="F39" s="97" t="s">
        <v>1817</v>
      </c>
      <c r="G39" s="193"/>
      <c r="H39" s="97"/>
      <c r="I39" s="97">
        <v>1</v>
      </c>
      <c r="J39" s="97"/>
      <c r="K39" s="97">
        <v>1</v>
      </c>
      <c r="L39" s="97">
        <v>1</v>
      </c>
      <c r="M39" s="97"/>
      <c r="N39" s="97"/>
      <c r="O39" s="97"/>
      <c r="P39" s="97"/>
      <c r="Q39" s="97"/>
      <c r="R39" s="97"/>
      <c r="S39" s="97"/>
      <c r="T39" s="97">
        <v>3</v>
      </c>
      <c r="U39" s="97"/>
      <c r="V39" s="97"/>
      <c r="W39" s="97"/>
      <c r="X39" s="97"/>
      <c r="Y39" s="97"/>
      <c r="Z39" s="97"/>
      <c r="AA39" s="97"/>
      <c r="AB39" s="97"/>
      <c r="AC39" s="97"/>
      <c r="AD39" s="97">
        <v>3</v>
      </c>
      <c r="AE39" s="97">
        <v>3</v>
      </c>
      <c r="AF39" s="97"/>
      <c r="AG39" s="97"/>
      <c r="AH39" s="97"/>
      <c r="AI39" s="97"/>
      <c r="AJ39" s="97">
        <v>3</v>
      </c>
      <c r="AK39" s="97">
        <v>3</v>
      </c>
      <c r="AL39" s="97">
        <v>3</v>
      </c>
      <c r="AM39" s="97">
        <v>3</v>
      </c>
      <c r="AN39" s="97"/>
      <c r="AO39" s="97"/>
      <c r="AP39" s="97">
        <v>3</v>
      </c>
      <c r="AQ39" s="97">
        <v>3</v>
      </c>
      <c r="AR39" s="97">
        <v>1</v>
      </c>
      <c r="AS39" s="97"/>
      <c r="AT39" s="97"/>
      <c r="AU39" s="97"/>
      <c r="AV39" s="97"/>
      <c r="AW39" s="97">
        <v>1</v>
      </c>
      <c r="AX39" s="97"/>
      <c r="AY39" s="97"/>
      <c r="AZ39" s="97"/>
      <c r="BA39" s="97"/>
      <c r="BB39" s="97"/>
      <c r="BC39" s="97">
        <v>1</v>
      </c>
      <c r="BD39" s="97"/>
      <c r="BE39" s="97"/>
      <c r="BF39" s="97"/>
      <c r="BG39" s="97">
        <v>1</v>
      </c>
      <c r="BH39" s="97">
        <v>1</v>
      </c>
      <c r="BI39" s="97"/>
      <c r="BJ39" s="97">
        <v>1</v>
      </c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97"/>
      <c r="BX39" s="97">
        <f t="shared" si="6"/>
        <v>36</v>
      </c>
      <c r="BY39" s="97"/>
      <c r="BZ39" s="97"/>
      <c r="CA39" s="97"/>
      <c r="CB39" s="97" t="s">
        <v>1998</v>
      </c>
      <c r="CC39" s="97" t="s">
        <v>1992</v>
      </c>
      <c r="CD39" s="97" t="s">
        <v>2013</v>
      </c>
      <c r="CE39" s="198">
        <v>46057</v>
      </c>
      <c r="CF39" s="97">
        <v>88436</v>
      </c>
      <c r="CG39" s="219" t="s">
        <v>2053</v>
      </c>
      <c r="CH39" s="97">
        <v>2026</v>
      </c>
      <c r="CI39" s="97" t="s">
        <v>2017</v>
      </c>
      <c r="CJ39" s="198">
        <v>46066</v>
      </c>
      <c r="CK39" s="97" t="s">
        <v>864</v>
      </c>
      <c r="CL39" s="97">
        <v>2024</v>
      </c>
    </row>
    <row r="40" spans="1:90" x14ac:dyDescent="0.35">
      <c r="A40" s="97" t="s">
        <v>1993</v>
      </c>
      <c r="B40" s="201" t="s">
        <v>2012</v>
      </c>
      <c r="C40" s="97" t="s">
        <v>911</v>
      </c>
      <c r="D40" s="97" t="s">
        <v>1984</v>
      </c>
      <c r="E40" s="97" t="s">
        <v>2006</v>
      </c>
      <c r="F40" s="97" t="s">
        <v>1817</v>
      </c>
      <c r="G40" s="193"/>
      <c r="H40" s="97"/>
      <c r="I40" s="97">
        <v>1</v>
      </c>
      <c r="J40" s="97"/>
      <c r="K40" s="97">
        <v>1</v>
      </c>
      <c r="L40" s="97">
        <v>1</v>
      </c>
      <c r="M40" s="97"/>
      <c r="N40" s="97"/>
      <c r="O40" s="97"/>
      <c r="P40" s="97"/>
      <c r="Q40" s="97"/>
      <c r="R40" s="97"/>
      <c r="S40" s="97"/>
      <c r="T40" s="97">
        <v>3</v>
      </c>
      <c r="U40" s="97"/>
      <c r="V40" s="97"/>
      <c r="W40" s="97"/>
      <c r="X40" s="97"/>
      <c r="Y40" s="97"/>
      <c r="Z40" s="97"/>
      <c r="AA40" s="97"/>
      <c r="AB40" s="97"/>
      <c r="AC40" s="97"/>
      <c r="AD40" s="97">
        <v>3</v>
      </c>
      <c r="AE40" s="97">
        <v>3</v>
      </c>
      <c r="AF40" s="97"/>
      <c r="AG40" s="97"/>
      <c r="AH40" s="97"/>
      <c r="AI40" s="97"/>
      <c r="AJ40" s="97">
        <v>3</v>
      </c>
      <c r="AK40" s="97">
        <v>3</v>
      </c>
      <c r="AL40" s="97">
        <v>3</v>
      </c>
      <c r="AM40" s="97">
        <v>3</v>
      </c>
      <c r="AN40" s="97"/>
      <c r="AO40" s="97"/>
      <c r="AP40" s="97">
        <v>3</v>
      </c>
      <c r="AQ40" s="97">
        <v>3</v>
      </c>
      <c r="AR40" s="97">
        <v>1</v>
      </c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>
        <v>1</v>
      </c>
      <c r="BE40" s="97"/>
      <c r="BF40" s="97"/>
      <c r="BG40" s="97"/>
      <c r="BH40" s="97">
        <v>1</v>
      </c>
      <c r="BI40" s="97"/>
      <c r="BJ40" s="97">
        <v>1</v>
      </c>
      <c r="BK40" s="97">
        <v>1</v>
      </c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>
        <f t="shared" si="6"/>
        <v>35</v>
      </c>
      <c r="BY40" s="97"/>
      <c r="BZ40" s="97"/>
      <c r="CA40" s="97"/>
      <c r="CB40" s="97"/>
      <c r="CC40" s="97" t="s">
        <v>1990</v>
      </c>
      <c r="CD40" s="97" t="s">
        <v>2013</v>
      </c>
      <c r="CE40" s="198">
        <v>46057</v>
      </c>
      <c r="CF40" s="97">
        <v>106745</v>
      </c>
      <c r="CG40" s="219" t="s">
        <v>2092</v>
      </c>
      <c r="CH40" s="97">
        <v>2026</v>
      </c>
      <c r="CI40" s="97" t="s">
        <v>2017</v>
      </c>
      <c r="CJ40" s="198">
        <v>46066</v>
      </c>
      <c r="CK40" s="97" t="s">
        <v>1027</v>
      </c>
      <c r="CL40" s="97">
        <v>2025</v>
      </c>
    </row>
    <row r="41" spans="1:90" x14ac:dyDescent="0.35">
      <c r="A41" s="97" t="s">
        <v>1993</v>
      </c>
      <c r="B41" s="97" t="s">
        <v>1999</v>
      </c>
      <c r="C41" s="97" t="s">
        <v>911</v>
      </c>
      <c r="D41" s="97" t="s">
        <v>1984</v>
      </c>
      <c r="E41" s="97" t="s">
        <v>396</v>
      </c>
      <c r="F41" s="97" t="s">
        <v>1972</v>
      </c>
      <c r="G41" s="193"/>
      <c r="H41" s="97"/>
      <c r="I41" s="97">
        <v>1</v>
      </c>
      <c r="J41" s="97"/>
      <c r="K41" s="97">
        <v>2</v>
      </c>
      <c r="L41" s="97">
        <v>1</v>
      </c>
      <c r="M41" s="97"/>
      <c r="N41" s="97"/>
      <c r="O41" s="97"/>
      <c r="P41" s="97"/>
      <c r="Q41" s="97"/>
      <c r="R41" s="97"/>
      <c r="S41" s="97"/>
      <c r="T41" s="97">
        <v>3</v>
      </c>
      <c r="U41" s="97"/>
      <c r="V41" s="97"/>
      <c r="W41" s="97"/>
      <c r="X41" s="97"/>
      <c r="Y41" s="97"/>
      <c r="Z41" s="97"/>
      <c r="AA41" s="97"/>
      <c r="AB41" s="97"/>
      <c r="AC41" s="97"/>
      <c r="AD41" s="97">
        <v>3</v>
      </c>
      <c r="AE41" s="97">
        <v>3</v>
      </c>
      <c r="AF41" s="97"/>
      <c r="AG41" s="97"/>
      <c r="AH41" s="97">
        <v>3</v>
      </c>
      <c r="AI41" s="97"/>
      <c r="AJ41" s="97">
        <v>3</v>
      </c>
      <c r="AK41" s="97">
        <v>3</v>
      </c>
      <c r="AL41" s="97">
        <v>3</v>
      </c>
      <c r="AM41" s="97">
        <v>3</v>
      </c>
      <c r="AN41" s="97"/>
      <c r="AO41" s="97"/>
      <c r="AP41" s="97">
        <v>3</v>
      </c>
      <c r="AQ41" s="97">
        <v>3</v>
      </c>
      <c r="AR41" s="97">
        <v>2</v>
      </c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>
        <v>2</v>
      </c>
      <c r="BD41" s="97"/>
      <c r="BE41" s="97"/>
      <c r="BF41" s="97"/>
      <c r="BG41" s="97">
        <v>1</v>
      </c>
      <c r="BH41" s="97">
        <v>1</v>
      </c>
      <c r="BI41" s="97"/>
      <c r="BJ41" s="97">
        <v>2</v>
      </c>
      <c r="BK41" s="97">
        <v>2</v>
      </c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97"/>
      <c r="BX41" s="97">
        <f t="shared" si="6"/>
        <v>44</v>
      </c>
      <c r="BY41" s="97"/>
      <c r="BZ41" s="97"/>
      <c r="CA41" s="97"/>
      <c r="CB41" s="97"/>
      <c r="CC41" s="97" t="s">
        <v>1995</v>
      </c>
      <c r="CD41" s="97" t="s">
        <v>2013</v>
      </c>
      <c r="CE41" s="198">
        <v>46057</v>
      </c>
      <c r="CF41" s="97">
        <v>106745</v>
      </c>
      <c r="CG41" s="219" t="s">
        <v>2063</v>
      </c>
      <c r="CH41" s="97">
        <v>2026</v>
      </c>
      <c r="CI41" s="97" t="s">
        <v>2017</v>
      </c>
      <c r="CJ41" s="198">
        <v>46069</v>
      </c>
      <c r="CK41" s="97" t="s">
        <v>1027</v>
      </c>
      <c r="CL41" s="97">
        <v>2025</v>
      </c>
    </row>
    <row r="42" spans="1:90" x14ac:dyDescent="0.35">
      <c r="A42" s="97" t="s">
        <v>1993</v>
      </c>
      <c r="B42" s="97" t="s">
        <v>1999</v>
      </c>
      <c r="C42" s="97" t="s">
        <v>911</v>
      </c>
      <c r="D42" s="97" t="s">
        <v>1989</v>
      </c>
      <c r="E42" s="97" t="s">
        <v>396</v>
      </c>
      <c r="F42" s="97" t="s">
        <v>1836</v>
      </c>
      <c r="G42" s="193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>
        <v>2</v>
      </c>
      <c r="BU42" s="97"/>
      <c r="BV42" s="97"/>
      <c r="BW42" s="97"/>
      <c r="BX42" s="97">
        <f t="shared" si="6"/>
        <v>2</v>
      </c>
      <c r="BY42" s="97"/>
      <c r="BZ42" s="97"/>
      <c r="CA42" s="97"/>
      <c r="CB42" s="97"/>
      <c r="CC42" s="97" t="s">
        <v>1995</v>
      </c>
      <c r="CD42" s="97" t="s">
        <v>2013</v>
      </c>
      <c r="CE42" s="198">
        <v>46057</v>
      </c>
      <c r="CF42" s="97">
        <v>106745</v>
      </c>
      <c r="CG42" s="219" t="s">
        <v>2064</v>
      </c>
      <c r="CH42" s="97">
        <v>2026</v>
      </c>
      <c r="CI42" s="97" t="s">
        <v>2017</v>
      </c>
      <c r="CJ42" s="198">
        <v>46069</v>
      </c>
      <c r="CK42" s="97" t="s">
        <v>1027</v>
      </c>
      <c r="CL42" s="97">
        <v>2025</v>
      </c>
    </row>
    <row r="43" spans="1:90" x14ac:dyDescent="0.35">
      <c r="A43" s="97" t="s">
        <v>1993</v>
      </c>
      <c r="B43" s="201" t="s">
        <v>2012</v>
      </c>
      <c r="C43" s="97" t="s">
        <v>911</v>
      </c>
      <c r="D43" s="97" t="s">
        <v>1989</v>
      </c>
      <c r="E43" s="97" t="s">
        <v>2008</v>
      </c>
      <c r="F43" s="97" t="s">
        <v>1836</v>
      </c>
      <c r="G43" s="193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>
        <v>1</v>
      </c>
      <c r="BU43" s="97"/>
      <c r="BV43" s="97"/>
      <c r="BW43" s="97"/>
      <c r="BX43" s="97">
        <f t="shared" si="6"/>
        <v>1</v>
      </c>
      <c r="BY43" s="97"/>
      <c r="BZ43" s="97"/>
      <c r="CA43" s="97"/>
      <c r="CB43" s="97"/>
      <c r="CC43" s="97" t="s">
        <v>2000</v>
      </c>
      <c r="CD43" s="97" t="s">
        <v>2013</v>
      </c>
      <c r="CE43" s="198">
        <v>46057</v>
      </c>
      <c r="CF43" s="97">
        <v>106745</v>
      </c>
      <c r="CG43" s="219" t="s">
        <v>2083</v>
      </c>
      <c r="CH43" s="97">
        <v>2026</v>
      </c>
      <c r="CI43" s="97" t="s">
        <v>2017</v>
      </c>
      <c r="CJ43" s="198">
        <v>46066</v>
      </c>
      <c r="CK43" s="97" t="s">
        <v>1027</v>
      </c>
      <c r="CL43" s="97">
        <v>2025</v>
      </c>
    </row>
    <row r="44" spans="1:90" x14ac:dyDescent="0.35">
      <c r="A44" s="97" t="s">
        <v>1993</v>
      </c>
      <c r="B44" s="201" t="s">
        <v>2012</v>
      </c>
      <c r="C44" s="97" t="s">
        <v>911</v>
      </c>
      <c r="D44" s="97" t="s">
        <v>1984</v>
      </c>
      <c r="E44" s="97" t="s">
        <v>2008</v>
      </c>
      <c r="F44" s="97" t="s">
        <v>1817</v>
      </c>
      <c r="G44" s="193"/>
      <c r="H44" s="97"/>
      <c r="I44" s="97">
        <v>1</v>
      </c>
      <c r="J44" s="97"/>
      <c r="K44" s="97">
        <v>1</v>
      </c>
      <c r="L44" s="97">
        <v>1</v>
      </c>
      <c r="M44" s="97"/>
      <c r="N44" s="97"/>
      <c r="O44" s="97"/>
      <c r="P44" s="97"/>
      <c r="Q44" s="97"/>
      <c r="R44" s="97"/>
      <c r="S44" s="97"/>
      <c r="T44" s="97">
        <v>3</v>
      </c>
      <c r="U44" s="97"/>
      <c r="V44" s="97"/>
      <c r="W44" s="97"/>
      <c r="X44" s="97"/>
      <c r="Y44" s="97"/>
      <c r="Z44" s="97"/>
      <c r="AA44" s="97"/>
      <c r="AB44" s="97"/>
      <c r="AC44" s="97"/>
      <c r="AD44" s="97">
        <v>3</v>
      </c>
      <c r="AE44" s="97">
        <v>3</v>
      </c>
      <c r="AF44" s="97"/>
      <c r="AG44" s="97"/>
      <c r="AH44" s="97"/>
      <c r="AI44" s="97"/>
      <c r="AJ44" s="97">
        <v>3</v>
      </c>
      <c r="AK44" s="97">
        <v>3</v>
      </c>
      <c r="AL44" s="97">
        <v>3</v>
      </c>
      <c r="AM44" s="97">
        <v>3</v>
      </c>
      <c r="AN44" s="97"/>
      <c r="AO44" s="97"/>
      <c r="AP44" s="97">
        <v>3</v>
      </c>
      <c r="AQ44" s="97">
        <v>3</v>
      </c>
      <c r="AR44" s="97">
        <v>1</v>
      </c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>
        <v>1</v>
      </c>
      <c r="BE44" s="97"/>
      <c r="BF44" s="97"/>
      <c r="BG44" s="97"/>
      <c r="BH44" s="97">
        <v>1</v>
      </c>
      <c r="BI44" s="97"/>
      <c r="BJ44" s="97">
        <v>1</v>
      </c>
      <c r="BK44" s="97">
        <v>1</v>
      </c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>
        <f t="shared" si="6"/>
        <v>35</v>
      </c>
      <c r="BY44" s="97"/>
      <c r="BZ44" s="97"/>
      <c r="CA44" s="97"/>
      <c r="CB44" s="97"/>
      <c r="CC44" s="97" t="s">
        <v>2000</v>
      </c>
      <c r="CD44" s="97" t="s">
        <v>2013</v>
      </c>
      <c r="CE44" s="198">
        <v>46057</v>
      </c>
      <c r="CF44" s="97">
        <v>106745</v>
      </c>
      <c r="CG44" s="219" t="s">
        <v>2082</v>
      </c>
      <c r="CH44" s="97">
        <v>2026</v>
      </c>
      <c r="CI44" s="97" t="s">
        <v>2017</v>
      </c>
      <c r="CJ44" s="198">
        <v>46066</v>
      </c>
      <c r="CK44" s="97" t="s">
        <v>1027</v>
      </c>
      <c r="CL44" s="97">
        <v>2025</v>
      </c>
    </row>
    <row r="45" spans="1:90" x14ac:dyDescent="0.35">
      <c r="A45" s="97" t="s">
        <v>1988</v>
      </c>
      <c r="B45" s="97"/>
      <c r="C45" s="97" t="s">
        <v>911</v>
      </c>
      <c r="D45" s="97" t="s">
        <v>1984</v>
      </c>
      <c r="E45" s="97" t="s">
        <v>2002</v>
      </c>
      <c r="F45" s="97" t="s">
        <v>1972</v>
      </c>
      <c r="G45" s="193"/>
      <c r="H45" s="97"/>
      <c r="I45" s="97">
        <v>1</v>
      </c>
      <c r="J45" s="97"/>
      <c r="K45" s="97">
        <v>2</v>
      </c>
      <c r="L45" s="97">
        <v>1</v>
      </c>
      <c r="M45" s="97"/>
      <c r="N45" s="97"/>
      <c r="O45" s="97"/>
      <c r="P45" s="97"/>
      <c r="Q45" s="97"/>
      <c r="R45" s="97"/>
      <c r="S45" s="97"/>
      <c r="T45" s="97">
        <v>3</v>
      </c>
      <c r="U45" s="97"/>
      <c r="V45" s="97"/>
      <c r="W45" s="97"/>
      <c r="X45" s="97"/>
      <c r="Y45" s="97"/>
      <c r="Z45" s="97"/>
      <c r="AA45" s="97"/>
      <c r="AB45" s="97"/>
      <c r="AC45" s="97"/>
      <c r="AD45" s="97">
        <v>3</v>
      </c>
      <c r="AE45" s="97">
        <v>3</v>
      </c>
      <c r="AF45" s="97"/>
      <c r="AG45" s="97"/>
      <c r="AH45" s="97">
        <v>3</v>
      </c>
      <c r="AI45" s="97"/>
      <c r="AJ45" s="97">
        <v>3</v>
      </c>
      <c r="AK45" s="97">
        <v>3</v>
      </c>
      <c r="AL45" s="97">
        <v>3</v>
      </c>
      <c r="AM45" s="97">
        <v>3</v>
      </c>
      <c r="AN45" s="97"/>
      <c r="AO45" s="97"/>
      <c r="AP45" s="97">
        <v>3</v>
      </c>
      <c r="AQ45" s="97">
        <v>3</v>
      </c>
      <c r="AR45" s="97">
        <v>2</v>
      </c>
      <c r="AS45" s="97"/>
      <c r="AT45" s="97"/>
      <c r="AU45" s="97"/>
      <c r="AV45" s="97"/>
      <c r="AW45" s="97">
        <v>2</v>
      </c>
      <c r="AX45" s="97"/>
      <c r="AY45" s="97"/>
      <c r="AZ45" s="97"/>
      <c r="BA45" s="97"/>
      <c r="BB45" s="97"/>
      <c r="BC45" s="97">
        <v>2</v>
      </c>
      <c r="BD45" s="97"/>
      <c r="BE45" s="97"/>
      <c r="BF45" s="97"/>
      <c r="BG45" s="97"/>
      <c r="BH45" s="97">
        <v>1</v>
      </c>
      <c r="BI45" s="97"/>
      <c r="BJ45" s="97">
        <v>2</v>
      </c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97"/>
      <c r="BX45" s="97">
        <f t="shared" si="6"/>
        <v>43</v>
      </c>
      <c r="BY45" s="97"/>
      <c r="BZ45" s="97"/>
      <c r="CA45" s="97"/>
      <c r="CB45" s="97"/>
      <c r="CC45" s="97" t="s">
        <v>1990</v>
      </c>
      <c r="CD45" s="97" t="s">
        <v>2013</v>
      </c>
      <c r="CE45" s="198">
        <v>46057</v>
      </c>
      <c r="CF45" s="97">
        <v>106745</v>
      </c>
      <c r="CG45" s="219" t="s">
        <v>2067</v>
      </c>
      <c r="CH45" s="97">
        <v>2026</v>
      </c>
      <c r="CI45" s="97"/>
      <c r="CJ45" s="198"/>
      <c r="CK45" s="97" t="s">
        <v>1027</v>
      </c>
      <c r="CL45" s="97">
        <v>2025</v>
      </c>
    </row>
    <row r="46" spans="1:90" x14ac:dyDescent="0.35">
      <c r="A46" s="97" t="s">
        <v>1988</v>
      </c>
      <c r="B46" s="97"/>
      <c r="C46" s="97" t="s">
        <v>911</v>
      </c>
      <c r="D46" s="97" t="s">
        <v>1989</v>
      </c>
      <c r="E46" s="97" t="s">
        <v>2002</v>
      </c>
      <c r="F46" s="97" t="s">
        <v>1836</v>
      </c>
      <c r="G46" s="193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>
        <v>3</v>
      </c>
      <c r="BU46" s="97"/>
      <c r="BV46" s="97"/>
      <c r="BW46" s="97"/>
      <c r="BX46" s="97">
        <f t="shared" si="6"/>
        <v>3</v>
      </c>
      <c r="BY46" s="97"/>
      <c r="BZ46" s="97"/>
      <c r="CA46" s="97"/>
      <c r="CB46" s="97"/>
      <c r="CC46" s="97" t="s">
        <v>1990</v>
      </c>
      <c r="CD46" s="97" t="s">
        <v>2013</v>
      </c>
      <c r="CE46" s="198">
        <v>46057</v>
      </c>
      <c r="CF46" s="97">
        <v>106745</v>
      </c>
      <c r="CG46" s="219" t="s">
        <v>2068</v>
      </c>
      <c r="CH46" s="97">
        <v>2026</v>
      </c>
      <c r="CI46" s="97"/>
      <c r="CJ46" s="198"/>
      <c r="CK46" s="97" t="s">
        <v>1027</v>
      </c>
      <c r="CL46" s="97">
        <v>2025</v>
      </c>
    </row>
    <row r="47" spans="1:90" x14ac:dyDescent="0.35">
      <c r="A47" s="97" t="s">
        <v>1988</v>
      </c>
      <c r="B47" s="97"/>
      <c r="C47" s="97" t="s">
        <v>911</v>
      </c>
      <c r="D47" s="97" t="s">
        <v>1984</v>
      </c>
      <c r="E47" s="97" t="s">
        <v>2001</v>
      </c>
      <c r="F47" s="97" t="s">
        <v>1972</v>
      </c>
      <c r="G47" s="193"/>
      <c r="H47" s="97"/>
      <c r="I47" s="97">
        <v>1</v>
      </c>
      <c r="J47" s="97"/>
      <c r="K47" s="97">
        <v>2</v>
      </c>
      <c r="L47" s="97">
        <v>1</v>
      </c>
      <c r="M47" s="97"/>
      <c r="N47" s="97"/>
      <c r="O47" s="97"/>
      <c r="P47" s="97"/>
      <c r="Q47" s="97"/>
      <c r="R47" s="97"/>
      <c r="S47" s="97"/>
      <c r="T47" s="97">
        <v>3</v>
      </c>
      <c r="U47" s="97"/>
      <c r="V47" s="97"/>
      <c r="W47" s="97"/>
      <c r="X47" s="97"/>
      <c r="Y47" s="97"/>
      <c r="Z47" s="97"/>
      <c r="AA47" s="97"/>
      <c r="AB47" s="97"/>
      <c r="AC47" s="97"/>
      <c r="AD47" s="97">
        <v>3</v>
      </c>
      <c r="AE47" s="97">
        <v>3</v>
      </c>
      <c r="AF47" s="97"/>
      <c r="AG47" s="97"/>
      <c r="AH47" s="97">
        <v>3</v>
      </c>
      <c r="AI47" s="97"/>
      <c r="AJ47" s="97">
        <v>3</v>
      </c>
      <c r="AK47" s="97">
        <v>3</v>
      </c>
      <c r="AL47" s="97">
        <v>3</v>
      </c>
      <c r="AM47" s="97">
        <v>3</v>
      </c>
      <c r="AN47" s="97"/>
      <c r="AO47" s="97"/>
      <c r="AP47" s="97">
        <v>3</v>
      </c>
      <c r="AQ47" s="97">
        <v>3</v>
      </c>
      <c r="AR47" s="97">
        <v>2</v>
      </c>
      <c r="AS47" s="97"/>
      <c r="AT47" s="97"/>
      <c r="AU47" s="97"/>
      <c r="AV47" s="97"/>
      <c r="AW47" s="97">
        <v>2</v>
      </c>
      <c r="AX47" s="97"/>
      <c r="AY47" s="97"/>
      <c r="AZ47" s="97"/>
      <c r="BA47" s="97"/>
      <c r="BB47" s="97"/>
      <c r="BC47" s="97">
        <v>2</v>
      </c>
      <c r="BD47" s="97"/>
      <c r="BE47" s="97"/>
      <c r="BF47" s="97"/>
      <c r="BG47" s="97"/>
      <c r="BH47" s="97">
        <v>1</v>
      </c>
      <c r="BI47" s="97"/>
      <c r="BJ47" s="97">
        <v>2</v>
      </c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97"/>
      <c r="BX47" s="97">
        <f t="shared" si="6"/>
        <v>43</v>
      </c>
      <c r="BY47" s="97"/>
      <c r="BZ47" s="97"/>
      <c r="CA47" s="97"/>
      <c r="CB47" s="97"/>
      <c r="CC47" s="97" t="s">
        <v>2000</v>
      </c>
      <c r="CD47" s="97" t="s">
        <v>2013</v>
      </c>
      <c r="CE47" s="198">
        <v>46057</v>
      </c>
      <c r="CF47" s="97">
        <v>106745</v>
      </c>
      <c r="CG47" s="219" t="s">
        <v>2069</v>
      </c>
      <c r="CH47" s="97">
        <v>2026</v>
      </c>
      <c r="CI47" s="97"/>
      <c r="CJ47" s="198"/>
      <c r="CK47" s="97" t="s">
        <v>1027</v>
      </c>
      <c r="CL47" s="97">
        <v>2025</v>
      </c>
    </row>
    <row r="48" spans="1:90" x14ac:dyDescent="0.35">
      <c r="A48" s="97" t="s">
        <v>1988</v>
      </c>
      <c r="B48" s="97"/>
      <c r="C48" s="97" t="s">
        <v>911</v>
      </c>
      <c r="D48" s="97" t="s">
        <v>1989</v>
      </c>
      <c r="E48" s="97" t="s">
        <v>2001</v>
      </c>
      <c r="F48" s="97" t="s">
        <v>1836</v>
      </c>
      <c r="G48" s="193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>
        <v>3</v>
      </c>
      <c r="BU48" s="97"/>
      <c r="BV48" s="97"/>
      <c r="BW48" s="97"/>
      <c r="BX48" s="97">
        <f t="shared" si="6"/>
        <v>3</v>
      </c>
      <c r="BY48" s="97"/>
      <c r="BZ48" s="97"/>
      <c r="CA48" s="97"/>
      <c r="CB48" s="97"/>
      <c r="CC48" s="97" t="s">
        <v>2000</v>
      </c>
      <c r="CD48" s="97" t="s">
        <v>2013</v>
      </c>
      <c r="CE48" s="198">
        <v>46057</v>
      </c>
      <c r="CF48" s="97">
        <v>106745</v>
      </c>
      <c r="CG48" s="219" t="s">
        <v>2070</v>
      </c>
      <c r="CH48" s="97">
        <v>2026</v>
      </c>
      <c r="CI48" s="97"/>
      <c r="CJ48" s="198"/>
      <c r="CK48" s="97" t="s">
        <v>1027</v>
      </c>
      <c r="CL48" s="97">
        <v>2025</v>
      </c>
    </row>
    <row r="49" spans="1:90" x14ac:dyDescent="0.35">
      <c r="A49" s="97" t="s">
        <v>1988</v>
      </c>
      <c r="B49" s="201"/>
      <c r="C49" s="97" t="s">
        <v>911</v>
      </c>
      <c r="D49" s="97" t="s">
        <v>1984</v>
      </c>
      <c r="E49" s="97" t="s">
        <v>957</v>
      </c>
      <c r="F49" s="97" t="s">
        <v>1817</v>
      </c>
      <c r="G49" s="193"/>
      <c r="H49" s="97"/>
      <c r="I49" s="97">
        <v>1</v>
      </c>
      <c r="J49" s="97"/>
      <c r="K49" s="97">
        <v>1</v>
      </c>
      <c r="L49" s="97">
        <v>1</v>
      </c>
      <c r="M49" s="97"/>
      <c r="N49" s="97"/>
      <c r="O49" s="97"/>
      <c r="P49" s="97"/>
      <c r="Q49" s="97"/>
      <c r="R49" s="97"/>
      <c r="S49" s="97"/>
      <c r="T49" s="97">
        <v>3</v>
      </c>
      <c r="U49" s="97"/>
      <c r="V49" s="97"/>
      <c r="W49" s="97"/>
      <c r="X49" s="97"/>
      <c r="Y49" s="97"/>
      <c r="Z49" s="97"/>
      <c r="AA49" s="97"/>
      <c r="AB49" s="97"/>
      <c r="AC49" s="97"/>
      <c r="AD49" s="97">
        <v>3</v>
      </c>
      <c r="AE49" s="97">
        <v>3</v>
      </c>
      <c r="AF49" s="97"/>
      <c r="AG49" s="97"/>
      <c r="AH49" s="97"/>
      <c r="AI49" s="97"/>
      <c r="AJ49" s="97">
        <v>3</v>
      </c>
      <c r="AK49" s="97">
        <v>3</v>
      </c>
      <c r="AL49" s="97">
        <v>3</v>
      </c>
      <c r="AM49" s="97">
        <v>3</v>
      </c>
      <c r="AN49" s="97"/>
      <c r="AO49" s="97"/>
      <c r="AP49" s="97">
        <v>3</v>
      </c>
      <c r="AQ49" s="97">
        <v>3</v>
      </c>
      <c r="AR49" s="97">
        <v>1</v>
      </c>
      <c r="AS49" s="97"/>
      <c r="AT49" s="97"/>
      <c r="AU49" s="97"/>
      <c r="AV49" s="97"/>
      <c r="AW49" s="97">
        <v>1</v>
      </c>
      <c r="AX49" s="97"/>
      <c r="AY49" s="97"/>
      <c r="AZ49" s="97"/>
      <c r="BA49" s="97"/>
      <c r="BB49" s="97"/>
      <c r="BC49" s="97">
        <v>1</v>
      </c>
      <c r="BD49" s="97"/>
      <c r="BE49" s="97"/>
      <c r="BF49" s="97"/>
      <c r="BG49" s="97">
        <v>1</v>
      </c>
      <c r="BH49" s="97">
        <v>1</v>
      </c>
      <c r="BI49" s="97"/>
      <c r="BJ49" s="97">
        <v>1</v>
      </c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97">
        <f t="shared" si="6"/>
        <v>36</v>
      </c>
      <c r="BY49" s="97"/>
      <c r="BZ49" s="97"/>
      <c r="CA49" s="97"/>
      <c r="CB49" s="97" t="s">
        <v>1998</v>
      </c>
      <c r="CC49" s="97" t="s">
        <v>2000</v>
      </c>
      <c r="CD49" s="97" t="s">
        <v>2013</v>
      </c>
      <c r="CE49" s="198">
        <v>46057</v>
      </c>
      <c r="CF49" s="97">
        <v>106745</v>
      </c>
      <c r="CG49" s="219" t="s">
        <v>2071</v>
      </c>
      <c r="CH49" s="97">
        <v>2026</v>
      </c>
      <c r="CI49" s="97" t="s">
        <v>2017</v>
      </c>
      <c r="CJ49" s="198">
        <v>46066</v>
      </c>
      <c r="CK49" s="97" t="s">
        <v>1027</v>
      </c>
      <c r="CL49" s="97">
        <v>2025</v>
      </c>
    </row>
    <row r="50" spans="1:90" x14ac:dyDescent="0.35">
      <c r="A50" s="97" t="s">
        <v>1988</v>
      </c>
      <c r="B50" s="201"/>
      <c r="C50" s="97" t="s">
        <v>911</v>
      </c>
      <c r="D50" s="97" t="s">
        <v>1989</v>
      </c>
      <c r="E50" s="97" t="s">
        <v>957</v>
      </c>
      <c r="F50" s="97" t="s">
        <v>1836</v>
      </c>
      <c r="G50" s="193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>
        <v>3</v>
      </c>
      <c r="BU50" s="97"/>
      <c r="BV50" s="97"/>
      <c r="BW50" s="97"/>
      <c r="BX50" s="97">
        <f t="shared" si="6"/>
        <v>3</v>
      </c>
      <c r="BY50" s="97"/>
      <c r="BZ50" s="97"/>
      <c r="CA50" s="97"/>
      <c r="CB50" s="97"/>
      <c r="CC50" s="97" t="s">
        <v>2000</v>
      </c>
      <c r="CD50" s="97" t="s">
        <v>2013</v>
      </c>
      <c r="CE50" s="198">
        <v>46057</v>
      </c>
      <c r="CF50" s="97">
        <v>106745</v>
      </c>
      <c r="CG50" s="219" t="s">
        <v>2072</v>
      </c>
      <c r="CH50" s="97">
        <v>2026</v>
      </c>
      <c r="CI50" s="97" t="s">
        <v>2017</v>
      </c>
      <c r="CJ50" s="198">
        <v>46066</v>
      </c>
      <c r="CK50" s="97" t="s">
        <v>1027</v>
      </c>
      <c r="CL50" s="97">
        <v>2025</v>
      </c>
    </row>
    <row r="51" spans="1:90" x14ac:dyDescent="0.35">
      <c r="A51" s="97" t="s">
        <v>1988</v>
      </c>
      <c r="B51" s="98"/>
      <c r="C51" s="97" t="s">
        <v>911</v>
      </c>
      <c r="D51" s="97" t="s">
        <v>1984</v>
      </c>
      <c r="E51" s="97" t="s">
        <v>1087</v>
      </c>
      <c r="F51" s="97" t="s">
        <v>1817</v>
      </c>
      <c r="G51" s="193"/>
      <c r="H51" s="97"/>
      <c r="I51" s="97">
        <v>1</v>
      </c>
      <c r="J51" s="97"/>
      <c r="K51" s="97">
        <v>1</v>
      </c>
      <c r="L51" s="97">
        <v>1</v>
      </c>
      <c r="M51" s="97"/>
      <c r="N51" s="97"/>
      <c r="O51" s="97"/>
      <c r="P51" s="97"/>
      <c r="Q51" s="97"/>
      <c r="R51" s="97"/>
      <c r="S51" s="97"/>
      <c r="T51" s="97">
        <v>3</v>
      </c>
      <c r="U51" s="97"/>
      <c r="V51" s="97"/>
      <c r="W51" s="97"/>
      <c r="X51" s="97"/>
      <c r="Y51" s="97"/>
      <c r="Z51" s="97"/>
      <c r="AA51" s="97"/>
      <c r="AB51" s="97"/>
      <c r="AC51" s="97"/>
      <c r="AD51" s="97">
        <v>3</v>
      </c>
      <c r="AE51" s="97">
        <v>3</v>
      </c>
      <c r="AF51" s="97"/>
      <c r="AG51" s="97"/>
      <c r="AH51" s="97"/>
      <c r="AI51" s="97"/>
      <c r="AJ51" s="97">
        <v>3</v>
      </c>
      <c r="AK51" s="97">
        <v>3</v>
      </c>
      <c r="AL51" s="97">
        <v>3</v>
      </c>
      <c r="AM51" s="97">
        <v>3</v>
      </c>
      <c r="AN51" s="97"/>
      <c r="AO51" s="97"/>
      <c r="AP51" s="97">
        <v>3</v>
      </c>
      <c r="AQ51" s="97">
        <v>3</v>
      </c>
      <c r="AR51" s="97">
        <v>1</v>
      </c>
      <c r="AS51" s="97"/>
      <c r="AT51" s="97"/>
      <c r="AU51" s="97"/>
      <c r="AV51" s="97"/>
      <c r="AW51" s="97">
        <v>1</v>
      </c>
      <c r="AX51" s="97"/>
      <c r="AY51" s="97"/>
      <c r="AZ51" s="97"/>
      <c r="BA51" s="97"/>
      <c r="BB51" s="97"/>
      <c r="BC51" s="97">
        <v>1</v>
      </c>
      <c r="BD51" s="97"/>
      <c r="BE51" s="97"/>
      <c r="BF51" s="97"/>
      <c r="BG51" s="97">
        <v>1</v>
      </c>
      <c r="BH51" s="97">
        <v>1</v>
      </c>
      <c r="BI51" s="97"/>
      <c r="BJ51" s="97">
        <v>1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>
        <f t="shared" si="6"/>
        <v>36</v>
      </c>
      <c r="BY51" s="97"/>
      <c r="BZ51" s="97"/>
      <c r="CA51" s="97"/>
      <c r="CB51" s="97"/>
      <c r="CC51" s="97" t="s">
        <v>1992</v>
      </c>
      <c r="CD51" s="97" t="s">
        <v>2013</v>
      </c>
      <c r="CE51" s="213">
        <v>46063</v>
      </c>
      <c r="CF51" s="97">
        <v>88436</v>
      </c>
      <c r="CG51" s="219" t="s">
        <v>2121</v>
      </c>
      <c r="CH51" s="97">
        <v>2026</v>
      </c>
      <c r="CI51" s="97" t="s">
        <v>2017</v>
      </c>
      <c r="CJ51" s="198">
        <v>46066</v>
      </c>
      <c r="CK51" s="97" t="s">
        <v>864</v>
      </c>
      <c r="CL51" s="97">
        <v>2024</v>
      </c>
    </row>
    <row r="52" spans="1:90" x14ac:dyDescent="0.35">
      <c r="A52" s="97" t="s">
        <v>1988</v>
      </c>
      <c r="B52" s="98"/>
      <c r="C52" s="97" t="s">
        <v>911</v>
      </c>
      <c r="D52" s="97" t="s">
        <v>1989</v>
      </c>
      <c r="E52" s="97" t="s">
        <v>2117</v>
      </c>
      <c r="F52" s="97" t="s">
        <v>1836</v>
      </c>
      <c r="G52" s="193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>
        <v>2</v>
      </c>
      <c r="BU52" s="97"/>
      <c r="BV52" s="97"/>
      <c r="BW52" s="97"/>
      <c r="BX52" s="97">
        <f t="shared" si="6"/>
        <v>2</v>
      </c>
      <c r="BY52" s="97"/>
      <c r="BZ52" s="97"/>
      <c r="CA52" s="97"/>
      <c r="CB52" s="97"/>
      <c r="CC52" s="97" t="s">
        <v>1992</v>
      </c>
      <c r="CD52" s="97" t="s">
        <v>2013</v>
      </c>
      <c r="CE52" s="213">
        <v>46063</v>
      </c>
      <c r="CF52" s="97">
        <v>106745</v>
      </c>
      <c r="CG52" s="219" t="s">
        <v>2120</v>
      </c>
      <c r="CH52" s="97">
        <v>2026</v>
      </c>
      <c r="CI52" s="97" t="s">
        <v>2017</v>
      </c>
      <c r="CJ52" s="198">
        <v>46066</v>
      </c>
      <c r="CK52" s="97" t="s">
        <v>1027</v>
      </c>
      <c r="CL52" s="97">
        <v>2025</v>
      </c>
    </row>
    <row r="53" spans="1:90" x14ac:dyDescent="0.35">
      <c r="A53" s="97" t="s">
        <v>1988</v>
      </c>
      <c r="B53" s="98"/>
      <c r="C53" s="97" t="s">
        <v>911</v>
      </c>
      <c r="D53" s="97" t="s">
        <v>2134</v>
      </c>
      <c r="E53" s="97" t="s">
        <v>2117</v>
      </c>
      <c r="F53" s="97" t="s">
        <v>2135</v>
      </c>
      <c r="G53" s="193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>
        <v>1</v>
      </c>
      <c r="BS53" s="97"/>
      <c r="BT53" s="97"/>
      <c r="BU53" s="97"/>
      <c r="BV53" s="97"/>
      <c r="BW53" s="97"/>
      <c r="BX53" s="97">
        <f t="shared" si="6"/>
        <v>1</v>
      </c>
      <c r="BY53" s="97"/>
      <c r="BZ53" s="97"/>
      <c r="CA53" s="97"/>
      <c r="CB53" s="97"/>
      <c r="CC53" s="97" t="s">
        <v>1992</v>
      </c>
      <c r="CD53" s="97" t="s">
        <v>2013</v>
      </c>
      <c r="CE53" s="213">
        <v>46066</v>
      </c>
      <c r="CF53" s="97">
        <v>106745</v>
      </c>
      <c r="CG53" s="219" t="s">
        <v>2142</v>
      </c>
      <c r="CH53" s="97">
        <v>2026</v>
      </c>
      <c r="CI53" s="97" t="s">
        <v>2017</v>
      </c>
      <c r="CJ53" s="198">
        <v>46066</v>
      </c>
      <c r="CK53" s="97" t="s">
        <v>1027</v>
      </c>
      <c r="CL53" s="97">
        <v>2025</v>
      </c>
    </row>
    <row r="54" spans="1:90" x14ac:dyDescent="0.35">
      <c r="A54" s="97" t="s">
        <v>1988</v>
      </c>
      <c r="B54" s="97"/>
      <c r="C54" s="97" t="s">
        <v>911</v>
      </c>
      <c r="D54" s="97" t="s">
        <v>1984</v>
      </c>
      <c r="E54" s="97" t="s">
        <v>1158</v>
      </c>
      <c r="F54" s="97" t="s">
        <v>1817</v>
      </c>
      <c r="G54" s="193"/>
      <c r="H54" s="97"/>
      <c r="I54" s="97">
        <v>1</v>
      </c>
      <c r="J54" s="97"/>
      <c r="K54" s="97">
        <v>1</v>
      </c>
      <c r="L54" s="97">
        <v>1</v>
      </c>
      <c r="M54" s="97"/>
      <c r="N54" s="97"/>
      <c r="O54" s="97"/>
      <c r="P54" s="97"/>
      <c r="Q54" s="97"/>
      <c r="R54" s="97"/>
      <c r="S54" s="97"/>
      <c r="T54" s="97">
        <v>3</v>
      </c>
      <c r="U54" s="97"/>
      <c r="V54" s="97"/>
      <c r="W54" s="97"/>
      <c r="X54" s="97"/>
      <c r="Y54" s="97"/>
      <c r="Z54" s="97"/>
      <c r="AA54" s="97"/>
      <c r="AB54" s="97"/>
      <c r="AC54" s="97"/>
      <c r="AD54" s="97">
        <v>3</v>
      </c>
      <c r="AE54" s="97">
        <v>3</v>
      </c>
      <c r="AF54" s="97"/>
      <c r="AG54" s="97"/>
      <c r="AH54" s="97"/>
      <c r="AI54" s="97"/>
      <c r="AJ54" s="97">
        <v>3</v>
      </c>
      <c r="AK54" s="97">
        <v>3</v>
      </c>
      <c r="AL54" s="97">
        <v>3</v>
      </c>
      <c r="AM54" s="97">
        <v>3</v>
      </c>
      <c r="AN54" s="97"/>
      <c r="AO54" s="97"/>
      <c r="AP54" s="97">
        <v>3</v>
      </c>
      <c r="AQ54" s="97">
        <v>3</v>
      </c>
      <c r="AR54" s="97">
        <v>1</v>
      </c>
      <c r="AS54" s="97"/>
      <c r="AT54" s="97"/>
      <c r="AU54" s="97"/>
      <c r="AV54" s="97"/>
      <c r="AW54" s="97">
        <v>1</v>
      </c>
      <c r="AX54" s="97"/>
      <c r="AY54" s="97"/>
      <c r="AZ54" s="97"/>
      <c r="BA54" s="97"/>
      <c r="BB54" s="97"/>
      <c r="BC54" s="97">
        <v>1</v>
      </c>
      <c r="BD54" s="97"/>
      <c r="BE54" s="97"/>
      <c r="BF54" s="97"/>
      <c r="BG54" s="97">
        <v>1</v>
      </c>
      <c r="BH54" s="97">
        <v>1</v>
      </c>
      <c r="BI54" s="97"/>
      <c r="BJ54" s="97">
        <v>1</v>
      </c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>
        <f t="shared" si="6"/>
        <v>36</v>
      </c>
      <c r="BY54" s="97"/>
      <c r="BZ54" s="97"/>
      <c r="CA54" s="97"/>
      <c r="CB54" s="97" t="s">
        <v>1998</v>
      </c>
      <c r="CC54" s="97" t="s">
        <v>1995</v>
      </c>
      <c r="CD54" s="97" t="s">
        <v>2013</v>
      </c>
      <c r="CE54" s="198">
        <v>46057</v>
      </c>
      <c r="CF54" s="97">
        <v>88436</v>
      </c>
      <c r="CG54" s="219" t="s">
        <v>2054</v>
      </c>
      <c r="CH54" s="97">
        <v>2026</v>
      </c>
      <c r="CI54" s="97" t="s">
        <v>2017</v>
      </c>
      <c r="CJ54" s="198">
        <v>46066</v>
      </c>
      <c r="CK54" s="97" t="s">
        <v>864</v>
      </c>
      <c r="CL54" s="97">
        <v>2024</v>
      </c>
    </row>
    <row r="55" spans="1:90" x14ac:dyDescent="0.35">
      <c r="A55" s="97" t="s">
        <v>1988</v>
      </c>
      <c r="B55" s="98"/>
      <c r="C55" s="97" t="s">
        <v>911</v>
      </c>
      <c r="D55" s="97" t="s">
        <v>1989</v>
      </c>
      <c r="E55" s="97" t="s">
        <v>1087</v>
      </c>
      <c r="F55" s="97" t="s">
        <v>1836</v>
      </c>
      <c r="G55" s="193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>
        <v>2</v>
      </c>
      <c r="BU55" s="97"/>
      <c r="BV55" s="97"/>
      <c r="BW55" s="97"/>
      <c r="BX55" s="97">
        <f t="shared" si="6"/>
        <v>2</v>
      </c>
      <c r="BY55" s="97"/>
      <c r="BZ55" s="97"/>
      <c r="CA55" s="97"/>
      <c r="CB55" s="97"/>
      <c r="CC55" s="97" t="s">
        <v>1992</v>
      </c>
      <c r="CD55" s="97" t="s">
        <v>2013</v>
      </c>
      <c r="CE55" s="213">
        <v>46063</v>
      </c>
      <c r="CF55" s="97">
        <v>106745</v>
      </c>
      <c r="CG55" s="219" t="s">
        <v>2122</v>
      </c>
      <c r="CH55" s="97">
        <v>2026</v>
      </c>
      <c r="CI55" s="97" t="s">
        <v>2017</v>
      </c>
      <c r="CJ55" s="198">
        <v>46066</v>
      </c>
      <c r="CK55" s="97" t="s">
        <v>1027</v>
      </c>
      <c r="CL55" s="97">
        <v>2025</v>
      </c>
    </row>
    <row r="56" spans="1:90" x14ac:dyDescent="0.35">
      <c r="A56" s="97" t="s">
        <v>1988</v>
      </c>
      <c r="B56" s="97"/>
      <c r="C56" s="97" t="s">
        <v>911</v>
      </c>
      <c r="D56" s="97" t="s">
        <v>1984</v>
      </c>
      <c r="E56" s="97" t="s">
        <v>1371</v>
      </c>
      <c r="F56" s="97" t="s">
        <v>1817</v>
      </c>
      <c r="G56" s="193"/>
      <c r="H56" s="97"/>
      <c r="I56" s="97">
        <v>1</v>
      </c>
      <c r="J56" s="97"/>
      <c r="K56" s="97">
        <v>1</v>
      </c>
      <c r="L56" s="97">
        <v>1</v>
      </c>
      <c r="M56" s="97"/>
      <c r="N56" s="97"/>
      <c r="O56" s="97"/>
      <c r="P56" s="97"/>
      <c r="Q56" s="97"/>
      <c r="R56" s="97"/>
      <c r="S56" s="97"/>
      <c r="T56" s="97">
        <v>3</v>
      </c>
      <c r="U56" s="97"/>
      <c r="V56" s="97"/>
      <c r="W56" s="97"/>
      <c r="X56" s="97"/>
      <c r="Y56" s="97"/>
      <c r="Z56" s="97"/>
      <c r="AA56" s="97"/>
      <c r="AB56" s="97"/>
      <c r="AC56" s="97"/>
      <c r="AD56" s="97">
        <v>3</v>
      </c>
      <c r="AE56" s="97">
        <v>3</v>
      </c>
      <c r="AF56" s="97"/>
      <c r="AG56" s="97"/>
      <c r="AH56" s="97"/>
      <c r="AI56" s="97"/>
      <c r="AJ56" s="97">
        <v>3</v>
      </c>
      <c r="AK56" s="97">
        <v>3</v>
      </c>
      <c r="AL56" s="97">
        <v>3</v>
      </c>
      <c r="AM56" s="97">
        <v>3</v>
      </c>
      <c r="AN56" s="97"/>
      <c r="AO56" s="97"/>
      <c r="AP56" s="97">
        <v>3</v>
      </c>
      <c r="AQ56" s="97">
        <v>3</v>
      </c>
      <c r="AR56" s="97">
        <v>1</v>
      </c>
      <c r="AS56" s="97"/>
      <c r="AT56" s="97"/>
      <c r="AU56" s="97"/>
      <c r="AV56" s="97"/>
      <c r="AW56" s="97">
        <v>1</v>
      </c>
      <c r="AX56" s="97"/>
      <c r="AY56" s="97"/>
      <c r="AZ56" s="97"/>
      <c r="BA56" s="97"/>
      <c r="BB56" s="97"/>
      <c r="BC56" s="97">
        <v>1</v>
      </c>
      <c r="BD56" s="97"/>
      <c r="BE56" s="97"/>
      <c r="BF56" s="97"/>
      <c r="BG56" s="97">
        <v>1</v>
      </c>
      <c r="BH56" s="97">
        <v>1</v>
      </c>
      <c r="BI56" s="97"/>
      <c r="BJ56" s="97">
        <v>1</v>
      </c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>
        <f t="shared" si="6"/>
        <v>36</v>
      </c>
      <c r="BY56" s="97"/>
      <c r="BZ56" s="97"/>
      <c r="CA56" s="97"/>
      <c r="CB56" s="97" t="s">
        <v>1998</v>
      </c>
      <c r="CC56" s="97" t="s">
        <v>1995</v>
      </c>
      <c r="CD56" s="97" t="s">
        <v>2013</v>
      </c>
      <c r="CE56" s="198">
        <v>46057</v>
      </c>
      <c r="CF56" s="97">
        <v>106745</v>
      </c>
      <c r="CG56" s="219" t="s">
        <v>2061</v>
      </c>
      <c r="CH56" s="97">
        <v>2026</v>
      </c>
      <c r="CI56" s="97" t="s">
        <v>2017</v>
      </c>
      <c r="CJ56" s="198">
        <v>46066</v>
      </c>
      <c r="CK56" s="97" t="s">
        <v>1027</v>
      </c>
      <c r="CL56" s="97">
        <v>2025</v>
      </c>
    </row>
    <row r="57" spans="1:90" x14ac:dyDescent="0.35">
      <c r="A57" s="201" t="s">
        <v>1988</v>
      </c>
      <c r="B57" s="201"/>
      <c r="C57" s="201" t="s">
        <v>19</v>
      </c>
      <c r="D57" s="201" t="s">
        <v>19</v>
      </c>
      <c r="E57" s="201" t="s">
        <v>2002</v>
      </c>
      <c r="F57" s="201" t="s">
        <v>2031</v>
      </c>
      <c r="G57" s="212"/>
      <c r="H57" s="201">
        <v>1</v>
      </c>
      <c r="I57" s="201">
        <v>1</v>
      </c>
      <c r="J57" s="201">
        <v>1</v>
      </c>
      <c r="K57" s="201">
        <v>1</v>
      </c>
      <c r="L57" s="201">
        <v>1</v>
      </c>
      <c r="M57" s="201">
        <v>1</v>
      </c>
      <c r="N57" s="201">
        <v>1</v>
      </c>
      <c r="O57" s="201"/>
      <c r="P57" s="201"/>
      <c r="Q57" s="201"/>
      <c r="R57" s="201">
        <v>3</v>
      </c>
      <c r="S57" s="201"/>
      <c r="T57" s="201"/>
      <c r="U57" s="201"/>
      <c r="V57" s="201"/>
      <c r="W57" s="201"/>
      <c r="X57" s="201">
        <v>1</v>
      </c>
      <c r="Y57" s="201">
        <v>9</v>
      </c>
      <c r="Z57" s="201">
        <v>3</v>
      </c>
      <c r="AA57" s="201"/>
      <c r="AB57" s="201">
        <v>3</v>
      </c>
      <c r="AC57" s="201">
        <v>6</v>
      </c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>
        <v>9</v>
      </c>
      <c r="AO57" s="201">
        <v>6</v>
      </c>
      <c r="AP57" s="201"/>
      <c r="AQ57" s="201"/>
      <c r="AR57" s="201">
        <v>1</v>
      </c>
      <c r="AS57" s="201"/>
      <c r="AT57" s="201"/>
      <c r="AU57" s="201"/>
      <c r="AV57" s="201">
        <v>1</v>
      </c>
      <c r="AW57" s="201"/>
      <c r="AX57" s="201"/>
      <c r="AY57" s="201"/>
      <c r="AZ57" s="201"/>
      <c r="BA57" s="201">
        <v>1</v>
      </c>
      <c r="BB57" s="201"/>
      <c r="BC57" s="201"/>
      <c r="BD57" s="201"/>
      <c r="BE57" s="201"/>
      <c r="BF57" s="201"/>
      <c r="BG57" s="214">
        <v>1</v>
      </c>
      <c r="BH57" s="201">
        <v>1</v>
      </c>
      <c r="BI57" s="214"/>
      <c r="BJ57" s="214"/>
      <c r="BK57" s="201"/>
      <c r="BL57" s="201"/>
      <c r="BM57" s="201"/>
      <c r="BN57" s="201">
        <v>1</v>
      </c>
      <c r="BO57" s="201"/>
      <c r="BP57" s="201"/>
      <c r="BQ57" s="201"/>
      <c r="BR57" s="201"/>
      <c r="BS57" s="201"/>
      <c r="BT57" s="201"/>
      <c r="BU57" s="201"/>
      <c r="BV57" s="201"/>
      <c r="BW57" s="201"/>
      <c r="BX57" s="201">
        <f t="shared" si="6"/>
        <v>53</v>
      </c>
      <c r="BY57" s="201">
        <v>1</v>
      </c>
      <c r="BZ57" s="201"/>
      <c r="CA57" s="201"/>
      <c r="CB57" s="201"/>
      <c r="CC57" s="201" t="s">
        <v>1990</v>
      </c>
      <c r="CD57" s="201" t="s">
        <v>2032</v>
      </c>
      <c r="CE57" s="213">
        <v>46057</v>
      </c>
      <c r="CF57" s="201">
        <v>106745</v>
      </c>
      <c r="CG57" s="219" t="s">
        <v>2094</v>
      </c>
      <c r="CH57" s="201">
        <v>2026</v>
      </c>
      <c r="CI57" s="201"/>
      <c r="CJ57" s="213"/>
      <c r="CK57" s="201" t="s">
        <v>1027</v>
      </c>
      <c r="CL57" s="97">
        <v>2025</v>
      </c>
    </row>
    <row r="58" spans="1:90" x14ac:dyDescent="0.35">
      <c r="A58" s="97" t="s">
        <v>1988</v>
      </c>
      <c r="B58" s="201"/>
      <c r="C58" s="97" t="s">
        <v>911</v>
      </c>
      <c r="D58" s="97" t="s">
        <v>1984</v>
      </c>
      <c r="E58" s="97" t="s">
        <v>559</v>
      </c>
      <c r="F58" s="97" t="s">
        <v>1817</v>
      </c>
      <c r="G58" s="193"/>
      <c r="H58" s="97"/>
      <c r="I58" s="97">
        <v>1</v>
      </c>
      <c r="J58" s="97"/>
      <c r="K58" s="97">
        <v>1</v>
      </c>
      <c r="L58" s="97">
        <v>1</v>
      </c>
      <c r="M58" s="97"/>
      <c r="N58" s="97"/>
      <c r="O58" s="97"/>
      <c r="P58" s="97"/>
      <c r="Q58" s="97"/>
      <c r="R58" s="97"/>
      <c r="S58" s="97"/>
      <c r="T58" s="97">
        <v>3</v>
      </c>
      <c r="U58" s="97"/>
      <c r="V58" s="97"/>
      <c r="W58" s="97"/>
      <c r="X58" s="97"/>
      <c r="Y58" s="97"/>
      <c r="Z58" s="97"/>
      <c r="AA58" s="97"/>
      <c r="AB58" s="97"/>
      <c r="AC58" s="97"/>
      <c r="AD58" s="97">
        <v>3</v>
      </c>
      <c r="AE58" s="97">
        <v>3</v>
      </c>
      <c r="AF58" s="97"/>
      <c r="AG58" s="97"/>
      <c r="AH58" s="97"/>
      <c r="AI58" s="97"/>
      <c r="AJ58" s="97">
        <v>3</v>
      </c>
      <c r="AK58" s="97">
        <v>3</v>
      </c>
      <c r="AL58" s="97">
        <v>3</v>
      </c>
      <c r="AM58" s="97">
        <v>3</v>
      </c>
      <c r="AN58" s="97"/>
      <c r="AO58" s="97"/>
      <c r="AP58" s="97">
        <v>3</v>
      </c>
      <c r="AQ58" s="97">
        <v>3</v>
      </c>
      <c r="AR58" s="97">
        <v>1</v>
      </c>
      <c r="AS58" s="97"/>
      <c r="AT58" s="97"/>
      <c r="AU58" s="97"/>
      <c r="AV58" s="97"/>
      <c r="AW58" s="97">
        <v>1</v>
      </c>
      <c r="AX58" s="97"/>
      <c r="AY58" s="97"/>
      <c r="AZ58" s="97"/>
      <c r="BA58" s="97"/>
      <c r="BB58" s="97"/>
      <c r="BC58" s="97">
        <v>1</v>
      </c>
      <c r="BD58" s="97"/>
      <c r="BE58" s="97"/>
      <c r="BF58" s="97"/>
      <c r="BG58" s="97">
        <v>1</v>
      </c>
      <c r="BH58" s="97">
        <v>1</v>
      </c>
      <c r="BI58" s="97"/>
      <c r="BJ58" s="97">
        <v>1</v>
      </c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>
        <f t="shared" si="6"/>
        <v>36</v>
      </c>
      <c r="BY58" s="97"/>
      <c r="BZ58" s="97"/>
      <c r="CA58" s="97"/>
      <c r="CB58" s="97" t="s">
        <v>1998</v>
      </c>
      <c r="CC58" s="97" t="s">
        <v>2000</v>
      </c>
      <c r="CD58" s="97" t="s">
        <v>2013</v>
      </c>
      <c r="CE58" s="198">
        <v>46057</v>
      </c>
      <c r="CF58" s="97">
        <v>106745</v>
      </c>
      <c r="CG58" s="219" t="s">
        <v>2073</v>
      </c>
      <c r="CH58" s="97">
        <v>2026</v>
      </c>
      <c r="CI58" s="97" t="s">
        <v>2017</v>
      </c>
      <c r="CJ58" s="198">
        <v>46066</v>
      </c>
      <c r="CK58" s="97" t="s">
        <v>1027</v>
      </c>
      <c r="CL58" s="97">
        <v>2025</v>
      </c>
    </row>
    <row r="59" spans="1:90" x14ac:dyDescent="0.35">
      <c r="A59" s="97" t="s">
        <v>1988</v>
      </c>
      <c r="B59" s="97"/>
      <c r="C59" s="97" t="s">
        <v>911</v>
      </c>
      <c r="D59" s="97" t="s">
        <v>1989</v>
      </c>
      <c r="E59" s="97" t="s">
        <v>1158</v>
      </c>
      <c r="F59" s="97" t="s">
        <v>1836</v>
      </c>
      <c r="G59" s="193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>
        <v>3</v>
      </c>
      <c r="BU59" s="97"/>
      <c r="BV59" s="97"/>
      <c r="BW59" s="97"/>
      <c r="BX59" s="97">
        <f t="shared" si="6"/>
        <v>3</v>
      </c>
      <c r="BY59" s="97"/>
      <c r="BZ59" s="97"/>
      <c r="CA59" s="97"/>
      <c r="CB59" s="97"/>
      <c r="CC59" s="97" t="s">
        <v>1995</v>
      </c>
      <c r="CD59" s="97" t="s">
        <v>2013</v>
      </c>
      <c r="CE59" s="198">
        <v>46057</v>
      </c>
      <c r="CF59" s="97">
        <v>106745</v>
      </c>
      <c r="CG59" s="219" t="s">
        <v>2058</v>
      </c>
      <c r="CH59" s="97">
        <v>2026</v>
      </c>
      <c r="CI59" s="97" t="s">
        <v>2017</v>
      </c>
      <c r="CJ59" s="198">
        <v>46066</v>
      </c>
      <c r="CK59" s="97" t="s">
        <v>1027</v>
      </c>
      <c r="CL59" s="97">
        <v>2025</v>
      </c>
    </row>
    <row r="60" spans="1:90" x14ac:dyDescent="0.35">
      <c r="A60" s="201" t="s">
        <v>1988</v>
      </c>
      <c r="B60" s="201"/>
      <c r="C60" s="97" t="s">
        <v>2047</v>
      </c>
      <c r="D60" s="97" t="s">
        <v>2048</v>
      </c>
      <c r="E60" s="201" t="s">
        <v>2039</v>
      </c>
      <c r="F60" s="97" t="s">
        <v>1491</v>
      </c>
      <c r="G60" s="193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>
        <v>1</v>
      </c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214"/>
      <c r="BH60" s="97"/>
      <c r="BI60" s="214"/>
      <c r="BJ60" s="97"/>
      <c r="BK60" s="214"/>
      <c r="BL60" s="97"/>
      <c r="BM60" s="97">
        <v>1</v>
      </c>
      <c r="BN60" s="97"/>
      <c r="BO60" s="97"/>
      <c r="BP60" s="97"/>
      <c r="BQ60" s="97"/>
      <c r="BR60" s="97"/>
      <c r="BS60" s="97"/>
      <c r="BT60" s="97"/>
      <c r="BU60" s="97"/>
      <c r="BV60" s="97"/>
      <c r="BW60" s="97"/>
      <c r="BX60" s="97">
        <f t="shared" si="6"/>
        <v>2</v>
      </c>
      <c r="BY60" s="97"/>
      <c r="BZ60" s="97"/>
      <c r="CA60" s="97"/>
      <c r="CB60" s="97"/>
      <c r="CC60" s="97" t="s">
        <v>1992</v>
      </c>
      <c r="CD60" s="97" t="s">
        <v>2032</v>
      </c>
      <c r="CE60" s="198">
        <v>46057</v>
      </c>
      <c r="CF60" s="97">
        <v>106745</v>
      </c>
      <c r="CG60" s="219" t="s">
        <v>2100</v>
      </c>
      <c r="CH60" s="97">
        <v>2026</v>
      </c>
      <c r="CI60" s="97"/>
      <c r="CJ60" s="198"/>
      <c r="CK60" s="97" t="s">
        <v>1027</v>
      </c>
      <c r="CL60" s="97">
        <v>2025</v>
      </c>
    </row>
    <row r="61" spans="1:90" x14ac:dyDescent="0.35">
      <c r="A61" s="201" t="s">
        <v>1988</v>
      </c>
      <c r="B61" s="201"/>
      <c r="C61" s="97" t="s">
        <v>2047</v>
      </c>
      <c r="D61" s="97" t="s">
        <v>2048</v>
      </c>
      <c r="E61" s="201" t="s">
        <v>665</v>
      </c>
      <c r="F61" s="97" t="s">
        <v>1491</v>
      </c>
      <c r="G61" s="193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>
        <v>1</v>
      </c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214"/>
      <c r="BH61" s="97"/>
      <c r="BI61" s="214"/>
      <c r="BJ61" s="97"/>
      <c r="BK61" s="214"/>
      <c r="BL61" s="97"/>
      <c r="BM61" s="97">
        <v>1</v>
      </c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>
        <f t="shared" si="6"/>
        <v>2</v>
      </c>
      <c r="BY61" s="97"/>
      <c r="BZ61" s="97"/>
      <c r="CA61" s="97"/>
      <c r="CB61" s="97"/>
      <c r="CC61" s="97" t="s">
        <v>1992</v>
      </c>
      <c r="CD61" s="97" t="s">
        <v>2032</v>
      </c>
      <c r="CE61" s="198">
        <v>46057</v>
      </c>
      <c r="CF61" s="97">
        <v>106745</v>
      </c>
      <c r="CG61" s="219" t="s">
        <v>2101</v>
      </c>
      <c r="CH61" s="97">
        <v>2026</v>
      </c>
      <c r="CI61" s="97"/>
      <c r="CJ61" s="198"/>
      <c r="CK61" s="97" t="s">
        <v>1027</v>
      </c>
      <c r="CL61" s="97">
        <v>2025</v>
      </c>
    </row>
    <row r="62" spans="1:90" x14ac:dyDescent="0.35">
      <c r="A62" s="201" t="s">
        <v>1988</v>
      </c>
      <c r="B62" s="201"/>
      <c r="C62" s="97" t="s">
        <v>2047</v>
      </c>
      <c r="D62" s="97" t="s">
        <v>2048</v>
      </c>
      <c r="E62" s="201" t="s">
        <v>2040</v>
      </c>
      <c r="F62" s="97" t="s">
        <v>1491</v>
      </c>
      <c r="G62" s="193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>
        <v>1</v>
      </c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214"/>
      <c r="BH62" s="97"/>
      <c r="BI62" s="214"/>
      <c r="BJ62" s="97"/>
      <c r="BK62" s="214"/>
      <c r="BL62" s="97"/>
      <c r="BM62" s="97">
        <v>1</v>
      </c>
      <c r="BN62" s="97"/>
      <c r="BO62" s="97"/>
      <c r="BP62" s="97"/>
      <c r="BQ62" s="97"/>
      <c r="BR62" s="97"/>
      <c r="BS62" s="97"/>
      <c r="BT62" s="97"/>
      <c r="BU62" s="97"/>
      <c r="BV62" s="97"/>
      <c r="BW62" s="97"/>
      <c r="BX62" s="97">
        <f t="shared" si="6"/>
        <v>2</v>
      </c>
      <c r="BY62" s="97"/>
      <c r="BZ62" s="97"/>
      <c r="CA62" s="97"/>
      <c r="CB62" s="97"/>
      <c r="CC62" s="97" t="s">
        <v>1992</v>
      </c>
      <c r="CD62" s="97" t="s">
        <v>2032</v>
      </c>
      <c r="CE62" s="198">
        <v>46057</v>
      </c>
      <c r="CF62" s="97">
        <v>106745</v>
      </c>
      <c r="CG62" s="219" t="s">
        <v>2102</v>
      </c>
      <c r="CH62" s="97">
        <v>2026</v>
      </c>
      <c r="CI62" s="97"/>
      <c r="CJ62" s="198"/>
      <c r="CK62" s="97" t="s">
        <v>1027</v>
      </c>
      <c r="CL62" s="97">
        <v>2025</v>
      </c>
    </row>
    <row r="63" spans="1:90" x14ac:dyDescent="0.35">
      <c r="A63" s="201" t="s">
        <v>1988</v>
      </c>
      <c r="B63" s="201"/>
      <c r="C63" s="97" t="s">
        <v>2047</v>
      </c>
      <c r="D63" s="97" t="s">
        <v>2048</v>
      </c>
      <c r="E63" s="201" t="s">
        <v>454</v>
      </c>
      <c r="F63" s="97" t="s">
        <v>1491</v>
      </c>
      <c r="G63" s="193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>
        <v>1</v>
      </c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214"/>
      <c r="BH63" s="97"/>
      <c r="BI63" s="214"/>
      <c r="BJ63" s="97"/>
      <c r="BK63" s="214"/>
      <c r="BL63" s="97"/>
      <c r="BM63" s="97">
        <v>1</v>
      </c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>
        <f t="shared" si="6"/>
        <v>2</v>
      </c>
      <c r="BY63" s="97"/>
      <c r="BZ63" s="97"/>
      <c r="CA63" s="97"/>
      <c r="CB63" s="97"/>
      <c r="CC63" s="97" t="s">
        <v>1992</v>
      </c>
      <c r="CD63" s="97" t="s">
        <v>2032</v>
      </c>
      <c r="CE63" s="198">
        <v>46057</v>
      </c>
      <c r="CF63" s="97">
        <v>106745</v>
      </c>
      <c r="CG63" s="219" t="s">
        <v>2103</v>
      </c>
      <c r="CH63" s="97">
        <v>2026</v>
      </c>
      <c r="CI63" s="97"/>
      <c r="CJ63" s="198"/>
      <c r="CK63" s="97" t="s">
        <v>1027</v>
      </c>
      <c r="CL63" s="97">
        <v>2025</v>
      </c>
    </row>
    <row r="64" spans="1:90" x14ac:dyDescent="0.35">
      <c r="A64" s="201" t="s">
        <v>1993</v>
      </c>
      <c r="B64" s="201" t="s">
        <v>1999</v>
      </c>
      <c r="C64" s="97" t="s">
        <v>2047</v>
      </c>
      <c r="D64" s="97" t="s">
        <v>2048</v>
      </c>
      <c r="E64" s="201" t="s">
        <v>572</v>
      </c>
      <c r="F64" s="97" t="s">
        <v>1491</v>
      </c>
      <c r="G64" s="193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>
        <v>1</v>
      </c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214"/>
      <c r="BH64" s="97"/>
      <c r="BI64" s="214"/>
      <c r="BJ64" s="97"/>
      <c r="BK64" s="214"/>
      <c r="BL64" s="97"/>
      <c r="BM64" s="97">
        <v>1</v>
      </c>
      <c r="BN64" s="97"/>
      <c r="BO64" s="97"/>
      <c r="BP64" s="97"/>
      <c r="BQ64" s="97"/>
      <c r="BR64" s="97"/>
      <c r="BS64" s="97"/>
      <c r="BT64" s="97"/>
      <c r="BU64" s="97"/>
      <c r="BV64" s="97"/>
      <c r="BW64" s="97"/>
      <c r="BX64" s="97">
        <f t="shared" si="6"/>
        <v>2</v>
      </c>
      <c r="BY64" s="97"/>
      <c r="BZ64" s="97"/>
      <c r="CA64" s="97"/>
      <c r="CB64" s="97"/>
      <c r="CC64" s="97" t="s">
        <v>1992</v>
      </c>
      <c r="CD64" s="97" t="s">
        <v>2032</v>
      </c>
      <c r="CE64" s="198">
        <v>46057</v>
      </c>
      <c r="CF64" s="97">
        <v>106745</v>
      </c>
      <c r="CG64" s="219" t="s">
        <v>2104</v>
      </c>
      <c r="CH64" s="97">
        <v>2026</v>
      </c>
      <c r="CI64" s="97"/>
      <c r="CJ64" s="198"/>
      <c r="CK64" s="97" t="s">
        <v>1027</v>
      </c>
      <c r="CL64" s="97">
        <v>2025</v>
      </c>
    </row>
    <row r="65" spans="1:90" x14ac:dyDescent="0.35">
      <c r="A65" s="201" t="s">
        <v>1988</v>
      </c>
      <c r="B65" s="201"/>
      <c r="C65" s="97" t="s">
        <v>2047</v>
      </c>
      <c r="D65" s="97" t="s">
        <v>2048</v>
      </c>
      <c r="E65" s="201" t="s">
        <v>2041</v>
      </c>
      <c r="F65" s="97" t="s">
        <v>1491</v>
      </c>
      <c r="G65" s="193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>
        <v>1</v>
      </c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214"/>
      <c r="BH65" s="97"/>
      <c r="BI65" s="214"/>
      <c r="BJ65" s="97"/>
      <c r="BK65" s="214"/>
      <c r="BL65" s="97"/>
      <c r="BM65" s="97">
        <v>1</v>
      </c>
      <c r="BN65" s="97"/>
      <c r="BO65" s="97"/>
      <c r="BP65" s="97"/>
      <c r="BQ65" s="97"/>
      <c r="BR65" s="97"/>
      <c r="BS65" s="97"/>
      <c r="BT65" s="97"/>
      <c r="BU65" s="97"/>
      <c r="BV65" s="97"/>
      <c r="BW65" s="97"/>
      <c r="BX65" s="97">
        <f t="shared" ref="BX65:BX81" si="7">SUM(H65:BW65)</f>
        <v>2</v>
      </c>
      <c r="BY65" s="97"/>
      <c r="BZ65" s="97"/>
      <c r="CA65" s="97"/>
      <c r="CB65" s="97"/>
      <c r="CC65" s="97" t="s">
        <v>1992</v>
      </c>
      <c r="CD65" s="97" t="s">
        <v>2032</v>
      </c>
      <c r="CE65" s="198">
        <v>46057</v>
      </c>
      <c r="CF65" s="97">
        <v>106745</v>
      </c>
      <c r="CG65" s="219" t="s">
        <v>2105</v>
      </c>
      <c r="CH65" s="97">
        <v>2026</v>
      </c>
      <c r="CI65" s="97"/>
      <c r="CJ65" s="198"/>
      <c r="CK65" s="97" t="s">
        <v>1027</v>
      </c>
      <c r="CL65" s="97">
        <v>2025</v>
      </c>
    </row>
    <row r="66" spans="1:90" x14ac:dyDescent="0.35">
      <c r="A66" s="201" t="s">
        <v>1993</v>
      </c>
      <c r="B66" s="201" t="s">
        <v>2012</v>
      </c>
      <c r="C66" s="97" t="s">
        <v>2047</v>
      </c>
      <c r="D66" s="97" t="s">
        <v>2048</v>
      </c>
      <c r="E66" s="201" t="s">
        <v>691</v>
      </c>
      <c r="F66" s="97" t="s">
        <v>1491</v>
      </c>
      <c r="G66" s="193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>
        <v>1</v>
      </c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214"/>
      <c r="BH66" s="97"/>
      <c r="BI66" s="214"/>
      <c r="BJ66" s="97"/>
      <c r="BK66" s="214"/>
      <c r="BL66" s="97"/>
      <c r="BM66" s="97">
        <v>1</v>
      </c>
      <c r="BN66" s="97"/>
      <c r="BO66" s="97"/>
      <c r="BP66" s="97"/>
      <c r="BQ66" s="97"/>
      <c r="BR66" s="97"/>
      <c r="BS66" s="97"/>
      <c r="BT66" s="97"/>
      <c r="BU66" s="97"/>
      <c r="BV66" s="97"/>
      <c r="BW66" s="97"/>
      <c r="BX66" s="97">
        <f t="shared" si="7"/>
        <v>2</v>
      </c>
      <c r="BY66" s="97"/>
      <c r="BZ66" s="97"/>
      <c r="CA66" s="97"/>
      <c r="CB66" s="97"/>
      <c r="CC66" s="97" t="s">
        <v>2000</v>
      </c>
      <c r="CD66" s="97" t="s">
        <v>2032</v>
      </c>
      <c r="CE66" s="198">
        <v>46057</v>
      </c>
      <c r="CF66" s="97">
        <v>106745</v>
      </c>
      <c r="CG66" s="219" t="s">
        <v>2106</v>
      </c>
      <c r="CH66" s="97">
        <v>2026</v>
      </c>
      <c r="CI66" s="97"/>
      <c r="CJ66" s="198"/>
      <c r="CK66" s="97" t="s">
        <v>1027</v>
      </c>
      <c r="CL66" s="97">
        <v>2025</v>
      </c>
    </row>
    <row r="67" spans="1:90" x14ac:dyDescent="0.35">
      <c r="A67" s="201" t="s">
        <v>1988</v>
      </c>
      <c r="B67" s="201"/>
      <c r="C67" s="97" t="s">
        <v>2047</v>
      </c>
      <c r="D67" s="97" t="s">
        <v>2048</v>
      </c>
      <c r="E67" s="201" t="s">
        <v>2042</v>
      </c>
      <c r="F67" s="97" t="s">
        <v>1491</v>
      </c>
      <c r="G67" s="193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>
        <v>1</v>
      </c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214"/>
      <c r="BH67" s="97"/>
      <c r="BI67" s="214"/>
      <c r="BJ67" s="97"/>
      <c r="BK67" s="214"/>
      <c r="BL67" s="97"/>
      <c r="BM67" s="97">
        <v>1</v>
      </c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>
        <f t="shared" si="7"/>
        <v>2</v>
      </c>
      <c r="BY67" s="97"/>
      <c r="BZ67" s="97"/>
      <c r="CA67" s="97"/>
      <c r="CB67" s="97"/>
      <c r="CC67" s="97" t="s">
        <v>2000</v>
      </c>
      <c r="CD67" s="97" t="s">
        <v>2032</v>
      </c>
      <c r="CE67" s="198">
        <v>46057</v>
      </c>
      <c r="CF67" s="97">
        <v>106745</v>
      </c>
      <c r="CG67" s="219" t="s">
        <v>2107</v>
      </c>
      <c r="CH67" s="97">
        <v>2026</v>
      </c>
      <c r="CI67" s="97"/>
      <c r="CJ67" s="198"/>
      <c r="CK67" s="97" t="s">
        <v>1027</v>
      </c>
      <c r="CL67" s="97">
        <v>2025</v>
      </c>
    </row>
    <row r="68" spans="1:90" x14ac:dyDescent="0.35">
      <c r="A68" s="201" t="s">
        <v>1988</v>
      </c>
      <c r="B68" s="201"/>
      <c r="C68" s="97" t="s">
        <v>2047</v>
      </c>
      <c r="D68" s="97" t="s">
        <v>2048</v>
      </c>
      <c r="E68" s="201" t="s">
        <v>2043</v>
      </c>
      <c r="F68" s="97" t="s">
        <v>1491</v>
      </c>
      <c r="G68" s="193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>
        <v>1</v>
      </c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214"/>
      <c r="BH68" s="97"/>
      <c r="BI68" s="214"/>
      <c r="BJ68" s="97"/>
      <c r="BK68" s="214"/>
      <c r="BL68" s="97"/>
      <c r="BM68" s="97">
        <v>1</v>
      </c>
      <c r="BN68" s="97"/>
      <c r="BO68" s="97"/>
      <c r="BP68" s="97"/>
      <c r="BQ68" s="97"/>
      <c r="BR68" s="97"/>
      <c r="BS68" s="97"/>
      <c r="BT68" s="97"/>
      <c r="BU68" s="97"/>
      <c r="BV68" s="97"/>
      <c r="BW68" s="97"/>
      <c r="BX68" s="97">
        <f t="shared" si="7"/>
        <v>2</v>
      </c>
      <c r="BY68" s="97"/>
      <c r="BZ68" s="97"/>
      <c r="CA68" s="97"/>
      <c r="CB68" s="97"/>
      <c r="CC68" s="97" t="s">
        <v>2000</v>
      </c>
      <c r="CD68" s="97" t="s">
        <v>2032</v>
      </c>
      <c r="CE68" s="198">
        <v>46057</v>
      </c>
      <c r="CF68" s="97">
        <v>106745</v>
      </c>
      <c r="CG68" s="219" t="s">
        <v>2108</v>
      </c>
      <c r="CH68" s="97">
        <v>2026</v>
      </c>
      <c r="CI68" s="97"/>
      <c r="CJ68" s="198"/>
      <c r="CK68" s="97" t="s">
        <v>1027</v>
      </c>
      <c r="CL68" s="97">
        <v>2025</v>
      </c>
    </row>
    <row r="69" spans="1:90" x14ac:dyDescent="0.35">
      <c r="A69" s="201" t="s">
        <v>1988</v>
      </c>
      <c r="B69" s="201"/>
      <c r="C69" s="201" t="s">
        <v>2047</v>
      </c>
      <c r="D69" s="201" t="s">
        <v>2048</v>
      </c>
      <c r="E69" s="201" t="s">
        <v>2044</v>
      </c>
      <c r="F69" s="201" t="s">
        <v>1491</v>
      </c>
      <c r="G69" s="193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>
        <v>1</v>
      </c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214"/>
      <c r="BH69" s="97"/>
      <c r="BI69" s="214"/>
      <c r="BJ69" s="97"/>
      <c r="BK69" s="214"/>
      <c r="BL69" s="97"/>
      <c r="BM69" s="97">
        <v>1</v>
      </c>
      <c r="BN69" s="97"/>
      <c r="BO69" s="97"/>
      <c r="BP69" s="97"/>
      <c r="BQ69" s="97"/>
      <c r="BR69" s="97"/>
      <c r="BS69" s="97"/>
      <c r="BT69" s="97"/>
      <c r="BU69" s="97"/>
      <c r="BV69" s="97"/>
      <c r="BW69" s="97"/>
      <c r="BX69" s="97">
        <f t="shared" si="7"/>
        <v>2</v>
      </c>
      <c r="BY69" s="97"/>
      <c r="BZ69" s="97"/>
      <c r="CA69" s="97"/>
      <c r="CB69" s="97"/>
      <c r="CC69" s="97" t="s">
        <v>2000</v>
      </c>
      <c r="CD69" s="97" t="s">
        <v>2032</v>
      </c>
      <c r="CE69" s="198">
        <v>46057</v>
      </c>
      <c r="CF69" s="97">
        <v>106745</v>
      </c>
      <c r="CG69" s="219" t="s">
        <v>2109</v>
      </c>
      <c r="CH69" s="97">
        <v>2026</v>
      </c>
      <c r="CI69" s="97"/>
      <c r="CJ69" s="198"/>
      <c r="CK69" s="97" t="s">
        <v>1027</v>
      </c>
      <c r="CL69" s="97">
        <v>2025</v>
      </c>
    </row>
    <row r="70" spans="1:90" x14ac:dyDescent="0.35">
      <c r="A70" s="201" t="s">
        <v>1988</v>
      </c>
      <c r="B70" s="201"/>
      <c r="C70" s="201" t="s">
        <v>2047</v>
      </c>
      <c r="D70" s="201" t="s">
        <v>2048</v>
      </c>
      <c r="E70" s="201" t="s">
        <v>740</v>
      </c>
      <c r="F70" s="201" t="s">
        <v>1491</v>
      </c>
      <c r="G70" s="193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>
        <v>1</v>
      </c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214"/>
      <c r="BH70" s="97"/>
      <c r="BI70" s="214"/>
      <c r="BJ70" s="97"/>
      <c r="BK70" s="214"/>
      <c r="BL70" s="97"/>
      <c r="BM70" s="97">
        <v>1</v>
      </c>
      <c r="BN70" s="97"/>
      <c r="BO70" s="97"/>
      <c r="BP70" s="97"/>
      <c r="BQ70" s="97"/>
      <c r="BR70" s="97"/>
      <c r="BS70" s="97"/>
      <c r="BT70" s="97"/>
      <c r="BU70" s="97"/>
      <c r="BV70" s="97"/>
      <c r="BW70" s="97"/>
      <c r="BX70" s="97">
        <f t="shared" si="7"/>
        <v>2</v>
      </c>
      <c r="BY70" s="97"/>
      <c r="BZ70" s="97"/>
      <c r="CA70" s="97"/>
      <c r="CB70" s="97"/>
      <c r="CC70" s="97" t="s">
        <v>2000</v>
      </c>
      <c r="CD70" s="97" t="s">
        <v>2032</v>
      </c>
      <c r="CE70" s="198">
        <v>46057</v>
      </c>
      <c r="CF70" s="97">
        <v>106745</v>
      </c>
      <c r="CG70" s="219" t="s">
        <v>2110</v>
      </c>
      <c r="CH70" s="97">
        <v>2026</v>
      </c>
      <c r="CI70" s="97"/>
      <c r="CJ70" s="198"/>
      <c r="CK70" s="97" t="s">
        <v>1027</v>
      </c>
      <c r="CL70" s="97">
        <v>2025</v>
      </c>
    </row>
    <row r="71" spans="1:90" x14ac:dyDescent="0.35">
      <c r="A71" s="201" t="s">
        <v>1988</v>
      </c>
      <c r="B71" s="201"/>
      <c r="C71" s="201" t="s">
        <v>2047</v>
      </c>
      <c r="D71" s="201" t="s">
        <v>2048</v>
      </c>
      <c r="E71" s="201" t="s">
        <v>2045</v>
      </c>
      <c r="F71" s="201" t="s">
        <v>1491</v>
      </c>
      <c r="G71" s="193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>
        <v>1</v>
      </c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214"/>
      <c r="BH71" s="97"/>
      <c r="BI71" s="214"/>
      <c r="BJ71" s="97"/>
      <c r="BK71" s="214"/>
      <c r="BL71" s="97"/>
      <c r="BM71" s="97">
        <v>1</v>
      </c>
      <c r="BN71" s="97"/>
      <c r="BO71" s="97"/>
      <c r="BP71" s="97"/>
      <c r="BQ71" s="97"/>
      <c r="BR71" s="97"/>
      <c r="BS71" s="97"/>
      <c r="BT71" s="97"/>
      <c r="BU71" s="97"/>
      <c r="BV71" s="97"/>
      <c r="BW71" s="97"/>
      <c r="BX71" s="97">
        <f t="shared" si="7"/>
        <v>2</v>
      </c>
      <c r="BY71" s="97"/>
      <c r="BZ71" s="97"/>
      <c r="CA71" s="97"/>
      <c r="CB71" s="97"/>
      <c r="CC71" s="97" t="s">
        <v>2000</v>
      </c>
      <c r="CD71" s="97" t="s">
        <v>2032</v>
      </c>
      <c r="CE71" s="198">
        <v>46057</v>
      </c>
      <c r="CF71" s="97">
        <v>106745</v>
      </c>
      <c r="CG71" s="219" t="s">
        <v>2111</v>
      </c>
      <c r="CH71" s="97">
        <v>2026</v>
      </c>
      <c r="CI71" s="97"/>
      <c r="CJ71" s="198"/>
      <c r="CK71" s="97" t="s">
        <v>1027</v>
      </c>
      <c r="CL71" s="97">
        <v>2025</v>
      </c>
    </row>
    <row r="72" spans="1:90" x14ac:dyDescent="0.35">
      <c r="A72" s="201" t="s">
        <v>1988</v>
      </c>
      <c r="B72" s="201"/>
      <c r="C72" s="201" t="s">
        <v>2047</v>
      </c>
      <c r="D72" s="201" t="s">
        <v>2048</v>
      </c>
      <c r="E72" s="201" t="s">
        <v>2046</v>
      </c>
      <c r="F72" s="201" t="s">
        <v>1491</v>
      </c>
      <c r="G72" s="193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>
        <v>1</v>
      </c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214"/>
      <c r="BH72" s="97"/>
      <c r="BI72" s="214"/>
      <c r="BJ72" s="97"/>
      <c r="BK72" s="214"/>
      <c r="BL72" s="97"/>
      <c r="BM72" s="97">
        <v>1</v>
      </c>
      <c r="BN72" s="97"/>
      <c r="BO72" s="97"/>
      <c r="BP72" s="97"/>
      <c r="BQ72" s="97"/>
      <c r="BR72" s="97"/>
      <c r="BS72" s="97"/>
      <c r="BT72" s="97"/>
      <c r="BU72" s="97"/>
      <c r="BV72" s="97"/>
      <c r="BW72" s="97"/>
      <c r="BX72" s="97">
        <f t="shared" si="7"/>
        <v>2</v>
      </c>
      <c r="BY72" s="97"/>
      <c r="BZ72" s="97"/>
      <c r="CA72" s="97"/>
      <c r="CB72" s="97"/>
      <c r="CC72" s="97" t="s">
        <v>2000</v>
      </c>
      <c r="CD72" s="97" t="s">
        <v>2032</v>
      </c>
      <c r="CE72" s="198">
        <v>46057</v>
      </c>
      <c r="CF72" s="97">
        <v>106745</v>
      </c>
      <c r="CG72" s="219" t="s">
        <v>2112</v>
      </c>
      <c r="CH72" s="97">
        <v>2026</v>
      </c>
      <c r="CI72" s="97"/>
      <c r="CJ72" s="198"/>
      <c r="CK72" s="97" t="s">
        <v>1027</v>
      </c>
      <c r="CL72" s="97">
        <v>2025</v>
      </c>
    </row>
    <row r="73" spans="1:90" x14ac:dyDescent="0.35">
      <c r="A73" s="201" t="s">
        <v>1988</v>
      </c>
      <c r="B73" s="201"/>
      <c r="C73" s="201" t="s">
        <v>911</v>
      </c>
      <c r="D73" s="201" t="s">
        <v>1984</v>
      </c>
      <c r="E73" s="201" t="s">
        <v>937</v>
      </c>
      <c r="F73" s="201" t="s">
        <v>1972</v>
      </c>
      <c r="G73" s="193"/>
      <c r="H73" s="97"/>
      <c r="I73" s="97">
        <v>1</v>
      </c>
      <c r="J73" s="97"/>
      <c r="K73" s="97">
        <v>2</v>
      </c>
      <c r="L73" s="97">
        <v>1</v>
      </c>
      <c r="M73" s="97"/>
      <c r="N73" s="97"/>
      <c r="O73" s="97"/>
      <c r="P73" s="97"/>
      <c r="Q73" s="97"/>
      <c r="R73" s="97"/>
      <c r="S73" s="97"/>
      <c r="T73" s="97">
        <v>3</v>
      </c>
      <c r="U73" s="97"/>
      <c r="V73" s="97"/>
      <c r="W73" s="97"/>
      <c r="X73" s="97"/>
      <c r="Y73" s="97"/>
      <c r="Z73" s="97"/>
      <c r="AA73" s="97"/>
      <c r="AB73" s="97"/>
      <c r="AC73" s="97"/>
      <c r="AD73" s="97">
        <v>3</v>
      </c>
      <c r="AE73" s="97">
        <v>3</v>
      </c>
      <c r="AF73" s="97"/>
      <c r="AG73" s="97"/>
      <c r="AH73" s="97">
        <v>3</v>
      </c>
      <c r="AI73" s="97"/>
      <c r="AJ73" s="97">
        <v>3</v>
      </c>
      <c r="AK73" s="97">
        <v>3</v>
      </c>
      <c r="AL73" s="97">
        <v>3</v>
      </c>
      <c r="AM73" s="97">
        <v>3</v>
      </c>
      <c r="AN73" s="97"/>
      <c r="AO73" s="97"/>
      <c r="AP73" s="97">
        <v>3</v>
      </c>
      <c r="AQ73" s="97">
        <v>3</v>
      </c>
      <c r="AR73" s="97">
        <v>2</v>
      </c>
      <c r="AS73" s="97"/>
      <c r="AT73" s="97"/>
      <c r="AU73" s="97"/>
      <c r="AV73" s="97"/>
      <c r="AW73" s="97">
        <v>2</v>
      </c>
      <c r="AX73" s="97"/>
      <c r="AY73" s="97"/>
      <c r="AZ73" s="97"/>
      <c r="BA73" s="97"/>
      <c r="BB73" s="97"/>
      <c r="BC73" s="97">
        <v>2</v>
      </c>
      <c r="BD73" s="97"/>
      <c r="BE73" s="97"/>
      <c r="BF73" s="97"/>
      <c r="BG73" s="97">
        <v>1</v>
      </c>
      <c r="BH73" s="97">
        <v>1</v>
      </c>
      <c r="BI73" s="97"/>
      <c r="BJ73" s="97">
        <v>2</v>
      </c>
      <c r="BK73" s="97"/>
      <c r="BL73" s="97"/>
      <c r="BM73" s="97"/>
      <c r="BN73" s="97"/>
      <c r="BO73" s="97"/>
      <c r="BP73" s="97"/>
      <c r="BQ73" s="97"/>
      <c r="BR73" s="97"/>
      <c r="BS73" s="97"/>
      <c r="BT73" s="97"/>
      <c r="BU73" s="97"/>
      <c r="BV73" s="97"/>
      <c r="BW73" s="97"/>
      <c r="BX73" s="97">
        <f t="shared" si="7"/>
        <v>44</v>
      </c>
      <c r="BY73" s="97"/>
      <c r="BZ73" s="97"/>
      <c r="CA73" s="97"/>
      <c r="CB73" s="97"/>
      <c r="CC73" s="97" t="s">
        <v>1990</v>
      </c>
      <c r="CD73" s="97" t="s">
        <v>2013</v>
      </c>
      <c r="CE73" s="198">
        <v>46057</v>
      </c>
      <c r="CF73" s="97">
        <v>106745</v>
      </c>
      <c r="CG73" s="219" t="s">
        <v>2065</v>
      </c>
      <c r="CH73" s="97">
        <v>2026</v>
      </c>
      <c r="CI73" s="97" t="s">
        <v>2017</v>
      </c>
      <c r="CJ73" s="198">
        <v>46066</v>
      </c>
      <c r="CK73" s="97" t="s">
        <v>1027</v>
      </c>
      <c r="CL73" s="97">
        <v>2025</v>
      </c>
    </row>
    <row r="74" spans="1:90" x14ac:dyDescent="0.35">
      <c r="A74" s="201" t="s">
        <v>1988</v>
      </c>
      <c r="B74" s="201"/>
      <c r="C74" s="201" t="s">
        <v>911</v>
      </c>
      <c r="D74" s="201" t="s">
        <v>1989</v>
      </c>
      <c r="E74" s="201" t="s">
        <v>1371</v>
      </c>
      <c r="F74" s="201" t="s">
        <v>1836</v>
      </c>
      <c r="G74" s="193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  <c r="BP74" s="97"/>
      <c r="BQ74" s="97"/>
      <c r="BR74" s="97"/>
      <c r="BS74" s="97"/>
      <c r="BT74" s="97">
        <v>2</v>
      </c>
      <c r="BU74" s="97"/>
      <c r="BV74" s="97"/>
      <c r="BW74" s="97"/>
      <c r="BX74" s="97">
        <f t="shared" si="7"/>
        <v>2</v>
      </c>
      <c r="BY74" s="97"/>
      <c r="BZ74" s="97"/>
      <c r="CA74" s="97"/>
      <c r="CB74" s="97"/>
      <c r="CC74" s="97" t="s">
        <v>1995</v>
      </c>
      <c r="CD74" s="97" t="s">
        <v>2013</v>
      </c>
      <c r="CE74" s="198">
        <v>46057</v>
      </c>
      <c r="CF74" s="97">
        <v>106745</v>
      </c>
      <c r="CG74" s="219" t="s">
        <v>2062</v>
      </c>
      <c r="CH74" s="97">
        <v>2026</v>
      </c>
      <c r="CI74" s="97" t="s">
        <v>2017</v>
      </c>
      <c r="CJ74" s="198">
        <v>46066</v>
      </c>
      <c r="CK74" s="97" t="s">
        <v>1027</v>
      </c>
      <c r="CL74" s="97">
        <v>2025</v>
      </c>
    </row>
    <row r="75" spans="1:90" x14ac:dyDescent="0.35">
      <c r="A75" s="201" t="s">
        <v>1993</v>
      </c>
      <c r="B75" s="201" t="s">
        <v>2012</v>
      </c>
      <c r="C75" s="201" t="s">
        <v>19</v>
      </c>
      <c r="D75" s="201" t="s">
        <v>19</v>
      </c>
      <c r="E75" s="201" t="s">
        <v>2006</v>
      </c>
      <c r="F75" s="201" t="s">
        <v>2033</v>
      </c>
      <c r="G75" s="212"/>
      <c r="H75" s="201">
        <v>1</v>
      </c>
      <c r="I75" s="201">
        <v>1</v>
      </c>
      <c r="J75" s="201">
        <v>1</v>
      </c>
      <c r="K75" s="201">
        <v>1</v>
      </c>
      <c r="L75" s="201">
        <v>1</v>
      </c>
      <c r="M75" s="201">
        <v>1</v>
      </c>
      <c r="N75" s="201">
        <v>1</v>
      </c>
      <c r="O75" s="201"/>
      <c r="P75" s="201">
        <v>1</v>
      </c>
      <c r="Q75" s="201"/>
      <c r="R75" s="201"/>
      <c r="S75" s="201"/>
      <c r="T75" s="201"/>
      <c r="U75" s="201"/>
      <c r="V75" s="201"/>
      <c r="W75" s="201"/>
      <c r="X75" s="201">
        <v>1</v>
      </c>
      <c r="Y75" s="201">
        <v>6</v>
      </c>
      <c r="Z75" s="201">
        <v>3</v>
      </c>
      <c r="AA75" s="201"/>
      <c r="AB75" s="201"/>
      <c r="AC75" s="201">
        <v>6</v>
      </c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>
        <v>6</v>
      </c>
      <c r="AO75" s="201">
        <v>6</v>
      </c>
      <c r="AP75" s="201"/>
      <c r="AQ75" s="201"/>
      <c r="AR75" s="201">
        <v>1</v>
      </c>
      <c r="AS75" s="201"/>
      <c r="AT75" s="201"/>
      <c r="AU75" s="201"/>
      <c r="AV75" s="201"/>
      <c r="AW75" s="201"/>
      <c r="AX75" s="201"/>
      <c r="AY75" s="201"/>
      <c r="AZ75" s="201"/>
      <c r="BA75" s="201"/>
      <c r="BB75" s="201">
        <v>1</v>
      </c>
      <c r="BC75" s="201"/>
      <c r="BD75" s="201"/>
      <c r="BE75" s="201"/>
      <c r="BF75" s="201"/>
      <c r="BG75" s="214">
        <v>1</v>
      </c>
      <c r="BH75" s="201">
        <v>1</v>
      </c>
      <c r="BI75" s="214"/>
      <c r="BJ75" s="201"/>
      <c r="BK75" s="214">
        <v>1</v>
      </c>
      <c r="BL75" s="201"/>
      <c r="BM75" s="201"/>
      <c r="BN75" s="201"/>
      <c r="BO75" s="201"/>
      <c r="BP75" s="201"/>
      <c r="BQ75" s="201"/>
      <c r="BR75" s="201"/>
      <c r="BS75" s="201"/>
      <c r="BT75" s="201"/>
      <c r="BU75" s="201"/>
      <c r="BV75" s="201"/>
      <c r="BW75" s="201"/>
      <c r="BX75" s="201">
        <f t="shared" si="7"/>
        <v>41</v>
      </c>
      <c r="BY75" s="201">
        <v>1</v>
      </c>
      <c r="BZ75" s="201">
        <v>1</v>
      </c>
      <c r="CA75" s="201"/>
      <c r="CB75" s="201"/>
      <c r="CC75" s="201" t="s">
        <v>1990</v>
      </c>
      <c r="CD75" s="201" t="s">
        <v>2032</v>
      </c>
      <c r="CE75" s="198">
        <v>46057</v>
      </c>
      <c r="CF75" s="201">
        <v>106745</v>
      </c>
      <c r="CG75" s="219" t="s">
        <v>2095</v>
      </c>
      <c r="CH75" s="201">
        <v>2026</v>
      </c>
      <c r="CI75" s="97" t="s">
        <v>2017</v>
      </c>
      <c r="CJ75" s="198">
        <v>46066</v>
      </c>
      <c r="CK75" s="201" t="s">
        <v>1027</v>
      </c>
      <c r="CL75" s="97">
        <v>2025</v>
      </c>
    </row>
    <row r="76" spans="1:90" x14ac:dyDescent="0.35">
      <c r="A76" s="201" t="s">
        <v>1988</v>
      </c>
      <c r="B76" s="201"/>
      <c r="C76" s="201" t="s">
        <v>911</v>
      </c>
      <c r="D76" s="201" t="s">
        <v>1989</v>
      </c>
      <c r="E76" s="201" t="s">
        <v>559</v>
      </c>
      <c r="F76" s="201" t="s">
        <v>1836</v>
      </c>
      <c r="G76" s="193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>
        <v>1</v>
      </c>
      <c r="BU76" s="97"/>
      <c r="BV76" s="97"/>
      <c r="BW76" s="97"/>
      <c r="BX76" s="97">
        <f t="shared" si="7"/>
        <v>1</v>
      </c>
      <c r="BY76" s="97"/>
      <c r="BZ76" s="97"/>
      <c r="CA76" s="97"/>
      <c r="CB76" s="97"/>
      <c r="CC76" s="97" t="s">
        <v>2000</v>
      </c>
      <c r="CD76" s="97" t="s">
        <v>2013</v>
      </c>
      <c r="CE76" s="198">
        <v>46057</v>
      </c>
      <c r="CF76" s="97">
        <v>106745</v>
      </c>
      <c r="CG76" s="219" t="s">
        <v>2074</v>
      </c>
      <c r="CH76" s="97">
        <v>2026</v>
      </c>
      <c r="CI76" s="97" t="s">
        <v>2017</v>
      </c>
      <c r="CJ76" s="198">
        <v>46066</v>
      </c>
      <c r="CK76" s="97" t="s">
        <v>1027</v>
      </c>
      <c r="CL76" s="97">
        <v>2025</v>
      </c>
    </row>
    <row r="77" spans="1:90" x14ac:dyDescent="0.35">
      <c r="A77" s="201" t="s">
        <v>1993</v>
      </c>
      <c r="B77" s="201" t="s">
        <v>2038</v>
      </c>
      <c r="C77" s="201" t="s">
        <v>19</v>
      </c>
      <c r="D77" s="201" t="s">
        <v>19</v>
      </c>
      <c r="E77" s="201" t="s">
        <v>2008</v>
      </c>
      <c r="F77" s="201" t="s">
        <v>2035</v>
      </c>
      <c r="G77" s="193"/>
      <c r="H77" s="97">
        <v>1</v>
      </c>
      <c r="I77" s="97">
        <v>1</v>
      </c>
      <c r="J77" s="97">
        <v>1</v>
      </c>
      <c r="K77" s="97">
        <v>1</v>
      </c>
      <c r="L77" s="97">
        <v>1</v>
      </c>
      <c r="M77" s="97">
        <v>1</v>
      </c>
      <c r="N77" s="97">
        <v>1</v>
      </c>
      <c r="O77" s="97"/>
      <c r="P77" s="97">
        <v>1</v>
      </c>
      <c r="Q77" s="97">
        <v>1</v>
      </c>
      <c r="R77" s="97"/>
      <c r="S77" s="97"/>
      <c r="T77" s="97"/>
      <c r="U77" s="97"/>
      <c r="V77" s="97"/>
      <c r="W77" s="97"/>
      <c r="X77" s="97">
        <v>1</v>
      </c>
      <c r="Y77" s="97">
        <v>6</v>
      </c>
      <c r="Z77" s="97">
        <v>3</v>
      </c>
      <c r="AA77" s="97"/>
      <c r="AB77" s="97"/>
      <c r="AC77" s="97">
        <v>8</v>
      </c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>
        <v>6</v>
      </c>
      <c r="AO77" s="97">
        <v>8</v>
      </c>
      <c r="AP77" s="97"/>
      <c r="AQ77" s="97"/>
      <c r="AR77" s="97">
        <v>1</v>
      </c>
      <c r="AS77" s="97"/>
      <c r="AT77" s="97"/>
      <c r="AU77" s="97"/>
      <c r="AV77" s="97"/>
      <c r="AW77" s="97"/>
      <c r="AX77" s="97"/>
      <c r="AY77" s="97"/>
      <c r="AZ77" s="97"/>
      <c r="BA77" s="97"/>
      <c r="BB77" s="97">
        <v>1</v>
      </c>
      <c r="BC77" s="97"/>
      <c r="BD77" s="97"/>
      <c r="BE77" s="97"/>
      <c r="BF77" s="97">
        <v>12</v>
      </c>
      <c r="BG77" s="214">
        <v>1</v>
      </c>
      <c r="BH77" s="97">
        <v>1</v>
      </c>
      <c r="BI77" s="214"/>
      <c r="BJ77" s="97"/>
      <c r="BK77" s="214">
        <v>1</v>
      </c>
      <c r="BL77" s="97"/>
      <c r="BM77" s="97"/>
      <c r="BN77" s="97"/>
      <c r="BO77" s="97"/>
      <c r="BP77" s="97"/>
      <c r="BQ77" s="97"/>
      <c r="BR77" s="97"/>
      <c r="BS77" s="97"/>
      <c r="BT77" s="97"/>
      <c r="BU77" s="97"/>
      <c r="BV77" s="97"/>
      <c r="BW77" s="97"/>
      <c r="BX77" s="97">
        <f t="shared" si="7"/>
        <v>58</v>
      </c>
      <c r="BY77" s="97">
        <v>1</v>
      </c>
      <c r="BZ77" s="97">
        <v>1</v>
      </c>
      <c r="CA77" s="97"/>
      <c r="CB77" s="97"/>
      <c r="CC77" s="97" t="s">
        <v>2000</v>
      </c>
      <c r="CD77" s="97" t="s">
        <v>2032</v>
      </c>
      <c r="CE77" s="198">
        <v>46057</v>
      </c>
      <c r="CF77" s="97">
        <v>106745</v>
      </c>
      <c r="CG77" s="219" t="s">
        <v>2099</v>
      </c>
      <c r="CH77" s="97">
        <v>2026</v>
      </c>
      <c r="CI77" s="97" t="s">
        <v>2017</v>
      </c>
      <c r="CJ77" s="198">
        <v>46066</v>
      </c>
      <c r="CK77" s="97" t="s">
        <v>1027</v>
      </c>
      <c r="CL77" s="97">
        <v>2025</v>
      </c>
    </row>
    <row r="78" spans="1:90" x14ac:dyDescent="0.35">
      <c r="A78" s="201" t="s">
        <v>1988</v>
      </c>
      <c r="B78" s="201"/>
      <c r="C78" s="201" t="s">
        <v>911</v>
      </c>
      <c r="D78" s="201" t="s">
        <v>1984</v>
      </c>
      <c r="E78" s="201" t="s">
        <v>2118</v>
      </c>
      <c r="F78" s="201" t="s">
        <v>1817</v>
      </c>
      <c r="G78" s="193"/>
      <c r="H78" s="97"/>
      <c r="I78" s="97">
        <v>1</v>
      </c>
      <c r="J78" s="97"/>
      <c r="K78" s="97">
        <v>1</v>
      </c>
      <c r="L78" s="97">
        <v>1</v>
      </c>
      <c r="M78" s="97"/>
      <c r="N78" s="97"/>
      <c r="O78" s="97"/>
      <c r="P78" s="97"/>
      <c r="Q78" s="97"/>
      <c r="R78" s="97"/>
      <c r="S78" s="97"/>
      <c r="T78" s="97">
        <v>3</v>
      </c>
      <c r="U78" s="97"/>
      <c r="V78" s="97"/>
      <c r="W78" s="97"/>
      <c r="X78" s="97"/>
      <c r="Y78" s="97"/>
      <c r="Z78" s="97"/>
      <c r="AA78" s="97"/>
      <c r="AB78" s="97"/>
      <c r="AC78" s="97"/>
      <c r="AD78" s="97">
        <v>3</v>
      </c>
      <c r="AE78" s="97">
        <v>3</v>
      </c>
      <c r="AF78" s="97"/>
      <c r="AG78" s="97"/>
      <c r="AH78" s="97"/>
      <c r="AI78" s="97"/>
      <c r="AJ78" s="97">
        <v>3</v>
      </c>
      <c r="AK78" s="97">
        <v>3</v>
      </c>
      <c r="AL78" s="97">
        <v>3</v>
      </c>
      <c r="AM78" s="97">
        <v>3</v>
      </c>
      <c r="AN78" s="97"/>
      <c r="AO78" s="97"/>
      <c r="AP78" s="97">
        <v>3</v>
      </c>
      <c r="AQ78" s="97">
        <v>3</v>
      </c>
      <c r="AR78" s="97">
        <v>1</v>
      </c>
      <c r="AS78" s="97"/>
      <c r="AT78" s="97"/>
      <c r="AU78" s="97"/>
      <c r="AV78" s="97"/>
      <c r="AW78" s="97">
        <v>1</v>
      </c>
      <c r="AX78" s="97"/>
      <c r="AY78" s="97"/>
      <c r="AZ78" s="97"/>
      <c r="BA78" s="97"/>
      <c r="BB78" s="97"/>
      <c r="BC78" s="97"/>
      <c r="BD78" s="97">
        <v>2</v>
      </c>
      <c r="BE78" s="97"/>
      <c r="BF78" s="97"/>
      <c r="BG78" s="97"/>
      <c r="BH78" s="97">
        <v>1</v>
      </c>
      <c r="BI78" s="97"/>
      <c r="BJ78" s="97">
        <v>2</v>
      </c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>
        <f t="shared" si="7"/>
        <v>37</v>
      </c>
      <c r="BY78" s="97"/>
      <c r="BZ78" s="97"/>
      <c r="CA78" s="97"/>
      <c r="CB78" s="97"/>
      <c r="CC78" s="97" t="s">
        <v>1992</v>
      </c>
      <c r="CD78" s="97" t="s">
        <v>2013</v>
      </c>
      <c r="CE78" s="198">
        <v>46063</v>
      </c>
      <c r="CF78" s="97">
        <v>106745</v>
      </c>
      <c r="CG78" s="219" t="s">
        <v>2124</v>
      </c>
      <c r="CH78" s="97">
        <v>2026</v>
      </c>
      <c r="CI78" s="97"/>
      <c r="CJ78" s="198"/>
      <c r="CK78" s="97" t="s">
        <v>1027</v>
      </c>
      <c r="CL78" s="97">
        <v>2025</v>
      </c>
    </row>
    <row r="79" spans="1:90" x14ac:dyDescent="0.35">
      <c r="A79" s="201" t="s">
        <v>1988</v>
      </c>
      <c r="B79" s="201"/>
      <c r="C79" s="201" t="s">
        <v>911</v>
      </c>
      <c r="D79" s="201" t="s">
        <v>1989</v>
      </c>
      <c r="E79" s="201" t="s">
        <v>2118</v>
      </c>
      <c r="F79" s="201" t="s">
        <v>1836</v>
      </c>
      <c r="G79" s="193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97"/>
      <c r="BH79" s="97"/>
      <c r="BI79" s="97"/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>
        <v>9</v>
      </c>
      <c r="BV79" s="97"/>
      <c r="BW79" s="97"/>
      <c r="BX79" s="97">
        <f t="shared" si="7"/>
        <v>9</v>
      </c>
      <c r="BY79" s="97"/>
      <c r="BZ79" s="97"/>
      <c r="CA79" s="97"/>
      <c r="CB79" s="97"/>
      <c r="CC79" s="97" t="s">
        <v>1992</v>
      </c>
      <c r="CD79" s="97" t="s">
        <v>2013</v>
      </c>
      <c r="CE79" s="198">
        <v>46063</v>
      </c>
      <c r="CF79" s="97">
        <v>106745</v>
      </c>
      <c r="CG79" s="219" t="s">
        <v>2125</v>
      </c>
      <c r="CH79" s="97">
        <v>2026</v>
      </c>
      <c r="CI79" s="97"/>
      <c r="CJ79" s="198"/>
      <c r="CK79" s="97" t="s">
        <v>1027</v>
      </c>
      <c r="CL79" s="97">
        <v>2025</v>
      </c>
    </row>
    <row r="80" spans="1:90" x14ac:dyDescent="0.35">
      <c r="A80" s="201" t="s">
        <v>1993</v>
      </c>
      <c r="B80" s="201" t="s">
        <v>2132</v>
      </c>
      <c r="C80" s="201" t="s">
        <v>19</v>
      </c>
      <c r="D80" s="201" t="s">
        <v>19</v>
      </c>
      <c r="E80" s="201" t="s">
        <v>2133</v>
      </c>
      <c r="F80" s="201" t="s">
        <v>2031</v>
      </c>
      <c r="G80" s="193"/>
      <c r="H80" s="97">
        <v>1</v>
      </c>
      <c r="I80" s="97">
        <v>1</v>
      </c>
      <c r="J80" s="97">
        <v>1</v>
      </c>
      <c r="K80" s="97">
        <v>1</v>
      </c>
      <c r="L80" s="97">
        <v>1</v>
      </c>
      <c r="M80" s="97">
        <v>1</v>
      </c>
      <c r="N80" s="97">
        <v>1</v>
      </c>
      <c r="O80" s="97">
        <v>1</v>
      </c>
      <c r="P80" s="97">
        <v>1</v>
      </c>
      <c r="Q80" s="97"/>
      <c r="R80" s="97"/>
      <c r="S80" s="97"/>
      <c r="T80" s="97"/>
      <c r="U80" s="97"/>
      <c r="V80" s="97"/>
      <c r="W80" s="97"/>
      <c r="X80" s="97">
        <v>1</v>
      </c>
      <c r="Y80" s="97">
        <v>9</v>
      </c>
      <c r="Z80" s="97">
        <v>3</v>
      </c>
      <c r="AA80" s="97"/>
      <c r="AB80" s="97">
        <v>3</v>
      </c>
      <c r="AC80" s="97">
        <v>6</v>
      </c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>
        <v>9</v>
      </c>
      <c r="AO80" s="97">
        <v>6</v>
      </c>
      <c r="AP80" s="97"/>
      <c r="AQ80" s="97"/>
      <c r="AR80" s="97">
        <v>1</v>
      </c>
      <c r="AS80" s="97"/>
      <c r="AT80" s="97"/>
      <c r="AU80" s="97"/>
      <c r="AV80" s="97"/>
      <c r="AW80" s="97"/>
      <c r="AX80" s="97"/>
      <c r="AY80" s="97"/>
      <c r="AZ80" s="97"/>
      <c r="BA80" s="97"/>
      <c r="BB80" s="97">
        <v>1</v>
      </c>
      <c r="BC80" s="97"/>
      <c r="BD80" s="97"/>
      <c r="BE80" s="97"/>
      <c r="BF80" s="97">
        <v>16</v>
      </c>
      <c r="BG80" s="214">
        <v>1</v>
      </c>
      <c r="BH80" s="97">
        <v>1</v>
      </c>
      <c r="BI80" s="214">
        <v>1</v>
      </c>
      <c r="BJ80" s="97"/>
      <c r="BK80" s="214">
        <v>1</v>
      </c>
      <c r="BL80" s="97"/>
      <c r="BM80" s="97"/>
      <c r="BN80" s="97">
        <v>1</v>
      </c>
      <c r="BO80" s="97"/>
      <c r="BP80" s="97"/>
      <c r="BQ80" s="97"/>
      <c r="BR80" s="97"/>
      <c r="BS80" s="97"/>
      <c r="BT80" s="97"/>
      <c r="BU80" s="97"/>
      <c r="BV80" s="97"/>
      <c r="BW80" s="97"/>
      <c r="BX80" s="97">
        <f t="shared" si="7"/>
        <v>69</v>
      </c>
      <c r="BY80" s="97">
        <v>1</v>
      </c>
      <c r="BZ80" s="97"/>
      <c r="CA80" s="97"/>
      <c r="CB80" s="97"/>
      <c r="CC80" s="97" t="s">
        <v>1992</v>
      </c>
      <c r="CD80" s="97" t="s">
        <v>2032</v>
      </c>
      <c r="CE80" s="198">
        <v>46066</v>
      </c>
      <c r="CF80" s="97">
        <v>106745</v>
      </c>
      <c r="CG80" s="219" t="s">
        <v>2157</v>
      </c>
      <c r="CH80" s="97">
        <v>2026</v>
      </c>
      <c r="CI80" s="97"/>
      <c r="CJ80" s="198"/>
      <c r="CK80" s="97" t="s">
        <v>1027</v>
      </c>
      <c r="CL80" s="97">
        <v>2025</v>
      </c>
    </row>
    <row r="81" spans="1:90" x14ac:dyDescent="0.35">
      <c r="A81" s="201" t="s">
        <v>1988</v>
      </c>
      <c r="B81" s="201"/>
      <c r="C81" s="201" t="s">
        <v>911</v>
      </c>
      <c r="D81" s="201" t="s">
        <v>1989</v>
      </c>
      <c r="E81" s="201" t="s">
        <v>937</v>
      </c>
      <c r="F81" s="201" t="s">
        <v>1836</v>
      </c>
      <c r="G81" s="193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>
        <v>3</v>
      </c>
      <c r="BU81" s="97"/>
      <c r="BV81" s="97"/>
      <c r="BW81" s="97"/>
      <c r="BX81" s="97">
        <f t="shared" si="7"/>
        <v>3</v>
      </c>
      <c r="BY81" s="97"/>
      <c r="BZ81" s="97"/>
      <c r="CA81" s="97"/>
      <c r="CB81" s="97"/>
      <c r="CC81" s="97" t="s">
        <v>1990</v>
      </c>
      <c r="CD81" s="97" t="s">
        <v>2013</v>
      </c>
      <c r="CE81" s="198">
        <v>46057</v>
      </c>
      <c r="CF81" s="97">
        <v>106745</v>
      </c>
      <c r="CG81" s="219" t="s">
        <v>2066</v>
      </c>
      <c r="CH81" s="97">
        <v>2026</v>
      </c>
      <c r="CI81" s="97" t="s">
        <v>2017</v>
      </c>
      <c r="CJ81" s="198">
        <v>46066</v>
      </c>
      <c r="CK81" s="97" t="s">
        <v>1027</v>
      </c>
      <c r="CL81" s="97">
        <v>2025</v>
      </c>
    </row>
    <row r="82" spans="1:90" x14ac:dyDescent="0.35">
      <c r="A82" s="201" t="s">
        <v>1988</v>
      </c>
      <c r="B82" s="201"/>
      <c r="C82" s="201" t="s">
        <v>911</v>
      </c>
      <c r="D82" s="201" t="s">
        <v>2137</v>
      </c>
      <c r="E82" s="201" t="s">
        <v>2156</v>
      </c>
      <c r="F82" s="201" t="s">
        <v>1816</v>
      </c>
      <c r="G82" s="193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>
        <v>1</v>
      </c>
      <c r="BP82" s="97"/>
      <c r="BQ82" s="97"/>
      <c r="BR82" s="97"/>
      <c r="BS82" s="97"/>
      <c r="BT82" s="97"/>
      <c r="BU82" s="97"/>
      <c r="BV82" s="97"/>
      <c r="BW82" s="97"/>
      <c r="BX82" s="97">
        <f t="shared" ref="BX82:BX100" si="8">SUM(H82:BW82)</f>
        <v>1</v>
      </c>
      <c r="BY82" s="97"/>
      <c r="BZ82" s="97"/>
      <c r="CA82" s="97"/>
      <c r="CB82" s="97"/>
      <c r="CC82" s="97" t="s">
        <v>1990</v>
      </c>
      <c r="CD82" s="97" t="s">
        <v>2013</v>
      </c>
      <c r="CE82" s="198">
        <v>46066</v>
      </c>
      <c r="CF82" s="97">
        <v>106745</v>
      </c>
      <c r="CG82" s="219" t="s">
        <v>2143</v>
      </c>
      <c r="CH82" s="97">
        <v>2026</v>
      </c>
      <c r="CI82" s="97" t="s">
        <v>2017</v>
      </c>
      <c r="CJ82" s="198">
        <v>46032</v>
      </c>
      <c r="CK82" s="97" t="s">
        <v>1027</v>
      </c>
      <c r="CL82" s="97">
        <v>2025</v>
      </c>
    </row>
    <row r="83" spans="1:90" x14ac:dyDescent="0.35">
      <c r="A83" s="201" t="s">
        <v>1988</v>
      </c>
      <c r="B83" s="201"/>
      <c r="C83" s="201" t="s">
        <v>911</v>
      </c>
      <c r="D83" s="201" t="s">
        <v>2137</v>
      </c>
      <c r="E83" s="201" t="s">
        <v>2138</v>
      </c>
      <c r="F83" s="201" t="s">
        <v>1816</v>
      </c>
      <c r="G83" s="193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>
        <v>1</v>
      </c>
      <c r="BP83" s="97"/>
      <c r="BQ83" s="97"/>
      <c r="BR83" s="97"/>
      <c r="BS83" s="97"/>
      <c r="BT83" s="97"/>
      <c r="BU83" s="97"/>
      <c r="BV83" s="97"/>
      <c r="BW83" s="97"/>
      <c r="BX83" s="97">
        <f t="shared" ref="BX83" si="9">SUM(H83:BW83)</f>
        <v>1</v>
      </c>
      <c r="BY83" s="97"/>
      <c r="BZ83" s="97"/>
      <c r="CA83" s="97"/>
      <c r="CB83" s="97"/>
      <c r="CC83" s="97" t="s">
        <v>1990</v>
      </c>
      <c r="CD83" s="97" t="s">
        <v>2013</v>
      </c>
      <c r="CE83" s="198">
        <v>46066</v>
      </c>
      <c r="CF83" s="97">
        <v>106745</v>
      </c>
      <c r="CG83" s="219" t="s">
        <v>2144</v>
      </c>
      <c r="CH83" s="97">
        <v>2026</v>
      </c>
      <c r="CI83" s="97" t="s">
        <v>2017</v>
      </c>
      <c r="CJ83" s="198">
        <v>46032</v>
      </c>
      <c r="CK83" s="97" t="s">
        <v>1027</v>
      </c>
      <c r="CL83" s="97">
        <v>2025</v>
      </c>
    </row>
    <row r="84" spans="1:90" x14ac:dyDescent="0.35">
      <c r="A84" s="201" t="s">
        <v>1988</v>
      </c>
      <c r="B84" s="201"/>
      <c r="C84" s="201" t="s">
        <v>911</v>
      </c>
      <c r="D84" s="201" t="s">
        <v>27</v>
      </c>
      <c r="E84" s="201" t="s">
        <v>41</v>
      </c>
      <c r="F84" s="97" t="s">
        <v>1830</v>
      </c>
      <c r="G84" s="193"/>
      <c r="H84" s="97"/>
      <c r="I84" s="97"/>
      <c r="J84" s="97"/>
      <c r="K84" s="97">
        <v>1</v>
      </c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>
        <v>3</v>
      </c>
      <c r="X84" s="97"/>
      <c r="Y84" s="97"/>
      <c r="Z84" s="97"/>
      <c r="AA84" s="97"/>
      <c r="AB84" s="97"/>
      <c r="AC84" s="97"/>
      <c r="AD84" s="97">
        <v>6</v>
      </c>
      <c r="AE84" s="97">
        <v>3</v>
      </c>
      <c r="AF84" s="97"/>
      <c r="AG84" s="97"/>
      <c r="AH84" s="97">
        <v>3</v>
      </c>
      <c r="AI84" s="97"/>
      <c r="AJ84" s="97">
        <v>3</v>
      </c>
      <c r="AK84" s="97">
        <v>6</v>
      </c>
      <c r="AL84" s="97">
        <v>3</v>
      </c>
      <c r="AM84" s="97"/>
      <c r="AN84" s="97"/>
      <c r="AO84" s="97"/>
      <c r="AP84" s="97">
        <v>6</v>
      </c>
      <c r="AQ84" s="97">
        <v>6</v>
      </c>
      <c r="AR84" s="97"/>
      <c r="AS84" s="97"/>
      <c r="AT84" s="97"/>
      <c r="AU84" s="97"/>
      <c r="AV84" s="97"/>
      <c r="AW84" s="97">
        <v>1</v>
      </c>
      <c r="AX84" s="97"/>
      <c r="AY84" s="97"/>
      <c r="AZ84" s="97"/>
      <c r="BA84" s="97"/>
      <c r="BB84" s="97"/>
      <c r="BC84" s="97"/>
      <c r="BD84" s="97">
        <v>1</v>
      </c>
      <c r="BE84" s="97"/>
      <c r="BF84" s="97"/>
      <c r="BG84" s="97">
        <v>1</v>
      </c>
      <c r="BH84" s="97">
        <v>1</v>
      </c>
      <c r="BI84" s="97"/>
      <c r="BJ84" s="97"/>
      <c r="BK84" s="97"/>
      <c r="BL84" s="97"/>
      <c r="BM84" s="97"/>
      <c r="BN84" s="97"/>
      <c r="BO84" s="97"/>
      <c r="BP84" s="97"/>
      <c r="BQ84" s="97">
        <v>1</v>
      </c>
      <c r="BR84" s="97"/>
      <c r="BS84" s="97"/>
      <c r="BT84" s="97"/>
      <c r="BU84" s="97"/>
      <c r="BV84" s="97"/>
      <c r="BW84" s="97"/>
      <c r="BX84" s="97">
        <f t="shared" si="8"/>
        <v>45</v>
      </c>
      <c r="BY84" s="97"/>
      <c r="BZ84" s="97"/>
      <c r="CA84" s="97"/>
      <c r="CB84" s="97"/>
      <c r="CC84" s="97" t="s">
        <v>1995</v>
      </c>
      <c r="CD84" s="97" t="s">
        <v>2013</v>
      </c>
      <c r="CE84" s="198">
        <v>46066</v>
      </c>
      <c r="CF84" s="97">
        <v>106745</v>
      </c>
      <c r="CG84" s="219" t="s">
        <v>2145</v>
      </c>
      <c r="CH84" s="97">
        <v>2026</v>
      </c>
      <c r="CI84" s="97"/>
      <c r="CJ84" s="198"/>
      <c r="CK84" s="97" t="s">
        <v>1027</v>
      </c>
      <c r="CL84" s="97">
        <v>2025</v>
      </c>
    </row>
    <row r="85" spans="1:90" x14ac:dyDescent="0.35">
      <c r="A85" s="201" t="s">
        <v>1988</v>
      </c>
      <c r="B85" s="201"/>
      <c r="C85" s="201" t="s">
        <v>911</v>
      </c>
      <c r="D85" s="201" t="s">
        <v>1989</v>
      </c>
      <c r="E85" s="201" t="s">
        <v>41</v>
      </c>
      <c r="F85" s="201" t="s">
        <v>1836</v>
      </c>
      <c r="G85" s="193"/>
      <c r="H85" s="97"/>
      <c r="I85" s="97"/>
      <c r="J85" s="97"/>
      <c r="K85" s="97">
        <v>1</v>
      </c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>
        <v>6</v>
      </c>
      <c r="BV85" s="97"/>
      <c r="BW85" s="97"/>
      <c r="BX85" s="97">
        <f t="shared" ref="BX85" si="10">SUM(H85:BW85)</f>
        <v>7</v>
      </c>
      <c r="BY85" s="97"/>
      <c r="BZ85" s="97"/>
      <c r="CA85" s="97"/>
      <c r="CB85" s="97"/>
      <c r="CC85" s="97" t="s">
        <v>1995</v>
      </c>
      <c r="CD85" s="97" t="s">
        <v>2013</v>
      </c>
      <c r="CE85" s="198">
        <v>46066</v>
      </c>
      <c r="CF85" s="97">
        <v>106745</v>
      </c>
      <c r="CG85" s="219" t="s">
        <v>2146</v>
      </c>
      <c r="CH85" s="97">
        <v>2026</v>
      </c>
      <c r="CI85" s="97"/>
      <c r="CJ85" s="198"/>
      <c r="CK85" s="97" t="s">
        <v>1027</v>
      </c>
      <c r="CL85" s="97">
        <v>2025</v>
      </c>
    </row>
    <row r="86" spans="1:90" x14ac:dyDescent="0.35">
      <c r="A86" s="201" t="s">
        <v>1988</v>
      </c>
      <c r="B86" s="201"/>
      <c r="C86" s="201" t="s">
        <v>911</v>
      </c>
      <c r="D86" s="201" t="s">
        <v>27</v>
      </c>
      <c r="E86" s="201" t="s">
        <v>731</v>
      </c>
      <c r="F86" s="97" t="s">
        <v>1826</v>
      </c>
      <c r="G86" s="193"/>
      <c r="H86" s="97"/>
      <c r="I86" s="97">
        <v>1</v>
      </c>
      <c r="J86" s="97"/>
      <c r="K86" s="97">
        <v>1</v>
      </c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>
        <v>3</v>
      </c>
      <c r="AI86" s="97"/>
      <c r="AJ86" s="97"/>
      <c r="AK86" s="97"/>
      <c r="AL86" s="97"/>
      <c r="AM86" s="97"/>
      <c r="AN86" s="97"/>
      <c r="AO86" s="97"/>
      <c r="AP86" s="97"/>
      <c r="AQ86" s="97"/>
      <c r="AR86" s="97">
        <v>1</v>
      </c>
      <c r="AS86" s="97"/>
      <c r="AT86" s="97"/>
      <c r="AU86" s="97"/>
      <c r="AV86" s="97"/>
      <c r="AW86" s="97">
        <v>1</v>
      </c>
      <c r="AX86" s="97"/>
      <c r="AY86" s="97"/>
      <c r="AZ86" s="97"/>
      <c r="BA86" s="97"/>
      <c r="BB86" s="97"/>
      <c r="BC86" s="97">
        <v>1</v>
      </c>
      <c r="BD86" s="97"/>
      <c r="BE86" s="97"/>
      <c r="BF86" s="97"/>
      <c r="BG86" s="97">
        <v>1</v>
      </c>
      <c r="BH86" s="97">
        <v>1</v>
      </c>
      <c r="BI86" s="97"/>
      <c r="BJ86" s="97">
        <v>1</v>
      </c>
      <c r="BK86" s="97"/>
      <c r="BL86" s="97"/>
      <c r="BM86" s="97"/>
      <c r="BN86" s="97"/>
      <c r="BO86" s="97"/>
      <c r="BP86" s="97"/>
      <c r="BQ86" s="97">
        <v>1</v>
      </c>
      <c r="BR86" s="97"/>
      <c r="BS86" s="97"/>
      <c r="BT86" s="97"/>
      <c r="BU86" s="97"/>
      <c r="BV86" s="97"/>
      <c r="BW86" s="97"/>
      <c r="BX86" s="97">
        <f t="shared" ref="BX86" si="11">SUM(H86:BW86)</f>
        <v>12</v>
      </c>
      <c r="BY86" s="97"/>
      <c r="BZ86" s="97"/>
      <c r="CA86" s="97"/>
      <c r="CB86" s="97" t="s">
        <v>2140</v>
      </c>
      <c r="CC86" s="97" t="s">
        <v>2000</v>
      </c>
      <c r="CD86" s="97" t="s">
        <v>2013</v>
      </c>
      <c r="CE86" s="198">
        <v>46066</v>
      </c>
      <c r="CF86" s="97">
        <v>106745</v>
      </c>
      <c r="CG86" s="219" t="s">
        <v>2147</v>
      </c>
      <c r="CH86" s="97">
        <v>2026</v>
      </c>
      <c r="CI86" s="97"/>
      <c r="CJ86" s="198"/>
      <c r="CK86" s="97" t="s">
        <v>1027</v>
      </c>
      <c r="CL86" s="97">
        <v>2025</v>
      </c>
    </row>
    <row r="87" spans="1:90" x14ac:dyDescent="0.35">
      <c r="A87" s="201" t="s">
        <v>1988</v>
      </c>
      <c r="B87" s="201"/>
      <c r="C87" s="201" t="s">
        <v>911</v>
      </c>
      <c r="D87" s="201" t="s">
        <v>1989</v>
      </c>
      <c r="E87" s="201" t="s">
        <v>731</v>
      </c>
      <c r="F87" s="201" t="s">
        <v>1836</v>
      </c>
      <c r="G87" s="193"/>
      <c r="H87" s="97"/>
      <c r="I87" s="97"/>
      <c r="J87" s="97"/>
      <c r="K87" s="97">
        <v>1</v>
      </c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97"/>
      <c r="BH87" s="97"/>
      <c r="BI87" s="97"/>
      <c r="BJ87" s="97"/>
      <c r="BK87" s="97"/>
      <c r="BL87" s="97"/>
      <c r="BM87" s="97"/>
      <c r="BN87" s="97"/>
      <c r="BO87" s="97"/>
      <c r="BP87" s="97"/>
      <c r="BQ87" s="97"/>
      <c r="BR87" s="97"/>
      <c r="BS87" s="97"/>
      <c r="BT87" s="97">
        <v>2</v>
      </c>
      <c r="BU87" s="97"/>
      <c r="BV87" s="97"/>
      <c r="BW87" s="97"/>
      <c r="BX87" s="97">
        <f t="shared" ref="BX87" si="12">SUM(H87:BW87)</f>
        <v>3</v>
      </c>
      <c r="BY87" s="97"/>
      <c r="BZ87" s="97"/>
      <c r="CA87" s="97"/>
      <c r="CB87" s="97"/>
      <c r="CC87" s="97" t="s">
        <v>2000</v>
      </c>
      <c r="CD87" s="97" t="s">
        <v>2013</v>
      </c>
      <c r="CE87" s="198">
        <v>46066</v>
      </c>
      <c r="CF87" s="97">
        <v>106745</v>
      </c>
      <c r="CG87" s="219" t="s">
        <v>2148</v>
      </c>
      <c r="CH87" s="97">
        <v>2026</v>
      </c>
      <c r="CI87" s="97"/>
      <c r="CJ87" s="198"/>
      <c r="CK87" s="97" t="s">
        <v>1027</v>
      </c>
      <c r="CL87" s="97">
        <v>2025</v>
      </c>
    </row>
    <row r="88" spans="1:90" x14ac:dyDescent="0.35">
      <c r="A88" s="201" t="s">
        <v>1988</v>
      </c>
      <c r="B88" s="201"/>
      <c r="C88" s="201" t="s">
        <v>911</v>
      </c>
      <c r="D88" s="201" t="s">
        <v>880</v>
      </c>
      <c r="E88" s="201" t="s">
        <v>731</v>
      </c>
      <c r="F88" s="201" t="s">
        <v>2003</v>
      </c>
      <c r="G88" s="193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>
        <v>3</v>
      </c>
      <c r="AT88" s="97">
        <v>3</v>
      </c>
      <c r="AU88" s="97">
        <v>3</v>
      </c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97"/>
      <c r="BH88" s="97"/>
      <c r="BI88" s="97"/>
      <c r="BJ88" s="97"/>
      <c r="BK88" s="97"/>
      <c r="BL88" s="97"/>
      <c r="BM88" s="97"/>
      <c r="BN88" s="97"/>
      <c r="BO88" s="97"/>
      <c r="BP88" s="97">
        <v>1</v>
      </c>
      <c r="BQ88" s="97"/>
      <c r="BR88" s="97"/>
      <c r="BS88" s="97"/>
      <c r="BT88" s="97"/>
      <c r="BU88" s="97"/>
      <c r="BV88" s="97"/>
      <c r="BW88" s="97"/>
      <c r="BX88" s="97">
        <f t="shared" ref="BX88:BX89" si="13">SUM(H88:BW88)</f>
        <v>10</v>
      </c>
      <c r="BY88" s="97"/>
      <c r="BZ88" s="97"/>
      <c r="CA88" s="97"/>
      <c r="CB88" s="97"/>
      <c r="CC88" s="97" t="s">
        <v>2000</v>
      </c>
      <c r="CD88" s="97" t="s">
        <v>2013</v>
      </c>
      <c r="CE88" s="198">
        <v>46066</v>
      </c>
      <c r="CF88" s="225" t="s">
        <v>2126</v>
      </c>
      <c r="CG88" s="219"/>
      <c r="CH88" s="97">
        <v>2026</v>
      </c>
      <c r="CI88" s="97"/>
      <c r="CJ88" s="198"/>
      <c r="CK88" s="97"/>
      <c r="CL88" s="97"/>
    </row>
    <row r="89" spans="1:90" x14ac:dyDescent="0.35">
      <c r="A89" s="201" t="s">
        <v>1988</v>
      </c>
      <c r="B89" s="201"/>
      <c r="C89" s="201" t="s">
        <v>911</v>
      </c>
      <c r="D89" s="201" t="s">
        <v>1984</v>
      </c>
      <c r="E89" s="201" t="s">
        <v>2173</v>
      </c>
      <c r="F89" s="201" t="s">
        <v>1817</v>
      </c>
      <c r="G89" s="193"/>
      <c r="H89" s="97"/>
      <c r="I89" s="97">
        <v>1</v>
      </c>
      <c r="J89" s="97"/>
      <c r="K89" s="97">
        <v>1</v>
      </c>
      <c r="L89" s="97">
        <v>1</v>
      </c>
      <c r="M89" s="97"/>
      <c r="N89" s="97"/>
      <c r="O89" s="97"/>
      <c r="P89" s="97"/>
      <c r="Q89" s="97"/>
      <c r="R89" s="97"/>
      <c r="S89" s="97"/>
      <c r="T89" s="97">
        <v>3</v>
      </c>
      <c r="U89" s="97"/>
      <c r="V89" s="97"/>
      <c r="W89" s="97"/>
      <c r="X89" s="97"/>
      <c r="Y89" s="97"/>
      <c r="Z89" s="97"/>
      <c r="AA89" s="97"/>
      <c r="AB89" s="97"/>
      <c r="AC89" s="97"/>
      <c r="AD89" s="97">
        <v>3</v>
      </c>
      <c r="AE89" s="97">
        <v>3</v>
      </c>
      <c r="AF89" s="97"/>
      <c r="AG89" s="97"/>
      <c r="AH89" s="97"/>
      <c r="AI89" s="97"/>
      <c r="AJ89" s="97">
        <v>3</v>
      </c>
      <c r="AK89" s="97">
        <v>3</v>
      </c>
      <c r="AL89" s="97">
        <v>3</v>
      </c>
      <c r="AM89" s="97">
        <v>3</v>
      </c>
      <c r="AN89" s="97"/>
      <c r="AO89" s="97"/>
      <c r="AP89" s="97">
        <v>3</v>
      </c>
      <c r="AQ89" s="97">
        <v>3</v>
      </c>
      <c r="AR89" s="97">
        <v>1</v>
      </c>
      <c r="AS89" s="97"/>
      <c r="AT89" s="97"/>
      <c r="AU89" s="97"/>
      <c r="AV89" s="97"/>
      <c r="AW89" s="97">
        <v>1</v>
      </c>
      <c r="AX89" s="97"/>
      <c r="AY89" s="97"/>
      <c r="AZ89" s="97"/>
      <c r="BA89" s="97"/>
      <c r="BB89" s="97"/>
      <c r="BC89" s="97">
        <v>1</v>
      </c>
      <c r="BD89" s="97"/>
      <c r="BE89" s="97"/>
      <c r="BF89" s="97"/>
      <c r="BG89" s="97">
        <v>1</v>
      </c>
      <c r="BH89" s="97">
        <v>1</v>
      </c>
      <c r="BI89" s="97"/>
      <c r="BJ89" s="97">
        <v>1</v>
      </c>
      <c r="BK89" s="97"/>
      <c r="BL89" s="97"/>
      <c r="BM89" s="97"/>
      <c r="BN89" s="97"/>
      <c r="BO89" s="97"/>
      <c r="BP89" s="97"/>
      <c r="BQ89" s="97"/>
      <c r="BR89" s="97"/>
      <c r="BS89" s="97"/>
      <c r="BT89" s="97"/>
      <c r="BU89" s="97"/>
      <c r="BV89" s="97"/>
      <c r="BW89" s="97"/>
      <c r="BX89" s="97">
        <f t="shared" si="13"/>
        <v>36</v>
      </c>
      <c r="BY89" s="97"/>
      <c r="BZ89" s="97"/>
      <c r="CA89" s="97"/>
      <c r="CB89" s="97"/>
      <c r="CC89" s="97" t="s">
        <v>1990</v>
      </c>
      <c r="CD89" s="97" t="s">
        <v>2013</v>
      </c>
      <c r="CE89" s="198">
        <v>46070</v>
      </c>
      <c r="CF89" s="97">
        <v>106745</v>
      </c>
      <c r="CG89" s="219"/>
      <c r="CH89" s="97">
        <v>2026</v>
      </c>
      <c r="CI89" s="97"/>
      <c r="CJ89" s="198"/>
      <c r="CK89" s="97" t="s">
        <v>1027</v>
      </c>
      <c r="CL89" s="97">
        <v>2025</v>
      </c>
    </row>
    <row r="90" spans="1:90" x14ac:dyDescent="0.35">
      <c r="A90" s="201" t="s">
        <v>1988</v>
      </c>
      <c r="B90" s="201"/>
      <c r="C90" s="201" t="s">
        <v>911</v>
      </c>
      <c r="D90" s="201" t="s">
        <v>1989</v>
      </c>
      <c r="E90" s="97" t="s">
        <v>2173</v>
      </c>
      <c r="F90" s="201" t="s">
        <v>1836</v>
      </c>
      <c r="G90" s="193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>
        <v>1</v>
      </c>
      <c r="BU90" s="97"/>
      <c r="BV90" s="97"/>
      <c r="BW90" s="97"/>
      <c r="BX90" s="97">
        <f t="shared" ref="BX90:BX92" si="14">SUM(H90:BW90)</f>
        <v>1</v>
      </c>
      <c r="BY90" s="97"/>
      <c r="BZ90" s="97"/>
      <c r="CA90" s="97"/>
      <c r="CB90" s="97"/>
      <c r="CC90" s="97" t="s">
        <v>1990</v>
      </c>
      <c r="CD90" s="97" t="s">
        <v>2013</v>
      </c>
      <c r="CE90" s="198">
        <v>46070</v>
      </c>
      <c r="CF90" s="97">
        <v>106745</v>
      </c>
      <c r="CG90" s="219"/>
      <c r="CH90" s="97">
        <v>2026</v>
      </c>
      <c r="CI90" s="97"/>
      <c r="CJ90" s="198"/>
      <c r="CK90" s="97" t="s">
        <v>1027</v>
      </c>
      <c r="CL90" s="97">
        <v>2025</v>
      </c>
    </row>
    <row r="91" spans="1:90" x14ac:dyDescent="0.35">
      <c r="A91" s="201" t="s">
        <v>1988</v>
      </c>
      <c r="B91" s="201"/>
      <c r="C91" s="201" t="s">
        <v>911</v>
      </c>
      <c r="D91" s="201" t="s">
        <v>880</v>
      </c>
      <c r="E91" s="97" t="s">
        <v>2173</v>
      </c>
      <c r="F91" s="201" t="s">
        <v>2003</v>
      </c>
      <c r="G91" s="193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>
        <v>3</v>
      </c>
      <c r="AT91" s="97">
        <v>3</v>
      </c>
      <c r="AU91" s="97">
        <v>3</v>
      </c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>
        <v>1</v>
      </c>
      <c r="BQ91" s="97"/>
      <c r="BR91" s="97"/>
      <c r="BS91" s="97"/>
      <c r="BT91" s="97"/>
      <c r="BU91" s="97"/>
      <c r="BV91" s="97"/>
      <c r="BW91" s="97"/>
      <c r="BX91" s="97">
        <f t="shared" si="14"/>
        <v>10</v>
      </c>
      <c r="BY91" s="97"/>
      <c r="BZ91" s="97"/>
      <c r="CA91" s="97"/>
      <c r="CB91" s="97"/>
      <c r="CC91" s="97" t="s">
        <v>1990</v>
      </c>
      <c r="CD91" s="97" t="s">
        <v>2013</v>
      </c>
      <c r="CE91" s="198">
        <v>46070</v>
      </c>
      <c r="CF91" s="225" t="s">
        <v>2126</v>
      </c>
      <c r="CG91" s="219"/>
      <c r="CH91" s="97">
        <v>2026</v>
      </c>
      <c r="CI91" s="97"/>
      <c r="CJ91" s="198"/>
      <c r="CK91" s="97"/>
      <c r="CL91" s="97"/>
    </row>
    <row r="92" spans="1:90" x14ac:dyDescent="0.35">
      <c r="A92" s="201" t="s">
        <v>1988</v>
      </c>
      <c r="B92" s="201"/>
      <c r="C92" s="201" t="s">
        <v>911</v>
      </c>
      <c r="D92" s="201" t="s">
        <v>1984</v>
      </c>
      <c r="E92" s="97" t="s">
        <v>2174</v>
      </c>
      <c r="F92" s="201" t="s">
        <v>1817</v>
      </c>
      <c r="G92" s="193"/>
      <c r="H92" s="97"/>
      <c r="I92" s="97">
        <v>1</v>
      </c>
      <c r="J92" s="97"/>
      <c r="K92" s="97">
        <v>1</v>
      </c>
      <c r="L92" s="97">
        <v>1</v>
      </c>
      <c r="M92" s="97"/>
      <c r="N92" s="97"/>
      <c r="O92" s="97"/>
      <c r="P92" s="97"/>
      <c r="Q92" s="97"/>
      <c r="R92" s="97"/>
      <c r="S92" s="97"/>
      <c r="T92" s="97">
        <v>3</v>
      </c>
      <c r="U92" s="97"/>
      <c r="V92" s="97"/>
      <c r="W92" s="97"/>
      <c r="X92" s="97"/>
      <c r="Y92" s="97"/>
      <c r="Z92" s="97"/>
      <c r="AA92" s="97"/>
      <c r="AB92" s="97"/>
      <c r="AC92" s="97"/>
      <c r="AD92" s="97">
        <v>3</v>
      </c>
      <c r="AE92" s="97">
        <v>3</v>
      </c>
      <c r="AF92" s="97"/>
      <c r="AG92" s="97"/>
      <c r="AH92" s="97"/>
      <c r="AI92" s="97"/>
      <c r="AJ92" s="97">
        <v>3</v>
      </c>
      <c r="AK92" s="97">
        <v>3</v>
      </c>
      <c r="AL92" s="97">
        <v>3</v>
      </c>
      <c r="AM92" s="97">
        <v>3</v>
      </c>
      <c r="AN92" s="97"/>
      <c r="AO92" s="97"/>
      <c r="AP92" s="97">
        <v>3</v>
      </c>
      <c r="AQ92" s="97">
        <v>3</v>
      </c>
      <c r="AR92" s="97">
        <v>1</v>
      </c>
      <c r="AS92" s="97"/>
      <c r="AT92" s="97"/>
      <c r="AU92" s="97"/>
      <c r="AV92" s="97"/>
      <c r="AW92" s="97">
        <v>1</v>
      </c>
      <c r="AX92" s="97"/>
      <c r="AY92" s="97"/>
      <c r="AZ92" s="97"/>
      <c r="BA92" s="97"/>
      <c r="BB92" s="97"/>
      <c r="BC92" s="97">
        <v>1</v>
      </c>
      <c r="BD92" s="97"/>
      <c r="BE92" s="97"/>
      <c r="BF92" s="97"/>
      <c r="BG92" s="97">
        <v>1</v>
      </c>
      <c r="BH92" s="97">
        <v>1</v>
      </c>
      <c r="BI92" s="97"/>
      <c r="BJ92" s="97">
        <v>1</v>
      </c>
      <c r="BK92" s="97"/>
      <c r="BL92" s="97"/>
      <c r="BM92" s="97"/>
      <c r="BN92" s="97">
        <v>1</v>
      </c>
      <c r="BO92" s="97"/>
      <c r="BP92" s="97"/>
      <c r="BQ92" s="97"/>
      <c r="BR92" s="97"/>
      <c r="BS92" s="97"/>
      <c r="BT92" s="97"/>
      <c r="BU92" s="97"/>
      <c r="BV92" s="97"/>
      <c r="BW92" s="97"/>
      <c r="BX92" s="97">
        <f t="shared" si="14"/>
        <v>37</v>
      </c>
      <c r="BY92" s="97"/>
      <c r="BZ92" s="97"/>
      <c r="CA92" s="97"/>
      <c r="CB92" s="97"/>
      <c r="CC92" s="97" t="s">
        <v>1992</v>
      </c>
      <c r="CD92" s="97" t="s">
        <v>2013</v>
      </c>
      <c r="CE92" s="198">
        <v>46070</v>
      </c>
      <c r="CF92" s="97">
        <v>106745</v>
      </c>
      <c r="CG92" s="219"/>
      <c r="CH92" s="97">
        <v>2026</v>
      </c>
      <c r="CI92" s="97"/>
      <c r="CJ92" s="198"/>
      <c r="CK92" s="97" t="s">
        <v>1027</v>
      </c>
      <c r="CL92" s="97">
        <v>2025</v>
      </c>
    </row>
    <row r="93" spans="1:90" x14ac:dyDescent="0.35">
      <c r="A93" s="201" t="s">
        <v>1988</v>
      </c>
      <c r="B93" s="201"/>
      <c r="C93" s="201" t="s">
        <v>911</v>
      </c>
      <c r="D93" s="201" t="s">
        <v>1989</v>
      </c>
      <c r="E93" s="97" t="s">
        <v>2174</v>
      </c>
      <c r="F93" s="201" t="s">
        <v>1836</v>
      </c>
      <c r="G93" s="193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97"/>
      <c r="BH93" s="97"/>
      <c r="BI93" s="97"/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>
        <v>2</v>
      </c>
      <c r="BU93" s="97"/>
      <c r="BV93" s="97"/>
      <c r="BW93" s="97"/>
      <c r="BX93" s="97">
        <f t="shared" ref="BX93:BX96" si="15">SUM(H93:BW93)</f>
        <v>2</v>
      </c>
      <c r="BY93" s="97"/>
      <c r="BZ93" s="97"/>
      <c r="CA93" s="97"/>
      <c r="CB93" s="97"/>
      <c r="CC93" s="97" t="s">
        <v>1992</v>
      </c>
      <c r="CD93" s="97" t="s">
        <v>2013</v>
      </c>
      <c r="CE93" s="198">
        <v>46070</v>
      </c>
      <c r="CF93" s="97">
        <v>106745</v>
      </c>
      <c r="CG93" s="219"/>
      <c r="CH93" s="97">
        <v>2026</v>
      </c>
      <c r="CI93" s="97"/>
      <c r="CJ93" s="198"/>
      <c r="CK93" s="97" t="s">
        <v>1027</v>
      </c>
      <c r="CL93" s="97">
        <v>2025</v>
      </c>
    </row>
    <row r="94" spans="1:90" x14ac:dyDescent="0.35">
      <c r="A94" s="201" t="s">
        <v>1988</v>
      </c>
      <c r="B94" s="201"/>
      <c r="C94" s="201" t="s">
        <v>911</v>
      </c>
      <c r="D94" s="201" t="s">
        <v>880</v>
      </c>
      <c r="E94" s="97" t="s">
        <v>2174</v>
      </c>
      <c r="F94" s="201" t="s">
        <v>2003</v>
      </c>
      <c r="G94" s="193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>
        <v>3</v>
      </c>
      <c r="AT94" s="97">
        <v>3</v>
      </c>
      <c r="AU94" s="97">
        <v>3</v>
      </c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97"/>
      <c r="BH94" s="97"/>
      <c r="BI94" s="97"/>
      <c r="BJ94" s="97"/>
      <c r="BK94" s="97"/>
      <c r="BL94" s="97"/>
      <c r="BM94" s="97"/>
      <c r="BN94" s="97"/>
      <c r="BO94" s="97"/>
      <c r="BP94" s="97">
        <v>1</v>
      </c>
      <c r="BQ94" s="97"/>
      <c r="BR94" s="97"/>
      <c r="BS94" s="97"/>
      <c r="BT94" s="97"/>
      <c r="BU94" s="97"/>
      <c r="BV94" s="97"/>
      <c r="BW94" s="97"/>
      <c r="BX94" s="97">
        <f t="shared" si="15"/>
        <v>10</v>
      </c>
      <c r="BY94" s="97"/>
      <c r="BZ94" s="97"/>
      <c r="CA94" s="97"/>
      <c r="CB94" s="97"/>
      <c r="CC94" s="97" t="s">
        <v>1992</v>
      </c>
      <c r="CD94" s="97" t="s">
        <v>2013</v>
      </c>
      <c r="CE94" s="198">
        <v>46070</v>
      </c>
      <c r="CF94" s="225" t="s">
        <v>2126</v>
      </c>
      <c r="CG94" s="219"/>
      <c r="CH94" s="97">
        <v>2026</v>
      </c>
      <c r="CI94" s="97"/>
      <c r="CJ94" s="198"/>
      <c r="CK94" s="97"/>
      <c r="CL94" s="97"/>
    </row>
    <row r="95" spans="1:90" x14ac:dyDescent="0.35">
      <c r="A95" s="201" t="s">
        <v>1988</v>
      </c>
      <c r="B95" s="201"/>
      <c r="C95" s="201" t="s">
        <v>911</v>
      </c>
      <c r="D95" s="201" t="s">
        <v>1984</v>
      </c>
      <c r="E95" s="97" t="s">
        <v>2175</v>
      </c>
      <c r="F95" s="201" t="s">
        <v>1817</v>
      </c>
      <c r="G95" s="193"/>
      <c r="H95" s="97"/>
      <c r="I95" s="97">
        <v>1</v>
      </c>
      <c r="J95" s="97"/>
      <c r="K95" s="97">
        <v>1</v>
      </c>
      <c r="L95" s="97">
        <v>1</v>
      </c>
      <c r="M95" s="97"/>
      <c r="N95" s="97"/>
      <c r="O95" s="97"/>
      <c r="P95" s="97"/>
      <c r="Q95" s="97"/>
      <c r="R95" s="97"/>
      <c r="S95" s="97"/>
      <c r="T95" s="97">
        <v>3</v>
      </c>
      <c r="U95" s="97"/>
      <c r="V95" s="97"/>
      <c r="W95" s="97"/>
      <c r="X95" s="97"/>
      <c r="Y95" s="97"/>
      <c r="Z95" s="97"/>
      <c r="AA95" s="97"/>
      <c r="AB95" s="97"/>
      <c r="AC95" s="97"/>
      <c r="AD95" s="97">
        <v>3</v>
      </c>
      <c r="AE95" s="97">
        <v>3</v>
      </c>
      <c r="AF95" s="97"/>
      <c r="AG95" s="97"/>
      <c r="AH95" s="97"/>
      <c r="AI95" s="97"/>
      <c r="AJ95" s="97">
        <v>3</v>
      </c>
      <c r="AK95" s="97">
        <v>3</v>
      </c>
      <c r="AL95" s="97">
        <v>3</v>
      </c>
      <c r="AM95" s="97">
        <v>3</v>
      </c>
      <c r="AN95" s="97"/>
      <c r="AO95" s="97"/>
      <c r="AP95" s="97">
        <v>3</v>
      </c>
      <c r="AQ95" s="97">
        <v>3</v>
      </c>
      <c r="AR95" s="97">
        <v>1</v>
      </c>
      <c r="AS95" s="97"/>
      <c r="AT95" s="97"/>
      <c r="AU95" s="97"/>
      <c r="AV95" s="97"/>
      <c r="AW95" s="97">
        <v>1</v>
      </c>
      <c r="AX95" s="97"/>
      <c r="AY95" s="97"/>
      <c r="AZ95" s="97"/>
      <c r="BA95" s="97"/>
      <c r="BB95" s="97"/>
      <c r="BC95" s="97">
        <v>1</v>
      </c>
      <c r="BD95" s="97"/>
      <c r="BE95" s="97"/>
      <c r="BF95" s="97"/>
      <c r="BG95" s="97"/>
      <c r="BH95" s="97">
        <v>1</v>
      </c>
      <c r="BI95" s="97"/>
      <c r="BJ95" s="97">
        <v>1</v>
      </c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  <c r="BW95" s="97"/>
      <c r="BX95" s="97">
        <f t="shared" si="15"/>
        <v>35</v>
      </c>
      <c r="BY95" s="97"/>
      <c r="BZ95" s="97"/>
      <c r="CA95" s="97"/>
      <c r="CB95" s="97"/>
      <c r="CC95" s="97" t="s">
        <v>1992</v>
      </c>
      <c r="CD95" s="97" t="s">
        <v>2013</v>
      </c>
      <c r="CE95" s="198">
        <v>46070</v>
      </c>
      <c r="CF95" s="97">
        <v>106745</v>
      </c>
      <c r="CG95" s="219"/>
      <c r="CH95" s="97">
        <v>2026</v>
      </c>
      <c r="CI95" s="97"/>
      <c r="CJ95" s="198"/>
      <c r="CK95" s="97" t="s">
        <v>1027</v>
      </c>
      <c r="CL95" s="97">
        <v>2025</v>
      </c>
    </row>
    <row r="96" spans="1:90" x14ac:dyDescent="0.35">
      <c r="A96" s="201" t="s">
        <v>1988</v>
      </c>
      <c r="B96" s="201"/>
      <c r="C96" s="201" t="s">
        <v>911</v>
      </c>
      <c r="D96" s="201" t="s">
        <v>1989</v>
      </c>
      <c r="E96" s="97" t="s">
        <v>2175</v>
      </c>
      <c r="F96" s="201" t="s">
        <v>1836</v>
      </c>
      <c r="G96" s="193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>
        <v>1</v>
      </c>
      <c r="BU96" s="97"/>
      <c r="BV96" s="97"/>
      <c r="BW96" s="97"/>
      <c r="BX96" s="97">
        <f t="shared" si="15"/>
        <v>1</v>
      </c>
      <c r="BY96" s="97"/>
      <c r="BZ96" s="97"/>
      <c r="CA96" s="97"/>
      <c r="CB96" s="97"/>
      <c r="CC96" s="97" t="s">
        <v>1992</v>
      </c>
      <c r="CD96" s="97" t="s">
        <v>2013</v>
      </c>
      <c r="CE96" s="198">
        <v>46070</v>
      </c>
      <c r="CF96" s="97">
        <v>106745</v>
      </c>
      <c r="CG96" s="219"/>
      <c r="CH96" s="97">
        <v>2026</v>
      </c>
      <c r="CI96" s="97"/>
      <c r="CJ96" s="198"/>
      <c r="CK96" s="97" t="s">
        <v>1027</v>
      </c>
      <c r="CL96" s="97">
        <v>2025</v>
      </c>
    </row>
    <row r="97" spans="1:90" x14ac:dyDescent="0.35">
      <c r="A97" s="201" t="s">
        <v>1988</v>
      </c>
      <c r="B97" s="201"/>
      <c r="C97" s="201" t="s">
        <v>911</v>
      </c>
      <c r="D97" s="201" t="s">
        <v>1984</v>
      </c>
      <c r="E97" s="97" t="s">
        <v>2176</v>
      </c>
      <c r="F97" s="201" t="s">
        <v>1817</v>
      </c>
      <c r="G97" s="193"/>
      <c r="H97" s="97"/>
      <c r="I97" s="97">
        <v>1</v>
      </c>
      <c r="J97" s="97"/>
      <c r="K97" s="97">
        <v>1</v>
      </c>
      <c r="L97" s="97">
        <v>1</v>
      </c>
      <c r="M97" s="97"/>
      <c r="N97" s="97"/>
      <c r="O97" s="97"/>
      <c r="P97" s="97"/>
      <c r="Q97" s="97"/>
      <c r="R97" s="97"/>
      <c r="S97" s="97"/>
      <c r="T97" s="97">
        <v>3</v>
      </c>
      <c r="U97" s="97"/>
      <c r="V97" s="97"/>
      <c r="W97" s="97"/>
      <c r="X97" s="97"/>
      <c r="Y97" s="97"/>
      <c r="Z97" s="97"/>
      <c r="AA97" s="97"/>
      <c r="AB97" s="97"/>
      <c r="AC97" s="97"/>
      <c r="AD97" s="97">
        <v>3</v>
      </c>
      <c r="AE97" s="97">
        <v>3</v>
      </c>
      <c r="AF97" s="97"/>
      <c r="AG97" s="97"/>
      <c r="AH97" s="97"/>
      <c r="AI97" s="97"/>
      <c r="AJ97" s="97">
        <v>3</v>
      </c>
      <c r="AK97" s="97">
        <v>3</v>
      </c>
      <c r="AL97" s="97">
        <v>3</v>
      </c>
      <c r="AM97" s="97">
        <v>3</v>
      </c>
      <c r="AN97" s="97"/>
      <c r="AO97" s="97"/>
      <c r="AP97" s="97">
        <v>3</v>
      </c>
      <c r="AQ97" s="97">
        <v>3</v>
      </c>
      <c r="AR97" s="97">
        <v>1</v>
      </c>
      <c r="AS97" s="97"/>
      <c r="AT97" s="97"/>
      <c r="AU97" s="97"/>
      <c r="AV97" s="97"/>
      <c r="AW97" s="97">
        <v>1</v>
      </c>
      <c r="AX97" s="97"/>
      <c r="AY97" s="97"/>
      <c r="AZ97" s="97"/>
      <c r="BA97" s="97"/>
      <c r="BB97" s="97"/>
      <c r="BC97" s="97">
        <v>1</v>
      </c>
      <c r="BD97" s="97"/>
      <c r="BE97" s="97"/>
      <c r="BF97" s="97"/>
      <c r="BG97" s="97"/>
      <c r="BH97" s="97">
        <v>1</v>
      </c>
      <c r="BI97" s="97"/>
      <c r="BJ97" s="97">
        <v>1</v>
      </c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>
        <f t="shared" ref="BX97:BX98" si="16">SUM(H97:BW97)</f>
        <v>35</v>
      </c>
      <c r="BY97" s="97"/>
      <c r="BZ97" s="97"/>
      <c r="CA97" s="97"/>
      <c r="CB97" s="97"/>
      <c r="CC97" s="97" t="s">
        <v>2000</v>
      </c>
      <c r="CD97" s="97" t="s">
        <v>2013</v>
      </c>
      <c r="CE97" s="198">
        <v>46070</v>
      </c>
      <c r="CF97" s="97">
        <v>106745</v>
      </c>
      <c r="CG97" s="219"/>
      <c r="CH97" s="97">
        <v>2026</v>
      </c>
      <c r="CI97" s="97"/>
      <c r="CJ97" s="198"/>
      <c r="CK97" s="97" t="s">
        <v>1027</v>
      </c>
      <c r="CL97" s="97">
        <v>2025</v>
      </c>
    </row>
    <row r="98" spans="1:90" x14ac:dyDescent="0.35">
      <c r="A98" s="201" t="s">
        <v>1988</v>
      </c>
      <c r="B98" s="201"/>
      <c r="C98" s="201" t="s">
        <v>911</v>
      </c>
      <c r="D98" s="201" t="s">
        <v>1989</v>
      </c>
      <c r="E98" s="97" t="s">
        <v>2176</v>
      </c>
      <c r="F98" s="201" t="s">
        <v>1836</v>
      </c>
      <c r="G98" s="193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>
        <v>1</v>
      </c>
      <c r="BU98" s="97"/>
      <c r="BV98" s="97"/>
      <c r="BW98" s="97"/>
      <c r="BX98" s="97">
        <f t="shared" si="16"/>
        <v>1</v>
      </c>
      <c r="BY98" s="97"/>
      <c r="BZ98" s="97"/>
      <c r="CA98" s="97"/>
      <c r="CB98" s="97"/>
      <c r="CC98" s="97" t="s">
        <v>2000</v>
      </c>
      <c r="CD98" s="97" t="s">
        <v>2013</v>
      </c>
      <c r="CE98" s="198">
        <v>46070</v>
      </c>
      <c r="CF98" s="97">
        <v>106745</v>
      </c>
      <c r="CG98" s="219"/>
      <c r="CH98" s="97">
        <v>2026</v>
      </c>
      <c r="CI98" s="97"/>
      <c r="CJ98" s="198"/>
      <c r="CK98" s="97" t="s">
        <v>1027</v>
      </c>
      <c r="CL98" s="97">
        <v>2025</v>
      </c>
    </row>
    <row r="99" spans="1:90" x14ac:dyDescent="0.35">
      <c r="A99" s="201" t="s">
        <v>1988</v>
      </c>
      <c r="B99" s="201"/>
      <c r="C99" s="201" t="s">
        <v>19</v>
      </c>
      <c r="D99" s="201" t="s">
        <v>19</v>
      </c>
      <c r="E99" s="201" t="s">
        <v>2118</v>
      </c>
      <c r="F99" s="201" t="s">
        <v>2150</v>
      </c>
      <c r="G99" s="193"/>
      <c r="H99" s="97">
        <v>1</v>
      </c>
      <c r="I99" s="97">
        <v>1</v>
      </c>
      <c r="J99" s="97">
        <v>1</v>
      </c>
      <c r="K99" s="97">
        <v>1</v>
      </c>
      <c r="L99" s="97">
        <v>1</v>
      </c>
      <c r="M99" s="97">
        <v>1</v>
      </c>
      <c r="N99" s="97">
        <v>1</v>
      </c>
      <c r="O99" s="97"/>
      <c r="P99" s="97"/>
      <c r="Q99" s="97"/>
      <c r="R99" s="97">
        <v>9</v>
      </c>
      <c r="S99" s="97"/>
      <c r="T99" s="97"/>
      <c r="U99" s="97"/>
      <c r="V99" s="97"/>
      <c r="W99" s="97"/>
      <c r="X99" s="97">
        <v>1</v>
      </c>
      <c r="Y99" s="97">
        <v>39</v>
      </c>
      <c r="Z99" s="97">
        <v>18</v>
      </c>
      <c r="AA99" s="97"/>
      <c r="AB99" s="97">
        <v>18</v>
      </c>
      <c r="AC99" s="97">
        <v>6</v>
      </c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>
        <v>39</v>
      </c>
      <c r="AO99" s="97">
        <v>6</v>
      </c>
      <c r="AP99" s="97"/>
      <c r="AQ99" s="97"/>
      <c r="AR99" s="97">
        <v>2</v>
      </c>
      <c r="AS99" s="97"/>
      <c r="AT99" s="97"/>
      <c r="AU99" s="97"/>
      <c r="AV99" s="97">
        <v>1</v>
      </c>
      <c r="AW99" s="97"/>
      <c r="AX99" s="97"/>
      <c r="AY99" s="97"/>
      <c r="AZ99" s="97"/>
      <c r="BA99" s="97">
        <v>1</v>
      </c>
      <c r="BB99" s="97">
        <v>2</v>
      </c>
      <c r="BC99" s="97"/>
      <c r="BD99" s="97"/>
      <c r="BE99" s="97"/>
      <c r="BF99" s="97"/>
      <c r="BG99" s="214">
        <v>1</v>
      </c>
      <c r="BH99" s="97">
        <v>5</v>
      </c>
      <c r="BI99" s="214"/>
      <c r="BJ99" s="97">
        <v>2</v>
      </c>
      <c r="BK99" s="214"/>
      <c r="BL99" s="97"/>
      <c r="BM99" s="97"/>
      <c r="BN99" s="97"/>
      <c r="BO99" s="97"/>
      <c r="BP99" s="97"/>
      <c r="BQ99" s="97"/>
      <c r="BR99" s="97"/>
      <c r="BS99" s="97"/>
      <c r="BT99" s="97"/>
      <c r="BU99" s="97"/>
      <c r="BV99" s="97"/>
      <c r="BW99" s="97"/>
      <c r="BX99" s="97">
        <f t="shared" si="8"/>
        <v>157</v>
      </c>
      <c r="BY99" s="97">
        <v>1</v>
      </c>
      <c r="BZ99" s="97" t="s">
        <v>2149</v>
      </c>
      <c r="CA99" s="97"/>
      <c r="CB99" s="97"/>
      <c r="CC99" s="97" t="s">
        <v>1992</v>
      </c>
      <c r="CD99" s="97" t="s">
        <v>2032</v>
      </c>
      <c r="CE99" s="198">
        <v>46066</v>
      </c>
      <c r="CF99" s="97">
        <v>106745</v>
      </c>
      <c r="CG99" s="219" t="s">
        <v>2158</v>
      </c>
      <c r="CH99" s="97">
        <v>2026</v>
      </c>
      <c r="CI99" s="97"/>
      <c r="CJ99" s="198"/>
      <c r="CK99" s="97" t="s">
        <v>1027</v>
      </c>
      <c r="CL99" s="97">
        <v>2025</v>
      </c>
    </row>
    <row r="100" spans="1:90" x14ac:dyDescent="0.35">
      <c r="A100" s="201" t="s">
        <v>1993</v>
      </c>
      <c r="B100" s="201" t="s">
        <v>2151</v>
      </c>
      <c r="C100" s="201" t="s">
        <v>19</v>
      </c>
      <c r="D100" s="201" t="s">
        <v>19</v>
      </c>
      <c r="E100" s="201" t="s">
        <v>2152</v>
      </c>
      <c r="F100" s="201" t="s">
        <v>2035</v>
      </c>
      <c r="G100" s="193"/>
      <c r="H100" s="97">
        <v>1</v>
      </c>
      <c r="I100" s="97">
        <v>1</v>
      </c>
      <c r="J100" s="97">
        <v>1</v>
      </c>
      <c r="K100" s="97">
        <v>1</v>
      </c>
      <c r="L100" s="97">
        <v>1</v>
      </c>
      <c r="M100" s="97">
        <v>1</v>
      </c>
      <c r="N100" s="97">
        <v>1</v>
      </c>
      <c r="O100" s="97"/>
      <c r="P100" s="97">
        <v>1</v>
      </c>
      <c r="Q100" s="97">
        <v>1</v>
      </c>
      <c r="R100" s="97"/>
      <c r="S100" s="97"/>
      <c r="T100" s="97"/>
      <c r="U100" s="97"/>
      <c r="V100" s="97"/>
      <c r="W100" s="97"/>
      <c r="X100" s="97">
        <v>1</v>
      </c>
      <c r="Y100" s="97">
        <v>6</v>
      </c>
      <c r="Z100" s="97">
        <v>3</v>
      </c>
      <c r="AA100" s="97"/>
      <c r="AB100" s="97"/>
      <c r="AC100" s="97">
        <v>8</v>
      </c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>
        <v>6</v>
      </c>
      <c r="AO100" s="97">
        <v>8</v>
      </c>
      <c r="AP100" s="97"/>
      <c r="AQ100" s="97"/>
      <c r="AR100" s="97">
        <v>1</v>
      </c>
      <c r="AS100" s="97"/>
      <c r="AT100" s="97"/>
      <c r="AU100" s="97"/>
      <c r="AV100" s="97"/>
      <c r="AW100" s="97"/>
      <c r="AX100" s="97"/>
      <c r="AY100" s="97"/>
      <c r="AZ100" s="97"/>
      <c r="BA100" s="97"/>
      <c r="BB100" s="97">
        <v>1</v>
      </c>
      <c r="BC100" s="97"/>
      <c r="BD100" s="97"/>
      <c r="BE100" s="97"/>
      <c r="BF100" s="97"/>
      <c r="BG100" s="214">
        <v>1</v>
      </c>
      <c r="BH100" s="97">
        <v>1</v>
      </c>
      <c r="BI100" s="214"/>
      <c r="BJ100" s="97"/>
      <c r="BK100" s="214"/>
      <c r="BL100" s="97">
        <v>1</v>
      </c>
      <c r="BM100" s="97"/>
      <c r="BN100" s="97"/>
      <c r="BO100" s="97"/>
      <c r="BP100" s="97"/>
      <c r="BQ100" s="97"/>
      <c r="BR100" s="97"/>
      <c r="BS100" s="97"/>
      <c r="BT100" s="97"/>
      <c r="BU100" s="97"/>
      <c r="BV100" s="97"/>
      <c r="BW100" s="97"/>
      <c r="BX100" s="97">
        <f t="shared" si="8"/>
        <v>46</v>
      </c>
      <c r="BY100" s="97">
        <v>1</v>
      </c>
      <c r="BZ100" s="97">
        <v>1</v>
      </c>
      <c r="CA100" s="97" t="s">
        <v>2154</v>
      </c>
      <c r="CB100" s="97"/>
      <c r="CC100" s="97" t="s">
        <v>2155</v>
      </c>
      <c r="CD100" s="97" t="s">
        <v>2032</v>
      </c>
      <c r="CE100" s="198">
        <v>46066</v>
      </c>
      <c r="CF100" s="97">
        <v>106745</v>
      </c>
      <c r="CG100" s="219" t="s">
        <v>2159</v>
      </c>
      <c r="CH100" s="97">
        <v>2026</v>
      </c>
      <c r="CI100" s="97"/>
      <c r="CJ100" s="198"/>
      <c r="CK100" s="97" t="s">
        <v>1027</v>
      </c>
      <c r="CL100" s="97">
        <v>2025</v>
      </c>
    </row>
    <row r="101" spans="1:90" x14ac:dyDescent="0.35">
      <c r="A101" s="201" t="s">
        <v>1993</v>
      </c>
      <c r="B101" s="97" t="s">
        <v>2161</v>
      </c>
      <c r="C101" s="201" t="s">
        <v>2047</v>
      </c>
      <c r="D101" s="201" t="s">
        <v>2048</v>
      </c>
      <c r="E101" s="201" t="s">
        <v>2160</v>
      </c>
      <c r="F101" s="201" t="s">
        <v>1491</v>
      </c>
      <c r="G101" s="193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7">
        <v>1</v>
      </c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7">
        <v>1</v>
      </c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7">
        <f t="shared" ref="BX101:BX106" si="17">SUM(H101:BW101)</f>
        <v>2</v>
      </c>
      <c r="BY101" s="96"/>
      <c r="BZ101" s="96"/>
      <c r="CA101" s="96"/>
      <c r="CB101" s="96"/>
      <c r="CC101" s="97" t="s">
        <v>1992</v>
      </c>
      <c r="CD101" s="97" t="s">
        <v>2032</v>
      </c>
      <c r="CE101" s="198">
        <v>46069</v>
      </c>
      <c r="CF101" s="97">
        <v>106745</v>
      </c>
      <c r="CG101" s="220" t="s">
        <v>2167</v>
      </c>
      <c r="CH101" s="97">
        <v>2026</v>
      </c>
      <c r="CI101" s="96"/>
      <c r="CJ101" s="199"/>
      <c r="CK101" s="96" t="s">
        <v>1027</v>
      </c>
      <c r="CL101" s="97">
        <v>2025</v>
      </c>
    </row>
    <row r="102" spans="1:90" x14ac:dyDescent="0.35">
      <c r="A102" s="201" t="s">
        <v>1993</v>
      </c>
      <c r="B102" s="97" t="s">
        <v>2163</v>
      </c>
      <c r="C102" s="201" t="s">
        <v>2047</v>
      </c>
      <c r="D102" s="201" t="s">
        <v>2048</v>
      </c>
      <c r="E102" s="201" t="s">
        <v>674</v>
      </c>
      <c r="F102" s="201" t="s">
        <v>1491</v>
      </c>
      <c r="G102" s="193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7">
        <v>1</v>
      </c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7">
        <v>1</v>
      </c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7">
        <f t="shared" si="17"/>
        <v>2</v>
      </c>
      <c r="BY102" s="96"/>
      <c r="BZ102" s="96"/>
      <c r="CA102" s="96"/>
      <c r="CB102" s="96"/>
      <c r="CC102" s="97" t="s">
        <v>1992</v>
      </c>
      <c r="CD102" s="97" t="s">
        <v>2032</v>
      </c>
      <c r="CE102" s="198">
        <v>46069</v>
      </c>
      <c r="CF102" s="97">
        <v>106745</v>
      </c>
      <c r="CG102" s="220" t="s">
        <v>2168</v>
      </c>
      <c r="CH102" s="97">
        <v>2026</v>
      </c>
      <c r="CI102" s="96"/>
      <c r="CJ102" s="199"/>
      <c r="CK102" s="96" t="s">
        <v>1027</v>
      </c>
      <c r="CL102" s="97">
        <v>2025</v>
      </c>
    </row>
    <row r="103" spans="1:90" x14ac:dyDescent="0.35">
      <c r="A103" s="201" t="s">
        <v>1993</v>
      </c>
      <c r="B103" s="97" t="s">
        <v>2162</v>
      </c>
      <c r="C103" s="201" t="s">
        <v>2047</v>
      </c>
      <c r="D103" s="201" t="s">
        <v>2048</v>
      </c>
      <c r="E103" s="201" t="s">
        <v>806</v>
      </c>
      <c r="F103" s="201" t="s">
        <v>1491</v>
      </c>
      <c r="G103" s="193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7">
        <v>1</v>
      </c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7">
        <v>1</v>
      </c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7">
        <f t="shared" si="17"/>
        <v>2</v>
      </c>
      <c r="BY103" s="96"/>
      <c r="BZ103" s="96"/>
      <c r="CA103" s="96"/>
      <c r="CB103" s="96"/>
      <c r="CC103" s="97" t="s">
        <v>1992</v>
      </c>
      <c r="CD103" s="97" t="s">
        <v>2032</v>
      </c>
      <c r="CE103" s="198">
        <v>46069</v>
      </c>
      <c r="CF103" s="97">
        <v>106745</v>
      </c>
      <c r="CG103" s="220" t="s">
        <v>2169</v>
      </c>
      <c r="CH103" s="97">
        <v>2026</v>
      </c>
      <c r="CI103" s="96"/>
      <c r="CJ103" s="199"/>
      <c r="CK103" s="96" t="s">
        <v>1027</v>
      </c>
      <c r="CL103" s="97">
        <v>2025</v>
      </c>
    </row>
    <row r="104" spans="1:90" x14ac:dyDescent="0.35">
      <c r="A104" s="201" t="s">
        <v>1993</v>
      </c>
      <c r="B104" s="97" t="s">
        <v>2164</v>
      </c>
      <c r="C104" s="201" t="s">
        <v>2047</v>
      </c>
      <c r="D104" s="201" t="s">
        <v>2048</v>
      </c>
      <c r="E104" s="201" t="s">
        <v>1031</v>
      </c>
      <c r="F104" s="201" t="s">
        <v>1491</v>
      </c>
      <c r="G104" s="193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7">
        <v>1</v>
      </c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7">
        <v>1</v>
      </c>
      <c r="BN104" s="96"/>
      <c r="BO104" s="96"/>
      <c r="BP104" s="96"/>
      <c r="BQ104" s="96"/>
      <c r="BR104" s="96"/>
      <c r="BS104" s="96"/>
      <c r="BT104" s="96"/>
      <c r="BU104" s="96"/>
      <c r="BV104" s="96"/>
      <c r="BW104" s="96"/>
      <c r="BX104" s="97">
        <f t="shared" si="17"/>
        <v>2</v>
      </c>
      <c r="BY104" s="96"/>
      <c r="BZ104" s="96"/>
      <c r="CA104" s="96"/>
      <c r="CB104" s="96"/>
      <c r="CC104" s="97" t="s">
        <v>1992</v>
      </c>
      <c r="CD104" s="97" t="s">
        <v>2032</v>
      </c>
      <c r="CE104" s="198">
        <v>46069</v>
      </c>
      <c r="CF104" s="97">
        <v>106745</v>
      </c>
      <c r="CG104" s="220" t="s">
        <v>2170</v>
      </c>
      <c r="CH104" s="97">
        <v>2026</v>
      </c>
      <c r="CI104" s="96"/>
      <c r="CJ104" s="199"/>
      <c r="CK104" s="96" t="s">
        <v>1027</v>
      </c>
      <c r="CL104" s="97">
        <v>2025</v>
      </c>
    </row>
    <row r="105" spans="1:90" x14ac:dyDescent="0.35">
      <c r="A105" s="201" t="s">
        <v>1993</v>
      </c>
      <c r="B105" s="97" t="s">
        <v>2165</v>
      </c>
      <c r="C105" s="201" t="s">
        <v>2047</v>
      </c>
      <c r="D105" s="201" t="s">
        <v>2048</v>
      </c>
      <c r="E105" s="201" t="s">
        <v>1327</v>
      </c>
      <c r="F105" s="201" t="s">
        <v>1491</v>
      </c>
      <c r="G105" s="193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7">
        <v>1</v>
      </c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7">
        <v>1</v>
      </c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7">
        <f t="shared" si="17"/>
        <v>2</v>
      </c>
      <c r="BY105" s="96"/>
      <c r="BZ105" s="96"/>
      <c r="CA105" s="96"/>
      <c r="CB105" s="96"/>
      <c r="CC105" s="97" t="s">
        <v>1992</v>
      </c>
      <c r="CD105" s="97" t="s">
        <v>2032</v>
      </c>
      <c r="CE105" s="198">
        <v>46069</v>
      </c>
      <c r="CF105" s="97">
        <v>106745</v>
      </c>
      <c r="CG105" s="220" t="s">
        <v>2171</v>
      </c>
      <c r="CH105" s="97">
        <v>2026</v>
      </c>
      <c r="CI105" s="96"/>
      <c r="CJ105" s="199"/>
      <c r="CK105" s="96" t="s">
        <v>1027</v>
      </c>
      <c r="CL105" s="97">
        <v>2025</v>
      </c>
    </row>
    <row r="106" spans="1:90" x14ac:dyDescent="0.35">
      <c r="A106" s="201" t="s">
        <v>1993</v>
      </c>
      <c r="B106" s="97" t="s">
        <v>2166</v>
      </c>
      <c r="C106" s="201" t="s">
        <v>2047</v>
      </c>
      <c r="D106" s="201" t="s">
        <v>2048</v>
      </c>
      <c r="E106" s="201" t="s">
        <v>673</v>
      </c>
      <c r="F106" s="201" t="s">
        <v>1491</v>
      </c>
      <c r="G106" s="193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7">
        <v>1</v>
      </c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7">
        <v>1</v>
      </c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7">
        <f t="shared" si="17"/>
        <v>2</v>
      </c>
      <c r="BY106" s="96"/>
      <c r="BZ106" s="96"/>
      <c r="CA106" s="96"/>
      <c r="CB106" s="96"/>
      <c r="CC106" s="97" t="s">
        <v>1992</v>
      </c>
      <c r="CD106" s="97" t="s">
        <v>2032</v>
      </c>
      <c r="CE106" s="198">
        <v>46069</v>
      </c>
      <c r="CF106" s="97">
        <v>106745</v>
      </c>
      <c r="CG106" s="220" t="s">
        <v>2172</v>
      </c>
      <c r="CH106" s="97">
        <v>2026</v>
      </c>
      <c r="CI106" s="96"/>
      <c r="CJ106" s="199"/>
      <c r="CK106" s="96" t="s">
        <v>1027</v>
      </c>
      <c r="CL106" s="97">
        <v>2025</v>
      </c>
    </row>
    <row r="107" spans="1:90" x14ac:dyDescent="0.35">
      <c r="G107" s="193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199"/>
      <c r="CF107" s="96"/>
      <c r="CG107" s="220"/>
      <c r="CH107" s="96"/>
      <c r="CI107" s="96"/>
      <c r="CJ107" s="199"/>
      <c r="CK107" s="96"/>
      <c r="CL107" s="96"/>
    </row>
    <row r="108" spans="1:90" x14ac:dyDescent="0.35">
      <c r="G108" s="193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199"/>
      <c r="CF108" s="96"/>
      <c r="CG108" s="220"/>
      <c r="CH108" s="96"/>
      <c r="CI108" s="96"/>
      <c r="CJ108" s="199"/>
      <c r="CK108" s="96"/>
      <c r="CL108" s="96"/>
    </row>
    <row r="109" spans="1:90" x14ac:dyDescent="0.35">
      <c r="G109" s="193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199"/>
      <c r="CF109" s="96"/>
      <c r="CG109" s="220"/>
      <c r="CH109" s="96"/>
      <c r="CI109" s="96"/>
      <c r="CJ109" s="199"/>
      <c r="CK109" s="96"/>
      <c r="CL109" s="96"/>
    </row>
    <row r="110" spans="1:90" x14ac:dyDescent="0.35">
      <c r="G110" s="193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199"/>
      <c r="CF110" s="96"/>
      <c r="CG110" s="220"/>
      <c r="CH110" s="96"/>
      <c r="CI110" s="96"/>
      <c r="CJ110" s="199"/>
      <c r="CK110" s="96"/>
      <c r="CL110" s="96"/>
    </row>
    <row r="111" spans="1:90" x14ac:dyDescent="0.35">
      <c r="G111" s="193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199"/>
      <c r="CF111" s="96"/>
      <c r="CG111" s="220"/>
      <c r="CH111" s="96"/>
      <c r="CI111" s="96"/>
      <c r="CJ111" s="199"/>
      <c r="CK111" s="96"/>
      <c r="CL111" s="96"/>
    </row>
    <row r="112" spans="1:90" x14ac:dyDescent="0.35">
      <c r="G112" s="193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199"/>
      <c r="CF112" s="96"/>
      <c r="CG112" s="220"/>
      <c r="CH112" s="96"/>
      <c r="CI112" s="96"/>
      <c r="CJ112" s="199"/>
      <c r="CK112" s="96"/>
      <c r="CL112" s="96"/>
    </row>
    <row r="113" spans="7:90" x14ac:dyDescent="0.35">
      <c r="G113" s="193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199"/>
      <c r="CF113" s="96"/>
      <c r="CG113" s="220"/>
      <c r="CH113" s="96"/>
      <c r="CI113" s="96"/>
      <c r="CJ113" s="199"/>
      <c r="CK113" s="96"/>
      <c r="CL113" s="96"/>
    </row>
    <row r="114" spans="7:90" x14ac:dyDescent="0.35">
      <c r="G114" s="193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199"/>
      <c r="CF114" s="96"/>
      <c r="CG114" s="220"/>
      <c r="CH114" s="96"/>
      <c r="CI114" s="96"/>
      <c r="CJ114" s="199"/>
      <c r="CK114" s="96"/>
      <c r="CL114" s="96"/>
    </row>
    <row r="115" spans="7:90" x14ac:dyDescent="0.35">
      <c r="G115" s="193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199"/>
      <c r="CF115" s="96"/>
      <c r="CG115" s="220"/>
      <c r="CH115" s="96"/>
      <c r="CI115" s="96"/>
      <c r="CJ115" s="199"/>
      <c r="CK115" s="96"/>
      <c r="CL115" s="96"/>
    </row>
    <row r="116" spans="7:90" x14ac:dyDescent="0.35">
      <c r="G116" s="193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199"/>
      <c r="CF116" s="96"/>
      <c r="CG116" s="220"/>
      <c r="CH116" s="96"/>
      <c r="CI116" s="96"/>
      <c r="CJ116" s="199"/>
      <c r="CK116" s="96"/>
      <c r="CL116" s="96"/>
    </row>
    <row r="117" spans="7:90" x14ac:dyDescent="0.35">
      <c r="G117" s="193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199"/>
      <c r="CF117" s="96"/>
      <c r="CG117" s="220"/>
      <c r="CH117" s="96"/>
      <c r="CI117" s="96"/>
      <c r="CJ117" s="199"/>
      <c r="CK117" s="96"/>
      <c r="CL117" s="96"/>
    </row>
    <row r="118" spans="7:90" x14ac:dyDescent="0.35">
      <c r="G118" s="193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199"/>
      <c r="CF118" s="96"/>
      <c r="CG118" s="220"/>
      <c r="CH118" s="96"/>
      <c r="CI118" s="96"/>
      <c r="CJ118" s="199"/>
      <c r="CK118" s="96"/>
      <c r="CL118" s="96"/>
    </row>
    <row r="119" spans="7:90" x14ac:dyDescent="0.35">
      <c r="G119" s="193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199"/>
      <c r="CF119" s="96"/>
      <c r="CG119" s="220"/>
      <c r="CH119" s="96"/>
      <c r="CI119" s="96"/>
      <c r="CJ119" s="199"/>
      <c r="CK119" s="96"/>
      <c r="CL119" s="96"/>
    </row>
    <row r="120" spans="7:90" x14ac:dyDescent="0.35">
      <c r="G120" s="193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199"/>
      <c r="CF120" s="96"/>
      <c r="CG120" s="220"/>
      <c r="CH120" s="96"/>
      <c r="CI120" s="96"/>
      <c r="CJ120" s="199"/>
      <c r="CK120" s="96"/>
      <c r="CL120" s="96"/>
    </row>
    <row r="121" spans="7:90" x14ac:dyDescent="0.35">
      <c r="G121" s="193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199"/>
      <c r="CF121" s="96"/>
      <c r="CG121" s="220"/>
      <c r="CH121" s="96"/>
      <c r="CI121" s="96"/>
      <c r="CJ121" s="199"/>
      <c r="CK121" s="96"/>
      <c r="CL121" s="96"/>
    </row>
    <row r="122" spans="7:90" x14ac:dyDescent="0.35">
      <c r="G122" s="193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  <c r="CC122" s="96"/>
      <c r="CD122" s="96"/>
      <c r="CE122" s="199"/>
      <c r="CF122" s="96"/>
      <c r="CG122" s="220"/>
      <c r="CH122" s="96"/>
      <c r="CI122" s="96"/>
      <c r="CJ122" s="199"/>
      <c r="CK122" s="96"/>
      <c r="CL122" s="96"/>
    </row>
    <row r="123" spans="7:90" x14ac:dyDescent="0.35">
      <c r="G123" s="193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199"/>
      <c r="CF123" s="96"/>
      <c r="CG123" s="220"/>
      <c r="CH123" s="96"/>
      <c r="CI123" s="96"/>
      <c r="CJ123" s="199"/>
      <c r="CK123" s="96"/>
      <c r="CL123" s="96"/>
    </row>
    <row r="124" spans="7:90" x14ac:dyDescent="0.35">
      <c r="G124" s="193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199"/>
      <c r="CF124" s="96"/>
      <c r="CG124" s="220"/>
      <c r="CH124" s="96"/>
      <c r="CI124" s="96"/>
      <c r="CJ124" s="199"/>
      <c r="CK124" s="96"/>
      <c r="CL124" s="96"/>
    </row>
    <row r="125" spans="7:90" x14ac:dyDescent="0.35">
      <c r="G125" s="193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199"/>
      <c r="CF125" s="96"/>
      <c r="CG125" s="220"/>
      <c r="CH125" s="96"/>
      <c r="CI125" s="96"/>
      <c r="CJ125" s="199"/>
      <c r="CK125" s="96"/>
      <c r="CL125" s="96"/>
    </row>
    <row r="126" spans="7:90" x14ac:dyDescent="0.35">
      <c r="G126" s="193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199"/>
      <c r="CF126" s="96"/>
      <c r="CG126" s="220"/>
      <c r="CH126" s="96"/>
      <c r="CI126" s="96"/>
      <c r="CJ126" s="199"/>
      <c r="CK126" s="96"/>
      <c r="CL126" s="96"/>
    </row>
    <row r="127" spans="7:90" x14ac:dyDescent="0.35">
      <c r="G127" s="193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199"/>
      <c r="CF127" s="96"/>
      <c r="CG127" s="220"/>
      <c r="CH127" s="96"/>
      <c r="CI127" s="96"/>
      <c r="CJ127" s="199"/>
      <c r="CK127" s="96"/>
      <c r="CL127" s="96"/>
    </row>
    <row r="128" spans="7:90" x14ac:dyDescent="0.35">
      <c r="G128" s="193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199"/>
      <c r="CF128" s="96"/>
      <c r="CG128" s="220"/>
      <c r="CH128" s="96"/>
      <c r="CI128" s="96"/>
      <c r="CJ128" s="199"/>
      <c r="CK128" s="96"/>
      <c r="CL128" s="96"/>
    </row>
    <row r="129" spans="7:90" x14ac:dyDescent="0.35">
      <c r="G129" s="193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199"/>
      <c r="CF129" s="96"/>
      <c r="CG129" s="220"/>
      <c r="CH129" s="96"/>
      <c r="CI129" s="96"/>
      <c r="CJ129" s="199"/>
      <c r="CK129" s="96"/>
      <c r="CL129" s="96"/>
    </row>
    <row r="130" spans="7:90" x14ac:dyDescent="0.35">
      <c r="G130" s="193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199"/>
      <c r="CF130" s="96"/>
      <c r="CG130" s="220"/>
      <c r="CH130" s="96"/>
      <c r="CI130" s="96"/>
      <c r="CJ130" s="199"/>
      <c r="CK130" s="96"/>
      <c r="CL130" s="96"/>
    </row>
    <row r="131" spans="7:90" x14ac:dyDescent="0.35">
      <c r="G131" s="193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199"/>
      <c r="CF131" s="96"/>
      <c r="CG131" s="220"/>
      <c r="CH131" s="96"/>
      <c r="CI131" s="96"/>
      <c r="CJ131" s="199"/>
      <c r="CK131" s="96"/>
      <c r="CL131" s="96"/>
    </row>
    <row r="132" spans="7:90" x14ac:dyDescent="0.35">
      <c r="G132" s="193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199"/>
      <c r="CF132" s="96"/>
      <c r="CG132" s="220"/>
      <c r="CH132" s="96"/>
      <c r="CI132" s="96"/>
      <c r="CJ132" s="199"/>
      <c r="CK132" s="96"/>
      <c r="CL132" s="96"/>
    </row>
    <row r="133" spans="7:90" x14ac:dyDescent="0.35">
      <c r="G133" s="193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199"/>
      <c r="CF133" s="96"/>
      <c r="CG133" s="220"/>
      <c r="CH133" s="96"/>
      <c r="CI133" s="96"/>
      <c r="CJ133" s="199"/>
      <c r="CK133" s="96"/>
      <c r="CL133" s="96"/>
    </row>
    <row r="134" spans="7:90" x14ac:dyDescent="0.35">
      <c r="G134" s="193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199"/>
      <c r="CF134" s="96"/>
      <c r="CG134" s="220"/>
      <c r="CH134" s="96"/>
      <c r="CI134" s="96"/>
      <c r="CJ134" s="199"/>
      <c r="CK134" s="96"/>
      <c r="CL134" s="96"/>
    </row>
    <row r="135" spans="7:90" x14ac:dyDescent="0.35">
      <c r="G135" s="193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199"/>
      <c r="CF135" s="96"/>
      <c r="CG135" s="220"/>
      <c r="CH135" s="96"/>
      <c r="CI135" s="96"/>
      <c r="CJ135" s="199"/>
      <c r="CK135" s="96"/>
      <c r="CL135" s="96"/>
    </row>
    <row r="136" spans="7:90" x14ac:dyDescent="0.35">
      <c r="G136" s="193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199"/>
      <c r="CF136" s="96"/>
      <c r="CG136" s="220"/>
      <c r="CH136" s="96"/>
      <c r="CI136" s="96"/>
      <c r="CJ136" s="199"/>
      <c r="CK136" s="96"/>
      <c r="CL136" s="96"/>
    </row>
    <row r="137" spans="7:90" x14ac:dyDescent="0.35">
      <c r="G137" s="193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199"/>
      <c r="CF137" s="96"/>
      <c r="CG137" s="220"/>
      <c r="CH137" s="96"/>
      <c r="CI137" s="96"/>
      <c r="CJ137" s="199"/>
      <c r="CK137" s="96"/>
      <c r="CL137" s="96"/>
    </row>
    <row r="138" spans="7:90" x14ac:dyDescent="0.35">
      <c r="G138" s="193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199"/>
      <c r="CF138" s="96"/>
      <c r="CG138" s="220"/>
      <c r="CH138" s="96"/>
      <c r="CI138" s="96"/>
      <c r="CJ138" s="199"/>
      <c r="CK138" s="96"/>
      <c r="CL138" s="96"/>
    </row>
    <row r="139" spans="7:90" x14ac:dyDescent="0.35">
      <c r="G139" s="193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199"/>
      <c r="CF139" s="96"/>
      <c r="CG139" s="220"/>
      <c r="CH139" s="96"/>
      <c r="CI139" s="96"/>
      <c r="CJ139" s="199"/>
      <c r="CK139" s="96"/>
      <c r="CL139" s="96"/>
    </row>
    <row r="140" spans="7:90" x14ac:dyDescent="0.35">
      <c r="G140" s="193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199"/>
      <c r="CF140" s="96"/>
      <c r="CG140" s="220"/>
      <c r="CH140" s="96"/>
      <c r="CI140" s="96"/>
      <c r="CJ140" s="199"/>
      <c r="CK140" s="96"/>
      <c r="CL140" s="96"/>
    </row>
    <row r="141" spans="7:90" x14ac:dyDescent="0.35">
      <c r="G141" s="193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199"/>
      <c r="CF141" s="96"/>
      <c r="CG141" s="220"/>
      <c r="CH141" s="96"/>
      <c r="CI141" s="96"/>
      <c r="CJ141" s="199"/>
      <c r="CK141" s="96"/>
      <c r="CL141" s="96"/>
    </row>
    <row r="142" spans="7:90" x14ac:dyDescent="0.35">
      <c r="G142" s="193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199"/>
      <c r="CF142" s="96"/>
      <c r="CG142" s="220"/>
      <c r="CH142" s="96"/>
      <c r="CI142" s="96"/>
      <c r="CJ142" s="199"/>
      <c r="CK142" s="96"/>
      <c r="CL142" s="96"/>
    </row>
    <row r="143" spans="7:90" x14ac:dyDescent="0.35">
      <c r="G143" s="193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199"/>
      <c r="CF143" s="96"/>
      <c r="CG143" s="220"/>
      <c r="CH143" s="96"/>
      <c r="CI143" s="96"/>
      <c r="CJ143" s="199"/>
      <c r="CK143" s="96"/>
      <c r="CL143" s="96"/>
    </row>
    <row r="144" spans="7:90" x14ac:dyDescent="0.35">
      <c r="G144" s="193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199"/>
      <c r="CF144" s="96"/>
      <c r="CG144" s="220"/>
      <c r="CH144" s="96"/>
      <c r="CI144" s="96"/>
      <c r="CJ144" s="199"/>
      <c r="CK144" s="96"/>
      <c r="CL144" s="96"/>
    </row>
    <row r="145" spans="7:90" x14ac:dyDescent="0.35">
      <c r="G145" s="193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199"/>
      <c r="CF145" s="96"/>
      <c r="CG145" s="220"/>
      <c r="CH145" s="96"/>
      <c r="CI145" s="96"/>
      <c r="CJ145" s="199"/>
      <c r="CK145" s="96"/>
      <c r="CL145" s="96"/>
    </row>
    <row r="146" spans="7:90" x14ac:dyDescent="0.35">
      <c r="G146" s="193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199"/>
      <c r="CF146" s="96"/>
      <c r="CG146" s="220"/>
      <c r="CH146" s="96"/>
      <c r="CI146" s="96"/>
      <c r="CJ146" s="199"/>
      <c r="CK146" s="96"/>
      <c r="CL146" s="96"/>
    </row>
    <row r="147" spans="7:90" x14ac:dyDescent="0.35">
      <c r="G147" s="193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  <c r="CE147" s="199"/>
      <c r="CF147" s="96"/>
      <c r="CG147" s="220"/>
      <c r="CH147" s="96"/>
      <c r="CI147" s="96"/>
      <c r="CJ147" s="199"/>
      <c r="CK147" s="96"/>
      <c r="CL147" s="96"/>
    </row>
    <row r="148" spans="7:90" x14ac:dyDescent="0.35">
      <c r="G148" s="193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199"/>
      <c r="CF148" s="96"/>
      <c r="CG148" s="220"/>
      <c r="CH148" s="96"/>
      <c r="CI148" s="96"/>
      <c r="CJ148" s="199"/>
      <c r="CK148" s="96"/>
      <c r="CL148" s="96"/>
    </row>
    <row r="149" spans="7:90" x14ac:dyDescent="0.35">
      <c r="G149" s="193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199"/>
      <c r="CF149" s="96"/>
      <c r="CG149" s="220"/>
      <c r="CH149" s="96"/>
      <c r="CI149" s="96"/>
      <c r="CJ149" s="199"/>
      <c r="CK149" s="96"/>
      <c r="CL149" s="96"/>
    </row>
    <row r="150" spans="7:90" x14ac:dyDescent="0.35">
      <c r="G150" s="193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199"/>
      <c r="CF150" s="96"/>
      <c r="CG150" s="220"/>
      <c r="CH150" s="96"/>
      <c r="CI150" s="96"/>
      <c r="CJ150" s="199"/>
      <c r="CK150" s="96"/>
      <c r="CL150" s="96"/>
    </row>
    <row r="151" spans="7:90" x14ac:dyDescent="0.35">
      <c r="G151" s="193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199"/>
      <c r="CF151" s="96"/>
      <c r="CG151" s="220"/>
      <c r="CH151" s="96"/>
      <c r="CI151" s="96"/>
      <c r="CJ151" s="199"/>
      <c r="CK151" s="96"/>
      <c r="CL151" s="96"/>
    </row>
    <row r="152" spans="7:90" x14ac:dyDescent="0.35">
      <c r="G152" s="193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199"/>
      <c r="CF152" s="96"/>
      <c r="CG152" s="220"/>
      <c r="CH152" s="96"/>
      <c r="CI152" s="96"/>
      <c r="CJ152" s="199"/>
      <c r="CK152" s="96"/>
      <c r="CL152" s="96"/>
    </row>
    <row r="153" spans="7:90" x14ac:dyDescent="0.35">
      <c r="G153" s="193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199"/>
      <c r="CF153" s="96"/>
      <c r="CG153" s="220"/>
      <c r="CH153" s="96"/>
      <c r="CI153" s="96"/>
      <c r="CJ153" s="199"/>
      <c r="CK153" s="96"/>
      <c r="CL153" s="96"/>
    </row>
    <row r="154" spans="7:90" x14ac:dyDescent="0.35">
      <c r="G154" s="193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199"/>
      <c r="CF154" s="96"/>
      <c r="CG154" s="220"/>
      <c r="CH154" s="96"/>
      <c r="CI154" s="96"/>
      <c r="CJ154" s="199"/>
      <c r="CK154" s="96"/>
      <c r="CL154" s="96"/>
    </row>
    <row r="155" spans="7:90" x14ac:dyDescent="0.35">
      <c r="G155" s="193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199"/>
      <c r="CF155" s="96"/>
      <c r="CG155" s="220"/>
      <c r="CH155" s="96"/>
      <c r="CI155" s="96"/>
      <c r="CJ155" s="199"/>
      <c r="CK155" s="96"/>
      <c r="CL155" s="96"/>
    </row>
    <row r="156" spans="7:90" x14ac:dyDescent="0.35">
      <c r="G156" s="193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199"/>
      <c r="CF156" s="96"/>
      <c r="CG156" s="220"/>
      <c r="CH156" s="96"/>
      <c r="CI156" s="96"/>
      <c r="CJ156" s="199"/>
      <c r="CK156" s="96"/>
      <c r="CL156" s="96"/>
    </row>
    <row r="157" spans="7:90" x14ac:dyDescent="0.35">
      <c r="G157" s="193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199"/>
      <c r="CF157" s="96"/>
      <c r="CG157" s="220"/>
      <c r="CH157" s="96"/>
      <c r="CI157" s="96"/>
      <c r="CJ157" s="199"/>
      <c r="CK157" s="96"/>
      <c r="CL157" s="96"/>
    </row>
    <row r="158" spans="7:90" x14ac:dyDescent="0.35">
      <c r="G158" s="193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199"/>
      <c r="CF158" s="96"/>
      <c r="CG158" s="220"/>
      <c r="CH158" s="96"/>
      <c r="CI158" s="96"/>
      <c r="CJ158" s="199"/>
      <c r="CK158" s="96"/>
      <c r="CL158" s="96"/>
    </row>
    <row r="159" spans="7:90" x14ac:dyDescent="0.35">
      <c r="G159" s="193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199"/>
      <c r="CF159" s="96"/>
      <c r="CG159" s="220"/>
      <c r="CH159" s="96"/>
      <c r="CI159" s="96"/>
      <c r="CJ159" s="199"/>
      <c r="CK159" s="96"/>
      <c r="CL159" s="96"/>
    </row>
    <row r="160" spans="7:90" x14ac:dyDescent="0.35">
      <c r="G160" s="193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199"/>
      <c r="CF160" s="96"/>
      <c r="CG160" s="220"/>
      <c r="CH160" s="96"/>
      <c r="CI160" s="96"/>
      <c r="CJ160" s="199"/>
      <c r="CK160" s="96"/>
      <c r="CL160" s="96"/>
    </row>
    <row r="161" spans="7:90" x14ac:dyDescent="0.35">
      <c r="G161" s="193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199"/>
      <c r="CF161" s="96"/>
      <c r="CG161" s="220"/>
      <c r="CH161" s="96"/>
      <c r="CI161" s="96"/>
      <c r="CJ161" s="199"/>
      <c r="CK161" s="96"/>
      <c r="CL161" s="96"/>
    </row>
    <row r="162" spans="7:90" x14ac:dyDescent="0.35">
      <c r="G162" s="193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199"/>
      <c r="CF162" s="96"/>
      <c r="CG162" s="220"/>
      <c r="CH162" s="96"/>
      <c r="CI162" s="96"/>
      <c r="CJ162" s="199"/>
      <c r="CK162" s="96"/>
      <c r="CL162" s="96"/>
    </row>
    <row r="163" spans="7:90" x14ac:dyDescent="0.35">
      <c r="G163" s="193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199"/>
      <c r="CF163" s="96"/>
      <c r="CG163" s="220"/>
      <c r="CH163" s="96"/>
      <c r="CI163" s="96"/>
      <c r="CJ163" s="199"/>
      <c r="CK163" s="96"/>
      <c r="CL163" s="96"/>
    </row>
    <row r="164" spans="7:90" x14ac:dyDescent="0.35">
      <c r="G164" s="193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199"/>
      <c r="CF164" s="96"/>
      <c r="CG164" s="220"/>
      <c r="CH164" s="96"/>
      <c r="CI164" s="96"/>
      <c r="CJ164" s="199"/>
      <c r="CK164" s="96"/>
      <c r="CL164" s="96"/>
    </row>
    <row r="165" spans="7:90" x14ac:dyDescent="0.35">
      <c r="G165" s="193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199"/>
      <c r="CF165" s="96"/>
      <c r="CG165" s="220"/>
      <c r="CH165" s="96"/>
      <c r="CI165" s="96"/>
      <c r="CJ165" s="199"/>
      <c r="CK165" s="96"/>
      <c r="CL165" s="96"/>
    </row>
    <row r="166" spans="7:90" x14ac:dyDescent="0.35">
      <c r="G166" s="193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199"/>
      <c r="CF166" s="96"/>
      <c r="CG166" s="220"/>
      <c r="CH166" s="96"/>
      <c r="CI166" s="96"/>
      <c r="CJ166" s="199"/>
      <c r="CK166" s="96"/>
      <c r="CL166" s="96"/>
    </row>
    <row r="167" spans="7:90" x14ac:dyDescent="0.35">
      <c r="G167" s="193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199"/>
      <c r="CF167" s="96"/>
      <c r="CG167" s="220"/>
      <c r="CH167" s="96"/>
      <c r="CI167" s="96"/>
      <c r="CJ167" s="199"/>
      <c r="CK167" s="96"/>
      <c r="CL167" s="96"/>
    </row>
    <row r="168" spans="7:90" x14ac:dyDescent="0.35">
      <c r="G168" s="193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199"/>
      <c r="CF168" s="96"/>
      <c r="CG168" s="220"/>
      <c r="CH168" s="96"/>
      <c r="CI168" s="96"/>
      <c r="CJ168" s="199"/>
      <c r="CK168" s="96"/>
      <c r="CL168" s="96"/>
    </row>
    <row r="169" spans="7:90" x14ac:dyDescent="0.35">
      <c r="G169" s="193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199"/>
      <c r="CF169" s="96"/>
      <c r="CG169" s="220"/>
      <c r="CH169" s="96"/>
      <c r="CI169" s="96"/>
      <c r="CJ169" s="199"/>
      <c r="CK169" s="96"/>
      <c r="CL169" s="96"/>
    </row>
    <row r="170" spans="7:90" x14ac:dyDescent="0.35">
      <c r="G170" s="193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199"/>
      <c r="CF170" s="96"/>
      <c r="CG170" s="220"/>
      <c r="CH170" s="96"/>
      <c r="CI170" s="96"/>
      <c r="CJ170" s="199"/>
      <c r="CK170" s="96"/>
      <c r="CL170" s="96"/>
    </row>
    <row r="171" spans="7:90" x14ac:dyDescent="0.35">
      <c r="G171" s="193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199"/>
      <c r="CF171" s="96"/>
      <c r="CG171" s="220"/>
      <c r="CH171" s="96"/>
      <c r="CI171" s="96"/>
      <c r="CJ171" s="199"/>
      <c r="CK171" s="96"/>
      <c r="CL171" s="96"/>
    </row>
    <row r="172" spans="7:90" x14ac:dyDescent="0.35">
      <c r="G172" s="193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199"/>
      <c r="CF172" s="96"/>
      <c r="CG172" s="220"/>
      <c r="CH172" s="96"/>
      <c r="CI172" s="96"/>
      <c r="CJ172" s="199"/>
      <c r="CK172" s="96"/>
      <c r="CL172" s="96"/>
    </row>
    <row r="173" spans="7:90" x14ac:dyDescent="0.35">
      <c r="G173" s="193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199"/>
      <c r="CF173" s="96"/>
      <c r="CG173" s="220"/>
      <c r="CH173" s="96"/>
      <c r="CI173" s="96"/>
      <c r="CJ173" s="199"/>
      <c r="CK173" s="96"/>
      <c r="CL173" s="96"/>
    </row>
    <row r="174" spans="7:90" x14ac:dyDescent="0.35">
      <c r="G174" s="193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199"/>
      <c r="CF174" s="96"/>
      <c r="CG174" s="220"/>
      <c r="CH174" s="96"/>
      <c r="CI174" s="96"/>
      <c r="CJ174" s="199"/>
      <c r="CK174" s="96"/>
      <c r="CL174" s="96"/>
    </row>
    <row r="175" spans="7:90" x14ac:dyDescent="0.35">
      <c r="G175" s="193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199"/>
      <c r="CF175" s="96"/>
      <c r="CG175" s="220"/>
      <c r="CH175" s="96"/>
      <c r="CI175" s="96"/>
      <c r="CJ175" s="199"/>
      <c r="CK175" s="96"/>
      <c r="CL175" s="96"/>
    </row>
    <row r="176" spans="7:90" x14ac:dyDescent="0.35">
      <c r="G176" s="193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199"/>
      <c r="CF176" s="96"/>
      <c r="CG176" s="220"/>
      <c r="CH176" s="96"/>
      <c r="CI176" s="96"/>
      <c r="CJ176" s="199"/>
      <c r="CK176" s="96"/>
      <c r="CL176" s="96"/>
    </row>
    <row r="177" spans="7:90" x14ac:dyDescent="0.35">
      <c r="G177" s="193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199"/>
      <c r="CF177" s="96"/>
      <c r="CG177" s="220"/>
      <c r="CH177" s="96"/>
      <c r="CI177" s="96"/>
      <c r="CJ177" s="199"/>
      <c r="CK177" s="96"/>
      <c r="CL177" s="96"/>
    </row>
    <row r="178" spans="7:90" x14ac:dyDescent="0.35">
      <c r="G178" s="193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199"/>
      <c r="CF178" s="96"/>
      <c r="CG178" s="220"/>
      <c r="CH178" s="96"/>
      <c r="CI178" s="96"/>
      <c r="CJ178" s="199"/>
      <c r="CK178" s="96"/>
      <c r="CL178" s="96"/>
    </row>
    <row r="179" spans="7:90" x14ac:dyDescent="0.35">
      <c r="G179" s="193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199"/>
      <c r="CF179" s="96"/>
      <c r="CG179" s="220"/>
      <c r="CH179" s="96"/>
      <c r="CI179" s="96"/>
      <c r="CJ179" s="199"/>
      <c r="CK179" s="96"/>
      <c r="CL179" s="96"/>
    </row>
    <row r="180" spans="7:90" x14ac:dyDescent="0.35">
      <c r="G180" s="193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199"/>
      <c r="CF180" s="96"/>
      <c r="CG180" s="220"/>
      <c r="CH180" s="96"/>
      <c r="CI180" s="96"/>
      <c r="CJ180" s="199"/>
      <c r="CK180" s="96"/>
      <c r="CL180" s="96"/>
    </row>
    <row r="181" spans="7:90" x14ac:dyDescent="0.35">
      <c r="G181" s="193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199"/>
      <c r="CF181" s="96"/>
      <c r="CG181" s="220"/>
      <c r="CH181" s="96"/>
      <c r="CI181" s="96"/>
      <c r="CJ181" s="199"/>
      <c r="CK181" s="96"/>
      <c r="CL181" s="96"/>
    </row>
    <row r="182" spans="7:90" x14ac:dyDescent="0.35">
      <c r="G182" s="193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199"/>
      <c r="CF182" s="96"/>
      <c r="CG182" s="220"/>
      <c r="CH182" s="96"/>
      <c r="CI182" s="96"/>
      <c r="CJ182" s="199"/>
      <c r="CK182" s="96"/>
      <c r="CL182" s="96"/>
    </row>
    <row r="183" spans="7:90" x14ac:dyDescent="0.35">
      <c r="G183" s="193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199"/>
      <c r="CF183" s="96"/>
      <c r="CG183" s="220"/>
      <c r="CH183" s="96"/>
      <c r="CI183" s="96"/>
      <c r="CJ183" s="199"/>
      <c r="CK183" s="96"/>
      <c r="CL183" s="96"/>
    </row>
    <row r="184" spans="7:90" x14ac:dyDescent="0.35">
      <c r="G184" s="193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199"/>
      <c r="CF184" s="96"/>
      <c r="CG184" s="220"/>
      <c r="CH184" s="96"/>
      <c r="CI184" s="96"/>
      <c r="CJ184" s="199"/>
      <c r="CK184" s="96"/>
      <c r="CL184" s="96"/>
    </row>
    <row r="185" spans="7:90" x14ac:dyDescent="0.35">
      <c r="G185" s="193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199"/>
      <c r="CF185" s="96"/>
      <c r="CG185" s="220"/>
      <c r="CH185" s="96"/>
      <c r="CI185" s="96"/>
      <c r="CJ185" s="199"/>
      <c r="CK185" s="96"/>
      <c r="CL185" s="96"/>
    </row>
    <row r="186" spans="7:90" x14ac:dyDescent="0.35">
      <c r="G186" s="193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199"/>
      <c r="CF186" s="96"/>
      <c r="CG186" s="220"/>
      <c r="CH186" s="96"/>
      <c r="CI186" s="96"/>
      <c r="CJ186" s="199"/>
      <c r="CK186" s="96"/>
      <c r="CL186" s="96"/>
    </row>
    <row r="187" spans="7:90" x14ac:dyDescent="0.35">
      <c r="G187" s="193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199"/>
      <c r="CF187" s="96"/>
      <c r="CG187" s="220"/>
      <c r="CH187" s="96"/>
      <c r="CI187" s="96"/>
      <c r="CJ187" s="199"/>
      <c r="CK187" s="96"/>
      <c r="CL187" s="96"/>
    </row>
    <row r="188" spans="7:90" x14ac:dyDescent="0.35">
      <c r="G188" s="193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199"/>
      <c r="CF188" s="96"/>
      <c r="CG188" s="220"/>
      <c r="CH188" s="96"/>
      <c r="CI188" s="96"/>
      <c r="CJ188" s="199"/>
      <c r="CK188" s="96"/>
      <c r="CL188" s="96"/>
    </row>
    <row r="189" spans="7:90" x14ac:dyDescent="0.35">
      <c r="G189" s="193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199"/>
      <c r="CF189" s="96"/>
      <c r="CG189" s="220"/>
      <c r="CH189" s="96"/>
      <c r="CI189" s="96"/>
      <c r="CJ189" s="199"/>
      <c r="CK189" s="96"/>
      <c r="CL189" s="96"/>
    </row>
    <row r="190" spans="7:90" x14ac:dyDescent="0.35">
      <c r="G190" s="193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199"/>
      <c r="CF190" s="96"/>
      <c r="CG190" s="220"/>
      <c r="CH190" s="96"/>
      <c r="CI190" s="96"/>
      <c r="CJ190" s="199"/>
      <c r="CK190" s="96"/>
      <c r="CL190" s="96"/>
    </row>
    <row r="191" spans="7:90" x14ac:dyDescent="0.35">
      <c r="G191" s="193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199"/>
      <c r="CF191" s="96"/>
      <c r="CG191" s="220"/>
      <c r="CH191" s="96"/>
      <c r="CI191" s="96"/>
      <c r="CJ191" s="199"/>
      <c r="CK191" s="96"/>
      <c r="CL191" s="96"/>
    </row>
    <row r="192" spans="7:90" x14ac:dyDescent="0.35">
      <c r="G192" s="193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199"/>
      <c r="CF192" s="96"/>
      <c r="CG192" s="220"/>
      <c r="CH192" s="96"/>
      <c r="CI192" s="96"/>
      <c r="CJ192" s="199"/>
      <c r="CK192" s="96"/>
      <c r="CL192" s="96"/>
    </row>
    <row r="193" spans="7:90" x14ac:dyDescent="0.35">
      <c r="G193" s="193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199"/>
      <c r="CF193" s="96"/>
      <c r="CG193" s="220"/>
      <c r="CH193" s="96"/>
      <c r="CI193" s="96"/>
      <c r="CJ193" s="199"/>
      <c r="CK193" s="96"/>
      <c r="CL193" s="96"/>
    </row>
    <row r="194" spans="7:90" x14ac:dyDescent="0.35">
      <c r="G194" s="193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199"/>
      <c r="CF194" s="96"/>
      <c r="CG194" s="220"/>
      <c r="CH194" s="96"/>
      <c r="CI194" s="96"/>
      <c r="CJ194" s="199"/>
      <c r="CK194" s="96"/>
      <c r="CL194" s="96"/>
    </row>
    <row r="195" spans="7:90" x14ac:dyDescent="0.35">
      <c r="G195" s="193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199"/>
      <c r="CF195" s="96"/>
      <c r="CG195" s="220"/>
      <c r="CH195" s="96"/>
      <c r="CI195" s="96"/>
      <c r="CJ195" s="199"/>
      <c r="CK195" s="96"/>
      <c r="CL195" s="96"/>
    </row>
    <row r="196" spans="7:90" x14ac:dyDescent="0.35">
      <c r="G196" s="193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199"/>
      <c r="CF196" s="96"/>
      <c r="CG196" s="220"/>
      <c r="CH196" s="96"/>
      <c r="CI196" s="96"/>
      <c r="CJ196" s="199"/>
      <c r="CK196" s="96"/>
      <c r="CL196" s="96"/>
    </row>
    <row r="197" spans="7:90" x14ac:dyDescent="0.35">
      <c r="G197" s="193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199"/>
      <c r="CF197" s="96"/>
      <c r="CG197" s="220"/>
      <c r="CH197" s="96"/>
      <c r="CI197" s="96"/>
      <c r="CJ197" s="199"/>
      <c r="CK197" s="96"/>
      <c r="CL197" s="96"/>
    </row>
    <row r="198" spans="7:90" x14ac:dyDescent="0.35">
      <c r="G198" s="193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199"/>
      <c r="CF198" s="96"/>
      <c r="CG198" s="220"/>
      <c r="CH198" s="96"/>
      <c r="CI198" s="96"/>
      <c r="CJ198" s="199"/>
      <c r="CK198" s="96"/>
      <c r="CL198" s="96"/>
    </row>
    <row r="199" spans="7:90" x14ac:dyDescent="0.35">
      <c r="G199" s="193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199"/>
      <c r="CF199" s="96"/>
      <c r="CG199" s="220"/>
      <c r="CH199" s="96"/>
      <c r="CI199" s="96"/>
      <c r="CJ199" s="199"/>
      <c r="CK199" s="96"/>
      <c r="CL199" s="96"/>
    </row>
    <row r="200" spans="7:90" x14ac:dyDescent="0.35">
      <c r="G200" s="193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199"/>
      <c r="CF200" s="96"/>
      <c r="CG200" s="220"/>
      <c r="CH200" s="96"/>
      <c r="CI200" s="96"/>
      <c r="CJ200" s="199"/>
      <c r="CK200" s="96"/>
      <c r="CL200" s="96"/>
    </row>
    <row r="201" spans="7:90" x14ac:dyDescent="0.35">
      <c r="G201" s="193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199"/>
      <c r="CF201" s="96"/>
      <c r="CG201" s="220"/>
      <c r="CH201" s="96"/>
      <c r="CI201" s="96"/>
      <c r="CJ201" s="199"/>
      <c r="CK201" s="96"/>
      <c r="CL201" s="96"/>
    </row>
    <row r="202" spans="7:90" x14ac:dyDescent="0.35">
      <c r="G202" s="193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199"/>
      <c r="CF202" s="96"/>
      <c r="CG202" s="220"/>
      <c r="CH202" s="96"/>
      <c r="CI202" s="96"/>
      <c r="CJ202" s="199"/>
      <c r="CK202" s="96"/>
      <c r="CL202" s="96"/>
    </row>
    <row r="203" spans="7:90" x14ac:dyDescent="0.35">
      <c r="G203" s="193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199"/>
      <c r="CF203" s="96"/>
      <c r="CG203" s="220"/>
      <c r="CH203" s="96"/>
      <c r="CI203" s="96"/>
      <c r="CJ203" s="199"/>
      <c r="CK203" s="96"/>
      <c r="CL203" s="96"/>
    </row>
    <row r="204" spans="7:90" x14ac:dyDescent="0.35">
      <c r="G204" s="193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199"/>
      <c r="CF204" s="96"/>
      <c r="CG204" s="220"/>
      <c r="CH204" s="96"/>
      <c r="CI204" s="96"/>
      <c r="CJ204" s="199"/>
      <c r="CK204" s="96"/>
      <c r="CL204" s="96"/>
    </row>
    <row r="205" spans="7:90" x14ac:dyDescent="0.35">
      <c r="G205" s="193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199"/>
      <c r="CF205" s="96"/>
      <c r="CG205" s="220"/>
      <c r="CH205" s="96"/>
      <c r="CI205" s="96"/>
      <c r="CJ205" s="199"/>
      <c r="CK205" s="96"/>
      <c r="CL205" s="96"/>
    </row>
    <row r="206" spans="7:90" x14ac:dyDescent="0.35">
      <c r="G206" s="193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199"/>
      <c r="CF206" s="96"/>
      <c r="CG206" s="220"/>
      <c r="CH206" s="96"/>
      <c r="CI206" s="96"/>
      <c r="CJ206" s="199"/>
      <c r="CK206" s="96"/>
      <c r="CL206" s="96"/>
    </row>
    <row r="207" spans="7:90" x14ac:dyDescent="0.35">
      <c r="G207" s="193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199"/>
      <c r="CF207" s="96"/>
      <c r="CG207" s="220"/>
      <c r="CH207" s="96"/>
      <c r="CI207" s="96"/>
      <c r="CJ207" s="199"/>
      <c r="CK207" s="96"/>
      <c r="CL207" s="96"/>
    </row>
    <row r="208" spans="7:90" x14ac:dyDescent="0.35">
      <c r="G208" s="193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199"/>
      <c r="CF208" s="96"/>
      <c r="CG208" s="220"/>
      <c r="CH208" s="96"/>
      <c r="CI208" s="96"/>
      <c r="CJ208" s="199"/>
      <c r="CK208" s="96"/>
      <c r="CL208" s="96"/>
    </row>
    <row r="209" spans="7:90" x14ac:dyDescent="0.35">
      <c r="G209" s="193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199"/>
      <c r="CF209" s="96"/>
      <c r="CG209" s="220"/>
      <c r="CH209" s="96"/>
      <c r="CI209" s="96"/>
      <c r="CJ209" s="199"/>
      <c r="CK209" s="96"/>
      <c r="CL209" s="96"/>
    </row>
    <row r="210" spans="7:90" x14ac:dyDescent="0.35">
      <c r="G210" s="193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199"/>
      <c r="CF210" s="96"/>
      <c r="CG210" s="220"/>
      <c r="CH210" s="96"/>
      <c r="CI210" s="96"/>
      <c r="CJ210" s="199"/>
      <c r="CK210" s="96"/>
      <c r="CL210" s="96"/>
    </row>
    <row r="211" spans="7:90" x14ac:dyDescent="0.35">
      <c r="G211" s="193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199"/>
      <c r="CF211" s="96"/>
      <c r="CG211" s="220"/>
      <c r="CH211" s="96"/>
      <c r="CI211" s="96"/>
      <c r="CJ211" s="199"/>
      <c r="CK211" s="96"/>
      <c r="CL211" s="96"/>
    </row>
    <row r="212" spans="7:90" x14ac:dyDescent="0.35">
      <c r="G212" s="193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199"/>
      <c r="CF212" s="96"/>
      <c r="CG212" s="220"/>
      <c r="CH212" s="96"/>
      <c r="CI212" s="96"/>
      <c r="CJ212" s="199"/>
      <c r="CK212" s="96"/>
      <c r="CL212" s="96"/>
    </row>
    <row r="213" spans="7:90" x14ac:dyDescent="0.35">
      <c r="G213" s="193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199"/>
      <c r="CF213" s="96"/>
      <c r="CG213" s="220"/>
      <c r="CH213" s="96"/>
      <c r="CI213" s="96"/>
      <c r="CJ213" s="199"/>
      <c r="CK213" s="96"/>
      <c r="CL213" s="96"/>
    </row>
    <row r="214" spans="7:90" x14ac:dyDescent="0.35">
      <c r="G214" s="193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199"/>
      <c r="CF214" s="96"/>
      <c r="CG214" s="220"/>
      <c r="CH214" s="96"/>
      <c r="CI214" s="96"/>
      <c r="CJ214" s="199"/>
      <c r="CK214" s="96"/>
      <c r="CL214" s="96"/>
    </row>
    <row r="215" spans="7:90" x14ac:dyDescent="0.35">
      <c r="G215" s="193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199"/>
      <c r="CF215" s="96"/>
      <c r="CG215" s="220"/>
      <c r="CH215" s="96"/>
      <c r="CI215" s="96"/>
      <c r="CJ215" s="199"/>
      <c r="CK215" s="96"/>
      <c r="CL215" s="96"/>
    </row>
    <row r="216" spans="7:90" x14ac:dyDescent="0.35">
      <c r="G216" s="193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199"/>
      <c r="CF216" s="96"/>
      <c r="CG216" s="220"/>
      <c r="CH216" s="96"/>
      <c r="CI216" s="96"/>
      <c r="CJ216" s="199"/>
      <c r="CK216" s="96"/>
      <c r="CL216" s="96"/>
    </row>
    <row r="217" spans="7:90" x14ac:dyDescent="0.35">
      <c r="G217" s="193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199"/>
      <c r="CF217" s="96"/>
      <c r="CG217" s="220"/>
      <c r="CH217" s="96"/>
      <c r="CI217" s="96"/>
      <c r="CJ217" s="199"/>
      <c r="CK217" s="96"/>
      <c r="CL217" s="96"/>
    </row>
    <row r="218" spans="7:90" x14ac:dyDescent="0.35">
      <c r="G218" s="193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199"/>
      <c r="CF218" s="96"/>
      <c r="CG218" s="220"/>
      <c r="CH218" s="96"/>
      <c r="CI218" s="96"/>
      <c r="CJ218" s="199"/>
      <c r="CK218" s="96"/>
      <c r="CL218" s="96"/>
    </row>
    <row r="219" spans="7:90" x14ac:dyDescent="0.35">
      <c r="G219" s="193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199"/>
      <c r="CF219" s="96"/>
      <c r="CG219" s="220"/>
      <c r="CH219" s="96"/>
      <c r="CI219" s="96"/>
      <c r="CJ219" s="199"/>
      <c r="CK219" s="96"/>
      <c r="CL219" s="96"/>
    </row>
    <row r="220" spans="7:90" x14ac:dyDescent="0.35">
      <c r="G220" s="193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199"/>
      <c r="CF220" s="96"/>
      <c r="CG220" s="220"/>
      <c r="CH220" s="96"/>
      <c r="CI220" s="96"/>
      <c r="CJ220" s="199"/>
      <c r="CK220" s="96"/>
      <c r="CL220" s="96"/>
    </row>
    <row r="221" spans="7:90" x14ac:dyDescent="0.35">
      <c r="G221" s="193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199"/>
      <c r="CF221" s="96"/>
      <c r="CG221" s="220"/>
      <c r="CH221" s="96"/>
      <c r="CI221" s="96"/>
      <c r="CJ221" s="199"/>
      <c r="CK221" s="96"/>
      <c r="CL221" s="96"/>
    </row>
    <row r="222" spans="7:90" x14ac:dyDescent="0.35">
      <c r="G222" s="193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199"/>
      <c r="CF222" s="96"/>
      <c r="CG222" s="220"/>
      <c r="CH222" s="96"/>
      <c r="CI222" s="96"/>
      <c r="CJ222" s="199"/>
      <c r="CK222" s="96"/>
      <c r="CL222" s="96"/>
    </row>
    <row r="223" spans="7:90" x14ac:dyDescent="0.35">
      <c r="G223" s="193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199"/>
      <c r="CF223" s="96"/>
      <c r="CG223" s="220"/>
      <c r="CH223" s="96"/>
      <c r="CI223" s="96"/>
      <c r="CJ223" s="199"/>
      <c r="CK223" s="96"/>
      <c r="CL223" s="96"/>
    </row>
    <row r="224" spans="7:90" x14ac:dyDescent="0.35">
      <c r="G224" s="193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199"/>
      <c r="CF224" s="96"/>
      <c r="CG224" s="220"/>
      <c r="CH224" s="96"/>
      <c r="CI224" s="96"/>
      <c r="CJ224" s="199"/>
      <c r="CK224" s="96"/>
      <c r="CL224" s="96"/>
    </row>
    <row r="225" spans="7:90" x14ac:dyDescent="0.35">
      <c r="G225" s="193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199"/>
      <c r="CF225" s="96"/>
      <c r="CG225" s="220"/>
      <c r="CH225" s="96"/>
      <c r="CI225" s="96"/>
      <c r="CJ225" s="199"/>
      <c r="CK225" s="96"/>
      <c r="CL225" s="96"/>
    </row>
    <row r="226" spans="7:90" x14ac:dyDescent="0.35">
      <c r="G226" s="193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/>
      <c r="CD226" s="96"/>
      <c r="CE226" s="199"/>
      <c r="CF226" s="96"/>
      <c r="CG226" s="220"/>
      <c r="CH226" s="96"/>
      <c r="CI226" s="96"/>
      <c r="CJ226" s="199"/>
      <c r="CK226" s="96"/>
      <c r="CL226" s="96"/>
    </row>
    <row r="227" spans="7:90" x14ac:dyDescent="0.35">
      <c r="G227" s="193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199"/>
      <c r="CF227" s="96"/>
      <c r="CG227" s="220"/>
      <c r="CH227" s="96"/>
      <c r="CI227" s="96"/>
      <c r="CJ227" s="199"/>
      <c r="CK227" s="96"/>
      <c r="CL227" s="96"/>
    </row>
    <row r="228" spans="7:90" x14ac:dyDescent="0.35">
      <c r="G228" s="193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199"/>
      <c r="CF228" s="96"/>
      <c r="CG228" s="220"/>
      <c r="CH228" s="96"/>
      <c r="CI228" s="96"/>
      <c r="CJ228" s="199"/>
      <c r="CK228" s="96"/>
      <c r="CL228" s="96"/>
    </row>
    <row r="229" spans="7:90" x14ac:dyDescent="0.35">
      <c r="G229" s="193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199"/>
      <c r="CF229" s="96"/>
      <c r="CG229" s="220"/>
      <c r="CH229" s="96"/>
      <c r="CI229" s="96"/>
      <c r="CJ229" s="199"/>
      <c r="CK229" s="96"/>
      <c r="CL229" s="96"/>
    </row>
    <row r="230" spans="7:90" x14ac:dyDescent="0.35">
      <c r="G230" s="193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199"/>
      <c r="CF230" s="96"/>
      <c r="CG230" s="220"/>
      <c r="CH230" s="96"/>
      <c r="CI230" s="96"/>
      <c r="CJ230" s="199"/>
      <c r="CK230" s="96"/>
      <c r="CL230" s="96"/>
    </row>
    <row r="231" spans="7:90" x14ac:dyDescent="0.35">
      <c r="G231" s="193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199"/>
      <c r="CF231" s="96"/>
      <c r="CG231" s="220"/>
      <c r="CH231" s="96"/>
      <c r="CI231" s="96"/>
      <c r="CJ231" s="199"/>
      <c r="CK231" s="96"/>
      <c r="CL231" s="96"/>
    </row>
    <row r="232" spans="7:90" x14ac:dyDescent="0.35">
      <c r="G232" s="193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199"/>
      <c r="CF232" s="96"/>
      <c r="CG232" s="220"/>
      <c r="CH232" s="96"/>
      <c r="CI232" s="96"/>
      <c r="CJ232" s="199"/>
      <c r="CK232" s="96"/>
      <c r="CL232" s="96"/>
    </row>
    <row r="233" spans="7:90" x14ac:dyDescent="0.35">
      <c r="G233" s="193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199"/>
      <c r="CF233" s="96"/>
      <c r="CG233" s="220"/>
      <c r="CH233" s="96"/>
      <c r="CI233" s="96"/>
      <c r="CJ233" s="199"/>
      <c r="CK233" s="96"/>
      <c r="CL233" s="96"/>
    </row>
    <row r="234" spans="7:90" x14ac:dyDescent="0.35">
      <c r="G234" s="193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  <c r="CC234" s="96"/>
      <c r="CD234" s="96"/>
      <c r="CE234" s="199"/>
      <c r="CF234" s="96"/>
      <c r="CG234" s="220"/>
      <c r="CH234" s="96"/>
      <c r="CI234" s="96"/>
      <c r="CJ234" s="199"/>
      <c r="CK234" s="96"/>
      <c r="CL234" s="96"/>
    </row>
    <row r="235" spans="7:90" x14ac:dyDescent="0.35">
      <c r="G235" s="193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96"/>
      <c r="BP235" s="96"/>
      <c r="BQ235" s="96"/>
      <c r="BR235" s="96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199"/>
      <c r="CF235" s="96"/>
      <c r="CG235" s="220"/>
      <c r="CH235" s="96"/>
      <c r="CI235" s="96"/>
      <c r="CJ235" s="199"/>
      <c r="CK235" s="96"/>
      <c r="CL235" s="96"/>
    </row>
    <row r="236" spans="7:90" x14ac:dyDescent="0.35">
      <c r="G236" s="193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199"/>
      <c r="CF236" s="96"/>
      <c r="CG236" s="220"/>
      <c r="CH236" s="96"/>
      <c r="CI236" s="96"/>
      <c r="CJ236" s="199"/>
      <c r="CK236" s="96"/>
      <c r="CL236" s="96"/>
    </row>
    <row r="237" spans="7:90" x14ac:dyDescent="0.35">
      <c r="G237" s="193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199"/>
      <c r="CF237" s="96"/>
      <c r="CG237" s="220"/>
      <c r="CH237" s="96"/>
      <c r="CI237" s="96"/>
      <c r="CJ237" s="199"/>
      <c r="CK237" s="96"/>
      <c r="CL237" s="96"/>
    </row>
    <row r="238" spans="7:90" x14ac:dyDescent="0.35">
      <c r="G238" s="193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199"/>
      <c r="CF238" s="96"/>
      <c r="CG238" s="220"/>
      <c r="CH238" s="96"/>
      <c r="CI238" s="96"/>
      <c r="CJ238" s="199"/>
      <c r="CK238" s="96"/>
      <c r="CL238" s="96"/>
    </row>
    <row r="239" spans="7:90" x14ac:dyDescent="0.35">
      <c r="G239" s="193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199"/>
      <c r="CF239" s="96"/>
      <c r="CG239" s="220"/>
      <c r="CH239" s="96"/>
      <c r="CI239" s="96"/>
      <c r="CJ239" s="199"/>
      <c r="CK239" s="96"/>
      <c r="CL239" s="96"/>
    </row>
    <row r="240" spans="7:90" x14ac:dyDescent="0.35">
      <c r="G240" s="193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199"/>
      <c r="CF240" s="96"/>
      <c r="CG240" s="220"/>
      <c r="CH240" s="96"/>
      <c r="CI240" s="96"/>
      <c r="CJ240" s="199"/>
      <c r="CK240" s="96"/>
      <c r="CL240" s="96"/>
    </row>
    <row r="241" spans="7:90" x14ac:dyDescent="0.35">
      <c r="G241" s="193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199"/>
      <c r="CF241" s="96"/>
      <c r="CG241" s="220"/>
      <c r="CH241" s="96"/>
      <c r="CI241" s="96"/>
      <c r="CJ241" s="199"/>
      <c r="CK241" s="96"/>
      <c r="CL241" s="96"/>
    </row>
    <row r="242" spans="7:90" x14ac:dyDescent="0.35">
      <c r="G242" s="193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199"/>
      <c r="CF242" s="96"/>
      <c r="CG242" s="220"/>
      <c r="CH242" s="96"/>
      <c r="CI242" s="96"/>
      <c r="CJ242" s="199"/>
      <c r="CK242" s="96"/>
      <c r="CL242" s="96"/>
    </row>
    <row r="243" spans="7:90" x14ac:dyDescent="0.35">
      <c r="G243" s="193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199"/>
      <c r="CF243" s="96"/>
      <c r="CG243" s="220"/>
      <c r="CH243" s="96"/>
      <c r="CI243" s="96"/>
      <c r="CJ243" s="199"/>
      <c r="CK243" s="96"/>
      <c r="CL243" s="96"/>
    </row>
    <row r="244" spans="7:90" x14ac:dyDescent="0.35">
      <c r="G244" s="193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199"/>
      <c r="CF244" s="96"/>
      <c r="CG244" s="220"/>
      <c r="CH244" s="96"/>
      <c r="CI244" s="96"/>
      <c r="CJ244" s="199"/>
      <c r="CK244" s="96"/>
      <c r="CL244" s="96"/>
    </row>
    <row r="245" spans="7:90" x14ac:dyDescent="0.35">
      <c r="G245" s="193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199"/>
      <c r="CF245" s="96"/>
      <c r="CG245" s="220"/>
      <c r="CH245" s="96"/>
      <c r="CI245" s="96"/>
      <c r="CJ245" s="199"/>
      <c r="CK245" s="96"/>
      <c r="CL245" s="96"/>
    </row>
    <row r="246" spans="7:90" x14ac:dyDescent="0.35">
      <c r="G246" s="193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199"/>
      <c r="CF246" s="96"/>
      <c r="CG246" s="220"/>
      <c r="CH246" s="96"/>
      <c r="CI246" s="96"/>
      <c r="CJ246" s="199"/>
      <c r="CK246" s="96"/>
      <c r="CL246" s="96"/>
    </row>
    <row r="247" spans="7:90" x14ac:dyDescent="0.35">
      <c r="G247" s="193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199"/>
      <c r="CF247" s="96"/>
      <c r="CG247" s="220"/>
      <c r="CH247" s="96"/>
      <c r="CI247" s="96"/>
      <c r="CJ247" s="199"/>
      <c r="CK247" s="96"/>
      <c r="CL247" s="96"/>
    </row>
    <row r="248" spans="7:90" x14ac:dyDescent="0.35">
      <c r="G248" s="193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199"/>
      <c r="CF248" s="96"/>
      <c r="CG248" s="220"/>
      <c r="CH248" s="96"/>
      <c r="CI248" s="96"/>
      <c r="CJ248" s="199"/>
      <c r="CK248" s="96"/>
      <c r="CL248" s="96"/>
    </row>
    <row r="249" spans="7:90" x14ac:dyDescent="0.35">
      <c r="G249" s="193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199"/>
      <c r="CF249" s="96"/>
      <c r="CG249" s="220"/>
      <c r="CH249" s="96"/>
      <c r="CI249" s="96"/>
      <c r="CJ249" s="199"/>
      <c r="CK249" s="96"/>
      <c r="CL249" s="96"/>
    </row>
    <row r="250" spans="7:90" x14ac:dyDescent="0.35">
      <c r="G250" s="193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199"/>
      <c r="CF250" s="96"/>
      <c r="CG250" s="220"/>
      <c r="CH250" s="96"/>
      <c r="CI250" s="96"/>
      <c r="CJ250" s="199"/>
      <c r="CK250" s="96"/>
      <c r="CL250" s="96"/>
    </row>
    <row r="251" spans="7:90" x14ac:dyDescent="0.35">
      <c r="G251" s="193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199"/>
      <c r="CF251" s="96"/>
      <c r="CG251" s="220"/>
      <c r="CH251" s="96"/>
      <c r="CI251" s="96"/>
      <c r="CJ251" s="199"/>
      <c r="CK251" s="96"/>
      <c r="CL251" s="96"/>
    </row>
    <row r="252" spans="7:90" x14ac:dyDescent="0.35">
      <c r="G252" s="193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199"/>
      <c r="CF252" s="96"/>
      <c r="CG252" s="220"/>
      <c r="CH252" s="96"/>
      <c r="CI252" s="96"/>
      <c r="CJ252" s="199"/>
      <c r="CK252" s="96"/>
      <c r="CL252" s="96"/>
    </row>
    <row r="253" spans="7:90" x14ac:dyDescent="0.35">
      <c r="G253" s="193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199"/>
      <c r="CF253" s="96"/>
      <c r="CG253" s="220"/>
      <c r="CH253" s="96"/>
      <c r="CI253" s="96"/>
      <c r="CJ253" s="199"/>
      <c r="CK253" s="96"/>
      <c r="CL253" s="96"/>
    </row>
  </sheetData>
  <autoFilter ref="A8:CL106" xr:uid="{662F8E73-BC58-4203-98F2-6C472075F182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5631-0B72-42B7-87F2-280283FF2BB8}">
  <dimension ref="A1:BF95"/>
  <sheetViews>
    <sheetView zoomScale="40" zoomScaleNormal="40" workbookViewId="0">
      <pane xSplit="8" topLeftCell="AU1" activePane="topRight" state="frozen"/>
      <selection pane="topRight" activeCell="AV45" sqref="AV45"/>
    </sheetView>
  </sheetViews>
  <sheetFormatPr defaultColWidth="8.81640625" defaultRowHeight="21" x14ac:dyDescent="0.35"/>
  <cols>
    <col min="1" max="1" width="13.26953125" style="99" bestFit="1" customWidth="1"/>
    <col min="2" max="2" width="12.26953125" style="99" bestFit="1" customWidth="1"/>
    <col min="3" max="3" width="13.7265625" style="99" bestFit="1" customWidth="1"/>
    <col min="4" max="4" width="108.7265625" style="99" bestFit="1" customWidth="1"/>
    <col min="5" max="5" width="23" style="99" bestFit="1" customWidth="1"/>
    <col min="6" max="6" width="22.26953125" style="99" bestFit="1" customWidth="1"/>
    <col min="7" max="7" width="15.453125" style="163" bestFit="1" customWidth="1"/>
    <col min="8" max="8" width="26.54296875" style="99" bestFit="1" customWidth="1"/>
    <col min="9" max="9" width="39.54296875" style="99" customWidth="1"/>
    <col min="10" max="11" width="33.7265625" style="99" customWidth="1"/>
    <col min="12" max="12" width="37.54296875" style="99" customWidth="1"/>
    <col min="13" max="14" width="39.54296875" style="99" customWidth="1"/>
    <col min="15" max="15" width="33.7265625" style="99" customWidth="1"/>
    <col min="16" max="16" width="44.453125" style="99" customWidth="1"/>
    <col min="17" max="17" width="32.7265625" style="99" customWidth="1"/>
    <col min="18" max="18" width="39.54296875" style="99" customWidth="1"/>
    <col min="19" max="19" width="39.7265625" style="99" customWidth="1"/>
    <col min="20" max="22" width="41.26953125" style="99" customWidth="1"/>
    <col min="23" max="23" width="40.54296875" style="99" customWidth="1"/>
    <col min="24" max="24" width="35.453125" style="99" customWidth="1"/>
    <col min="25" max="27" width="34.1796875" style="99" customWidth="1"/>
    <col min="28" max="28" width="39.1796875" style="99" customWidth="1"/>
    <col min="29" max="29" width="30.7265625" style="99" customWidth="1"/>
    <col min="30" max="30" width="31.1796875" style="99" customWidth="1"/>
    <col min="31" max="31" width="26.1796875" style="99" customWidth="1"/>
    <col min="32" max="32" width="31.1796875" style="99" customWidth="1"/>
    <col min="33" max="33" width="25.453125" style="99" customWidth="1"/>
    <col min="34" max="34" width="35.54296875" style="99" customWidth="1"/>
    <col min="35" max="35" width="23.26953125" style="99" customWidth="1"/>
    <col min="36" max="36" width="24.453125" style="99" customWidth="1"/>
    <col min="37" max="37" width="18" style="99" customWidth="1"/>
    <col min="38" max="38" width="40.81640625" style="99" customWidth="1"/>
    <col min="39" max="39" width="40" style="99" customWidth="1"/>
    <col min="40" max="40" width="30.1796875" style="99" customWidth="1"/>
    <col min="41" max="41" width="40" style="99" customWidth="1"/>
    <col min="42" max="42" width="49.7265625" style="99" customWidth="1"/>
    <col min="43" max="45" width="55.81640625" style="99" customWidth="1"/>
    <col min="46" max="47" width="49.1796875" style="99" customWidth="1"/>
    <col min="48" max="48" width="54.1796875" style="99" customWidth="1"/>
    <col min="49" max="49" width="50.54296875" style="99" customWidth="1"/>
    <col min="50" max="51" width="52.54296875" style="99" customWidth="1"/>
    <col min="52" max="52" width="60.81640625" style="99" bestFit="1" customWidth="1"/>
    <col min="53" max="53" width="34.7265625" style="99" bestFit="1" customWidth="1"/>
    <col min="54" max="54" width="36.1796875" style="99" bestFit="1" customWidth="1"/>
    <col min="55" max="55" width="35.54296875" style="99" bestFit="1" customWidth="1"/>
    <col min="56" max="56" width="39.453125" style="99" bestFit="1" customWidth="1"/>
    <col min="57" max="57" width="41.54296875" style="99" bestFit="1" customWidth="1"/>
    <col min="58" max="58" width="49.81640625" style="99" bestFit="1" customWidth="1"/>
    <col min="59" max="16384" width="8.81640625" style="99"/>
  </cols>
  <sheetData>
    <row r="1" spans="1:58" ht="54.65" customHeight="1" thickBot="1" x14ac:dyDescent="0.4">
      <c r="H1" s="99" t="s">
        <v>1774</v>
      </c>
      <c r="I1" s="242" t="s">
        <v>1971</v>
      </c>
      <c r="J1" s="243"/>
      <c r="K1" s="243"/>
      <c r="L1" s="243"/>
      <c r="M1" s="243"/>
      <c r="N1" s="243"/>
      <c r="O1" s="243"/>
      <c r="P1" s="243"/>
      <c r="Q1" s="243"/>
      <c r="R1" s="244"/>
      <c r="S1" s="245" t="s">
        <v>1775</v>
      </c>
      <c r="T1" s="246"/>
      <c r="U1" s="247"/>
      <c r="V1" s="248" t="s">
        <v>1776</v>
      </c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50"/>
      <c r="AK1" s="173" t="s">
        <v>23</v>
      </c>
      <c r="AL1" s="251" t="s">
        <v>1777</v>
      </c>
      <c r="AM1" s="252"/>
      <c r="AN1" s="252"/>
      <c r="AO1" s="252"/>
      <c r="AP1" s="252"/>
      <c r="AQ1" s="252"/>
      <c r="AR1" s="252"/>
      <c r="AS1" s="252"/>
      <c r="AT1" s="240" t="s">
        <v>1778</v>
      </c>
      <c r="AU1" s="240"/>
      <c r="AV1" s="239" t="s">
        <v>1779</v>
      </c>
      <c r="AW1" s="239"/>
      <c r="AX1" s="239"/>
      <c r="AY1" s="239"/>
      <c r="AZ1" s="239"/>
      <c r="BA1" s="240" t="s">
        <v>1080</v>
      </c>
      <c r="BB1" s="240"/>
      <c r="BC1" s="240"/>
      <c r="BD1" s="240"/>
      <c r="BE1" s="241"/>
    </row>
    <row r="2" spans="1:58" ht="21.5" thickBot="1" x14ac:dyDescent="0.4">
      <c r="I2" s="183" t="s">
        <v>1780</v>
      </c>
      <c r="J2" s="236" t="s">
        <v>2019</v>
      </c>
      <c r="K2" s="228" t="s">
        <v>2127</v>
      </c>
      <c r="L2" s="228" t="s">
        <v>2129</v>
      </c>
      <c r="M2" s="184" t="s">
        <v>1781</v>
      </c>
      <c r="N2" s="184" t="s">
        <v>1782</v>
      </c>
      <c r="O2" s="227" t="s">
        <v>2023</v>
      </c>
      <c r="P2" s="184" t="s">
        <v>1783</v>
      </c>
      <c r="Q2" s="227" t="s">
        <v>2027</v>
      </c>
      <c r="R2" s="185" t="s">
        <v>1784</v>
      </c>
      <c r="S2" s="186" t="s">
        <v>1785</v>
      </c>
      <c r="T2" s="187" t="s">
        <v>1786</v>
      </c>
      <c r="U2" s="188" t="s">
        <v>1786</v>
      </c>
      <c r="V2" s="189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/>
      <c r="AK2" s="192"/>
      <c r="AL2" s="170"/>
      <c r="AM2" s="170"/>
      <c r="AN2" s="170"/>
      <c r="AO2" s="170"/>
      <c r="AP2" s="170"/>
      <c r="AQ2" s="170"/>
      <c r="AR2" s="170"/>
      <c r="AS2" s="170"/>
      <c r="AT2" s="171" t="s">
        <v>1778</v>
      </c>
      <c r="AU2" s="171"/>
      <c r="AV2" s="172" t="s">
        <v>1787</v>
      </c>
      <c r="AW2" s="172" t="s">
        <v>1788</v>
      </c>
      <c r="AX2" s="172" t="s">
        <v>1789</v>
      </c>
      <c r="AY2" s="172" t="s">
        <v>1790</v>
      </c>
      <c r="AZ2" s="172" t="s">
        <v>1791</v>
      </c>
      <c r="BA2" s="171"/>
      <c r="BB2" s="171"/>
      <c r="BC2" s="171"/>
      <c r="BD2" s="171"/>
      <c r="BE2" s="171"/>
    </row>
    <row r="3" spans="1:58" ht="72.5" x14ac:dyDescent="0.35">
      <c r="A3" s="160"/>
      <c r="D3" s="100"/>
      <c r="E3" s="100"/>
      <c r="F3" s="100"/>
      <c r="G3" s="164"/>
      <c r="H3" s="99" t="s">
        <v>1792</v>
      </c>
      <c r="I3" s="101" t="s">
        <v>1793</v>
      </c>
      <c r="J3" s="208" t="s">
        <v>2020</v>
      </c>
      <c r="K3" s="103" t="s">
        <v>1793</v>
      </c>
      <c r="L3" s="103" t="s">
        <v>1795</v>
      </c>
      <c r="M3" s="101" t="s">
        <v>1794</v>
      </c>
      <c r="N3" s="101" t="s">
        <v>1795</v>
      </c>
      <c r="O3" s="208" t="s">
        <v>2024</v>
      </c>
      <c r="P3" s="101" t="s">
        <v>1796</v>
      </c>
      <c r="Q3" s="208" t="s">
        <v>2028</v>
      </c>
      <c r="R3" s="101" t="s">
        <v>1797</v>
      </c>
      <c r="S3" s="102" t="s">
        <v>1798</v>
      </c>
      <c r="T3" s="102" t="s">
        <v>1799</v>
      </c>
      <c r="U3" s="102" t="s">
        <v>1800</v>
      </c>
      <c r="V3" s="103" t="s">
        <v>1801</v>
      </c>
      <c r="W3" s="103" t="s">
        <v>1802</v>
      </c>
      <c r="X3" s="103" t="s">
        <v>1803</v>
      </c>
      <c r="Y3" s="103" t="s">
        <v>1804</v>
      </c>
      <c r="Z3" s="103" t="s">
        <v>1805</v>
      </c>
      <c r="AA3" s="103" t="s">
        <v>1806</v>
      </c>
      <c r="AB3" s="103" t="s">
        <v>1807</v>
      </c>
      <c r="AC3" s="103" t="s">
        <v>1808</v>
      </c>
      <c r="AD3" s="103" t="s">
        <v>1809</v>
      </c>
      <c r="AE3" s="104" t="s">
        <v>1810</v>
      </c>
      <c r="AF3" s="104" t="s">
        <v>1811</v>
      </c>
      <c r="AG3" s="104" t="s">
        <v>1812</v>
      </c>
      <c r="AH3" s="104" t="s">
        <v>1813</v>
      </c>
      <c r="AI3" s="104" t="s">
        <v>1814</v>
      </c>
      <c r="AJ3" s="104" t="s">
        <v>1815</v>
      </c>
      <c r="AK3" s="105" t="s">
        <v>1816</v>
      </c>
      <c r="AL3" s="106" t="s">
        <v>1817</v>
      </c>
      <c r="AM3" s="107" t="s">
        <v>1818</v>
      </c>
      <c r="AN3" s="107" t="s">
        <v>1819</v>
      </c>
      <c r="AO3" s="107" t="s">
        <v>1820</v>
      </c>
      <c r="AP3" s="107" t="s">
        <v>1972</v>
      </c>
      <c r="AQ3" s="107" t="s">
        <v>1821</v>
      </c>
      <c r="AR3" s="107" t="s">
        <v>1822</v>
      </c>
      <c r="AS3" s="107" t="s">
        <v>1823</v>
      </c>
      <c r="AT3" s="108" t="s">
        <v>1824</v>
      </c>
      <c r="AU3" s="108" t="s">
        <v>1825</v>
      </c>
      <c r="AV3" s="109" t="s">
        <v>1826</v>
      </c>
      <c r="AW3" s="109" t="s">
        <v>1827</v>
      </c>
      <c r="AX3" s="109" t="s">
        <v>1828</v>
      </c>
      <c r="AY3" s="109" t="s">
        <v>1829</v>
      </c>
      <c r="AZ3" s="109" t="s">
        <v>1830</v>
      </c>
      <c r="BA3" s="108" t="s">
        <v>1831</v>
      </c>
      <c r="BB3" s="108" t="s">
        <v>1832</v>
      </c>
      <c r="BC3" s="108" t="s">
        <v>1833</v>
      </c>
      <c r="BD3" s="108" t="s">
        <v>1834</v>
      </c>
      <c r="BE3" s="108" t="s">
        <v>1835</v>
      </c>
      <c r="BF3" s="110" t="s">
        <v>1836</v>
      </c>
    </row>
    <row r="4" spans="1:58" ht="43.5" x14ac:dyDescent="0.35">
      <c r="A4" s="160"/>
      <c r="D4" s="100"/>
      <c r="E4" s="100"/>
      <c r="F4" s="100"/>
      <c r="G4" s="164"/>
      <c r="H4" s="99" t="s">
        <v>1837</v>
      </c>
      <c r="I4" s="226" t="s">
        <v>1838</v>
      </c>
      <c r="J4" s="209" t="s">
        <v>2021</v>
      </c>
      <c r="K4" s="112" t="s">
        <v>2128</v>
      </c>
      <c r="L4" s="112" t="s">
        <v>2130</v>
      </c>
      <c r="M4" s="226" t="s">
        <v>1839</v>
      </c>
      <c r="N4" s="226" t="s">
        <v>1840</v>
      </c>
      <c r="O4" s="209" t="s">
        <v>2025</v>
      </c>
      <c r="P4" s="226" t="s">
        <v>1841</v>
      </c>
      <c r="Q4" s="209" t="s">
        <v>2029</v>
      </c>
      <c r="R4" s="226" t="s">
        <v>1842</v>
      </c>
      <c r="S4" s="111" t="s">
        <v>1394</v>
      </c>
      <c r="T4" s="111" t="s">
        <v>1843</v>
      </c>
      <c r="U4" s="111" t="s">
        <v>1394</v>
      </c>
      <c r="V4" s="112" t="s">
        <v>1844</v>
      </c>
      <c r="W4" s="112" t="s">
        <v>1845</v>
      </c>
      <c r="X4" s="112" t="s">
        <v>1846</v>
      </c>
      <c r="Y4" s="112" t="s">
        <v>1847</v>
      </c>
      <c r="Z4" s="112" t="s">
        <v>1848</v>
      </c>
      <c r="AA4" s="112" t="s">
        <v>1849</v>
      </c>
      <c r="AB4" s="112" t="s">
        <v>1850</v>
      </c>
      <c r="AC4" s="112" t="s">
        <v>1851</v>
      </c>
      <c r="AD4" s="112" t="s">
        <v>1852</v>
      </c>
      <c r="AE4" s="112" t="s">
        <v>1853</v>
      </c>
      <c r="AF4" s="112" t="s">
        <v>1854</v>
      </c>
      <c r="AG4" s="112" t="s">
        <v>1855</v>
      </c>
      <c r="AH4" s="112" t="s">
        <v>1856</v>
      </c>
      <c r="AI4" s="112" t="s">
        <v>1857</v>
      </c>
      <c r="AJ4" s="112" t="s">
        <v>1858</v>
      </c>
      <c r="AK4" s="113" t="s">
        <v>1853</v>
      </c>
      <c r="AL4" s="106" t="s">
        <v>1859</v>
      </c>
      <c r="AM4" s="106" t="s">
        <v>1860</v>
      </c>
      <c r="AN4" s="107" t="s">
        <v>1861</v>
      </c>
      <c r="AO4" s="106" t="s">
        <v>1862</v>
      </c>
      <c r="AP4" s="106" t="s">
        <v>1863</v>
      </c>
      <c r="AQ4" s="107" t="s">
        <v>1864</v>
      </c>
      <c r="AR4" s="107" t="s">
        <v>1865</v>
      </c>
      <c r="AS4" s="107" t="s">
        <v>1866</v>
      </c>
      <c r="AT4" s="108" t="s">
        <v>1867</v>
      </c>
      <c r="AU4" s="108" t="s">
        <v>1868</v>
      </c>
      <c r="AV4" s="109" t="s">
        <v>1869</v>
      </c>
      <c r="AW4" s="109" t="s">
        <v>1867</v>
      </c>
      <c r="AX4" s="109" t="s">
        <v>1870</v>
      </c>
      <c r="AY4" s="109" t="s">
        <v>1871</v>
      </c>
      <c r="AZ4" s="109" t="s">
        <v>1872</v>
      </c>
      <c r="BA4" s="108" t="s">
        <v>1873</v>
      </c>
      <c r="BB4" s="108" t="s">
        <v>1874</v>
      </c>
      <c r="BC4" s="108" t="s">
        <v>1875</v>
      </c>
      <c r="BD4" s="108" t="s">
        <v>1876</v>
      </c>
      <c r="BE4" s="108" t="s">
        <v>1877</v>
      </c>
      <c r="BF4" s="110" t="s">
        <v>1878</v>
      </c>
    </row>
    <row r="5" spans="1:58" x14ac:dyDescent="0.35">
      <c r="D5" s="100"/>
      <c r="E5" s="100"/>
      <c r="F5" s="100"/>
      <c r="G5" s="164"/>
      <c r="I5" s="114">
        <f t="shared" ref="I5:BF5" si="0">SUBTOTAL(9,I8:I1048576)</f>
        <v>78</v>
      </c>
      <c r="J5" s="114">
        <f>SUBTOTAL(9,J8:J1048576)</f>
        <v>55</v>
      </c>
      <c r="K5" s="114">
        <f t="shared" ref="K5:L5" si="1">SUBTOTAL(9,K8:K1048576)</f>
        <v>76</v>
      </c>
      <c r="L5" s="114">
        <f t="shared" si="1"/>
        <v>85</v>
      </c>
      <c r="M5" s="114">
        <f t="shared" si="0"/>
        <v>57</v>
      </c>
      <c r="N5" s="114">
        <f t="shared" si="0"/>
        <v>87</v>
      </c>
      <c r="O5" s="114">
        <f>SUBTOTAL(9,O8:O1048576)</f>
        <v>60</v>
      </c>
      <c r="P5" s="114">
        <f t="shared" si="0"/>
        <v>121</v>
      </c>
      <c r="Q5" s="114">
        <f>SUBTOTAL(9,Q8:Q1048576)</f>
        <v>122</v>
      </c>
      <c r="R5" s="114">
        <f t="shared" si="0"/>
        <v>201</v>
      </c>
      <c r="S5" s="114">
        <f t="shared" si="0"/>
        <v>18</v>
      </c>
      <c r="T5" s="114">
        <f t="shared" si="0"/>
        <v>9</v>
      </c>
      <c r="U5" s="114">
        <f t="shared" si="0"/>
        <v>9</v>
      </c>
      <c r="V5" s="114">
        <f t="shared" si="0"/>
        <v>40</v>
      </c>
      <c r="W5" s="114">
        <f t="shared" si="0"/>
        <v>43</v>
      </c>
      <c r="X5" s="114">
        <f t="shared" si="0"/>
        <v>41</v>
      </c>
      <c r="Y5" s="114">
        <f t="shared" si="0"/>
        <v>24</v>
      </c>
      <c r="Z5" s="114">
        <f t="shared" si="0"/>
        <v>29</v>
      </c>
      <c r="AA5" s="114">
        <f t="shared" si="0"/>
        <v>387</v>
      </c>
      <c r="AB5" s="114">
        <f t="shared" si="0"/>
        <v>20</v>
      </c>
      <c r="AC5" s="114">
        <f t="shared" si="0"/>
        <v>52</v>
      </c>
      <c r="AD5" s="114">
        <f t="shared" si="0"/>
        <v>32</v>
      </c>
      <c r="AE5" s="114">
        <f t="shared" si="0"/>
        <v>2</v>
      </c>
      <c r="AF5" s="114">
        <f t="shared" si="0"/>
        <v>4</v>
      </c>
      <c r="AG5" s="114">
        <f t="shared" si="0"/>
        <v>23</v>
      </c>
      <c r="AH5" s="114">
        <f t="shared" si="0"/>
        <v>28</v>
      </c>
      <c r="AI5" s="114">
        <f t="shared" si="0"/>
        <v>4</v>
      </c>
      <c r="AJ5" s="114">
        <f t="shared" si="0"/>
        <v>2</v>
      </c>
      <c r="AK5" s="114">
        <f t="shared" si="0"/>
        <v>1</v>
      </c>
      <c r="AL5" s="115">
        <f t="shared" si="0"/>
        <v>37</v>
      </c>
      <c r="AM5" s="116">
        <f t="shared" si="0"/>
        <v>10</v>
      </c>
      <c r="AN5" s="116">
        <f t="shared" si="0"/>
        <v>25</v>
      </c>
      <c r="AO5" s="116">
        <f t="shared" si="0"/>
        <v>10</v>
      </c>
      <c r="AP5" s="116">
        <f t="shared" si="0"/>
        <v>44</v>
      </c>
      <c r="AQ5" s="116">
        <f t="shared" si="0"/>
        <v>52</v>
      </c>
      <c r="AR5" s="116">
        <f t="shared" si="0"/>
        <v>61</v>
      </c>
      <c r="AS5" s="116">
        <f t="shared" si="0"/>
        <v>58</v>
      </c>
      <c r="AT5" s="116">
        <f t="shared" si="0"/>
        <v>32</v>
      </c>
      <c r="AU5" s="116">
        <f t="shared" si="0"/>
        <v>31</v>
      </c>
      <c r="AV5" s="116">
        <f t="shared" si="0"/>
        <v>12</v>
      </c>
      <c r="AW5" s="116">
        <f t="shared" si="0"/>
        <v>38</v>
      </c>
      <c r="AX5" s="116">
        <f t="shared" si="0"/>
        <v>26</v>
      </c>
      <c r="AY5" s="116">
        <f t="shared" si="0"/>
        <v>26</v>
      </c>
      <c r="AZ5" s="116">
        <f t="shared" si="0"/>
        <v>47</v>
      </c>
      <c r="BA5" s="116">
        <f t="shared" si="0"/>
        <v>17</v>
      </c>
      <c r="BB5" s="116">
        <f t="shared" si="0"/>
        <v>18</v>
      </c>
      <c r="BC5" s="116">
        <f t="shared" si="0"/>
        <v>27</v>
      </c>
      <c r="BD5" s="116">
        <f t="shared" si="0"/>
        <v>19</v>
      </c>
      <c r="BE5" s="116">
        <f t="shared" si="0"/>
        <v>18</v>
      </c>
      <c r="BF5" s="116">
        <f t="shared" si="0"/>
        <v>3</v>
      </c>
    </row>
    <row r="6" spans="1:58" ht="21.5" thickBot="1" x14ac:dyDescent="0.4">
      <c r="A6" s="159"/>
      <c r="B6" s="159"/>
      <c r="C6" s="117"/>
      <c r="D6" s="117"/>
      <c r="E6" s="117"/>
      <c r="F6" s="117"/>
      <c r="G6" s="165"/>
      <c r="H6" s="159" t="s">
        <v>1879</v>
      </c>
      <c r="I6" s="174">
        <v>1</v>
      </c>
      <c r="J6" s="237">
        <v>1</v>
      </c>
      <c r="K6" s="174">
        <v>1</v>
      </c>
      <c r="L6" s="174">
        <v>1</v>
      </c>
      <c r="M6" s="174">
        <v>1</v>
      </c>
      <c r="N6" s="174">
        <v>1</v>
      </c>
      <c r="O6" s="237">
        <v>1</v>
      </c>
      <c r="P6" s="174">
        <v>1</v>
      </c>
      <c r="Q6" s="237">
        <v>1</v>
      </c>
      <c r="R6" s="174">
        <v>1</v>
      </c>
      <c r="S6" s="175">
        <v>1</v>
      </c>
      <c r="T6" s="175">
        <v>1</v>
      </c>
      <c r="U6" s="175">
        <v>1</v>
      </c>
      <c r="V6" s="176">
        <v>1</v>
      </c>
      <c r="W6" s="176">
        <v>1</v>
      </c>
      <c r="X6" s="176">
        <v>1</v>
      </c>
      <c r="Y6" s="176">
        <v>1</v>
      </c>
      <c r="Z6" s="176">
        <v>1</v>
      </c>
      <c r="AA6" s="176">
        <v>1</v>
      </c>
      <c r="AB6" s="176">
        <v>1</v>
      </c>
      <c r="AC6" s="176">
        <v>1</v>
      </c>
      <c r="AD6" s="176">
        <v>1</v>
      </c>
      <c r="AE6" s="176">
        <v>1</v>
      </c>
      <c r="AF6" s="176">
        <v>1</v>
      </c>
      <c r="AG6" s="176">
        <v>1</v>
      </c>
      <c r="AH6" s="176">
        <v>1</v>
      </c>
      <c r="AI6" s="176">
        <v>1</v>
      </c>
      <c r="AJ6" s="176">
        <v>1</v>
      </c>
      <c r="AK6" s="113">
        <v>1</v>
      </c>
      <c r="AL6" s="177">
        <v>1</v>
      </c>
      <c r="AM6" s="178">
        <v>1</v>
      </c>
      <c r="AN6" s="178">
        <v>1</v>
      </c>
      <c r="AO6" s="178">
        <v>1</v>
      </c>
      <c r="AP6" s="178">
        <v>1</v>
      </c>
      <c r="AQ6" s="178">
        <v>1</v>
      </c>
      <c r="AR6" s="178">
        <v>1</v>
      </c>
      <c r="AS6" s="178">
        <v>1</v>
      </c>
      <c r="AT6" s="179">
        <v>1</v>
      </c>
      <c r="AU6" s="179">
        <v>1</v>
      </c>
      <c r="AV6" s="180">
        <v>1</v>
      </c>
      <c r="AW6" s="180">
        <v>1</v>
      </c>
      <c r="AX6" s="180">
        <v>1</v>
      </c>
      <c r="AY6" s="180">
        <v>1</v>
      </c>
      <c r="AZ6" s="180">
        <v>1</v>
      </c>
      <c r="BA6" s="179">
        <v>1</v>
      </c>
      <c r="BB6" s="179">
        <v>1</v>
      </c>
      <c r="BC6" s="179">
        <v>1</v>
      </c>
      <c r="BD6" s="179">
        <v>1</v>
      </c>
      <c r="BE6" s="179">
        <v>1</v>
      </c>
      <c r="BF6" s="181">
        <v>1</v>
      </c>
    </row>
    <row r="7" spans="1:58" ht="248.5" customHeight="1" x14ac:dyDescent="0.35">
      <c r="A7" s="118" t="s">
        <v>1880</v>
      </c>
      <c r="B7" s="118" t="s">
        <v>1881</v>
      </c>
      <c r="C7" s="118" t="s">
        <v>1882</v>
      </c>
      <c r="D7" s="118" t="s">
        <v>1388</v>
      </c>
      <c r="E7" s="118" t="s">
        <v>1883</v>
      </c>
      <c r="F7" s="118" t="s">
        <v>1975</v>
      </c>
      <c r="G7" s="166" t="s">
        <v>1981</v>
      </c>
      <c r="H7" s="118" t="s">
        <v>1884</v>
      </c>
      <c r="I7" s="119" t="s">
        <v>1763</v>
      </c>
      <c r="J7" s="119" t="s">
        <v>2022</v>
      </c>
      <c r="K7" s="119" t="s">
        <v>1763</v>
      </c>
      <c r="L7" s="119" t="s">
        <v>2131</v>
      </c>
      <c r="M7" s="119" t="s">
        <v>1885</v>
      </c>
      <c r="N7" s="119" t="s">
        <v>1886</v>
      </c>
      <c r="O7" s="119" t="s">
        <v>2026</v>
      </c>
      <c r="P7" s="119" t="s">
        <v>1887</v>
      </c>
      <c r="Q7" s="119" t="s">
        <v>2030</v>
      </c>
      <c r="R7" s="119" t="s">
        <v>1888</v>
      </c>
      <c r="S7" s="120" t="s">
        <v>1889</v>
      </c>
      <c r="T7" s="120" t="s">
        <v>1890</v>
      </c>
      <c r="U7" s="120" t="s">
        <v>1891</v>
      </c>
      <c r="V7" s="121" t="s">
        <v>1892</v>
      </c>
      <c r="W7" s="121" t="s">
        <v>1893</v>
      </c>
      <c r="X7" s="121" t="s">
        <v>1894</v>
      </c>
      <c r="Y7" s="121" t="s">
        <v>1895</v>
      </c>
      <c r="Z7" s="121" t="s">
        <v>1896</v>
      </c>
      <c r="AA7" s="121" t="s">
        <v>1897</v>
      </c>
      <c r="AB7" s="121" t="s">
        <v>1898</v>
      </c>
      <c r="AC7" s="121" t="s">
        <v>1899</v>
      </c>
      <c r="AD7" s="121" t="s">
        <v>1900</v>
      </c>
      <c r="AE7" s="121" t="s">
        <v>1901</v>
      </c>
      <c r="AF7" s="121" t="s">
        <v>1902</v>
      </c>
      <c r="AG7" s="121" t="s">
        <v>1903</v>
      </c>
      <c r="AH7" s="121" t="s">
        <v>1904</v>
      </c>
      <c r="AI7" s="121" t="s">
        <v>1905</v>
      </c>
      <c r="AJ7" s="121" t="s">
        <v>1906</v>
      </c>
      <c r="AK7" s="113" t="s">
        <v>1907</v>
      </c>
      <c r="AL7" s="122" t="s">
        <v>1764</v>
      </c>
      <c r="AM7" s="123" t="s">
        <v>1908</v>
      </c>
      <c r="AN7" s="123" t="s">
        <v>1909</v>
      </c>
      <c r="AO7" s="123" t="s">
        <v>1910</v>
      </c>
      <c r="AP7" s="123" t="s">
        <v>1911</v>
      </c>
      <c r="AQ7" s="123" t="s">
        <v>1912</v>
      </c>
      <c r="AR7" s="123" t="s">
        <v>1913</v>
      </c>
      <c r="AS7" s="123" t="s">
        <v>1914</v>
      </c>
      <c r="AT7" s="124" t="s">
        <v>1915</v>
      </c>
      <c r="AU7" s="124" t="s">
        <v>1761</v>
      </c>
      <c r="AV7" s="125" t="s">
        <v>1916</v>
      </c>
      <c r="AW7" s="125" t="s">
        <v>1917</v>
      </c>
      <c r="AX7" s="125" t="s">
        <v>1918</v>
      </c>
      <c r="AY7" s="125" t="s">
        <v>1919</v>
      </c>
      <c r="AZ7" s="125" t="s">
        <v>1920</v>
      </c>
      <c r="BA7" s="126" t="s">
        <v>1921</v>
      </c>
      <c r="BB7" s="126" t="s">
        <v>1922</v>
      </c>
      <c r="BC7" s="126" t="s">
        <v>1923</v>
      </c>
      <c r="BD7" s="126" t="s">
        <v>1924</v>
      </c>
      <c r="BE7" s="126" t="s">
        <v>1925</v>
      </c>
      <c r="BF7" s="127" t="s">
        <v>1926</v>
      </c>
    </row>
    <row r="8" spans="1:58" x14ac:dyDescent="0.35">
      <c r="A8" s="128" t="s">
        <v>1927</v>
      </c>
      <c r="B8" s="128" t="s">
        <v>1928</v>
      </c>
      <c r="C8" s="128" t="s">
        <v>1390</v>
      </c>
      <c r="D8" s="128" t="s">
        <v>1929</v>
      </c>
      <c r="E8" s="128" t="s">
        <v>1930</v>
      </c>
      <c r="F8" s="128" t="s">
        <v>1931</v>
      </c>
      <c r="G8" s="167">
        <v>1</v>
      </c>
      <c r="H8" s="128" t="s">
        <v>1932</v>
      </c>
      <c r="I8" s="129">
        <f t="shared" ref="I8:R8" si="2">I6</f>
        <v>1</v>
      </c>
      <c r="J8" s="129">
        <f>J6</f>
        <v>1</v>
      </c>
      <c r="K8" s="129">
        <f t="shared" ref="K8:L8" si="3">K6</f>
        <v>1</v>
      </c>
      <c r="L8" s="129">
        <f t="shared" si="3"/>
        <v>1</v>
      </c>
      <c r="M8" s="129">
        <f t="shared" si="2"/>
        <v>1</v>
      </c>
      <c r="N8" s="129">
        <f t="shared" si="2"/>
        <v>1</v>
      </c>
      <c r="O8" s="129">
        <f>O6</f>
        <v>1</v>
      </c>
      <c r="P8" s="129">
        <f t="shared" si="2"/>
        <v>1</v>
      </c>
      <c r="Q8" s="129">
        <f>Q6</f>
        <v>1</v>
      </c>
      <c r="R8" s="129">
        <f t="shared" si="2"/>
        <v>1</v>
      </c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82"/>
      <c r="AD8" s="182"/>
      <c r="AE8" s="182"/>
      <c r="AF8" s="182"/>
      <c r="AG8" s="182"/>
      <c r="AH8" s="182"/>
      <c r="AI8" s="182"/>
      <c r="AJ8" s="182"/>
      <c r="AK8" s="129"/>
      <c r="AL8" s="130">
        <v>0</v>
      </c>
      <c r="AM8" s="131">
        <v>0</v>
      </c>
      <c r="AN8" s="131">
        <v>0</v>
      </c>
      <c r="AO8" s="131">
        <v>0</v>
      </c>
      <c r="AP8" s="131">
        <v>0</v>
      </c>
      <c r="AQ8" s="131">
        <v>0</v>
      </c>
      <c r="AR8" s="131">
        <v>0</v>
      </c>
      <c r="AS8" s="131">
        <v>0</v>
      </c>
      <c r="AT8" s="131">
        <v>0</v>
      </c>
      <c r="AU8" s="131">
        <v>0</v>
      </c>
      <c r="AV8" s="131">
        <v>0</v>
      </c>
      <c r="AW8" s="131">
        <v>0</v>
      </c>
      <c r="AX8" s="131">
        <v>0</v>
      </c>
      <c r="AY8" s="131">
        <v>0</v>
      </c>
      <c r="AZ8" s="131">
        <v>0</v>
      </c>
      <c r="BA8" s="131">
        <v>0</v>
      </c>
      <c r="BB8" s="131">
        <v>0</v>
      </c>
      <c r="BC8" s="131">
        <v>0</v>
      </c>
      <c r="BD8" s="131">
        <v>0</v>
      </c>
      <c r="BE8" s="131">
        <v>0</v>
      </c>
      <c r="BF8" s="131">
        <v>0</v>
      </c>
    </row>
    <row r="9" spans="1:58" x14ac:dyDescent="0.35">
      <c r="A9" s="132" t="s">
        <v>1927</v>
      </c>
      <c r="B9" s="132" t="s">
        <v>1928</v>
      </c>
      <c r="C9" s="132" t="s">
        <v>1390</v>
      </c>
      <c r="D9" s="132" t="s">
        <v>1392</v>
      </c>
      <c r="E9" s="132" t="s">
        <v>1933</v>
      </c>
      <c r="F9" s="132" t="s">
        <v>1931</v>
      </c>
      <c r="G9" s="167">
        <v>2</v>
      </c>
      <c r="H9" s="132" t="s">
        <v>1932</v>
      </c>
      <c r="I9" s="129">
        <f t="shared" ref="I9:R11" si="4">I8</f>
        <v>1</v>
      </c>
      <c r="J9" s="129">
        <f>J8</f>
        <v>1</v>
      </c>
      <c r="K9" s="129">
        <f t="shared" ref="K9:L11" si="5">K8</f>
        <v>1</v>
      </c>
      <c r="L9" s="129">
        <f t="shared" si="5"/>
        <v>1</v>
      </c>
      <c r="M9" s="129">
        <f t="shared" si="4"/>
        <v>1</v>
      </c>
      <c r="N9" s="129">
        <f t="shared" si="4"/>
        <v>1</v>
      </c>
      <c r="O9" s="129">
        <f>O8</f>
        <v>1</v>
      </c>
      <c r="P9" s="129">
        <f t="shared" si="4"/>
        <v>1</v>
      </c>
      <c r="Q9" s="129">
        <f>Q8</f>
        <v>1</v>
      </c>
      <c r="R9" s="129">
        <f t="shared" si="4"/>
        <v>1</v>
      </c>
      <c r="S9" s="129"/>
      <c r="T9" s="129"/>
      <c r="U9" s="129"/>
      <c r="V9" s="129">
        <v>0</v>
      </c>
      <c r="W9" s="129">
        <f>W6</f>
        <v>1</v>
      </c>
      <c r="X9" s="129"/>
      <c r="Y9" s="129"/>
      <c r="Z9" s="129">
        <f>Z6</f>
        <v>1</v>
      </c>
      <c r="AA9" s="129">
        <f>AA6</f>
        <v>1</v>
      </c>
      <c r="AB9" s="129"/>
      <c r="AC9" s="182">
        <f>AC6</f>
        <v>1</v>
      </c>
      <c r="AD9" s="182">
        <f>AD6</f>
        <v>1</v>
      </c>
      <c r="AE9" s="182"/>
      <c r="AF9" s="182">
        <f>AF6</f>
        <v>1</v>
      </c>
      <c r="AG9" s="182"/>
      <c r="AH9" s="182"/>
      <c r="AI9" s="182">
        <f>AI6*1</f>
        <v>1</v>
      </c>
      <c r="AJ9" s="182"/>
      <c r="AK9" s="129"/>
      <c r="AL9" s="130">
        <f t="shared" ref="AL9:AS9" si="6">AL6</f>
        <v>1</v>
      </c>
      <c r="AM9" s="131">
        <f t="shared" si="6"/>
        <v>1</v>
      </c>
      <c r="AN9" s="131">
        <f t="shared" si="6"/>
        <v>1</v>
      </c>
      <c r="AO9" s="131">
        <f t="shared" si="6"/>
        <v>1</v>
      </c>
      <c r="AP9" s="131">
        <f t="shared" si="6"/>
        <v>1</v>
      </c>
      <c r="AQ9" s="131">
        <f t="shared" si="6"/>
        <v>1</v>
      </c>
      <c r="AR9" s="131">
        <f t="shared" si="6"/>
        <v>1</v>
      </c>
      <c r="AS9" s="131">
        <f t="shared" si="6"/>
        <v>1</v>
      </c>
      <c r="AT9" s="131">
        <v>0</v>
      </c>
      <c r="AU9" s="131">
        <v>0</v>
      </c>
      <c r="AV9" s="131">
        <f>AV6</f>
        <v>1</v>
      </c>
      <c r="AW9" s="131">
        <v>0</v>
      </c>
      <c r="AX9" s="131">
        <v>0</v>
      </c>
      <c r="AY9" s="131">
        <v>0</v>
      </c>
      <c r="AZ9" s="131">
        <v>0</v>
      </c>
      <c r="BA9" s="131">
        <v>0</v>
      </c>
      <c r="BB9" s="131">
        <v>0</v>
      </c>
      <c r="BC9" s="131">
        <v>0</v>
      </c>
      <c r="BD9" s="131">
        <v>0</v>
      </c>
      <c r="BE9" s="131">
        <v>0</v>
      </c>
      <c r="BF9" s="131">
        <v>0</v>
      </c>
    </row>
    <row r="10" spans="1:58" x14ac:dyDescent="0.35">
      <c r="A10" s="132" t="s">
        <v>1927</v>
      </c>
      <c r="B10" s="132" t="s">
        <v>1928</v>
      </c>
      <c r="C10" s="132" t="s">
        <v>1390</v>
      </c>
      <c r="D10" s="132" t="s">
        <v>1934</v>
      </c>
      <c r="E10" s="132" t="s">
        <v>1935</v>
      </c>
      <c r="F10" s="132" t="s">
        <v>1931</v>
      </c>
      <c r="G10" s="167">
        <v>3</v>
      </c>
      <c r="H10" s="132" t="s">
        <v>1932</v>
      </c>
      <c r="I10" s="129">
        <f t="shared" si="4"/>
        <v>1</v>
      </c>
      <c r="J10" s="129">
        <f>J9</f>
        <v>1</v>
      </c>
      <c r="K10" s="129">
        <f t="shared" si="5"/>
        <v>1</v>
      </c>
      <c r="L10" s="129">
        <f t="shared" si="5"/>
        <v>1</v>
      </c>
      <c r="M10" s="129">
        <f t="shared" si="4"/>
        <v>1</v>
      </c>
      <c r="N10" s="129">
        <f t="shared" si="4"/>
        <v>1</v>
      </c>
      <c r="O10" s="129">
        <f>O9</f>
        <v>1</v>
      </c>
      <c r="P10" s="129">
        <f t="shared" si="4"/>
        <v>1</v>
      </c>
      <c r="Q10" s="129">
        <f>Q9</f>
        <v>1</v>
      </c>
      <c r="R10" s="129">
        <f t="shared" si="4"/>
        <v>1</v>
      </c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82"/>
      <c r="AD10" s="182"/>
      <c r="AE10" s="182"/>
      <c r="AF10" s="182"/>
      <c r="AG10" s="182">
        <f>AG6</f>
        <v>1</v>
      </c>
      <c r="AH10" s="182"/>
      <c r="AI10" s="182"/>
      <c r="AJ10" s="182">
        <f>AJ6</f>
        <v>1</v>
      </c>
      <c r="AK10" s="129"/>
      <c r="AL10" s="130">
        <v>0</v>
      </c>
      <c r="AM10" s="131">
        <v>0</v>
      </c>
      <c r="AN10" s="131">
        <v>0</v>
      </c>
      <c r="AO10" s="131">
        <v>0</v>
      </c>
      <c r="AP10" s="131">
        <v>0</v>
      </c>
      <c r="AQ10" s="131">
        <v>0</v>
      </c>
      <c r="AR10" s="131">
        <v>0</v>
      </c>
      <c r="AS10" s="131">
        <v>0</v>
      </c>
      <c r="AT10" s="131">
        <v>0</v>
      </c>
      <c r="AU10" s="131">
        <v>0</v>
      </c>
      <c r="AV10" s="131">
        <v>0</v>
      </c>
      <c r="AW10" s="131">
        <v>0</v>
      </c>
      <c r="AX10" s="131">
        <v>0</v>
      </c>
      <c r="AY10" s="131">
        <v>0</v>
      </c>
      <c r="AZ10" s="131">
        <v>0</v>
      </c>
      <c r="BA10" s="131">
        <v>0</v>
      </c>
      <c r="BB10" s="131">
        <v>0</v>
      </c>
      <c r="BC10" s="131">
        <v>0</v>
      </c>
      <c r="BD10" s="131">
        <v>0</v>
      </c>
      <c r="BE10" s="131">
        <v>0</v>
      </c>
      <c r="BF10" s="131">
        <v>0</v>
      </c>
    </row>
    <row r="11" spans="1:58" x14ac:dyDescent="0.35">
      <c r="A11" s="132" t="s">
        <v>1927</v>
      </c>
      <c r="B11" s="132" t="s">
        <v>1928</v>
      </c>
      <c r="C11" s="132" t="s">
        <v>1390</v>
      </c>
      <c r="D11" s="132" t="s">
        <v>1393</v>
      </c>
      <c r="E11" s="132" t="s">
        <v>1936</v>
      </c>
      <c r="F11" s="132" t="s">
        <v>1931</v>
      </c>
      <c r="G11" s="167">
        <v>4</v>
      </c>
      <c r="H11" s="132" t="s">
        <v>1932</v>
      </c>
      <c r="I11" s="129">
        <f t="shared" si="4"/>
        <v>1</v>
      </c>
      <c r="J11" s="129">
        <f>J10</f>
        <v>1</v>
      </c>
      <c r="K11" s="129">
        <f t="shared" si="5"/>
        <v>1</v>
      </c>
      <c r="L11" s="129">
        <f t="shared" si="5"/>
        <v>1</v>
      </c>
      <c r="M11" s="129">
        <f t="shared" si="4"/>
        <v>1</v>
      </c>
      <c r="N11" s="129">
        <f t="shared" si="4"/>
        <v>1</v>
      </c>
      <c r="O11" s="129">
        <f>O10</f>
        <v>1</v>
      </c>
      <c r="P11" s="129">
        <f t="shared" si="4"/>
        <v>1</v>
      </c>
      <c r="Q11" s="129">
        <f>Q10</f>
        <v>1</v>
      </c>
      <c r="R11" s="129">
        <f t="shared" si="4"/>
        <v>1</v>
      </c>
      <c r="S11" s="129"/>
      <c r="T11" s="129"/>
      <c r="U11" s="129"/>
      <c r="V11" s="129">
        <v>0</v>
      </c>
      <c r="W11" s="129">
        <f>W6</f>
        <v>1</v>
      </c>
      <c r="X11" s="129"/>
      <c r="Y11" s="129"/>
      <c r="Z11" s="129">
        <f>Z6</f>
        <v>1</v>
      </c>
      <c r="AA11" s="129">
        <f>AA6</f>
        <v>1</v>
      </c>
      <c r="AB11" s="129"/>
      <c r="AC11" s="182">
        <f>AC6</f>
        <v>1</v>
      </c>
      <c r="AD11" s="182">
        <f>AD6</f>
        <v>1</v>
      </c>
      <c r="AE11" s="182"/>
      <c r="AF11" s="182">
        <f>AF6</f>
        <v>1</v>
      </c>
      <c r="AG11" s="182"/>
      <c r="AH11" s="182">
        <f>AH6</f>
        <v>1</v>
      </c>
      <c r="AI11" s="182">
        <f>AI6*1</f>
        <v>1</v>
      </c>
      <c r="AJ11" s="182"/>
      <c r="AK11" s="129"/>
      <c r="AL11" s="130">
        <f>AL6</f>
        <v>1</v>
      </c>
      <c r="AM11" s="131">
        <f>AM6</f>
        <v>1</v>
      </c>
      <c r="AN11" s="131">
        <f>AN6</f>
        <v>1</v>
      </c>
      <c r="AO11" s="131">
        <f>AO6</f>
        <v>1</v>
      </c>
      <c r="AP11" s="131">
        <f>AP6*2</f>
        <v>2</v>
      </c>
      <c r="AQ11" s="131">
        <f>AQ6*2</f>
        <v>2</v>
      </c>
      <c r="AR11" s="131">
        <f>AR6*2</f>
        <v>2</v>
      </c>
      <c r="AS11" s="131">
        <f>AS6*2</f>
        <v>2</v>
      </c>
      <c r="AT11" s="131">
        <f>AT6</f>
        <v>1</v>
      </c>
      <c r="AU11" s="131">
        <v>0</v>
      </c>
      <c r="AV11" s="131">
        <f>AV6*1</f>
        <v>1</v>
      </c>
      <c r="AW11" s="131">
        <f>AW6*1</f>
        <v>1</v>
      </c>
      <c r="AX11" s="131">
        <f>AX6*1</f>
        <v>1</v>
      </c>
      <c r="AY11" s="131">
        <f>AY6*1</f>
        <v>1</v>
      </c>
      <c r="AZ11" s="131">
        <f>AZ6</f>
        <v>1</v>
      </c>
      <c r="BA11" s="131">
        <v>0</v>
      </c>
      <c r="BB11" s="131">
        <v>0</v>
      </c>
      <c r="BC11" s="131">
        <v>0</v>
      </c>
      <c r="BD11" s="131">
        <f>BD6</f>
        <v>1</v>
      </c>
      <c r="BE11" s="131">
        <f>BE6</f>
        <v>1</v>
      </c>
      <c r="BF11" s="131">
        <f>BF6</f>
        <v>1</v>
      </c>
    </row>
    <row r="12" spans="1:58" ht="14.5" x14ac:dyDescent="0.35">
      <c r="A12" s="132" t="s">
        <v>1927</v>
      </c>
      <c r="B12" s="132" t="s">
        <v>1928</v>
      </c>
      <c r="C12" s="132" t="s">
        <v>1394</v>
      </c>
      <c r="D12" s="132" t="s">
        <v>1395</v>
      </c>
      <c r="E12" s="132"/>
      <c r="F12" s="168" t="s">
        <v>1937</v>
      </c>
      <c r="G12" s="168" t="s">
        <v>1982</v>
      </c>
      <c r="H12" s="132" t="s">
        <v>1932</v>
      </c>
      <c r="I12" s="129">
        <v>0</v>
      </c>
      <c r="J12" s="129">
        <v>0</v>
      </c>
      <c r="K12" s="129">
        <v>0</v>
      </c>
      <c r="L12" s="129">
        <v>0</v>
      </c>
      <c r="M12" s="129">
        <v>0</v>
      </c>
      <c r="N12" s="129">
        <v>0</v>
      </c>
      <c r="O12" s="129">
        <v>0</v>
      </c>
      <c r="P12" s="129">
        <v>0</v>
      </c>
      <c r="Q12" s="129">
        <v>0</v>
      </c>
      <c r="R12" s="129">
        <v>0</v>
      </c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82"/>
      <c r="AD12" s="182"/>
      <c r="AE12" s="182"/>
      <c r="AF12" s="182"/>
      <c r="AG12" s="182"/>
      <c r="AH12" s="182"/>
      <c r="AI12" s="182"/>
      <c r="AJ12" s="182"/>
      <c r="AK12" s="129"/>
      <c r="AL12" s="130">
        <v>0</v>
      </c>
      <c r="AM12" s="131">
        <v>0</v>
      </c>
      <c r="AN12" s="131">
        <v>0</v>
      </c>
      <c r="AO12" s="131">
        <v>0</v>
      </c>
      <c r="AP12" s="131">
        <v>0</v>
      </c>
      <c r="AQ12" s="131">
        <v>0</v>
      </c>
      <c r="AR12" s="131">
        <v>0</v>
      </c>
      <c r="AS12" s="131">
        <v>0</v>
      </c>
      <c r="AT12" s="131">
        <v>0</v>
      </c>
      <c r="AU12" s="131">
        <v>0</v>
      </c>
      <c r="AV12" s="131">
        <v>0</v>
      </c>
      <c r="AW12" s="131">
        <v>0</v>
      </c>
      <c r="AX12" s="131">
        <v>0</v>
      </c>
      <c r="AY12" s="131">
        <v>0</v>
      </c>
      <c r="AZ12" s="131">
        <v>0</v>
      </c>
      <c r="BA12" s="131">
        <v>0</v>
      </c>
      <c r="BB12" s="131">
        <v>0</v>
      </c>
      <c r="BC12" s="131">
        <v>0</v>
      </c>
      <c r="BD12" s="131">
        <v>0</v>
      </c>
      <c r="BE12" s="131">
        <v>0</v>
      </c>
      <c r="BF12" s="131">
        <v>0</v>
      </c>
    </row>
    <row r="13" spans="1:58" x14ac:dyDescent="0.35">
      <c r="A13" s="132" t="s">
        <v>1927</v>
      </c>
      <c r="B13" s="133" t="s">
        <v>1928</v>
      </c>
      <c r="C13" s="133" t="s">
        <v>1390</v>
      </c>
      <c r="D13" s="132" t="s">
        <v>1396</v>
      </c>
      <c r="E13" s="132" t="s">
        <v>1938</v>
      </c>
      <c r="F13" s="132" t="s">
        <v>1931</v>
      </c>
      <c r="G13" s="167">
        <v>6</v>
      </c>
      <c r="H13" s="132" t="s">
        <v>1932</v>
      </c>
      <c r="I13" s="129">
        <f t="shared" ref="I13:R13" si="7">I9</f>
        <v>1</v>
      </c>
      <c r="J13" s="129">
        <f>J9</f>
        <v>1</v>
      </c>
      <c r="K13" s="129">
        <f t="shared" ref="K13:L13" si="8">K9</f>
        <v>1</v>
      </c>
      <c r="L13" s="129">
        <f t="shared" si="8"/>
        <v>1</v>
      </c>
      <c r="M13" s="129">
        <f t="shared" si="7"/>
        <v>1</v>
      </c>
      <c r="N13" s="129">
        <f t="shared" si="7"/>
        <v>1</v>
      </c>
      <c r="O13" s="129">
        <f>O9</f>
        <v>1</v>
      </c>
      <c r="P13" s="129">
        <f t="shared" si="7"/>
        <v>1</v>
      </c>
      <c r="Q13" s="129">
        <f>Q9</f>
        <v>1</v>
      </c>
      <c r="R13" s="129">
        <f t="shared" si="7"/>
        <v>1</v>
      </c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30">
        <f t="shared" ref="AL13:AS13" si="9">AL6</f>
        <v>1</v>
      </c>
      <c r="AM13" s="131">
        <f t="shared" si="9"/>
        <v>1</v>
      </c>
      <c r="AN13" s="131">
        <f t="shared" si="9"/>
        <v>1</v>
      </c>
      <c r="AO13" s="131">
        <f t="shared" si="9"/>
        <v>1</v>
      </c>
      <c r="AP13" s="131">
        <f t="shared" si="9"/>
        <v>1</v>
      </c>
      <c r="AQ13" s="131">
        <f t="shared" si="9"/>
        <v>1</v>
      </c>
      <c r="AR13" s="131">
        <f t="shared" si="9"/>
        <v>1</v>
      </c>
      <c r="AS13" s="131">
        <f t="shared" si="9"/>
        <v>1</v>
      </c>
      <c r="AT13" s="131">
        <v>0</v>
      </c>
      <c r="AU13" s="131">
        <v>0</v>
      </c>
      <c r="AV13" s="131">
        <v>0</v>
      </c>
      <c r="AW13" s="131">
        <v>0</v>
      </c>
      <c r="AX13" s="131">
        <v>0</v>
      </c>
      <c r="AY13" s="131">
        <v>0</v>
      </c>
      <c r="AZ13" s="131">
        <v>0</v>
      </c>
      <c r="BA13" s="131">
        <v>0</v>
      </c>
      <c r="BB13" s="131">
        <v>0</v>
      </c>
      <c r="BC13" s="131">
        <v>0</v>
      </c>
      <c r="BD13" s="131">
        <v>0</v>
      </c>
      <c r="BE13" s="131">
        <v>0</v>
      </c>
      <c r="BF13" s="131">
        <v>0</v>
      </c>
    </row>
    <row r="14" spans="1:58" ht="14.5" x14ac:dyDescent="0.35">
      <c r="A14" s="132" t="s">
        <v>1927</v>
      </c>
      <c r="B14" s="132" t="s">
        <v>1928</v>
      </c>
      <c r="C14" s="132" t="s">
        <v>1390</v>
      </c>
      <c r="D14" s="132" t="s">
        <v>1397</v>
      </c>
      <c r="E14" s="132"/>
      <c r="F14" s="168" t="s">
        <v>1937</v>
      </c>
      <c r="G14" s="168" t="s">
        <v>1982</v>
      </c>
      <c r="H14" s="132" t="s">
        <v>1932</v>
      </c>
      <c r="I14" s="129">
        <v>0</v>
      </c>
      <c r="J14" s="129">
        <v>0</v>
      </c>
      <c r="K14" s="129">
        <v>0</v>
      </c>
      <c r="L14" s="129">
        <v>0</v>
      </c>
      <c r="M14" s="129">
        <v>0</v>
      </c>
      <c r="N14" s="129">
        <v>0</v>
      </c>
      <c r="O14" s="129">
        <v>0</v>
      </c>
      <c r="P14" s="129">
        <v>0</v>
      </c>
      <c r="Q14" s="129">
        <v>0</v>
      </c>
      <c r="R14" s="129">
        <v>0</v>
      </c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82"/>
      <c r="AD14" s="182"/>
      <c r="AE14" s="182"/>
      <c r="AF14" s="182"/>
      <c r="AG14" s="182"/>
      <c r="AH14" s="182"/>
      <c r="AI14" s="182"/>
      <c r="AJ14" s="182"/>
      <c r="AK14" s="129"/>
      <c r="AL14" s="130">
        <v>0</v>
      </c>
      <c r="AM14" s="131">
        <v>0</v>
      </c>
      <c r="AN14" s="131">
        <v>0</v>
      </c>
      <c r="AO14" s="131">
        <v>0</v>
      </c>
      <c r="AP14" s="131">
        <v>0</v>
      </c>
      <c r="AQ14" s="131">
        <v>0</v>
      </c>
      <c r="AR14" s="131">
        <v>0</v>
      </c>
      <c r="AS14" s="131">
        <v>0</v>
      </c>
      <c r="AT14" s="131">
        <v>0</v>
      </c>
      <c r="AU14" s="131">
        <v>0</v>
      </c>
      <c r="AV14" s="131">
        <v>0</v>
      </c>
      <c r="AW14" s="131">
        <v>0</v>
      </c>
      <c r="AX14" s="131">
        <v>0</v>
      </c>
      <c r="AY14" s="131">
        <v>0</v>
      </c>
      <c r="AZ14" s="131">
        <v>0</v>
      </c>
      <c r="BA14" s="131">
        <v>0</v>
      </c>
      <c r="BB14" s="131">
        <v>0</v>
      </c>
      <c r="BC14" s="131">
        <v>0</v>
      </c>
      <c r="BD14" s="131">
        <v>0</v>
      </c>
      <c r="BE14" s="131">
        <v>0</v>
      </c>
      <c r="BF14" s="131">
        <v>0</v>
      </c>
    </row>
    <row r="15" spans="1:58" ht="14.5" x14ac:dyDescent="0.35">
      <c r="A15" s="132" t="s">
        <v>1927</v>
      </c>
      <c r="B15" s="132" t="s">
        <v>1928</v>
      </c>
      <c r="C15" s="132" t="s">
        <v>1390</v>
      </c>
      <c r="D15" s="132" t="s">
        <v>1398</v>
      </c>
      <c r="E15" s="132"/>
      <c r="F15" s="168" t="s">
        <v>1937</v>
      </c>
      <c r="G15" s="168" t="s">
        <v>1982</v>
      </c>
      <c r="H15" s="132" t="s">
        <v>1932</v>
      </c>
      <c r="I15" s="129">
        <v>0</v>
      </c>
      <c r="J15" s="129">
        <v>0</v>
      </c>
      <c r="K15" s="129">
        <v>0</v>
      </c>
      <c r="L15" s="129">
        <v>0</v>
      </c>
      <c r="M15" s="129">
        <v>0</v>
      </c>
      <c r="N15" s="129">
        <v>0</v>
      </c>
      <c r="O15" s="129">
        <v>0</v>
      </c>
      <c r="P15" s="129">
        <v>0</v>
      </c>
      <c r="Q15" s="129">
        <v>0</v>
      </c>
      <c r="R15" s="129">
        <v>0</v>
      </c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82"/>
      <c r="AD15" s="182"/>
      <c r="AE15" s="182"/>
      <c r="AF15" s="182"/>
      <c r="AG15" s="182"/>
      <c r="AH15" s="182"/>
      <c r="AI15" s="182"/>
      <c r="AJ15" s="182"/>
      <c r="AK15" s="129"/>
      <c r="AL15" s="130">
        <v>0</v>
      </c>
      <c r="AM15" s="131">
        <v>0</v>
      </c>
      <c r="AN15" s="131">
        <v>0</v>
      </c>
      <c r="AO15" s="131">
        <v>0</v>
      </c>
      <c r="AP15" s="131">
        <v>0</v>
      </c>
      <c r="AQ15" s="131">
        <v>0</v>
      </c>
      <c r="AR15" s="131">
        <v>0</v>
      </c>
      <c r="AS15" s="131">
        <v>0</v>
      </c>
      <c r="AT15" s="131">
        <v>0</v>
      </c>
      <c r="AU15" s="131">
        <v>0</v>
      </c>
      <c r="AV15" s="131">
        <v>0</v>
      </c>
      <c r="AW15" s="131">
        <v>0</v>
      </c>
      <c r="AX15" s="131">
        <v>0</v>
      </c>
      <c r="AY15" s="131">
        <v>0</v>
      </c>
      <c r="AZ15" s="131">
        <v>0</v>
      </c>
      <c r="BA15" s="131">
        <v>0</v>
      </c>
      <c r="BB15" s="131">
        <v>0</v>
      </c>
      <c r="BC15" s="131">
        <v>0</v>
      </c>
      <c r="BD15" s="131">
        <v>0</v>
      </c>
      <c r="BE15" s="131">
        <v>0</v>
      </c>
      <c r="BF15" s="131">
        <v>0</v>
      </c>
    </row>
    <row r="16" spans="1:58" x14ac:dyDescent="0.35">
      <c r="A16" s="132" t="s">
        <v>1927</v>
      </c>
      <c r="B16" s="132" t="s">
        <v>1928</v>
      </c>
      <c r="C16" s="132" t="s">
        <v>1390</v>
      </c>
      <c r="D16" s="132" t="s">
        <v>1399</v>
      </c>
      <c r="E16" s="132"/>
      <c r="F16" s="132" t="s">
        <v>1931</v>
      </c>
      <c r="G16" s="167">
        <v>9</v>
      </c>
      <c r="H16" s="132" t="s">
        <v>1932</v>
      </c>
      <c r="I16" s="129">
        <f t="shared" ref="I16:R16" si="10">I6</f>
        <v>1</v>
      </c>
      <c r="J16" s="129">
        <f>J6</f>
        <v>1</v>
      </c>
      <c r="K16" s="129">
        <f t="shared" ref="K16:L16" si="11">K6</f>
        <v>1</v>
      </c>
      <c r="L16" s="129">
        <f t="shared" si="11"/>
        <v>1</v>
      </c>
      <c r="M16" s="129">
        <f t="shared" si="10"/>
        <v>1</v>
      </c>
      <c r="N16" s="129">
        <f t="shared" si="10"/>
        <v>1</v>
      </c>
      <c r="O16" s="129">
        <f>O6</f>
        <v>1</v>
      </c>
      <c r="P16" s="129">
        <f t="shared" si="10"/>
        <v>1</v>
      </c>
      <c r="Q16" s="129">
        <f>Q6</f>
        <v>1</v>
      </c>
      <c r="R16" s="129">
        <f t="shared" si="10"/>
        <v>1</v>
      </c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82"/>
      <c r="AD16" s="182"/>
      <c r="AE16" s="182"/>
      <c r="AF16" s="182"/>
      <c r="AG16" s="182"/>
      <c r="AH16" s="182"/>
      <c r="AI16" s="182"/>
      <c r="AJ16" s="182"/>
      <c r="AK16" s="129"/>
      <c r="AL16" s="130">
        <v>0</v>
      </c>
      <c r="AM16" s="131">
        <v>0</v>
      </c>
      <c r="AN16" s="131">
        <v>0</v>
      </c>
      <c r="AO16" s="131">
        <v>0</v>
      </c>
      <c r="AP16" s="131">
        <v>0</v>
      </c>
      <c r="AQ16" s="131">
        <v>0</v>
      </c>
      <c r="AR16" s="131">
        <v>0</v>
      </c>
      <c r="AS16" s="131">
        <v>0</v>
      </c>
      <c r="AT16" s="131">
        <v>0</v>
      </c>
      <c r="AU16" s="131">
        <v>0</v>
      </c>
      <c r="AV16" s="131">
        <v>0</v>
      </c>
      <c r="AW16" s="131">
        <v>0</v>
      </c>
      <c r="AX16" s="131">
        <v>0</v>
      </c>
      <c r="AY16" s="131">
        <v>0</v>
      </c>
      <c r="AZ16" s="131">
        <v>0</v>
      </c>
      <c r="BA16" s="131">
        <v>0</v>
      </c>
      <c r="BB16" s="131">
        <v>0</v>
      </c>
      <c r="BC16" s="131">
        <v>0</v>
      </c>
      <c r="BD16" s="131">
        <v>0</v>
      </c>
      <c r="BE16" s="131">
        <v>0</v>
      </c>
      <c r="BF16" s="131">
        <v>0</v>
      </c>
    </row>
    <row r="17" spans="1:58" x14ac:dyDescent="0.35">
      <c r="A17" s="132" t="s">
        <v>1927</v>
      </c>
      <c r="B17" s="132" t="s">
        <v>1928</v>
      </c>
      <c r="C17" s="132" t="s">
        <v>1390</v>
      </c>
      <c r="D17" s="132" t="s">
        <v>1400</v>
      </c>
      <c r="E17" s="132"/>
      <c r="F17" s="132" t="s">
        <v>1931</v>
      </c>
      <c r="G17" s="167">
        <v>10</v>
      </c>
      <c r="H17" s="132" t="s">
        <v>1932</v>
      </c>
      <c r="I17" s="129">
        <f t="shared" ref="I17:R17" si="12">I6</f>
        <v>1</v>
      </c>
      <c r="J17" s="129">
        <f>J6</f>
        <v>1</v>
      </c>
      <c r="K17" s="129">
        <f t="shared" ref="K17:L17" si="13">K6</f>
        <v>1</v>
      </c>
      <c r="L17" s="129">
        <f t="shared" si="13"/>
        <v>1</v>
      </c>
      <c r="M17" s="129">
        <f t="shared" si="12"/>
        <v>1</v>
      </c>
      <c r="N17" s="129">
        <f t="shared" si="12"/>
        <v>1</v>
      </c>
      <c r="O17" s="129">
        <f>O6</f>
        <v>1</v>
      </c>
      <c r="P17" s="129">
        <f t="shared" si="12"/>
        <v>1</v>
      </c>
      <c r="Q17" s="129">
        <f>Q6</f>
        <v>1</v>
      </c>
      <c r="R17" s="129">
        <f t="shared" si="12"/>
        <v>1</v>
      </c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82"/>
      <c r="AD17" s="182"/>
      <c r="AE17" s="182"/>
      <c r="AF17" s="182"/>
      <c r="AG17" s="182">
        <v>1</v>
      </c>
      <c r="AH17" s="182"/>
      <c r="AI17" s="182"/>
      <c r="AJ17" s="182"/>
      <c r="AK17" s="129"/>
      <c r="AL17" s="130">
        <v>0</v>
      </c>
      <c r="AM17" s="131">
        <v>0</v>
      </c>
      <c r="AN17" s="131">
        <v>0</v>
      </c>
      <c r="AO17" s="131">
        <v>0</v>
      </c>
      <c r="AP17" s="131">
        <v>0</v>
      </c>
      <c r="AQ17" s="131">
        <v>0</v>
      </c>
      <c r="AR17" s="131">
        <v>0</v>
      </c>
      <c r="AS17" s="131">
        <v>0</v>
      </c>
      <c r="AT17" s="131">
        <v>0</v>
      </c>
      <c r="AU17" s="131">
        <v>0</v>
      </c>
      <c r="AV17" s="131">
        <v>0</v>
      </c>
      <c r="AW17" s="131">
        <v>0</v>
      </c>
      <c r="AX17" s="131">
        <v>0</v>
      </c>
      <c r="AY17" s="131">
        <v>0</v>
      </c>
      <c r="AZ17" s="131">
        <v>0</v>
      </c>
      <c r="BA17" s="131">
        <v>0</v>
      </c>
      <c r="BB17" s="131">
        <v>0</v>
      </c>
      <c r="BC17" s="131">
        <v>0</v>
      </c>
      <c r="BD17" s="131">
        <v>0</v>
      </c>
      <c r="BE17" s="131">
        <v>0</v>
      </c>
      <c r="BF17" s="131">
        <v>0</v>
      </c>
    </row>
    <row r="18" spans="1:58" x14ac:dyDescent="0.35">
      <c r="A18" s="132" t="s">
        <v>1927</v>
      </c>
      <c r="B18" s="132" t="s">
        <v>1928</v>
      </c>
      <c r="C18" s="132" t="s">
        <v>1390</v>
      </c>
      <c r="D18" s="132" t="s">
        <v>1939</v>
      </c>
      <c r="E18" s="132"/>
      <c r="F18" s="132" t="s">
        <v>1931</v>
      </c>
      <c r="G18" s="167">
        <v>11</v>
      </c>
      <c r="H18" s="132" t="s">
        <v>1932</v>
      </c>
      <c r="I18" s="129">
        <v>0</v>
      </c>
      <c r="J18" s="129">
        <v>0</v>
      </c>
      <c r="K18" s="129">
        <f>K6</f>
        <v>1</v>
      </c>
      <c r="L18" s="129">
        <f>L6</f>
        <v>1</v>
      </c>
      <c r="M18" s="129">
        <v>0</v>
      </c>
      <c r="N18" s="129">
        <v>0</v>
      </c>
      <c r="O18" s="129">
        <v>0</v>
      </c>
      <c r="P18" s="129">
        <v>0</v>
      </c>
      <c r="Q18" s="129">
        <v>0</v>
      </c>
      <c r="R18" s="129">
        <v>0</v>
      </c>
      <c r="S18" s="129"/>
      <c r="T18" s="129"/>
      <c r="U18" s="129"/>
      <c r="V18" s="129"/>
      <c r="W18" s="129"/>
      <c r="X18" s="129"/>
      <c r="Y18" s="129">
        <f>Y6</f>
        <v>1</v>
      </c>
      <c r="Z18" s="129"/>
      <c r="AA18" s="129"/>
      <c r="AB18" s="129"/>
      <c r="AC18" s="182"/>
      <c r="AD18" s="182">
        <f>AD6</f>
        <v>1</v>
      </c>
      <c r="AE18" s="182"/>
      <c r="AF18" s="182"/>
      <c r="AG18" s="182"/>
      <c r="AH18" s="182"/>
      <c r="AI18" s="182"/>
      <c r="AJ18" s="182"/>
      <c r="AK18" s="129"/>
      <c r="AL18" s="130">
        <v>0</v>
      </c>
      <c r="AM18" s="131">
        <v>0</v>
      </c>
      <c r="AN18" s="131">
        <v>0</v>
      </c>
      <c r="AO18" s="131">
        <v>0</v>
      </c>
      <c r="AP18" s="131">
        <v>0</v>
      </c>
      <c r="AQ18" s="131">
        <v>0</v>
      </c>
      <c r="AR18" s="131">
        <v>0</v>
      </c>
      <c r="AS18" s="131">
        <v>0</v>
      </c>
      <c r="AT18" s="131">
        <v>0</v>
      </c>
      <c r="AU18" s="131">
        <v>0</v>
      </c>
      <c r="AV18" s="131">
        <v>0</v>
      </c>
      <c r="AW18" s="131">
        <v>0</v>
      </c>
      <c r="AX18" s="131">
        <v>0</v>
      </c>
      <c r="AY18" s="131">
        <v>0</v>
      </c>
      <c r="AZ18" s="131">
        <v>0</v>
      </c>
      <c r="BA18" s="131">
        <v>0</v>
      </c>
      <c r="BB18" s="131">
        <v>0</v>
      </c>
      <c r="BC18" s="131">
        <v>0</v>
      </c>
      <c r="BD18" s="131">
        <v>0</v>
      </c>
      <c r="BE18" s="131">
        <v>0</v>
      </c>
      <c r="BF18" s="131">
        <v>0</v>
      </c>
    </row>
    <row r="19" spans="1:58" x14ac:dyDescent="0.35">
      <c r="A19" s="132" t="s">
        <v>1927</v>
      </c>
      <c r="B19" s="132" t="s">
        <v>1928</v>
      </c>
      <c r="C19" s="132" t="s">
        <v>1390</v>
      </c>
      <c r="D19" s="132" t="s">
        <v>1940</v>
      </c>
      <c r="E19" s="132"/>
      <c r="F19" s="132" t="s">
        <v>1931</v>
      </c>
      <c r="G19" s="167">
        <v>12</v>
      </c>
      <c r="H19" s="132" t="s">
        <v>1932</v>
      </c>
      <c r="I19" s="129">
        <v>0</v>
      </c>
      <c r="J19" s="129">
        <v>1</v>
      </c>
      <c r="K19" s="129">
        <f>K6</f>
        <v>1</v>
      </c>
      <c r="L19" s="129">
        <f>L6</f>
        <v>1</v>
      </c>
      <c r="M19" s="129">
        <v>0</v>
      </c>
      <c r="N19" s="129">
        <v>0</v>
      </c>
      <c r="O19" s="129">
        <v>1</v>
      </c>
      <c r="P19" s="129">
        <v>0</v>
      </c>
      <c r="Q19" s="129">
        <v>0</v>
      </c>
      <c r="R19" s="129">
        <v>0</v>
      </c>
      <c r="S19" s="129"/>
      <c r="T19" s="129"/>
      <c r="U19" s="129"/>
      <c r="V19" s="129">
        <f>V6*2</f>
        <v>2</v>
      </c>
      <c r="W19" s="129"/>
      <c r="X19" s="129"/>
      <c r="Y19" s="129"/>
      <c r="Z19" s="129">
        <f>Z6*2</f>
        <v>2</v>
      </c>
      <c r="AA19" s="129"/>
      <c r="AB19" s="129"/>
      <c r="AC19" s="182"/>
      <c r="AD19" s="182"/>
      <c r="AE19" s="182"/>
      <c r="AF19" s="182"/>
      <c r="AG19" s="182"/>
      <c r="AH19" s="182"/>
      <c r="AI19" s="182"/>
      <c r="AJ19" s="182"/>
      <c r="AK19" s="129"/>
      <c r="AL19" s="130">
        <v>0</v>
      </c>
      <c r="AM19" s="131">
        <v>0</v>
      </c>
      <c r="AN19" s="131">
        <v>0</v>
      </c>
      <c r="AO19" s="131">
        <v>0</v>
      </c>
      <c r="AP19" s="131">
        <v>0</v>
      </c>
      <c r="AQ19" s="131">
        <v>0</v>
      </c>
      <c r="AR19" s="131">
        <v>0</v>
      </c>
      <c r="AS19" s="131">
        <v>0</v>
      </c>
      <c r="AT19" s="131">
        <v>0</v>
      </c>
      <c r="AU19" s="131">
        <v>0</v>
      </c>
      <c r="AV19" s="131">
        <v>0</v>
      </c>
      <c r="AW19" s="131">
        <v>0</v>
      </c>
      <c r="AX19" s="131">
        <v>0</v>
      </c>
      <c r="AY19" s="131">
        <v>0</v>
      </c>
      <c r="AZ19" s="131">
        <v>0</v>
      </c>
      <c r="BA19" s="131">
        <v>0</v>
      </c>
      <c r="BB19" s="131">
        <v>0</v>
      </c>
      <c r="BC19" s="131">
        <f>BC6</f>
        <v>1</v>
      </c>
      <c r="BD19" s="131">
        <v>0</v>
      </c>
      <c r="BE19" s="131">
        <v>0</v>
      </c>
      <c r="BF19" s="131">
        <v>0</v>
      </c>
    </row>
    <row r="20" spans="1:58" x14ac:dyDescent="0.35">
      <c r="A20" s="132" t="s">
        <v>1927</v>
      </c>
      <c r="B20" s="132" t="s">
        <v>1928</v>
      </c>
      <c r="C20" s="132" t="s">
        <v>1390</v>
      </c>
      <c r="D20" s="132" t="s">
        <v>1401</v>
      </c>
      <c r="E20" s="132"/>
      <c r="F20" s="132" t="s">
        <v>1931</v>
      </c>
      <c r="G20" s="167">
        <v>13</v>
      </c>
      <c r="H20" s="132" t="s">
        <v>1932</v>
      </c>
      <c r="I20" s="129">
        <v>0</v>
      </c>
      <c r="J20" s="129">
        <v>0</v>
      </c>
      <c r="K20" s="129">
        <v>0</v>
      </c>
      <c r="L20" s="129">
        <f>L6</f>
        <v>1</v>
      </c>
      <c r="M20" s="129">
        <v>0</v>
      </c>
      <c r="N20" s="129">
        <f>1*N6</f>
        <v>1</v>
      </c>
      <c r="O20" s="129">
        <f>1*O6</f>
        <v>1</v>
      </c>
      <c r="P20" s="129">
        <v>0</v>
      </c>
      <c r="Q20" s="129">
        <v>0</v>
      </c>
      <c r="R20" s="129">
        <v>0</v>
      </c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82"/>
      <c r="AD20" s="182"/>
      <c r="AE20" s="182"/>
      <c r="AF20" s="182"/>
      <c r="AG20" s="182"/>
      <c r="AH20" s="182">
        <f>AH6</f>
        <v>1</v>
      </c>
      <c r="AI20" s="182"/>
      <c r="AJ20" s="182"/>
      <c r="AK20" s="129"/>
      <c r="AL20" s="130">
        <v>0</v>
      </c>
      <c r="AM20" s="131">
        <v>0</v>
      </c>
      <c r="AN20" s="131">
        <v>0</v>
      </c>
      <c r="AO20" s="131">
        <v>0</v>
      </c>
      <c r="AP20" s="131">
        <v>0</v>
      </c>
      <c r="AQ20" s="131">
        <v>0</v>
      </c>
      <c r="AR20" s="131">
        <v>0</v>
      </c>
      <c r="AS20" s="131">
        <v>0</v>
      </c>
      <c r="AT20" s="131">
        <v>0</v>
      </c>
      <c r="AU20" s="131">
        <v>0</v>
      </c>
      <c r="AV20" s="131">
        <v>0</v>
      </c>
      <c r="AW20" s="131">
        <v>0</v>
      </c>
      <c r="AX20" s="131">
        <v>0</v>
      </c>
      <c r="AY20" s="131">
        <v>0</v>
      </c>
      <c r="AZ20" s="131">
        <v>0</v>
      </c>
      <c r="BA20" s="131">
        <v>0</v>
      </c>
      <c r="BB20" s="131">
        <v>0</v>
      </c>
      <c r="BC20" s="131">
        <v>0</v>
      </c>
      <c r="BD20" s="131">
        <v>0</v>
      </c>
      <c r="BE20" s="131">
        <v>0</v>
      </c>
      <c r="BF20" s="131">
        <v>0</v>
      </c>
    </row>
    <row r="21" spans="1:58" x14ac:dyDescent="0.35">
      <c r="A21" s="132" t="s">
        <v>1927</v>
      </c>
      <c r="B21" s="132" t="s">
        <v>1928</v>
      </c>
      <c r="C21" s="132" t="s">
        <v>1390</v>
      </c>
      <c r="D21" s="132" t="s">
        <v>1402</v>
      </c>
      <c r="E21" s="132"/>
      <c r="F21" s="132" t="s">
        <v>1931</v>
      </c>
      <c r="G21" s="167">
        <v>14</v>
      </c>
      <c r="H21" s="132" t="s">
        <v>1932</v>
      </c>
      <c r="I21" s="129">
        <f>3*I6</f>
        <v>3</v>
      </c>
      <c r="J21" s="129">
        <v>0</v>
      </c>
      <c r="K21" s="129">
        <v>0</v>
      </c>
      <c r="L21" s="129">
        <v>0</v>
      </c>
      <c r="M21" s="129">
        <f>2*M6</f>
        <v>2</v>
      </c>
      <c r="N21" s="129">
        <f>3*N6</f>
        <v>3</v>
      </c>
      <c r="O21" s="129">
        <v>0</v>
      </c>
      <c r="P21" s="129">
        <f>3*P6+2*P6</f>
        <v>5</v>
      </c>
      <c r="Q21" s="129">
        <v>6</v>
      </c>
      <c r="R21" s="129">
        <f>R6*9</f>
        <v>9</v>
      </c>
      <c r="S21" s="129"/>
      <c r="T21" s="129"/>
      <c r="U21" s="129"/>
      <c r="V21" s="129"/>
      <c r="W21" s="129">
        <v>3</v>
      </c>
      <c r="X21" s="129">
        <v>3</v>
      </c>
      <c r="Y21" s="129"/>
      <c r="Z21" s="129"/>
      <c r="AA21" s="129"/>
      <c r="AB21" s="129"/>
      <c r="AC21" s="182">
        <f>AC6*3</f>
        <v>3</v>
      </c>
      <c r="AD21" s="182"/>
      <c r="AE21" s="182"/>
      <c r="AF21" s="182"/>
      <c r="AG21" s="182"/>
      <c r="AH21" s="182">
        <f>AH6</f>
        <v>1</v>
      </c>
      <c r="AI21" s="182"/>
      <c r="AJ21" s="182"/>
      <c r="AK21" s="129"/>
      <c r="AL21" s="130">
        <v>0</v>
      </c>
      <c r="AM21" s="131">
        <v>0</v>
      </c>
      <c r="AN21" s="131">
        <v>0</v>
      </c>
      <c r="AO21" s="131">
        <v>0</v>
      </c>
      <c r="AP21" s="131">
        <v>0</v>
      </c>
      <c r="AQ21" s="131">
        <v>0</v>
      </c>
      <c r="AR21" s="131">
        <v>0</v>
      </c>
      <c r="AS21" s="131">
        <v>0</v>
      </c>
      <c r="AT21" s="131">
        <v>0</v>
      </c>
      <c r="AU21" s="131">
        <v>0</v>
      </c>
      <c r="AV21" s="131">
        <v>0</v>
      </c>
      <c r="AW21" s="131">
        <v>0</v>
      </c>
      <c r="AX21" s="131">
        <v>0</v>
      </c>
      <c r="AY21" s="131">
        <v>0</v>
      </c>
      <c r="AZ21" s="131">
        <v>0</v>
      </c>
      <c r="BA21" s="131">
        <v>0</v>
      </c>
      <c r="BB21" s="131">
        <v>0</v>
      </c>
      <c r="BC21" s="131">
        <v>0</v>
      </c>
      <c r="BD21" s="131">
        <v>0</v>
      </c>
      <c r="BE21" s="131">
        <v>0</v>
      </c>
      <c r="BF21" s="131">
        <v>0</v>
      </c>
    </row>
    <row r="22" spans="1:58" ht="14.5" x14ac:dyDescent="0.35">
      <c r="A22" s="132" t="s">
        <v>1927</v>
      </c>
      <c r="B22" s="132" t="s">
        <v>1928</v>
      </c>
      <c r="C22" s="132" t="s">
        <v>1390</v>
      </c>
      <c r="D22" s="132" t="s">
        <v>1403</v>
      </c>
      <c r="E22" s="132"/>
      <c r="F22" s="168" t="s">
        <v>1937</v>
      </c>
      <c r="G22" s="168" t="s">
        <v>1982</v>
      </c>
      <c r="H22" s="132" t="s">
        <v>1932</v>
      </c>
      <c r="I22" s="129">
        <v>0</v>
      </c>
      <c r="J22" s="129">
        <v>0</v>
      </c>
      <c r="K22" s="129">
        <v>0</v>
      </c>
      <c r="L22" s="129">
        <v>0</v>
      </c>
      <c r="M22" s="129">
        <v>0</v>
      </c>
      <c r="N22" s="129">
        <v>0</v>
      </c>
      <c r="O22" s="129">
        <v>0</v>
      </c>
      <c r="P22" s="129">
        <v>0</v>
      </c>
      <c r="Q22" s="129">
        <v>0</v>
      </c>
      <c r="R22" s="129">
        <v>0</v>
      </c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82"/>
      <c r="AD22" s="182"/>
      <c r="AE22" s="182"/>
      <c r="AF22" s="182"/>
      <c r="AG22" s="182"/>
      <c r="AH22" s="182"/>
      <c r="AI22" s="182"/>
      <c r="AJ22" s="182"/>
      <c r="AK22" s="129"/>
      <c r="AL22" s="130">
        <v>0</v>
      </c>
      <c r="AM22" s="131">
        <v>0</v>
      </c>
      <c r="AN22" s="131">
        <v>0</v>
      </c>
      <c r="AO22" s="131">
        <v>0</v>
      </c>
      <c r="AP22" s="131">
        <v>0</v>
      </c>
      <c r="AQ22" s="131">
        <v>0</v>
      </c>
      <c r="AR22" s="131">
        <v>0</v>
      </c>
      <c r="AS22" s="131">
        <v>0</v>
      </c>
      <c r="AT22" s="131">
        <v>0</v>
      </c>
      <c r="AU22" s="131">
        <v>0</v>
      </c>
      <c r="AV22" s="131">
        <v>0</v>
      </c>
      <c r="AW22" s="131">
        <v>0</v>
      </c>
      <c r="AX22" s="131">
        <v>0</v>
      </c>
      <c r="AY22" s="131">
        <v>0</v>
      </c>
      <c r="AZ22" s="131">
        <v>0</v>
      </c>
      <c r="BA22" s="131">
        <v>0</v>
      </c>
      <c r="BB22" s="131">
        <v>0</v>
      </c>
      <c r="BC22" s="131">
        <v>0</v>
      </c>
      <c r="BD22" s="131">
        <v>0</v>
      </c>
      <c r="BE22" s="131">
        <v>0</v>
      </c>
      <c r="BF22" s="131">
        <v>0</v>
      </c>
    </row>
    <row r="23" spans="1:58" ht="14.5" x14ac:dyDescent="0.35">
      <c r="A23" s="132" t="s">
        <v>1927</v>
      </c>
      <c r="B23" s="132" t="s">
        <v>1928</v>
      </c>
      <c r="C23" s="132" t="s">
        <v>1390</v>
      </c>
      <c r="D23" s="132" t="s">
        <v>1404</v>
      </c>
      <c r="E23" s="132"/>
      <c r="F23" s="168" t="s">
        <v>1937</v>
      </c>
      <c r="G23" s="168" t="s">
        <v>1982</v>
      </c>
      <c r="H23" s="132" t="s">
        <v>1932</v>
      </c>
      <c r="I23" s="129">
        <v>0</v>
      </c>
      <c r="J23" s="129">
        <v>0</v>
      </c>
      <c r="K23" s="129">
        <v>0</v>
      </c>
      <c r="L23" s="129">
        <v>0</v>
      </c>
      <c r="M23" s="129">
        <v>0</v>
      </c>
      <c r="N23" s="129">
        <v>0</v>
      </c>
      <c r="O23" s="129">
        <v>0</v>
      </c>
      <c r="P23" s="129">
        <v>0</v>
      </c>
      <c r="Q23" s="129">
        <v>0</v>
      </c>
      <c r="R23" s="129">
        <v>0</v>
      </c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82"/>
      <c r="AD23" s="182"/>
      <c r="AE23" s="182"/>
      <c r="AF23" s="182"/>
      <c r="AG23" s="182"/>
      <c r="AH23" s="182"/>
      <c r="AI23" s="182"/>
      <c r="AJ23" s="182"/>
      <c r="AK23" s="129"/>
      <c r="AL23" s="130">
        <v>0</v>
      </c>
      <c r="AM23" s="131">
        <v>0</v>
      </c>
      <c r="AN23" s="131">
        <v>0</v>
      </c>
      <c r="AO23" s="131">
        <v>0</v>
      </c>
      <c r="AP23" s="131">
        <v>0</v>
      </c>
      <c r="AQ23" s="131">
        <v>0</v>
      </c>
      <c r="AR23" s="131">
        <v>0</v>
      </c>
      <c r="AS23" s="131">
        <v>0</v>
      </c>
      <c r="AT23" s="131">
        <v>0</v>
      </c>
      <c r="AU23" s="131">
        <v>0</v>
      </c>
      <c r="AV23" s="131">
        <v>0</v>
      </c>
      <c r="AW23" s="131">
        <v>0</v>
      </c>
      <c r="AX23" s="131">
        <v>0</v>
      </c>
      <c r="AY23" s="131">
        <v>0</v>
      </c>
      <c r="AZ23" s="131">
        <v>0</v>
      </c>
      <c r="BA23" s="131">
        <v>0</v>
      </c>
      <c r="BB23" s="131">
        <v>0</v>
      </c>
      <c r="BC23" s="131">
        <v>0</v>
      </c>
      <c r="BD23" s="131">
        <v>0</v>
      </c>
      <c r="BE23" s="131">
        <v>0</v>
      </c>
      <c r="BF23" s="131">
        <v>0</v>
      </c>
    </row>
    <row r="24" spans="1:58" x14ac:dyDescent="0.35">
      <c r="A24" s="132" t="s">
        <v>1927</v>
      </c>
      <c r="B24" s="132" t="s">
        <v>1928</v>
      </c>
      <c r="C24" s="132" t="s">
        <v>1390</v>
      </c>
      <c r="D24" s="135" t="s">
        <v>1405</v>
      </c>
      <c r="E24" s="135" t="s">
        <v>1941</v>
      </c>
      <c r="F24" s="135" t="s">
        <v>1768</v>
      </c>
      <c r="G24" s="169">
        <v>18</v>
      </c>
      <c r="H24" s="132" t="s">
        <v>1932</v>
      </c>
      <c r="I24" s="129">
        <v>0</v>
      </c>
      <c r="J24" s="129">
        <v>0</v>
      </c>
      <c r="K24" s="129">
        <v>0</v>
      </c>
      <c r="L24" s="129">
        <v>0</v>
      </c>
      <c r="M24" s="129">
        <v>0</v>
      </c>
      <c r="N24" s="129">
        <v>0</v>
      </c>
      <c r="O24" s="129">
        <v>0</v>
      </c>
      <c r="P24" s="129">
        <v>0</v>
      </c>
      <c r="Q24" s="129">
        <v>0</v>
      </c>
      <c r="R24" s="129">
        <v>0</v>
      </c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82"/>
      <c r="AD24" s="182"/>
      <c r="AE24" s="182"/>
      <c r="AF24" s="182"/>
      <c r="AG24" s="182"/>
      <c r="AH24" s="182"/>
      <c r="AI24" s="182"/>
      <c r="AJ24" s="182"/>
      <c r="AK24" s="129"/>
      <c r="AL24" s="130">
        <v>0</v>
      </c>
      <c r="AM24" s="131">
        <v>0</v>
      </c>
      <c r="AN24" s="131">
        <v>0</v>
      </c>
      <c r="AO24" s="131">
        <v>0</v>
      </c>
      <c r="AP24" s="131">
        <v>0</v>
      </c>
      <c r="AQ24" s="131">
        <v>0</v>
      </c>
      <c r="AR24" s="131">
        <v>0</v>
      </c>
      <c r="AS24" s="131">
        <f>AS6*3</f>
        <v>3</v>
      </c>
      <c r="AT24" s="131">
        <v>0</v>
      </c>
      <c r="AU24" s="131">
        <v>0</v>
      </c>
      <c r="AV24" s="131">
        <v>0</v>
      </c>
      <c r="AW24" s="131">
        <v>0</v>
      </c>
      <c r="AX24" s="131">
        <v>0</v>
      </c>
      <c r="AY24" s="131">
        <v>0</v>
      </c>
      <c r="AZ24" s="131">
        <v>0</v>
      </c>
      <c r="BA24" s="131">
        <v>0</v>
      </c>
      <c r="BB24" s="131">
        <v>0</v>
      </c>
      <c r="BC24" s="131">
        <v>0</v>
      </c>
      <c r="BD24" s="131">
        <v>0</v>
      </c>
      <c r="BE24" s="131">
        <v>0</v>
      </c>
      <c r="BF24" s="131">
        <v>0</v>
      </c>
    </row>
    <row r="25" spans="1:58" x14ac:dyDescent="0.35">
      <c r="A25" s="132" t="s">
        <v>1927</v>
      </c>
      <c r="B25" s="132" t="s">
        <v>1928</v>
      </c>
      <c r="C25" s="132" t="s">
        <v>1390</v>
      </c>
      <c r="D25" s="132" t="s">
        <v>1406</v>
      </c>
      <c r="E25" s="132" t="s">
        <v>1942</v>
      </c>
      <c r="F25" s="132" t="s">
        <v>1931</v>
      </c>
      <c r="G25" s="167">
        <v>17</v>
      </c>
      <c r="H25" s="132" t="s">
        <v>1932</v>
      </c>
      <c r="I25" s="129">
        <v>0</v>
      </c>
      <c r="J25" s="129">
        <v>0</v>
      </c>
      <c r="K25" s="129">
        <v>0</v>
      </c>
      <c r="L25" s="129">
        <v>0</v>
      </c>
      <c r="M25" s="129">
        <v>0</v>
      </c>
      <c r="N25" s="129">
        <v>0</v>
      </c>
      <c r="O25" s="129">
        <v>0</v>
      </c>
      <c r="P25" s="129">
        <v>0</v>
      </c>
      <c r="Q25" s="129">
        <v>0</v>
      </c>
      <c r="R25" s="129">
        <v>0</v>
      </c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82"/>
      <c r="AD25" s="182"/>
      <c r="AE25" s="182"/>
      <c r="AF25" s="182"/>
      <c r="AG25" s="182"/>
      <c r="AH25" s="182"/>
      <c r="AI25" s="182"/>
      <c r="AJ25" s="182"/>
      <c r="AK25" s="129"/>
      <c r="AL25" s="130">
        <f>AL6*3</f>
        <v>3</v>
      </c>
      <c r="AM25" s="131">
        <v>0</v>
      </c>
      <c r="AN25" s="131">
        <v>0</v>
      </c>
      <c r="AO25" s="131">
        <v>0</v>
      </c>
      <c r="AP25" s="131">
        <f>AP6*3</f>
        <v>3</v>
      </c>
      <c r="AQ25" s="131">
        <v>0</v>
      </c>
      <c r="AR25" s="131">
        <f>AR6*3</f>
        <v>3</v>
      </c>
      <c r="AS25" s="131">
        <v>0</v>
      </c>
      <c r="AT25" s="131">
        <f t="shared" ref="AT25:AU25" si="14">AT6*3</f>
        <v>3</v>
      </c>
      <c r="AU25" s="131">
        <f t="shared" si="14"/>
        <v>3</v>
      </c>
      <c r="AV25" s="131">
        <v>0</v>
      </c>
      <c r="AW25" s="131">
        <f t="shared" ref="AW25" si="15">3*AW6</f>
        <v>3</v>
      </c>
      <c r="AX25" s="131">
        <v>0</v>
      </c>
      <c r="AY25" s="131">
        <v>0</v>
      </c>
      <c r="AZ25" s="131">
        <v>0</v>
      </c>
      <c r="BA25" s="131">
        <v>0</v>
      </c>
      <c r="BB25" s="131">
        <v>0</v>
      </c>
      <c r="BC25" s="131">
        <v>0</v>
      </c>
      <c r="BD25" s="131">
        <v>0</v>
      </c>
      <c r="BE25" s="131">
        <v>0</v>
      </c>
      <c r="BF25" s="131">
        <v>0</v>
      </c>
    </row>
    <row r="26" spans="1:58" ht="14.5" x14ac:dyDescent="0.35">
      <c r="A26" s="132" t="s">
        <v>1927</v>
      </c>
      <c r="B26" s="132" t="s">
        <v>1928</v>
      </c>
      <c r="C26" s="132" t="s">
        <v>1390</v>
      </c>
      <c r="D26" s="132" t="s">
        <v>1943</v>
      </c>
      <c r="E26" s="132"/>
      <c r="F26" s="168" t="s">
        <v>1937</v>
      </c>
      <c r="G26" s="168" t="s">
        <v>1982</v>
      </c>
      <c r="H26" s="132" t="s">
        <v>1932</v>
      </c>
      <c r="I26" s="129">
        <v>0</v>
      </c>
      <c r="J26" s="129">
        <v>0</v>
      </c>
      <c r="K26" s="129">
        <v>0</v>
      </c>
      <c r="L26" s="129">
        <v>0</v>
      </c>
      <c r="M26" s="129">
        <v>0</v>
      </c>
      <c r="N26" s="129">
        <v>0</v>
      </c>
      <c r="O26" s="129">
        <v>0</v>
      </c>
      <c r="P26" s="129">
        <v>0</v>
      </c>
      <c r="Q26" s="129">
        <v>0</v>
      </c>
      <c r="R26" s="129">
        <v>0</v>
      </c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82"/>
      <c r="AD26" s="182"/>
      <c r="AE26" s="182"/>
      <c r="AF26" s="182"/>
      <c r="AG26" s="182"/>
      <c r="AH26" s="182"/>
      <c r="AI26" s="182"/>
      <c r="AJ26" s="182"/>
      <c r="AK26" s="129"/>
      <c r="AL26" s="130">
        <v>0</v>
      </c>
      <c r="AM26" s="131">
        <v>0</v>
      </c>
      <c r="AN26" s="131">
        <v>0</v>
      </c>
      <c r="AO26" s="131">
        <v>0</v>
      </c>
      <c r="AP26" s="131">
        <v>0</v>
      </c>
      <c r="AQ26" s="131">
        <v>0</v>
      </c>
      <c r="AR26" s="131">
        <v>0</v>
      </c>
      <c r="AS26" s="131">
        <v>0</v>
      </c>
      <c r="AT26" s="131">
        <v>0</v>
      </c>
      <c r="AU26" s="131">
        <v>0</v>
      </c>
      <c r="AV26" s="131">
        <v>0</v>
      </c>
      <c r="AW26" s="131">
        <v>0</v>
      </c>
      <c r="AX26" s="131">
        <v>0</v>
      </c>
      <c r="AY26" s="131">
        <v>0</v>
      </c>
      <c r="AZ26" s="131">
        <v>0</v>
      </c>
      <c r="BA26" s="131">
        <v>0</v>
      </c>
      <c r="BB26" s="131">
        <v>0</v>
      </c>
      <c r="BC26" s="131">
        <v>0</v>
      </c>
      <c r="BD26" s="131">
        <v>0</v>
      </c>
      <c r="BE26" s="131">
        <v>0</v>
      </c>
      <c r="BF26" s="131">
        <v>0</v>
      </c>
    </row>
    <row r="27" spans="1:58" ht="14.5" x14ac:dyDescent="0.35">
      <c r="A27" s="132" t="s">
        <v>1927</v>
      </c>
      <c r="B27" s="132" t="s">
        <v>1928</v>
      </c>
      <c r="C27" s="132" t="s">
        <v>1390</v>
      </c>
      <c r="D27" s="132" t="s">
        <v>1407</v>
      </c>
      <c r="E27" s="132"/>
      <c r="F27" s="168" t="s">
        <v>1937</v>
      </c>
      <c r="G27" s="168" t="s">
        <v>1982</v>
      </c>
      <c r="H27" s="132" t="s">
        <v>1932</v>
      </c>
      <c r="I27" s="129">
        <v>0</v>
      </c>
      <c r="J27" s="129">
        <v>0</v>
      </c>
      <c r="K27" s="129">
        <v>0</v>
      </c>
      <c r="L27" s="129">
        <v>0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82"/>
      <c r="AD27" s="182"/>
      <c r="AE27" s="182"/>
      <c r="AF27" s="182"/>
      <c r="AG27" s="182"/>
      <c r="AH27" s="182"/>
      <c r="AI27" s="182"/>
      <c r="AJ27" s="182"/>
      <c r="AK27" s="129"/>
      <c r="AL27" s="130">
        <v>0</v>
      </c>
      <c r="AM27" s="131">
        <v>0</v>
      </c>
      <c r="AN27" s="131">
        <v>0</v>
      </c>
      <c r="AO27" s="131">
        <v>0</v>
      </c>
      <c r="AP27" s="131">
        <v>0</v>
      </c>
      <c r="AQ27" s="131">
        <v>0</v>
      </c>
      <c r="AR27" s="131">
        <v>0</v>
      </c>
      <c r="AS27" s="131">
        <v>0</v>
      </c>
      <c r="AT27" s="131">
        <v>0</v>
      </c>
      <c r="AU27" s="131">
        <v>0</v>
      </c>
      <c r="AV27" s="131">
        <v>0</v>
      </c>
      <c r="AW27" s="131">
        <v>0</v>
      </c>
      <c r="AX27" s="131">
        <v>0</v>
      </c>
      <c r="AY27" s="131">
        <v>0</v>
      </c>
      <c r="AZ27" s="131">
        <v>0</v>
      </c>
      <c r="BA27" s="131">
        <v>0</v>
      </c>
      <c r="BB27" s="131">
        <v>0</v>
      </c>
      <c r="BC27" s="131">
        <v>0</v>
      </c>
      <c r="BD27" s="131">
        <v>0</v>
      </c>
      <c r="BE27" s="131">
        <v>0</v>
      </c>
      <c r="BF27" s="131">
        <v>0</v>
      </c>
    </row>
    <row r="28" spans="1:58" ht="14.5" x14ac:dyDescent="0.35">
      <c r="A28" s="132" t="s">
        <v>1927</v>
      </c>
      <c r="B28" s="132" t="s">
        <v>1928</v>
      </c>
      <c r="C28" s="132" t="s">
        <v>1390</v>
      </c>
      <c r="D28" s="132" t="s">
        <v>1944</v>
      </c>
      <c r="E28" s="132"/>
      <c r="F28" s="168" t="s">
        <v>1937</v>
      </c>
      <c r="G28" s="168" t="s">
        <v>1982</v>
      </c>
      <c r="H28" s="132" t="s">
        <v>1932</v>
      </c>
      <c r="I28" s="129">
        <v>0</v>
      </c>
      <c r="J28" s="129">
        <v>0</v>
      </c>
      <c r="K28" s="129">
        <v>0</v>
      </c>
      <c r="L28" s="129">
        <v>0</v>
      </c>
      <c r="M28" s="129">
        <v>0</v>
      </c>
      <c r="N28" s="129">
        <v>0</v>
      </c>
      <c r="O28" s="129">
        <v>0</v>
      </c>
      <c r="P28" s="129">
        <v>0</v>
      </c>
      <c r="Q28" s="129">
        <v>0</v>
      </c>
      <c r="R28" s="129">
        <v>0</v>
      </c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82"/>
      <c r="AD28" s="182"/>
      <c r="AE28" s="182"/>
      <c r="AF28" s="182"/>
      <c r="AG28" s="182"/>
      <c r="AH28" s="182"/>
      <c r="AI28" s="182"/>
      <c r="AJ28" s="182"/>
      <c r="AK28" s="129"/>
      <c r="AL28" s="130">
        <v>0</v>
      </c>
      <c r="AM28" s="131">
        <v>0</v>
      </c>
      <c r="AN28" s="131">
        <v>0</v>
      </c>
      <c r="AO28" s="131">
        <v>0</v>
      </c>
      <c r="AP28" s="131">
        <v>0</v>
      </c>
      <c r="AQ28" s="131">
        <v>0</v>
      </c>
      <c r="AR28" s="131">
        <v>0</v>
      </c>
      <c r="AS28" s="131">
        <v>0</v>
      </c>
      <c r="AT28" s="131">
        <v>0</v>
      </c>
      <c r="AU28" s="131">
        <v>0</v>
      </c>
      <c r="AV28" s="131">
        <v>0</v>
      </c>
      <c r="AW28" s="131">
        <v>0</v>
      </c>
      <c r="AX28" s="131">
        <v>0</v>
      </c>
      <c r="AY28" s="131">
        <v>0</v>
      </c>
      <c r="AZ28" s="131">
        <v>0</v>
      </c>
      <c r="BA28" s="131">
        <v>0</v>
      </c>
      <c r="BB28" s="131">
        <v>0</v>
      </c>
      <c r="BC28" s="131">
        <v>0</v>
      </c>
      <c r="BD28" s="131">
        <v>0</v>
      </c>
      <c r="BE28" s="131">
        <v>0</v>
      </c>
      <c r="BF28" s="131">
        <v>0</v>
      </c>
    </row>
    <row r="29" spans="1:58" x14ac:dyDescent="0.35">
      <c r="A29" s="132" t="s">
        <v>1927</v>
      </c>
      <c r="B29" s="132" t="s">
        <v>1928</v>
      </c>
      <c r="C29" s="132" t="s">
        <v>1390</v>
      </c>
      <c r="D29" s="135" t="s">
        <v>1408</v>
      </c>
      <c r="E29" s="135" t="s">
        <v>900</v>
      </c>
      <c r="F29" s="135" t="s">
        <v>1768</v>
      </c>
      <c r="G29" s="169">
        <v>21</v>
      </c>
      <c r="H29" s="132" t="s">
        <v>1932</v>
      </c>
      <c r="I29" s="129">
        <v>0</v>
      </c>
      <c r="J29" s="129">
        <v>0</v>
      </c>
      <c r="K29" s="129">
        <v>0</v>
      </c>
      <c r="L29" s="129">
        <v>0</v>
      </c>
      <c r="M29" s="129">
        <v>0</v>
      </c>
      <c r="N29" s="129">
        <v>0</v>
      </c>
      <c r="O29" s="129">
        <v>0</v>
      </c>
      <c r="P29" s="129">
        <v>0</v>
      </c>
      <c r="Q29" s="129">
        <v>0</v>
      </c>
      <c r="R29" s="129">
        <v>0</v>
      </c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82"/>
      <c r="AD29" s="182"/>
      <c r="AE29" s="182"/>
      <c r="AF29" s="182"/>
      <c r="AG29" s="182"/>
      <c r="AH29" s="182"/>
      <c r="AI29" s="182"/>
      <c r="AJ29" s="182"/>
      <c r="AK29" s="129"/>
      <c r="AL29" s="130">
        <v>0</v>
      </c>
      <c r="AM29" s="131">
        <v>0</v>
      </c>
      <c r="AN29" s="131">
        <v>0</v>
      </c>
      <c r="AO29" s="131">
        <v>0</v>
      </c>
      <c r="AP29" s="131">
        <v>0</v>
      </c>
      <c r="AQ29" s="131">
        <v>0</v>
      </c>
      <c r="AR29" s="131">
        <v>0</v>
      </c>
      <c r="AS29" s="131">
        <f>AS6*3</f>
        <v>3</v>
      </c>
      <c r="AT29" s="131">
        <v>0</v>
      </c>
      <c r="AU29" s="131">
        <v>0</v>
      </c>
      <c r="AV29" s="131">
        <v>0</v>
      </c>
      <c r="AW29" s="131">
        <v>0</v>
      </c>
      <c r="AX29" s="131">
        <v>0</v>
      </c>
      <c r="AY29" s="131">
        <f>3*AY6</f>
        <v>3</v>
      </c>
      <c r="AZ29" s="131">
        <v>0</v>
      </c>
      <c r="BA29" s="131">
        <v>0</v>
      </c>
      <c r="BB29" s="131">
        <v>0</v>
      </c>
      <c r="BC29" s="131">
        <v>0</v>
      </c>
      <c r="BD29" s="131">
        <v>0</v>
      </c>
      <c r="BE29" s="131">
        <v>0</v>
      </c>
      <c r="BF29" s="131">
        <v>0</v>
      </c>
    </row>
    <row r="30" spans="1:58" x14ac:dyDescent="0.35">
      <c r="A30" s="132" t="s">
        <v>1927</v>
      </c>
      <c r="B30" s="132" t="s">
        <v>1928</v>
      </c>
      <c r="C30" s="132" t="s">
        <v>1390</v>
      </c>
      <c r="D30" s="135" t="s">
        <v>1409</v>
      </c>
      <c r="E30" s="135" t="s">
        <v>1382</v>
      </c>
      <c r="F30" s="135" t="s">
        <v>1768</v>
      </c>
      <c r="G30" s="169">
        <v>22</v>
      </c>
      <c r="H30" s="132" t="s">
        <v>1932</v>
      </c>
      <c r="I30" s="129">
        <v>0</v>
      </c>
      <c r="J30" s="129">
        <v>0</v>
      </c>
      <c r="K30" s="129">
        <v>0</v>
      </c>
      <c r="L30" s="129">
        <v>0</v>
      </c>
      <c r="M30" s="129">
        <v>0</v>
      </c>
      <c r="N30" s="129">
        <v>0</v>
      </c>
      <c r="O30" s="129">
        <v>0</v>
      </c>
      <c r="P30" s="129">
        <v>0</v>
      </c>
      <c r="Q30" s="129">
        <v>0</v>
      </c>
      <c r="R30" s="129">
        <v>0</v>
      </c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82"/>
      <c r="AD30" s="182"/>
      <c r="AE30" s="182"/>
      <c r="AF30" s="182"/>
      <c r="AG30" s="182"/>
      <c r="AH30" s="182"/>
      <c r="AI30" s="182"/>
      <c r="AJ30" s="182"/>
      <c r="AK30" s="129"/>
      <c r="AL30" s="130">
        <v>0</v>
      </c>
      <c r="AM30" s="131">
        <v>0</v>
      </c>
      <c r="AN30" s="131">
        <f>AN6*3</f>
        <v>3</v>
      </c>
      <c r="AO30" s="131">
        <v>0</v>
      </c>
      <c r="AP30" s="131">
        <v>0</v>
      </c>
      <c r="AQ30" s="131">
        <v>0</v>
      </c>
      <c r="AR30" s="131">
        <f>AR6*3</f>
        <v>3</v>
      </c>
      <c r="AS30" s="131">
        <v>0</v>
      </c>
      <c r="AT30" s="131">
        <v>0</v>
      </c>
      <c r="AU30" s="131">
        <v>0</v>
      </c>
      <c r="AV30" s="131">
        <v>0</v>
      </c>
      <c r="AW30" s="131">
        <v>0</v>
      </c>
      <c r="AX30" s="131">
        <f t="shared" ref="AX30" si="16">AX6*3</f>
        <v>3</v>
      </c>
      <c r="AY30" s="131">
        <v>0</v>
      </c>
      <c r="AZ30" s="131">
        <v>0</v>
      </c>
      <c r="BA30" s="131">
        <v>0</v>
      </c>
      <c r="BB30" s="131">
        <v>0</v>
      </c>
      <c r="BC30" s="131">
        <v>0</v>
      </c>
      <c r="BD30" s="131">
        <v>0</v>
      </c>
      <c r="BE30" s="131">
        <v>0</v>
      </c>
      <c r="BF30" s="131">
        <v>0</v>
      </c>
    </row>
    <row r="31" spans="1:58" x14ac:dyDescent="0.35">
      <c r="A31" s="134" t="s">
        <v>1927</v>
      </c>
      <c r="B31" s="132" t="s">
        <v>1928</v>
      </c>
      <c r="C31" s="133" t="s">
        <v>1390</v>
      </c>
      <c r="D31" s="161" t="s">
        <v>1769</v>
      </c>
      <c r="E31" s="135" t="s">
        <v>1370</v>
      </c>
      <c r="F31" s="135" t="s">
        <v>1768</v>
      </c>
      <c r="G31" s="169">
        <v>23</v>
      </c>
      <c r="H31" s="132" t="s">
        <v>1932</v>
      </c>
      <c r="I31" s="129">
        <v>0</v>
      </c>
      <c r="J31" s="129">
        <v>0</v>
      </c>
      <c r="K31" s="129">
        <v>0</v>
      </c>
      <c r="L31" s="129">
        <v>0</v>
      </c>
      <c r="M31" s="129">
        <v>0</v>
      </c>
      <c r="N31" s="129">
        <v>0</v>
      </c>
      <c r="O31" s="129">
        <v>0</v>
      </c>
      <c r="P31" s="129">
        <v>0</v>
      </c>
      <c r="Q31" s="129">
        <v>0</v>
      </c>
      <c r="R31" s="129">
        <v>0</v>
      </c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82"/>
      <c r="AD31" s="182"/>
      <c r="AE31" s="182"/>
      <c r="AF31" s="182"/>
      <c r="AG31" s="182"/>
      <c r="AH31" s="182"/>
      <c r="AI31" s="182"/>
      <c r="AJ31" s="182"/>
      <c r="AK31" s="129"/>
      <c r="AL31" s="130">
        <v>0</v>
      </c>
      <c r="AM31" s="131">
        <v>0</v>
      </c>
      <c r="AN31" s="131">
        <v>0</v>
      </c>
      <c r="AO31" s="131">
        <v>0</v>
      </c>
      <c r="AP31" s="131">
        <v>0</v>
      </c>
      <c r="AQ31" s="131">
        <f>3*AQ6</f>
        <v>3</v>
      </c>
      <c r="AR31" s="131">
        <v>0</v>
      </c>
      <c r="AS31" s="131">
        <v>0</v>
      </c>
      <c r="AT31" s="131">
        <v>0</v>
      </c>
      <c r="AU31" s="131">
        <v>0</v>
      </c>
      <c r="AV31" s="131">
        <v>0</v>
      </c>
      <c r="AW31" s="131">
        <v>0</v>
      </c>
      <c r="AX31" s="131">
        <v>0</v>
      </c>
      <c r="AY31" s="131">
        <v>0</v>
      </c>
      <c r="AZ31" s="131">
        <f t="shared" ref="AZ31" si="17">3*AZ6</f>
        <v>3</v>
      </c>
      <c r="BA31" s="131">
        <v>0</v>
      </c>
      <c r="BB31" s="131">
        <v>0</v>
      </c>
      <c r="BC31" s="131">
        <v>0</v>
      </c>
      <c r="BD31" s="131">
        <v>0</v>
      </c>
      <c r="BE31" s="131">
        <v>0</v>
      </c>
      <c r="BF31" s="131">
        <v>0</v>
      </c>
    </row>
    <row r="32" spans="1:58" x14ac:dyDescent="0.35">
      <c r="A32" s="132" t="s">
        <v>1927</v>
      </c>
      <c r="B32" s="132" t="s">
        <v>1928</v>
      </c>
      <c r="C32" s="132" t="s">
        <v>1390</v>
      </c>
      <c r="D32" s="132" t="s">
        <v>1410</v>
      </c>
      <c r="E32" s="132"/>
      <c r="F32" s="132" t="s">
        <v>1931</v>
      </c>
      <c r="G32" s="167">
        <v>26</v>
      </c>
      <c r="H32" s="132" t="s">
        <v>1932</v>
      </c>
      <c r="I32" s="129">
        <f t="shared" ref="I32:R32" si="18">I8</f>
        <v>1</v>
      </c>
      <c r="J32" s="129">
        <f>J8</f>
        <v>1</v>
      </c>
      <c r="K32" s="129">
        <f t="shared" ref="K32:L32" si="19">K8</f>
        <v>1</v>
      </c>
      <c r="L32" s="129">
        <f t="shared" si="19"/>
        <v>1</v>
      </c>
      <c r="M32" s="129">
        <f t="shared" si="18"/>
        <v>1</v>
      </c>
      <c r="N32" s="129">
        <f t="shared" si="18"/>
        <v>1</v>
      </c>
      <c r="O32" s="129">
        <f>O8</f>
        <v>1</v>
      </c>
      <c r="P32" s="129">
        <f t="shared" si="18"/>
        <v>1</v>
      </c>
      <c r="Q32" s="129">
        <f>Q8</f>
        <v>1</v>
      </c>
      <c r="R32" s="129">
        <f t="shared" si="18"/>
        <v>1</v>
      </c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82"/>
      <c r="AD32" s="182"/>
      <c r="AE32" s="182"/>
      <c r="AF32" s="182"/>
      <c r="AG32" s="182"/>
      <c r="AH32" s="182"/>
      <c r="AI32" s="182"/>
      <c r="AJ32" s="182"/>
      <c r="AK32" s="129"/>
      <c r="AL32" s="130">
        <v>0</v>
      </c>
      <c r="AM32" s="131">
        <v>0</v>
      </c>
      <c r="AN32" s="131">
        <v>0</v>
      </c>
      <c r="AO32" s="131">
        <v>0</v>
      </c>
      <c r="AP32" s="131">
        <v>0</v>
      </c>
      <c r="AQ32" s="131">
        <v>0</v>
      </c>
      <c r="AR32" s="131">
        <v>0</v>
      </c>
      <c r="AS32" s="131">
        <v>0</v>
      </c>
      <c r="AT32" s="131">
        <v>0</v>
      </c>
      <c r="AU32" s="131">
        <v>0</v>
      </c>
      <c r="AV32" s="131">
        <v>0</v>
      </c>
      <c r="AW32" s="131">
        <v>0</v>
      </c>
      <c r="AX32" s="131">
        <v>0</v>
      </c>
      <c r="AY32" s="131">
        <v>0</v>
      </c>
      <c r="AZ32" s="131">
        <v>0</v>
      </c>
      <c r="BA32" s="131">
        <v>0</v>
      </c>
      <c r="BB32" s="131">
        <v>0</v>
      </c>
      <c r="BC32" s="131">
        <v>0</v>
      </c>
      <c r="BD32" s="131">
        <v>0</v>
      </c>
      <c r="BE32" s="131">
        <v>0</v>
      </c>
      <c r="BF32" s="131">
        <v>0</v>
      </c>
    </row>
    <row r="33" spans="1:58" x14ac:dyDescent="0.35">
      <c r="A33" s="132" t="s">
        <v>1927</v>
      </c>
      <c r="B33" s="132" t="s">
        <v>1928</v>
      </c>
      <c r="C33" s="132" t="s">
        <v>1394</v>
      </c>
      <c r="D33" s="132" t="s">
        <v>1411</v>
      </c>
      <c r="E33" s="132"/>
      <c r="F33" s="132" t="s">
        <v>1931</v>
      </c>
      <c r="G33" s="167">
        <v>27</v>
      </c>
      <c r="H33" s="132" t="s">
        <v>1945</v>
      </c>
      <c r="I33" s="129">
        <f>9*I6</f>
        <v>9</v>
      </c>
      <c r="J33" s="129">
        <f>6*J6</f>
        <v>6</v>
      </c>
      <c r="K33" s="129">
        <f>9*K6</f>
        <v>9</v>
      </c>
      <c r="L33" s="129">
        <f>9*L6</f>
        <v>9</v>
      </c>
      <c r="M33" s="129">
        <f>4*M6</f>
        <v>4</v>
      </c>
      <c r="N33" s="129">
        <f>9*N6</f>
        <v>9</v>
      </c>
      <c r="O33" s="129">
        <f>6*O6</f>
        <v>6</v>
      </c>
      <c r="P33" s="129">
        <f>9*P6+10*P6</f>
        <v>19</v>
      </c>
      <c r="Q33" s="129">
        <f>9*Q6+12*Q6</f>
        <v>21</v>
      </c>
      <c r="R33" s="129">
        <f>3*R6+12*R6*3</f>
        <v>39</v>
      </c>
      <c r="S33" s="129">
        <f>S6*6</f>
        <v>6</v>
      </c>
      <c r="T33" s="129">
        <f t="shared" ref="T33:U33" si="20">3*T6</f>
        <v>3</v>
      </c>
      <c r="U33" s="129">
        <f t="shared" si="20"/>
        <v>3</v>
      </c>
      <c r="V33" s="129">
        <f>V6*6</f>
        <v>6</v>
      </c>
      <c r="W33" s="129">
        <f>W6*6</f>
        <v>6</v>
      </c>
      <c r="X33" s="129">
        <f>X6*6</f>
        <v>6</v>
      </c>
      <c r="Y33" s="129">
        <f>Y6*3</f>
        <v>3</v>
      </c>
      <c r="Z33" s="129">
        <f>Z6*3</f>
        <v>3</v>
      </c>
      <c r="AA33" s="129">
        <f>AA6*3</f>
        <v>3</v>
      </c>
      <c r="AB33" s="129"/>
      <c r="AC33" s="182">
        <f>AC6*10</f>
        <v>10</v>
      </c>
      <c r="AD33" s="182">
        <f>6*AD6</f>
        <v>6</v>
      </c>
      <c r="AE33" s="182"/>
      <c r="AF33" s="182"/>
      <c r="AG33" s="182"/>
      <c r="AH33" s="182">
        <f>3*AH6</f>
        <v>3</v>
      </c>
      <c r="AI33" s="182"/>
      <c r="AJ33" s="182"/>
      <c r="AK33" s="129"/>
      <c r="AL33" s="130">
        <v>0</v>
      </c>
      <c r="AM33" s="131">
        <v>0</v>
      </c>
      <c r="AN33" s="131">
        <v>0</v>
      </c>
      <c r="AO33" s="131">
        <v>0</v>
      </c>
      <c r="AP33" s="131">
        <v>0</v>
      </c>
      <c r="AQ33" s="131">
        <v>0</v>
      </c>
      <c r="AR33" s="131">
        <v>0</v>
      </c>
      <c r="AS33" s="131">
        <v>0</v>
      </c>
      <c r="AT33" s="131">
        <v>0</v>
      </c>
      <c r="AU33" s="131">
        <v>0</v>
      </c>
      <c r="AV33" s="131">
        <v>0</v>
      </c>
      <c r="AW33" s="131">
        <v>0</v>
      </c>
      <c r="AX33" s="131">
        <v>0</v>
      </c>
      <c r="AY33" s="131">
        <v>0</v>
      </c>
      <c r="AZ33" s="131">
        <v>0</v>
      </c>
      <c r="BA33" s="131">
        <v>0</v>
      </c>
      <c r="BB33" s="131">
        <v>0</v>
      </c>
      <c r="BC33" s="131">
        <v>0</v>
      </c>
      <c r="BD33" s="131">
        <v>0</v>
      </c>
      <c r="BE33" s="131">
        <v>0</v>
      </c>
      <c r="BF33" s="131">
        <v>0</v>
      </c>
    </row>
    <row r="34" spans="1:58" x14ac:dyDescent="0.35">
      <c r="A34" s="132" t="s">
        <v>1927</v>
      </c>
      <c r="B34" s="132" t="s">
        <v>1928</v>
      </c>
      <c r="C34" s="132" t="s">
        <v>1394</v>
      </c>
      <c r="D34" s="132" t="s">
        <v>1946</v>
      </c>
      <c r="E34" s="132"/>
      <c r="F34" s="132" t="s">
        <v>1931</v>
      </c>
      <c r="G34" s="167">
        <v>28</v>
      </c>
      <c r="H34" s="132" t="s">
        <v>1945</v>
      </c>
      <c r="I34" s="129">
        <f t="shared" ref="I34:N34" si="21">I21</f>
        <v>3</v>
      </c>
      <c r="J34" s="129">
        <f>3*J6</f>
        <v>3</v>
      </c>
      <c r="K34" s="129">
        <f>K6*3</f>
        <v>3</v>
      </c>
      <c r="L34" s="129">
        <f>L6*3</f>
        <v>3</v>
      </c>
      <c r="M34" s="129">
        <f t="shared" si="21"/>
        <v>2</v>
      </c>
      <c r="N34" s="129">
        <f t="shared" si="21"/>
        <v>3</v>
      </c>
      <c r="O34" s="129">
        <f>3*O6</f>
        <v>3</v>
      </c>
      <c r="P34" s="129">
        <f>3*P6+5*P6</f>
        <v>8</v>
      </c>
      <c r="Q34" s="129">
        <f>3*Q6</f>
        <v>3</v>
      </c>
      <c r="R34" s="129">
        <f>6*3*R6</f>
        <v>18</v>
      </c>
      <c r="S34" s="129">
        <f>S6*3</f>
        <v>3</v>
      </c>
      <c r="T34" s="129"/>
      <c r="U34" s="129">
        <f>U6*3</f>
        <v>3</v>
      </c>
      <c r="V34" s="129">
        <f>V6*3</f>
        <v>3</v>
      </c>
      <c r="W34" s="129">
        <f>W6*3</f>
        <v>3</v>
      </c>
      <c r="X34" s="129">
        <f>X6*3</f>
        <v>3</v>
      </c>
      <c r="Y34" s="129"/>
      <c r="Z34" s="129">
        <f>Z6*3</f>
        <v>3</v>
      </c>
      <c r="AA34" s="129">
        <f>AA6*3</f>
        <v>3</v>
      </c>
      <c r="AB34" s="129"/>
      <c r="AC34" s="182">
        <f>AC6*5</f>
        <v>5</v>
      </c>
      <c r="AD34" s="182">
        <f>AD6*3</f>
        <v>3</v>
      </c>
      <c r="AE34" s="182"/>
      <c r="AF34" s="182"/>
      <c r="AG34" s="182"/>
      <c r="AH34" s="182">
        <f>AH6</f>
        <v>1</v>
      </c>
      <c r="AI34" s="182"/>
      <c r="AJ34" s="182"/>
      <c r="AK34" s="129"/>
      <c r="AL34" s="130">
        <v>0</v>
      </c>
      <c r="AM34" s="131">
        <v>0</v>
      </c>
      <c r="AN34" s="131">
        <v>0</v>
      </c>
      <c r="AO34" s="131">
        <v>0</v>
      </c>
      <c r="AP34" s="131">
        <v>0</v>
      </c>
      <c r="AQ34" s="131">
        <v>0</v>
      </c>
      <c r="AR34" s="131">
        <v>0</v>
      </c>
      <c r="AS34" s="131">
        <v>0</v>
      </c>
      <c r="AT34" s="131">
        <v>0</v>
      </c>
      <c r="AU34" s="131">
        <v>0</v>
      </c>
      <c r="AV34" s="131">
        <v>0</v>
      </c>
      <c r="AW34" s="131">
        <v>0</v>
      </c>
      <c r="AX34" s="131">
        <v>0</v>
      </c>
      <c r="AY34" s="131">
        <v>0</v>
      </c>
      <c r="AZ34" s="131">
        <v>0</v>
      </c>
      <c r="BA34" s="131">
        <v>0</v>
      </c>
      <c r="BB34" s="131">
        <v>0</v>
      </c>
      <c r="BC34" s="131">
        <v>0</v>
      </c>
      <c r="BD34" s="131">
        <v>0</v>
      </c>
      <c r="BE34" s="131">
        <v>0</v>
      </c>
      <c r="BF34" s="131">
        <v>0</v>
      </c>
    </row>
    <row r="35" spans="1:58" ht="14.5" x14ac:dyDescent="0.35">
      <c r="A35" s="132" t="s">
        <v>1927</v>
      </c>
      <c r="B35" s="132" t="s">
        <v>1928</v>
      </c>
      <c r="C35" s="132" t="s">
        <v>1394</v>
      </c>
      <c r="D35" s="132" t="s">
        <v>1947</v>
      </c>
      <c r="E35" s="132"/>
      <c r="F35" s="168" t="s">
        <v>1937</v>
      </c>
      <c r="G35" s="168" t="s">
        <v>1982</v>
      </c>
      <c r="H35" s="132" t="s">
        <v>1948</v>
      </c>
      <c r="I35" s="129">
        <v>0</v>
      </c>
      <c r="J35" s="129">
        <v>0</v>
      </c>
      <c r="K35" s="129">
        <v>0</v>
      </c>
      <c r="L35" s="129">
        <v>0</v>
      </c>
      <c r="M35" s="129">
        <v>0</v>
      </c>
      <c r="N35" s="129">
        <v>0</v>
      </c>
      <c r="O35" s="129">
        <v>0</v>
      </c>
      <c r="P35" s="129">
        <v>0</v>
      </c>
      <c r="Q35" s="129">
        <v>0</v>
      </c>
      <c r="R35" s="129">
        <v>0</v>
      </c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82"/>
      <c r="AD35" s="182"/>
      <c r="AE35" s="182"/>
      <c r="AF35" s="182"/>
      <c r="AG35" s="182"/>
      <c r="AH35" s="182"/>
      <c r="AI35" s="182"/>
      <c r="AJ35" s="182"/>
      <c r="AK35" s="129"/>
      <c r="AL35" s="130">
        <v>0</v>
      </c>
      <c r="AM35" s="131">
        <v>0</v>
      </c>
      <c r="AN35" s="131">
        <v>0</v>
      </c>
      <c r="AO35" s="131">
        <v>0</v>
      </c>
      <c r="AP35" s="131">
        <v>0</v>
      </c>
      <c r="AQ35" s="131">
        <v>0</v>
      </c>
      <c r="AR35" s="131">
        <v>0</v>
      </c>
      <c r="AS35" s="131">
        <v>0</v>
      </c>
      <c r="AT35" s="131">
        <v>0</v>
      </c>
      <c r="AU35" s="131">
        <v>0</v>
      </c>
      <c r="AV35" s="131">
        <v>0</v>
      </c>
      <c r="AW35" s="131">
        <v>0</v>
      </c>
      <c r="AX35" s="131">
        <v>0</v>
      </c>
      <c r="AY35" s="131">
        <v>0</v>
      </c>
      <c r="AZ35" s="131">
        <v>0</v>
      </c>
      <c r="BA35" s="131">
        <v>0</v>
      </c>
      <c r="BB35" s="131">
        <v>0</v>
      </c>
      <c r="BC35" s="131">
        <v>0</v>
      </c>
      <c r="BD35" s="131">
        <v>0</v>
      </c>
      <c r="BE35" s="131">
        <v>0</v>
      </c>
      <c r="BF35" s="131">
        <v>0</v>
      </c>
    </row>
    <row r="36" spans="1:58" ht="14.5" x14ac:dyDescent="0.35">
      <c r="A36" s="132" t="s">
        <v>1927</v>
      </c>
      <c r="B36" s="132" t="s">
        <v>1928</v>
      </c>
      <c r="C36" s="132" t="s">
        <v>1394</v>
      </c>
      <c r="D36" s="132" t="s">
        <v>1949</v>
      </c>
      <c r="E36" s="132"/>
      <c r="F36" s="168" t="s">
        <v>1937</v>
      </c>
      <c r="G36" s="168" t="s">
        <v>1982</v>
      </c>
      <c r="H36" s="132" t="s">
        <v>1945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29">
        <v>0</v>
      </c>
      <c r="Q36" s="129">
        <v>0</v>
      </c>
      <c r="R36" s="129">
        <v>0</v>
      </c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82"/>
      <c r="AD36" s="182"/>
      <c r="AE36" s="182"/>
      <c r="AF36" s="182"/>
      <c r="AG36" s="182"/>
      <c r="AH36" s="182"/>
      <c r="AI36" s="182"/>
      <c r="AJ36" s="182"/>
      <c r="AK36" s="129"/>
      <c r="AL36" s="130">
        <v>0</v>
      </c>
      <c r="AM36" s="131">
        <v>0</v>
      </c>
      <c r="AN36" s="131">
        <v>0</v>
      </c>
      <c r="AO36" s="131">
        <v>0</v>
      </c>
      <c r="AP36" s="131">
        <v>0</v>
      </c>
      <c r="AQ36" s="131">
        <v>0</v>
      </c>
      <c r="AR36" s="131">
        <v>0</v>
      </c>
      <c r="AS36" s="131">
        <v>0</v>
      </c>
      <c r="AT36" s="131">
        <v>0</v>
      </c>
      <c r="AU36" s="131">
        <v>0</v>
      </c>
      <c r="AV36" s="131">
        <v>0</v>
      </c>
      <c r="AW36" s="131">
        <v>0</v>
      </c>
      <c r="AX36" s="131">
        <v>0</v>
      </c>
      <c r="AY36" s="131">
        <v>0</v>
      </c>
      <c r="AZ36" s="131">
        <v>0</v>
      </c>
      <c r="BA36" s="131">
        <v>0</v>
      </c>
      <c r="BB36" s="131">
        <v>0</v>
      </c>
      <c r="BC36" s="131">
        <v>0</v>
      </c>
      <c r="BD36" s="131">
        <v>0</v>
      </c>
      <c r="BE36" s="131">
        <v>0</v>
      </c>
      <c r="BF36" s="131">
        <v>0</v>
      </c>
    </row>
    <row r="37" spans="1:58" x14ac:dyDescent="0.35">
      <c r="A37" s="134" t="s">
        <v>1927</v>
      </c>
      <c r="B37" s="132" t="s">
        <v>1928</v>
      </c>
      <c r="C37" s="133" t="s">
        <v>1394</v>
      </c>
      <c r="D37" s="161" t="s">
        <v>1772</v>
      </c>
      <c r="E37" s="135"/>
      <c r="F37" s="135" t="s">
        <v>1768</v>
      </c>
      <c r="G37" s="169">
        <v>31</v>
      </c>
      <c r="H37" s="132" t="s">
        <v>1945</v>
      </c>
      <c r="I37" s="129">
        <f t="shared" ref="I37:R37" si="22">I6*3*0</f>
        <v>0</v>
      </c>
      <c r="J37" s="129">
        <f>J6*3*0</f>
        <v>0</v>
      </c>
      <c r="K37" s="129">
        <f t="shared" ref="K37:L37" si="23">K6*3*0</f>
        <v>0</v>
      </c>
      <c r="L37" s="129">
        <f t="shared" si="23"/>
        <v>0</v>
      </c>
      <c r="M37" s="129">
        <f t="shared" si="22"/>
        <v>0</v>
      </c>
      <c r="N37" s="129">
        <f t="shared" si="22"/>
        <v>0</v>
      </c>
      <c r="O37" s="129">
        <f>O6*3*0</f>
        <v>0</v>
      </c>
      <c r="P37" s="129">
        <f t="shared" si="22"/>
        <v>0</v>
      </c>
      <c r="Q37" s="129">
        <f>Q6*3*0</f>
        <v>0</v>
      </c>
      <c r="R37" s="129">
        <f t="shared" si="22"/>
        <v>0</v>
      </c>
      <c r="S37" s="129">
        <v>0</v>
      </c>
      <c r="T37" s="129">
        <v>0</v>
      </c>
      <c r="U37" s="129">
        <v>0</v>
      </c>
      <c r="V37" s="129">
        <f>V6*3</f>
        <v>3</v>
      </c>
      <c r="W37" s="129">
        <f>W6*3</f>
        <v>3</v>
      </c>
      <c r="X37" s="129">
        <f>X6*3</f>
        <v>3</v>
      </c>
      <c r="Y37" s="129">
        <f>Y6*3</f>
        <v>3</v>
      </c>
      <c r="Z37" s="129">
        <f>60*3*0</f>
        <v>0</v>
      </c>
      <c r="AA37" s="129">
        <f>60*3*0</f>
        <v>0</v>
      </c>
      <c r="AB37" s="129">
        <f>AB6*3</f>
        <v>3</v>
      </c>
      <c r="AC37" s="182"/>
      <c r="AD37" s="182"/>
      <c r="AE37" s="182"/>
      <c r="AF37" s="182"/>
      <c r="AG37" s="182"/>
      <c r="AH37" s="182"/>
      <c r="AI37" s="182"/>
      <c r="AJ37" s="182"/>
      <c r="AK37" s="129"/>
      <c r="AL37" s="130">
        <v>0</v>
      </c>
      <c r="AM37" s="131">
        <v>0</v>
      </c>
      <c r="AN37" s="131">
        <v>0</v>
      </c>
      <c r="AO37" s="131">
        <v>0</v>
      </c>
      <c r="AP37" s="131">
        <v>0</v>
      </c>
      <c r="AQ37" s="131">
        <v>0</v>
      </c>
      <c r="AR37" s="131">
        <v>0</v>
      </c>
      <c r="AS37" s="131">
        <v>0</v>
      </c>
      <c r="AT37" s="131">
        <v>0</v>
      </c>
      <c r="AU37" s="131">
        <v>0</v>
      </c>
      <c r="AV37" s="131">
        <v>0</v>
      </c>
      <c r="AW37" s="131">
        <v>0</v>
      </c>
      <c r="AX37" s="131">
        <v>0</v>
      </c>
      <c r="AY37" s="131">
        <v>0</v>
      </c>
      <c r="AZ37" s="131">
        <v>0</v>
      </c>
      <c r="BA37" s="131">
        <v>0</v>
      </c>
      <c r="BB37" s="131">
        <v>0</v>
      </c>
      <c r="BC37" s="131">
        <v>0</v>
      </c>
      <c r="BD37" s="131">
        <v>0</v>
      </c>
      <c r="BE37" s="131">
        <v>0</v>
      </c>
      <c r="BF37" s="131">
        <v>0</v>
      </c>
    </row>
    <row r="38" spans="1:58" ht="14.5" x14ac:dyDescent="0.35">
      <c r="A38" s="132" t="s">
        <v>1927</v>
      </c>
      <c r="B38" s="132" t="s">
        <v>1928</v>
      </c>
      <c r="C38" s="132" t="s">
        <v>1394</v>
      </c>
      <c r="D38" s="132" t="s">
        <v>1950</v>
      </c>
      <c r="E38" s="132"/>
      <c r="F38" s="168" t="s">
        <v>1937</v>
      </c>
      <c r="G38" s="168" t="s">
        <v>1982</v>
      </c>
      <c r="H38" s="132" t="s">
        <v>1945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v>0</v>
      </c>
      <c r="Q38" s="129">
        <v>0</v>
      </c>
      <c r="R38" s="129">
        <v>0</v>
      </c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82"/>
      <c r="AD38" s="182"/>
      <c r="AE38" s="182"/>
      <c r="AF38" s="182"/>
      <c r="AG38" s="182"/>
      <c r="AH38" s="182"/>
      <c r="AI38" s="182"/>
      <c r="AJ38" s="182"/>
      <c r="AK38" s="129"/>
      <c r="AL38" s="130">
        <v>0</v>
      </c>
      <c r="AM38" s="131">
        <v>0</v>
      </c>
      <c r="AN38" s="131">
        <v>0</v>
      </c>
      <c r="AO38" s="131">
        <v>0</v>
      </c>
      <c r="AP38" s="131">
        <v>0</v>
      </c>
      <c r="AQ38" s="131">
        <v>0</v>
      </c>
      <c r="AR38" s="131">
        <v>0</v>
      </c>
      <c r="AS38" s="131">
        <v>0</v>
      </c>
      <c r="AT38" s="131">
        <v>0</v>
      </c>
      <c r="AU38" s="131">
        <v>0</v>
      </c>
      <c r="AV38" s="131">
        <v>0</v>
      </c>
      <c r="AW38" s="131">
        <v>0</v>
      </c>
      <c r="AX38" s="131">
        <v>0</v>
      </c>
      <c r="AY38" s="131">
        <v>0</v>
      </c>
      <c r="AZ38" s="131">
        <v>0</v>
      </c>
      <c r="BA38" s="131">
        <v>0</v>
      </c>
      <c r="BB38" s="131">
        <v>0</v>
      </c>
      <c r="BC38" s="131">
        <v>0</v>
      </c>
      <c r="BD38" s="131">
        <v>0</v>
      </c>
      <c r="BE38" s="131">
        <v>0</v>
      </c>
      <c r="BF38" s="131">
        <v>0</v>
      </c>
    </row>
    <row r="39" spans="1:58" x14ac:dyDescent="0.35">
      <c r="A39" s="132" t="s">
        <v>1927</v>
      </c>
      <c r="B39" s="132" t="s">
        <v>1928</v>
      </c>
      <c r="C39" s="132" t="s">
        <v>1394</v>
      </c>
      <c r="D39" s="132" t="s">
        <v>1412</v>
      </c>
      <c r="E39" s="132"/>
      <c r="F39" s="132" t="s">
        <v>1931</v>
      </c>
      <c r="G39" s="167">
        <v>33</v>
      </c>
      <c r="H39" s="132" t="s">
        <v>1945</v>
      </c>
      <c r="I39" s="129">
        <f t="shared" ref="I39:N39" si="24">I21</f>
        <v>3</v>
      </c>
      <c r="J39" s="129">
        <f>J21</f>
        <v>0</v>
      </c>
      <c r="K39" s="129">
        <f>K6*3</f>
        <v>3</v>
      </c>
      <c r="L39" s="129">
        <f>L6*3</f>
        <v>3</v>
      </c>
      <c r="M39" s="129">
        <f t="shared" si="24"/>
        <v>2</v>
      </c>
      <c r="N39" s="129">
        <f t="shared" si="24"/>
        <v>3</v>
      </c>
      <c r="O39" s="129">
        <v>0</v>
      </c>
      <c r="P39" s="129">
        <f>P34</f>
        <v>8</v>
      </c>
      <c r="Q39" s="129">
        <f>Q34+Q6*6</f>
        <v>9</v>
      </c>
      <c r="R39" s="129">
        <f>R34</f>
        <v>18</v>
      </c>
      <c r="S39" s="129">
        <f>S6*3</f>
        <v>3</v>
      </c>
      <c r="T39" s="129">
        <f>3*T6</f>
        <v>3</v>
      </c>
      <c r="U39" s="129">
        <v>0</v>
      </c>
      <c r="V39" s="129">
        <f>V6*3</f>
        <v>3</v>
      </c>
      <c r="W39" s="129">
        <f>W6*3</f>
        <v>3</v>
      </c>
      <c r="X39" s="129">
        <f>X6*3</f>
        <v>3</v>
      </c>
      <c r="Y39" s="129">
        <f>Y6*3</f>
        <v>3</v>
      </c>
      <c r="Z39" s="129">
        <f>Z37</f>
        <v>0</v>
      </c>
      <c r="AA39" s="129">
        <f>AA37</f>
        <v>0</v>
      </c>
      <c r="AB39" s="129">
        <f>AB6*3</f>
        <v>3</v>
      </c>
      <c r="AC39" s="182">
        <f>AC6*5</f>
        <v>5</v>
      </c>
      <c r="AD39" s="182">
        <f>AD6*3</f>
        <v>3</v>
      </c>
      <c r="AE39" s="182"/>
      <c r="AF39" s="182"/>
      <c r="AG39" s="182"/>
      <c r="AH39" s="182">
        <f>AH6</f>
        <v>1</v>
      </c>
      <c r="AI39" s="182"/>
      <c r="AJ39" s="182"/>
      <c r="AK39" s="129"/>
      <c r="AL39" s="130">
        <v>0</v>
      </c>
      <c r="AM39" s="131">
        <v>0</v>
      </c>
      <c r="AN39" s="131">
        <v>0</v>
      </c>
      <c r="AO39" s="131">
        <v>0</v>
      </c>
      <c r="AP39" s="131">
        <v>0</v>
      </c>
      <c r="AQ39" s="131">
        <v>0</v>
      </c>
      <c r="AR39" s="131">
        <v>0</v>
      </c>
      <c r="AS39" s="131">
        <v>0</v>
      </c>
      <c r="AT39" s="131">
        <v>0</v>
      </c>
      <c r="AU39" s="131">
        <v>0</v>
      </c>
      <c r="AV39" s="131">
        <v>0</v>
      </c>
      <c r="AW39" s="131">
        <v>0</v>
      </c>
      <c r="AX39" s="131">
        <v>0</v>
      </c>
      <c r="AY39" s="131">
        <v>0</v>
      </c>
      <c r="AZ39" s="131">
        <v>0</v>
      </c>
      <c r="BA39" s="131">
        <v>0</v>
      </c>
      <c r="BB39" s="131">
        <v>0</v>
      </c>
      <c r="BC39" s="131">
        <v>0</v>
      </c>
      <c r="BD39" s="131">
        <v>0</v>
      </c>
      <c r="BE39" s="131">
        <v>0</v>
      </c>
      <c r="BF39" s="131">
        <v>0</v>
      </c>
    </row>
    <row r="40" spans="1:58" x14ac:dyDescent="0.35">
      <c r="A40" s="132" t="s">
        <v>1927</v>
      </c>
      <c r="B40" s="132" t="s">
        <v>1928</v>
      </c>
      <c r="C40" s="132" t="s">
        <v>1394</v>
      </c>
      <c r="D40" s="132" t="s">
        <v>1413</v>
      </c>
      <c r="E40" s="132"/>
      <c r="F40" s="132" t="s">
        <v>1931</v>
      </c>
      <c r="G40" s="167">
        <v>34</v>
      </c>
      <c r="H40" s="132" t="s">
        <v>1945</v>
      </c>
      <c r="I40" s="129">
        <f>6*I6</f>
        <v>6</v>
      </c>
      <c r="J40" s="129">
        <f>6*J6</f>
        <v>6</v>
      </c>
      <c r="K40" s="129">
        <f>6*K6</f>
        <v>6</v>
      </c>
      <c r="L40" s="129">
        <f>8*L6</f>
        <v>8</v>
      </c>
      <c r="M40" s="129">
        <f>4*M6</f>
        <v>4</v>
      </c>
      <c r="N40" s="129">
        <f>8*N6</f>
        <v>8</v>
      </c>
      <c r="O40" s="129">
        <f>8*O6</f>
        <v>8</v>
      </c>
      <c r="P40" s="129">
        <f>6*P6</f>
        <v>6</v>
      </c>
      <c r="Q40" s="129">
        <f>6*Q6</f>
        <v>6</v>
      </c>
      <c r="R40" s="129">
        <f>6*R6</f>
        <v>6</v>
      </c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82"/>
      <c r="AD40" s="182"/>
      <c r="AE40" s="182"/>
      <c r="AF40" s="182"/>
      <c r="AG40" s="182">
        <f>AG6*6</f>
        <v>6</v>
      </c>
      <c r="AH40" s="182">
        <f>2*AH6</f>
        <v>2</v>
      </c>
      <c r="AI40" s="182"/>
      <c r="AJ40" s="182"/>
      <c r="AK40" s="129"/>
      <c r="AL40" s="130">
        <v>0</v>
      </c>
      <c r="AM40" s="131">
        <v>0</v>
      </c>
      <c r="AN40" s="131">
        <v>0</v>
      </c>
      <c r="AO40" s="131">
        <v>0</v>
      </c>
      <c r="AP40" s="131">
        <v>0</v>
      </c>
      <c r="AQ40" s="131">
        <v>0</v>
      </c>
      <c r="AR40" s="131">
        <v>0</v>
      </c>
      <c r="AS40" s="131">
        <v>0</v>
      </c>
      <c r="AT40" s="131">
        <v>0</v>
      </c>
      <c r="AU40" s="131">
        <v>0</v>
      </c>
      <c r="AV40" s="131">
        <v>0</v>
      </c>
      <c r="AW40" s="131">
        <v>0</v>
      </c>
      <c r="AX40" s="131">
        <v>0</v>
      </c>
      <c r="AY40" s="131">
        <v>0</v>
      </c>
      <c r="AZ40" s="131">
        <v>0</v>
      </c>
      <c r="BA40" s="131">
        <v>0</v>
      </c>
      <c r="BB40" s="131">
        <v>0</v>
      </c>
      <c r="BC40" s="131">
        <v>0</v>
      </c>
      <c r="BD40" s="131">
        <v>0</v>
      </c>
      <c r="BE40" s="131">
        <v>0</v>
      </c>
      <c r="BF40" s="131">
        <v>0</v>
      </c>
    </row>
    <row r="41" spans="1:58" x14ac:dyDescent="0.35">
      <c r="A41" s="132" t="s">
        <v>1927</v>
      </c>
      <c r="B41" s="132" t="s">
        <v>1928</v>
      </c>
      <c r="C41" s="132" t="s">
        <v>1394</v>
      </c>
      <c r="D41" s="132" t="s">
        <v>1414</v>
      </c>
      <c r="E41" s="132"/>
      <c r="F41" s="132" t="s">
        <v>1931</v>
      </c>
      <c r="G41" s="167">
        <v>35</v>
      </c>
      <c r="H41" s="132" t="s">
        <v>1945</v>
      </c>
      <c r="I41" s="129">
        <v>0</v>
      </c>
      <c r="J41" s="129">
        <v>0</v>
      </c>
      <c r="K41" s="129">
        <v>0</v>
      </c>
      <c r="L41" s="129">
        <v>0</v>
      </c>
      <c r="M41" s="129">
        <v>0</v>
      </c>
      <c r="N41" s="129">
        <v>0</v>
      </c>
      <c r="O41" s="129">
        <v>0</v>
      </c>
      <c r="P41" s="129">
        <v>0</v>
      </c>
      <c r="Q41" s="129">
        <v>0</v>
      </c>
      <c r="R41" s="129">
        <v>0</v>
      </c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82"/>
      <c r="AD41" s="182"/>
      <c r="AE41" s="182"/>
      <c r="AF41" s="182"/>
      <c r="AG41" s="182"/>
      <c r="AH41" s="182"/>
      <c r="AI41" s="182"/>
      <c r="AJ41" s="182"/>
      <c r="AK41" s="129"/>
      <c r="AL41" s="130">
        <f>AL6*3</f>
        <v>3</v>
      </c>
      <c r="AM41" s="131">
        <v>0</v>
      </c>
      <c r="AN41" s="131">
        <f>AN6*3</f>
        <v>3</v>
      </c>
      <c r="AO41" s="131">
        <v>0</v>
      </c>
      <c r="AP41" s="131">
        <f>AP6*3</f>
        <v>3</v>
      </c>
      <c r="AQ41" s="131">
        <f>AQ6*6</f>
        <v>6</v>
      </c>
      <c r="AR41" s="131">
        <f>AR6*6</f>
        <v>6</v>
      </c>
      <c r="AS41" s="131">
        <f>AS6*6</f>
        <v>6</v>
      </c>
      <c r="AT41" s="131">
        <f t="shared" ref="AT41:AU41" si="25">AT6*3</f>
        <v>3</v>
      </c>
      <c r="AU41" s="131">
        <f t="shared" si="25"/>
        <v>3</v>
      </c>
      <c r="AV41" s="131">
        <v>0</v>
      </c>
      <c r="AW41" s="131">
        <f t="shared" ref="AW41" si="26">AW6*3</f>
        <v>3</v>
      </c>
      <c r="AX41" s="131">
        <f t="shared" ref="AX41:AY41" si="27">3*AX6</f>
        <v>3</v>
      </c>
      <c r="AY41" s="131">
        <f t="shared" si="27"/>
        <v>3</v>
      </c>
      <c r="AZ41" s="131">
        <f>AZ6*6</f>
        <v>6</v>
      </c>
      <c r="BA41" s="131">
        <v>0</v>
      </c>
      <c r="BB41" s="131">
        <v>0</v>
      </c>
      <c r="BC41" s="131">
        <v>0</v>
      </c>
      <c r="BD41" s="131">
        <v>0</v>
      </c>
      <c r="BE41" s="131">
        <v>0</v>
      </c>
      <c r="BF41" s="131">
        <v>0</v>
      </c>
    </row>
    <row r="42" spans="1:58" x14ac:dyDescent="0.35">
      <c r="A42" s="132" t="s">
        <v>1927</v>
      </c>
      <c r="B42" s="132" t="s">
        <v>1928</v>
      </c>
      <c r="C42" s="132" t="s">
        <v>1394</v>
      </c>
      <c r="D42" s="132" t="s">
        <v>1951</v>
      </c>
      <c r="E42" s="132"/>
      <c r="F42" s="132" t="s">
        <v>1931</v>
      </c>
      <c r="G42" s="167">
        <v>36</v>
      </c>
      <c r="H42" s="132" t="s">
        <v>1945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29">
        <v>0</v>
      </c>
      <c r="O42" s="129">
        <v>0</v>
      </c>
      <c r="P42" s="129">
        <v>0</v>
      </c>
      <c r="Q42" s="129">
        <v>0</v>
      </c>
      <c r="R42" s="129">
        <v>0</v>
      </c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82"/>
      <c r="AD42" s="182"/>
      <c r="AE42" s="182"/>
      <c r="AF42" s="182"/>
      <c r="AG42" s="182"/>
      <c r="AH42" s="182"/>
      <c r="AI42" s="182"/>
      <c r="AJ42" s="182"/>
      <c r="AK42" s="129"/>
      <c r="AL42" s="130">
        <f>AL6*3</f>
        <v>3</v>
      </c>
      <c r="AM42" s="131">
        <v>0</v>
      </c>
      <c r="AN42" s="131">
        <v>0</v>
      </c>
      <c r="AO42" s="131">
        <v>0</v>
      </c>
      <c r="AP42" s="131">
        <f>AP6*3</f>
        <v>3</v>
      </c>
      <c r="AQ42" s="131">
        <f>AQ6*3</f>
        <v>3</v>
      </c>
      <c r="AR42" s="131">
        <f>AR6*3</f>
        <v>3</v>
      </c>
      <c r="AS42" s="131">
        <f>AS6*3</f>
        <v>3</v>
      </c>
      <c r="AT42" s="131">
        <f t="shared" ref="AT42:AU42" si="28">AT6*3</f>
        <v>3</v>
      </c>
      <c r="AU42" s="131">
        <f t="shared" si="28"/>
        <v>3</v>
      </c>
      <c r="AV42" s="131">
        <v>0</v>
      </c>
      <c r="AW42" s="131">
        <f t="shared" ref="AW42" si="29">3*AW6</f>
        <v>3</v>
      </c>
      <c r="AX42" s="131">
        <v>0</v>
      </c>
      <c r="AY42" s="131">
        <v>0</v>
      </c>
      <c r="AZ42" s="131">
        <f>3*AZ6</f>
        <v>3</v>
      </c>
      <c r="BA42" s="131">
        <v>0</v>
      </c>
      <c r="BB42" s="131">
        <v>0</v>
      </c>
      <c r="BC42" s="131">
        <v>0</v>
      </c>
      <c r="BD42" s="131">
        <v>0</v>
      </c>
      <c r="BE42" s="131">
        <v>0</v>
      </c>
      <c r="BF42" s="131">
        <v>0</v>
      </c>
    </row>
    <row r="43" spans="1:58" x14ac:dyDescent="0.35">
      <c r="A43" s="132" t="s">
        <v>1927</v>
      </c>
      <c r="B43" s="132" t="s">
        <v>1928</v>
      </c>
      <c r="C43" s="132" t="s">
        <v>1394</v>
      </c>
      <c r="D43" s="132" t="s">
        <v>1415</v>
      </c>
      <c r="E43" s="132"/>
      <c r="F43" s="132" t="s">
        <v>1931</v>
      </c>
      <c r="G43" s="167">
        <v>37</v>
      </c>
      <c r="H43" s="132" t="s">
        <v>1945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0</v>
      </c>
      <c r="Q43" s="129">
        <v>0</v>
      </c>
      <c r="R43" s="129">
        <v>0</v>
      </c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82"/>
      <c r="AD43" s="182"/>
      <c r="AE43" s="182"/>
      <c r="AF43" s="182"/>
      <c r="AG43" s="182"/>
      <c r="AH43" s="182"/>
      <c r="AI43" s="182"/>
      <c r="AJ43" s="182"/>
      <c r="AK43" s="129"/>
      <c r="AL43" s="130">
        <v>0</v>
      </c>
      <c r="AM43" s="131">
        <v>0</v>
      </c>
      <c r="AN43" s="131">
        <v>0</v>
      </c>
      <c r="AO43" s="131">
        <v>0</v>
      </c>
      <c r="AP43" s="131">
        <v>0</v>
      </c>
      <c r="AQ43" s="131">
        <v>0</v>
      </c>
      <c r="AR43" s="131">
        <v>0</v>
      </c>
      <c r="AS43" s="131">
        <v>0</v>
      </c>
      <c r="AT43" s="131">
        <v>0</v>
      </c>
      <c r="AU43" s="131">
        <v>0</v>
      </c>
      <c r="AV43" s="131">
        <v>0</v>
      </c>
      <c r="AW43" s="131">
        <v>0</v>
      </c>
      <c r="AX43" s="131">
        <v>0</v>
      </c>
      <c r="AY43" s="131">
        <v>0</v>
      </c>
      <c r="AZ43" s="131">
        <v>0</v>
      </c>
      <c r="BA43" s="131">
        <f t="shared" ref="BA43:BE43" si="30">BA6*3</f>
        <v>3</v>
      </c>
      <c r="BB43" s="131">
        <f t="shared" si="30"/>
        <v>3</v>
      </c>
      <c r="BC43" s="131">
        <f t="shared" si="30"/>
        <v>3</v>
      </c>
      <c r="BD43" s="131">
        <f t="shared" si="30"/>
        <v>3</v>
      </c>
      <c r="BE43" s="131">
        <f t="shared" si="30"/>
        <v>3</v>
      </c>
      <c r="BF43" s="131">
        <v>0</v>
      </c>
    </row>
    <row r="44" spans="1:58" x14ac:dyDescent="0.35">
      <c r="A44" s="132" t="s">
        <v>1927</v>
      </c>
      <c r="B44" s="132" t="s">
        <v>1928</v>
      </c>
      <c r="C44" s="132" t="s">
        <v>1394</v>
      </c>
      <c r="D44" s="132" t="s">
        <v>1952</v>
      </c>
      <c r="E44" s="132"/>
      <c r="F44" s="132" t="s">
        <v>1931</v>
      </c>
      <c r="G44" s="167">
        <v>39</v>
      </c>
      <c r="H44" s="132" t="s">
        <v>1945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  <c r="N44" s="129">
        <v>0</v>
      </c>
      <c r="O44" s="129">
        <v>0</v>
      </c>
      <c r="P44" s="129">
        <v>0</v>
      </c>
      <c r="Q44" s="129">
        <v>0</v>
      </c>
      <c r="R44" s="129">
        <v>0</v>
      </c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82"/>
      <c r="AD44" s="182"/>
      <c r="AE44" s="182"/>
      <c r="AF44" s="182"/>
      <c r="AG44" s="182"/>
      <c r="AH44" s="182"/>
      <c r="AI44" s="182"/>
      <c r="AJ44" s="182"/>
      <c r="AK44" s="129"/>
      <c r="AL44" s="130">
        <v>0</v>
      </c>
      <c r="AM44" s="131">
        <v>0</v>
      </c>
      <c r="AN44" s="131">
        <v>0</v>
      </c>
      <c r="AO44" s="131">
        <v>0</v>
      </c>
      <c r="AP44" s="131">
        <v>0</v>
      </c>
      <c r="AQ44" s="131">
        <v>0</v>
      </c>
      <c r="AR44" s="131">
        <v>0</v>
      </c>
      <c r="AS44" s="131">
        <v>0</v>
      </c>
      <c r="AT44" s="131">
        <v>0</v>
      </c>
      <c r="AU44" s="131">
        <v>0</v>
      </c>
      <c r="AV44" s="131">
        <v>0</v>
      </c>
      <c r="AW44" s="131">
        <v>0</v>
      </c>
      <c r="AX44" s="131">
        <v>0</v>
      </c>
      <c r="AY44" s="131">
        <v>0</v>
      </c>
      <c r="AZ44" s="131">
        <v>0</v>
      </c>
      <c r="BA44" s="131">
        <f t="shared" ref="BA44:BE44" si="31">BA6*3</f>
        <v>3</v>
      </c>
      <c r="BB44" s="131">
        <f t="shared" si="31"/>
        <v>3</v>
      </c>
      <c r="BC44" s="131">
        <f t="shared" si="31"/>
        <v>3</v>
      </c>
      <c r="BD44" s="131">
        <f t="shared" si="31"/>
        <v>3</v>
      </c>
      <c r="BE44" s="131">
        <f t="shared" si="31"/>
        <v>3</v>
      </c>
      <c r="BF44" s="131">
        <v>0</v>
      </c>
    </row>
    <row r="45" spans="1:58" x14ac:dyDescent="0.35">
      <c r="A45" s="132" t="s">
        <v>1927</v>
      </c>
      <c r="B45" s="132" t="s">
        <v>1928</v>
      </c>
      <c r="C45" s="132" t="s">
        <v>1394</v>
      </c>
      <c r="D45" s="132" t="s">
        <v>1416</v>
      </c>
      <c r="E45" s="132"/>
      <c r="F45" s="132" t="s">
        <v>1931</v>
      </c>
      <c r="G45" s="167">
        <v>40</v>
      </c>
      <c r="H45" s="132" t="s">
        <v>1945</v>
      </c>
      <c r="I45" s="129">
        <v>0</v>
      </c>
      <c r="J45" s="129">
        <v>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v>0</v>
      </c>
      <c r="Q45" s="129">
        <v>0</v>
      </c>
      <c r="R45" s="129">
        <v>0</v>
      </c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82"/>
      <c r="AD45" s="182"/>
      <c r="AE45" s="182"/>
      <c r="AF45" s="182"/>
      <c r="AG45" s="182"/>
      <c r="AH45" s="182"/>
      <c r="AI45" s="182"/>
      <c r="AJ45" s="182"/>
      <c r="AK45" s="129"/>
      <c r="AL45" s="130">
        <v>0</v>
      </c>
      <c r="AM45" s="131">
        <v>0</v>
      </c>
      <c r="AN45" s="131">
        <v>0</v>
      </c>
      <c r="AO45" s="131">
        <v>0</v>
      </c>
      <c r="AP45" s="131">
        <f>3*AP6</f>
        <v>3</v>
      </c>
      <c r="AQ45" s="131">
        <f>AQ6*3</f>
        <v>3</v>
      </c>
      <c r="AR45" s="131">
        <f>AR6*3</f>
        <v>3</v>
      </c>
      <c r="AS45" s="131">
        <f>AS6*3</f>
        <v>3</v>
      </c>
      <c r="AT45" s="131">
        <v>0</v>
      </c>
      <c r="AU45" s="131">
        <v>0</v>
      </c>
      <c r="AV45" s="131">
        <f>AV6*3</f>
        <v>3</v>
      </c>
      <c r="AW45" s="131">
        <f>AW6*3</f>
        <v>3</v>
      </c>
      <c r="AX45" s="131">
        <f t="shared" ref="AX45:AY45" si="32">3*AX6</f>
        <v>3</v>
      </c>
      <c r="AY45" s="131">
        <f t="shared" si="32"/>
        <v>3</v>
      </c>
      <c r="AZ45" s="131">
        <f t="shared" ref="AZ45" si="33">AZ6*3</f>
        <v>3</v>
      </c>
      <c r="BA45" s="131">
        <v>0</v>
      </c>
      <c r="BB45" s="131">
        <v>0</v>
      </c>
      <c r="BC45" s="131">
        <v>0</v>
      </c>
      <c r="BD45" s="131">
        <v>0</v>
      </c>
      <c r="BE45" s="131">
        <v>0</v>
      </c>
      <c r="BF45" s="131">
        <v>0</v>
      </c>
    </row>
    <row r="46" spans="1:58" x14ac:dyDescent="0.35">
      <c r="A46" s="132" t="s">
        <v>1927</v>
      </c>
      <c r="B46" s="132" t="s">
        <v>1928</v>
      </c>
      <c r="C46" s="132" t="s">
        <v>1394</v>
      </c>
      <c r="D46" s="132" t="s">
        <v>1773</v>
      </c>
      <c r="E46" s="132"/>
      <c r="F46" s="132" t="s">
        <v>1931</v>
      </c>
      <c r="G46" s="167">
        <v>41</v>
      </c>
      <c r="H46" s="132" t="s">
        <v>1945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0</v>
      </c>
      <c r="P46" s="129">
        <v>0</v>
      </c>
      <c r="Q46" s="129">
        <v>0</v>
      </c>
      <c r="R46" s="129">
        <v>0</v>
      </c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82"/>
      <c r="AD46" s="182"/>
      <c r="AE46" s="182"/>
      <c r="AF46" s="182"/>
      <c r="AG46" s="182"/>
      <c r="AH46" s="182"/>
      <c r="AI46" s="182"/>
      <c r="AJ46" s="182"/>
      <c r="AK46" s="129"/>
      <c r="AL46" s="130">
        <v>0</v>
      </c>
      <c r="AM46" s="131">
        <v>0</v>
      </c>
      <c r="AN46" s="131">
        <v>0</v>
      </c>
      <c r="AO46" s="131">
        <v>0</v>
      </c>
      <c r="AP46" s="131">
        <v>0</v>
      </c>
      <c r="AQ46" s="131">
        <v>0</v>
      </c>
      <c r="AR46" s="131">
        <v>0</v>
      </c>
      <c r="AS46" s="131">
        <v>0</v>
      </c>
      <c r="AT46" s="131">
        <v>0</v>
      </c>
      <c r="AU46" s="131">
        <v>0</v>
      </c>
      <c r="AV46" s="131">
        <v>0</v>
      </c>
      <c r="AW46" s="131">
        <v>0</v>
      </c>
      <c r="AX46" s="131">
        <v>0</v>
      </c>
      <c r="AY46" s="131">
        <v>0</v>
      </c>
      <c r="AZ46" s="131">
        <v>0</v>
      </c>
      <c r="BA46" s="131">
        <f t="shared" ref="BA46:BE46" si="34">BA6*3</f>
        <v>3</v>
      </c>
      <c r="BB46" s="131">
        <f t="shared" si="34"/>
        <v>3</v>
      </c>
      <c r="BC46" s="131">
        <f t="shared" si="34"/>
        <v>3</v>
      </c>
      <c r="BD46" s="131">
        <f t="shared" si="34"/>
        <v>3</v>
      </c>
      <c r="BE46" s="131">
        <f t="shared" si="34"/>
        <v>3</v>
      </c>
      <c r="BF46" s="131">
        <v>0</v>
      </c>
    </row>
    <row r="47" spans="1:58" x14ac:dyDescent="0.35">
      <c r="A47" s="132" t="s">
        <v>1927</v>
      </c>
      <c r="B47" s="132" t="s">
        <v>1928</v>
      </c>
      <c r="C47" s="132" t="s">
        <v>1394</v>
      </c>
      <c r="D47" s="132" t="s">
        <v>1417</v>
      </c>
      <c r="E47" s="132"/>
      <c r="F47" s="132" t="s">
        <v>1931</v>
      </c>
      <c r="G47" s="167">
        <v>42</v>
      </c>
      <c r="H47" s="132" t="s">
        <v>1953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v>0</v>
      </c>
      <c r="Q47" s="129">
        <v>0</v>
      </c>
      <c r="R47" s="129">
        <v>0</v>
      </c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82"/>
      <c r="AD47" s="182"/>
      <c r="AE47" s="182"/>
      <c r="AF47" s="182"/>
      <c r="AG47" s="182"/>
      <c r="AH47" s="182"/>
      <c r="AI47" s="182"/>
      <c r="AJ47" s="182"/>
      <c r="AK47" s="129"/>
      <c r="AL47" s="130">
        <f>AL6*3</f>
        <v>3</v>
      </c>
      <c r="AM47" s="131">
        <v>0</v>
      </c>
      <c r="AN47" s="131">
        <v>0</v>
      </c>
      <c r="AO47" s="131">
        <v>0</v>
      </c>
      <c r="AP47" s="131">
        <f>AP6*3</f>
        <v>3</v>
      </c>
      <c r="AQ47" s="131">
        <f>AQ6*3</f>
        <v>3</v>
      </c>
      <c r="AR47" s="131">
        <f>AR6*3</f>
        <v>3</v>
      </c>
      <c r="AS47" s="131">
        <f>AS6*3</f>
        <v>3</v>
      </c>
      <c r="AT47" s="131">
        <f t="shared" ref="AT47:AU47" si="35">AT6*3</f>
        <v>3</v>
      </c>
      <c r="AU47" s="131">
        <f t="shared" si="35"/>
        <v>3</v>
      </c>
      <c r="AV47" s="131">
        <v>0</v>
      </c>
      <c r="AW47" s="131">
        <f t="shared" ref="AW47" si="36">3*AW6</f>
        <v>3</v>
      </c>
      <c r="AX47" s="131">
        <v>0</v>
      </c>
      <c r="AY47" s="131">
        <v>0</v>
      </c>
      <c r="AZ47" s="131">
        <f>3*AZ6</f>
        <v>3</v>
      </c>
      <c r="BA47" s="131">
        <v>0</v>
      </c>
      <c r="BB47" s="131">
        <v>0</v>
      </c>
      <c r="BC47" s="131">
        <v>0</v>
      </c>
      <c r="BD47" s="131">
        <v>0</v>
      </c>
      <c r="BE47" s="131">
        <v>0</v>
      </c>
      <c r="BF47" s="131">
        <v>0</v>
      </c>
    </row>
    <row r="48" spans="1:58" x14ac:dyDescent="0.35">
      <c r="A48" s="132" t="s">
        <v>1927</v>
      </c>
      <c r="B48" s="132" t="s">
        <v>1928</v>
      </c>
      <c r="C48" s="132" t="s">
        <v>1394</v>
      </c>
      <c r="D48" s="132" t="s">
        <v>1418</v>
      </c>
      <c r="E48" s="132"/>
      <c r="F48" s="132" t="s">
        <v>1931</v>
      </c>
      <c r="G48" s="167">
        <v>43</v>
      </c>
      <c r="H48" s="132" t="s">
        <v>1953</v>
      </c>
      <c r="I48" s="129">
        <v>0</v>
      </c>
      <c r="J48" s="129">
        <v>0</v>
      </c>
      <c r="K48" s="129">
        <v>0</v>
      </c>
      <c r="L48" s="129">
        <v>0</v>
      </c>
      <c r="M48" s="129">
        <v>0</v>
      </c>
      <c r="N48" s="129">
        <v>0</v>
      </c>
      <c r="O48" s="129">
        <v>0</v>
      </c>
      <c r="P48" s="129">
        <v>0</v>
      </c>
      <c r="Q48" s="129">
        <v>0</v>
      </c>
      <c r="R48" s="129">
        <v>0</v>
      </c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82"/>
      <c r="AD48" s="182"/>
      <c r="AE48" s="182"/>
      <c r="AF48" s="182"/>
      <c r="AG48" s="182"/>
      <c r="AH48" s="182"/>
      <c r="AI48" s="182"/>
      <c r="AJ48" s="182"/>
      <c r="AK48" s="129"/>
      <c r="AL48" s="130">
        <f>AL6*3</f>
        <v>3</v>
      </c>
      <c r="AM48" s="131">
        <v>0</v>
      </c>
      <c r="AN48" s="131">
        <f>AN6*3</f>
        <v>3</v>
      </c>
      <c r="AO48" s="131">
        <v>0</v>
      </c>
      <c r="AP48" s="131">
        <f>AP6*3</f>
        <v>3</v>
      </c>
      <c r="AQ48" s="131">
        <f>AQ6*6</f>
        <v>6</v>
      </c>
      <c r="AR48" s="131">
        <f>AR6*6</f>
        <v>6</v>
      </c>
      <c r="AS48" s="131">
        <f>AS6*6</f>
        <v>6</v>
      </c>
      <c r="AT48" s="131">
        <f t="shared" ref="AT48:AU48" si="37">AT6*3</f>
        <v>3</v>
      </c>
      <c r="AU48" s="131">
        <f t="shared" si="37"/>
        <v>3</v>
      </c>
      <c r="AV48" s="131">
        <v>0</v>
      </c>
      <c r="AW48" s="131">
        <f t="shared" ref="AW48" si="38">3*AW6</f>
        <v>3</v>
      </c>
      <c r="AX48" s="131">
        <f t="shared" ref="AX48:AY48" si="39">AX6*3</f>
        <v>3</v>
      </c>
      <c r="AY48" s="131">
        <f t="shared" si="39"/>
        <v>3</v>
      </c>
      <c r="AZ48" s="131">
        <f>6*AZ6</f>
        <v>6</v>
      </c>
      <c r="BA48" s="131">
        <v>0</v>
      </c>
      <c r="BB48" s="131">
        <v>0</v>
      </c>
      <c r="BC48" s="131">
        <v>0</v>
      </c>
      <c r="BD48" s="131">
        <v>0</v>
      </c>
      <c r="BE48" s="131">
        <v>0</v>
      </c>
      <c r="BF48" s="131">
        <v>0</v>
      </c>
    </row>
    <row r="49" spans="1:58" x14ac:dyDescent="0.35">
      <c r="A49" s="132" t="s">
        <v>1927</v>
      </c>
      <c r="B49" s="132" t="s">
        <v>1928</v>
      </c>
      <c r="C49" s="132" t="s">
        <v>1394</v>
      </c>
      <c r="D49" s="132" t="s">
        <v>1419</v>
      </c>
      <c r="E49" s="132"/>
      <c r="F49" s="132" t="s">
        <v>1931</v>
      </c>
      <c r="G49" s="167">
        <v>44</v>
      </c>
      <c r="H49" s="132" t="s">
        <v>1953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0</v>
      </c>
      <c r="Q49" s="129">
        <v>0</v>
      </c>
      <c r="R49" s="129">
        <v>0</v>
      </c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82"/>
      <c r="AD49" s="182"/>
      <c r="AE49" s="182"/>
      <c r="AF49" s="182"/>
      <c r="AG49" s="182"/>
      <c r="AH49" s="182"/>
      <c r="AI49" s="182"/>
      <c r="AJ49" s="182"/>
      <c r="AK49" s="129"/>
      <c r="AL49" s="130">
        <f>AL6*3</f>
        <v>3</v>
      </c>
      <c r="AM49" s="131">
        <v>0</v>
      </c>
      <c r="AN49" s="131">
        <v>0</v>
      </c>
      <c r="AO49" s="131">
        <v>0</v>
      </c>
      <c r="AP49" s="131">
        <f>AP6*3</f>
        <v>3</v>
      </c>
      <c r="AQ49" s="131">
        <f>AQ6*3</f>
        <v>3</v>
      </c>
      <c r="AR49" s="131">
        <f>AR6*3</f>
        <v>3</v>
      </c>
      <c r="AS49" s="131">
        <f>AS6*3</f>
        <v>3</v>
      </c>
      <c r="AT49" s="131">
        <f t="shared" ref="AT49:AU49" si="40">AT6*3</f>
        <v>3</v>
      </c>
      <c r="AU49" s="131">
        <f t="shared" si="40"/>
        <v>3</v>
      </c>
      <c r="AV49" s="131">
        <v>0</v>
      </c>
      <c r="AW49" s="131">
        <f t="shared" ref="AW49" si="41">3*AW6</f>
        <v>3</v>
      </c>
      <c r="AX49" s="131">
        <v>0</v>
      </c>
      <c r="AY49" s="131">
        <v>0</v>
      </c>
      <c r="AZ49" s="131">
        <f>3*AZ6</f>
        <v>3</v>
      </c>
      <c r="BA49" s="131">
        <v>0</v>
      </c>
      <c r="BB49" s="131">
        <v>0</v>
      </c>
      <c r="BC49" s="131">
        <v>0</v>
      </c>
      <c r="BD49" s="131">
        <v>0</v>
      </c>
      <c r="BE49" s="131">
        <v>0</v>
      </c>
      <c r="BF49" s="131">
        <v>0</v>
      </c>
    </row>
    <row r="50" spans="1:58" x14ac:dyDescent="0.35">
      <c r="A50" s="132" t="s">
        <v>1927</v>
      </c>
      <c r="B50" s="132" t="s">
        <v>1928</v>
      </c>
      <c r="C50" s="132" t="s">
        <v>1394</v>
      </c>
      <c r="D50" s="132" t="s">
        <v>1954</v>
      </c>
      <c r="E50" s="132"/>
      <c r="F50" s="132" t="s">
        <v>1931</v>
      </c>
      <c r="G50" s="167">
        <v>45</v>
      </c>
      <c r="H50" s="132" t="s">
        <v>1953</v>
      </c>
      <c r="I50" s="129">
        <v>0</v>
      </c>
      <c r="J50" s="129">
        <v>0</v>
      </c>
      <c r="K50" s="129">
        <v>0</v>
      </c>
      <c r="L50" s="129">
        <v>0</v>
      </c>
      <c r="M50" s="129">
        <v>0</v>
      </c>
      <c r="N50" s="129">
        <v>0</v>
      </c>
      <c r="O50" s="129">
        <v>0</v>
      </c>
      <c r="P50" s="129">
        <v>0</v>
      </c>
      <c r="Q50" s="129">
        <v>0</v>
      </c>
      <c r="R50" s="129">
        <v>0</v>
      </c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82"/>
      <c r="AD50" s="182"/>
      <c r="AE50" s="182"/>
      <c r="AF50" s="182"/>
      <c r="AG50" s="182"/>
      <c r="AH50" s="182"/>
      <c r="AI50" s="182"/>
      <c r="AJ50" s="182"/>
      <c r="AK50" s="129"/>
      <c r="AL50" s="130">
        <f>AL6*3</f>
        <v>3</v>
      </c>
      <c r="AM50" s="131">
        <v>0</v>
      </c>
      <c r="AN50" s="131">
        <v>0</v>
      </c>
      <c r="AO50" s="131">
        <v>0</v>
      </c>
      <c r="AP50" s="131">
        <f>AP6*3</f>
        <v>3</v>
      </c>
      <c r="AQ50" s="131">
        <v>0</v>
      </c>
      <c r="AR50" s="131">
        <f>3*AR6</f>
        <v>3</v>
      </c>
      <c r="AS50" s="131">
        <v>0</v>
      </c>
      <c r="AT50" s="131">
        <f t="shared" ref="AT50:AU50" si="42">AT6*3</f>
        <v>3</v>
      </c>
      <c r="AU50" s="131">
        <f t="shared" si="42"/>
        <v>3</v>
      </c>
      <c r="AV50" s="131">
        <v>0</v>
      </c>
      <c r="AW50" s="131">
        <f>AW6*3</f>
        <v>3</v>
      </c>
      <c r="AX50" s="131">
        <v>0</v>
      </c>
      <c r="AY50" s="131">
        <v>0</v>
      </c>
      <c r="AZ50" s="131">
        <v>0</v>
      </c>
      <c r="BA50" s="131">
        <v>0</v>
      </c>
      <c r="BB50" s="131">
        <v>0</v>
      </c>
      <c r="BC50" s="131">
        <v>0</v>
      </c>
      <c r="BD50" s="131">
        <v>0</v>
      </c>
      <c r="BE50" s="131">
        <v>0</v>
      </c>
      <c r="BF50" s="131">
        <v>0</v>
      </c>
    </row>
    <row r="51" spans="1:58" x14ac:dyDescent="0.35">
      <c r="A51" s="132" t="s">
        <v>1927</v>
      </c>
      <c r="B51" s="132" t="s">
        <v>1928</v>
      </c>
      <c r="C51" s="132" t="s">
        <v>1394</v>
      </c>
      <c r="D51" s="132" t="s">
        <v>1420</v>
      </c>
      <c r="E51" s="132"/>
      <c r="F51" s="132" t="s">
        <v>1931</v>
      </c>
      <c r="G51" s="167">
        <v>46</v>
      </c>
      <c r="H51" s="132" t="s">
        <v>1945</v>
      </c>
      <c r="I51" s="129">
        <f t="shared" ref="I51:R51" si="43">I33</f>
        <v>9</v>
      </c>
      <c r="J51" s="129">
        <f>J33</f>
        <v>6</v>
      </c>
      <c r="K51" s="129">
        <f t="shared" ref="K51:L51" si="44">K33</f>
        <v>9</v>
      </c>
      <c r="L51" s="129">
        <f t="shared" si="44"/>
        <v>9</v>
      </c>
      <c r="M51" s="129">
        <f t="shared" si="43"/>
        <v>4</v>
      </c>
      <c r="N51" s="129">
        <f t="shared" si="43"/>
        <v>9</v>
      </c>
      <c r="O51" s="129">
        <f>O33</f>
        <v>6</v>
      </c>
      <c r="P51" s="129">
        <f t="shared" si="43"/>
        <v>19</v>
      </c>
      <c r="Q51" s="129">
        <f>Q33</f>
        <v>21</v>
      </c>
      <c r="R51" s="129">
        <f t="shared" si="43"/>
        <v>39</v>
      </c>
      <c r="S51" s="129">
        <f>S6*6</f>
        <v>6</v>
      </c>
      <c r="T51" s="129">
        <f t="shared" ref="T51:U51" si="45">3*T6</f>
        <v>3</v>
      </c>
      <c r="U51" s="129">
        <f t="shared" si="45"/>
        <v>3</v>
      </c>
      <c r="V51" s="129">
        <f t="shared" ref="V51:Y51" si="46">V33</f>
        <v>6</v>
      </c>
      <c r="W51" s="129">
        <f t="shared" si="46"/>
        <v>6</v>
      </c>
      <c r="X51" s="129">
        <f t="shared" si="46"/>
        <v>6</v>
      </c>
      <c r="Y51" s="129">
        <f t="shared" si="46"/>
        <v>3</v>
      </c>
      <c r="Z51" s="129">
        <f>Z6*3</f>
        <v>3</v>
      </c>
      <c r="AA51" s="129">
        <f>AA6*3</f>
        <v>3</v>
      </c>
      <c r="AB51" s="129">
        <f>AB6*3</f>
        <v>3</v>
      </c>
      <c r="AC51" s="182">
        <f>AC6*10</f>
        <v>10</v>
      </c>
      <c r="AD51" s="182">
        <f>AD33</f>
        <v>6</v>
      </c>
      <c r="AE51" s="182"/>
      <c r="AF51" s="182"/>
      <c r="AG51" s="182"/>
      <c r="AH51" s="182">
        <f>AH6*3</f>
        <v>3</v>
      </c>
      <c r="AI51" s="182"/>
      <c r="AJ51" s="182"/>
      <c r="AK51" s="129"/>
      <c r="AL51" s="130">
        <v>0</v>
      </c>
      <c r="AM51" s="131">
        <v>0</v>
      </c>
      <c r="AN51" s="131">
        <v>0</v>
      </c>
      <c r="AO51" s="131">
        <v>0</v>
      </c>
      <c r="AP51" s="131">
        <v>0</v>
      </c>
      <c r="AQ51" s="131">
        <v>0</v>
      </c>
      <c r="AR51" s="131">
        <v>0</v>
      </c>
      <c r="AS51" s="131">
        <v>0</v>
      </c>
      <c r="AT51" s="131">
        <v>0</v>
      </c>
      <c r="AU51" s="131">
        <v>0</v>
      </c>
      <c r="AV51" s="131">
        <v>0</v>
      </c>
      <c r="AW51" s="131">
        <v>0</v>
      </c>
      <c r="AX51" s="131">
        <v>0</v>
      </c>
      <c r="AY51" s="131">
        <v>0</v>
      </c>
      <c r="AZ51" s="131">
        <v>0</v>
      </c>
      <c r="BA51" s="131">
        <v>0</v>
      </c>
      <c r="BB51" s="131">
        <v>0</v>
      </c>
      <c r="BC51" s="131">
        <v>0</v>
      </c>
      <c r="BD51" s="131">
        <v>0</v>
      </c>
      <c r="BE51" s="131">
        <v>0</v>
      </c>
      <c r="BF51" s="131">
        <v>0</v>
      </c>
    </row>
    <row r="52" spans="1:58" x14ac:dyDescent="0.35">
      <c r="A52" s="132" t="s">
        <v>1927</v>
      </c>
      <c r="B52" s="132" t="s">
        <v>1928</v>
      </c>
      <c r="C52" s="132" t="s">
        <v>1394</v>
      </c>
      <c r="D52" s="132" t="s">
        <v>1421</v>
      </c>
      <c r="E52" s="132"/>
      <c r="F52" s="132" t="s">
        <v>1931</v>
      </c>
      <c r="G52" s="167">
        <v>47</v>
      </c>
      <c r="H52" s="132" t="s">
        <v>1945</v>
      </c>
      <c r="I52" s="129">
        <f t="shared" ref="I52:R52" si="47">I40</f>
        <v>6</v>
      </c>
      <c r="J52" s="129">
        <f>J40</f>
        <v>6</v>
      </c>
      <c r="K52" s="129">
        <f t="shared" ref="K52:L52" si="48">K40</f>
        <v>6</v>
      </c>
      <c r="L52" s="129">
        <f t="shared" si="48"/>
        <v>8</v>
      </c>
      <c r="M52" s="129">
        <f t="shared" si="47"/>
        <v>4</v>
      </c>
      <c r="N52" s="129">
        <f t="shared" si="47"/>
        <v>8</v>
      </c>
      <c r="O52" s="129">
        <f>O40</f>
        <v>8</v>
      </c>
      <c r="P52" s="129">
        <f t="shared" si="47"/>
        <v>6</v>
      </c>
      <c r="Q52" s="129">
        <f>Q40</f>
        <v>6</v>
      </c>
      <c r="R52" s="129">
        <f t="shared" si="47"/>
        <v>6</v>
      </c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82">
        <v>0</v>
      </c>
      <c r="AD52" s="182"/>
      <c r="AE52" s="182"/>
      <c r="AF52" s="182"/>
      <c r="AG52" s="182">
        <f>AG6*6</f>
        <v>6</v>
      </c>
      <c r="AH52" s="182">
        <f>AH6*2</f>
        <v>2</v>
      </c>
      <c r="AI52" s="182"/>
      <c r="AJ52" s="182"/>
      <c r="AK52" s="129"/>
      <c r="AL52" s="130">
        <v>0</v>
      </c>
      <c r="AM52" s="131">
        <v>0</v>
      </c>
      <c r="AN52" s="131">
        <v>0</v>
      </c>
      <c r="AO52" s="131">
        <v>0</v>
      </c>
      <c r="AP52" s="131">
        <v>0</v>
      </c>
      <c r="AQ52" s="131">
        <v>0</v>
      </c>
      <c r="AR52" s="131">
        <v>0</v>
      </c>
      <c r="AS52" s="131">
        <v>0</v>
      </c>
      <c r="AT52" s="131">
        <v>0</v>
      </c>
      <c r="AU52" s="131">
        <v>0</v>
      </c>
      <c r="AV52" s="131">
        <v>0</v>
      </c>
      <c r="AW52" s="131">
        <v>0</v>
      </c>
      <c r="AX52" s="131">
        <v>0</v>
      </c>
      <c r="AY52" s="131">
        <v>0</v>
      </c>
      <c r="AZ52" s="131">
        <v>0</v>
      </c>
      <c r="BA52" s="131">
        <v>0</v>
      </c>
      <c r="BB52" s="131">
        <v>0</v>
      </c>
      <c r="BC52" s="131">
        <v>0</v>
      </c>
      <c r="BD52" s="131">
        <v>0</v>
      </c>
      <c r="BE52" s="131">
        <v>0</v>
      </c>
      <c r="BF52" s="131">
        <v>0</v>
      </c>
    </row>
    <row r="53" spans="1:58" x14ac:dyDescent="0.35">
      <c r="A53" s="132" t="s">
        <v>1927</v>
      </c>
      <c r="B53" s="132" t="s">
        <v>1928</v>
      </c>
      <c r="C53" s="132" t="s">
        <v>1394</v>
      </c>
      <c r="D53" s="132" t="s">
        <v>1422</v>
      </c>
      <c r="E53" s="132"/>
      <c r="F53" s="132" t="s">
        <v>1931</v>
      </c>
      <c r="G53" s="167">
        <v>48</v>
      </c>
      <c r="H53" s="132" t="s">
        <v>1945</v>
      </c>
      <c r="I53" s="129">
        <v>0</v>
      </c>
      <c r="J53" s="129">
        <v>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0</v>
      </c>
      <c r="Q53" s="129">
        <v>0</v>
      </c>
      <c r="R53" s="129">
        <v>0</v>
      </c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82"/>
      <c r="AD53" s="182"/>
      <c r="AE53" s="182"/>
      <c r="AF53" s="182"/>
      <c r="AG53" s="182"/>
      <c r="AH53" s="182"/>
      <c r="AI53" s="182"/>
      <c r="AJ53" s="182"/>
      <c r="AK53" s="129"/>
      <c r="AL53" s="130">
        <f>AL6*3</f>
        <v>3</v>
      </c>
      <c r="AM53" s="131">
        <v>0</v>
      </c>
      <c r="AN53" s="131">
        <f>AN6*3</f>
        <v>3</v>
      </c>
      <c r="AO53" s="131">
        <v>0</v>
      </c>
      <c r="AP53" s="131">
        <f>AP6*3</f>
        <v>3</v>
      </c>
      <c r="AQ53" s="131">
        <f>AQ6*6</f>
        <v>6</v>
      </c>
      <c r="AR53" s="131">
        <f>AR6*6</f>
        <v>6</v>
      </c>
      <c r="AS53" s="131">
        <f>AS6*6</f>
        <v>6</v>
      </c>
      <c r="AT53" s="131">
        <f t="shared" ref="AT53:AU53" si="49">AT6*3</f>
        <v>3</v>
      </c>
      <c r="AU53" s="131">
        <f t="shared" si="49"/>
        <v>3</v>
      </c>
      <c r="AV53" s="131">
        <v>0</v>
      </c>
      <c r="AW53" s="131">
        <f t="shared" ref="AW53:AY53" si="50">3*AW6</f>
        <v>3</v>
      </c>
      <c r="AX53" s="131">
        <f t="shared" si="50"/>
        <v>3</v>
      </c>
      <c r="AY53" s="131">
        <f t="shared" si="50"/>
        <v>3</v>
      </c>
      <c r="AZ53" s="131">
        <f>AZ6*6</f>
        <v>6</v>
      </c>
      <c r="BA53" s="131">
        <f t="shared" ref="BA53:BE53" si="51">BA6*3</f>
        <v>3</v>
      </c>
      <c r="BB53" s="131">
        <f t="shared" si="51"/>
        <v>3</v>
      </c>
      <c r="BC53" s="131">
        <f t="shared" si="51"/>
        <v>3</v>
      </c>
      <c r="BD53" s="131">
        <f t="shared" si="51"/>
        <v>3</v>
      </c>
      <c r="BE53" s="131">
        <f t="shared" si="51"/>
        <v>3</v>
      </c>
      <c r="BF53" s="131">
        <v>0</v>
      </c>
    </row>
    <row r="54" spans="1:58" x14ac:dyDescent="0.35">
      <c r="A54" s="132" t="s">
        <v>1927</v>
      </c>
      <c r="B54" s="132" t="s">
        <v>1928</v>
      </c>
      <c r="C54" s="132" t="s">
        <v>1394</v>
      </c>
      <c r="D54" s="132" t="s">
        <v>1423</v>
      </c>
      <c r="E54" s="132"/>
      <c r="F54" s="132" t="s">
        <v>1931</v>
      </c>
      <c r="G54" s="167">
        <v>49</v>
      </c>
      <c r="H54" s="132" t="s">
        <v>1953</v>
      </c>
      <c r="I54" s="129">
        <v>0</v>
      </c>
      <c r="J54" s="129">
        <v>0</v>
      </c>
      <c r="K54" s="129">
        <v>0</v>
      </c>
      <c r="L54" s="129">
        <v>0</v>
      </c>
      <c r="M54" s="129">
        <v>0</v>
      </c>
      <c r="N54" s="129">
        <v>0</v>
      </c>
      <c r="O54" s="129">
        <v>0</v>
      </c>
      <c r="P54" s="129">
        <v>0</v>
      </c>
      <c r="Q54" s="129">
        <v>0</v>
      </c>
      <c r="R54" s="129">
        <v>0</v>
      </c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82"/>
      <c r="AD54" s="182"/>
      <c r="AE54" s="182"/>
      <c r="AF54" s="182"/>
      <c r="AG54" s="182"/>
      <c r="AH54" s="182"/>
      <c r="AI54" s="182"/>
      <c r="AJ54" s="182"/>
      <c r="AK54" s="129"/>
      <c r="AL54" s="130">
        <f>AL6*3</f>
        <v>3</v>
      </c>
      <c r="AM54" s="131">
        <v>0</v>
      </c>
      <c r="AN54" s="131">
        <f>AN6*3</f>
        <v>3</v>
      </c>
      <c r="AO54" s="131">
        <v>0</v>
      </c>
      <c r="AP54" s="131">
        <f>AP6*3</f>
        <v>3</v>
      </c>
      <c r="AQ54" s="131">
        <f>AQ6*6</f>
        <v>6</v>
      </c>
      <c r="AR54" s="131">
        <f>AR6*6</f>
        <v>6</v>
      </c>
      <c r="AS54" s="131">
        <f>AS6*6</f>
        <v>6</v>
      </c>
      <c r="AT54" s="131">
        <f t="shared" ref="AT54:AU54" si="52">AT6*3</f>
        <v>3</v>
      </c>
      <c r="AU54" s="131">
        <f t="shared" si="52"/>
        <v>3</v>
      </c>
      <c r="AV54" s="131">
        <v>0</v>
      </c>
      <c r="AW54" s="131">
        <f t="shared" ref="AW54:AY54" si="53">3*AW6</f>
        <v>3</v>
      </c>
      <c r="AX54" s="131">
        <f t="shared" si="53"/>
        <v>3</v>
      </c>
      <c r="AY54" s="131">
        <f t="shared" si="53"/>
        <v>3</v>
      </c>
      <c r="AZ54" s="131">
        <f>AZ6*6</f>
        <v>6</v>
      </c>
      <c r="BA54" s="131">
        <f t="shared" ref="BA54:BE54" si="54">BA6*3</f>
        <v>3</v>
      </c>
      <c r="BB54" s="131">
        <f t="shared" si="54"/>
        <v>3</v>
      </c>
      <c r="BC54" s="131">
        <f t="shared" si="54"/>
        <v>3</v>
      </c>
      <c r="BD54" s="131">
        <f t="shared" si="54"/>
        <v>3</v>
      </c>
      <c r="BE54" s="131">
        <f t="shared" si="54"/>
        <v>3</v>
      </c>
      <c r="BF54" s="131">
        <v>0</v>
      </c>
    </row>
    <row r="55" spans="1:58" x14ac:dyDescent="0.35">
      <c r="A55" s="132" t="s">
        <v>1927</v>
      </c>
      <c r="B55" s="132" t="s">
        <v>1928</v>
      </c>
      <c r="C55" s="132" t="s">
        <v>1390</v>
      </c>
      <c r="D55" s="132" t="s">
        <v>1955</v>
      </c>
      <c r="E55" s="132" t="s">
        <v>1956</v>
      </c>
      <c r="F55" s="132" t="s">
        <v>1931</v>
      </c>
      <c r="G55" s="167">
        <v>50</v>
      </c>
      <c r="H55" s="132" t="s">
        <v>1932</v>
      </c>
      <c r="I55" s="129">
        <f t="shared" ref="I55:N55" si="55">I6</f>
        <v>1</v>
      </c>
      <c r="J55" s="129">
        <f>J6</f>
        <v>1</v>
      </c>
      <c r="K55" s="129">
        <f t="shared" ref="K55:L55" si="56">K6</f>
        <v>1</v>
      </c>
      <c r="L55" s="129">
        <f t="shared" si="56"/>
        <v>1</v>
      </c>
      <c r="M55" s="129">
        <f t="shared" si="55"/>
        <v>1</v>
      </c>
      <c r="N55" s="129">
        <f t="shared" si="55"/>
        <v>1</v>
      </c>
      <c r="O55" s="129">
        <f>O6</f>
        <v>1</v>
      </c>
      <c r="P55" s="129">
        <f>P6*2</f>
        <v>2</v>
      </c>
      <c r="Q55" s="129">
        <f>Q6*2</f>
        <v>2</v>
      </c>
      <c r="R55" s="129">
        <f>R6*2</f>
        <v>2</v>
      </c>
      <c r="S55" s="129"/>
      <c r="T55" s="129"/>
      <c r="U55" s="129"/>
      <c r="V55" s="129">
        <f t="shared" ref="V55:AD55" si="57">V6</f>
        <v>1</v>
      </c>
      <c r="W55" s="129">
        <f t="shared" si="57"/>
        <v>1</v>
      </c>
      <c r="X55" s="129">
        <f t="shared" si="57"/>
        <v>1</v>
      </c>
      <c r="Y55" s="129">
        <f t="shared" si="57"/>
        <v>1</v>
      </c>
      <c r="Z55" s="129">
        <f t="shared" si="57"/>
        <v>1</v>
      </c>
      <c r="AA55" s="129">
        <f t="shared" si="57"/>
        <v>1</v>
      </c>
      <c r="AB55" s="129">
        <f t="shared" si="57"/>
        <v>1</v>
      </c>
      <c r="AC55" s="182">
        <f t="shared" si="57"/>
        <v>1</v>
      </c>
      <c r="AD55" s="182">
        <f t="shared" si="57"/>
        <v>1</v>
      </c>
      <c r="AE55" s="182"/>
      <c r="AF55" s="182"/>
      <c r="AG55" s="182"/>
      <c r="AH55" s="182">
        <f>AH6</f>
        <v>1</v>
      </c>
      <c r="AI55" s="182"/>
      <c r="AJ55" s="182"/>
      <c r="AK55" s="129"/>
      <c r="AL55" s="130">
        <f>AL6</f>
        <v>1</v>
      </c>
      <c r="AM55" s="131">
        <f>AM6</f>
        <v>1</v>
      </c>
      <c r="AN55" s="131">
        <f>AN6</f>
        <v>1</v>
      </c>
      <c r="AO55" s="131">
        <f>AO6</f>
        <v>1</v>
      </c>
      <c r="AP55" s="131">
        <f>AP6*2</f>
        <v>2</v>
      </c>
      <c r="AQ55" s="131">
        <f>AQ6*2</f>
        <v>2</v>
      </c>
      <c r="AR55" s="131">
        <f>AR6*2</f>
        <v>2</v>
      </c>
      <c r="AS55" s="131">
        <f>AS6*2</f>
        <v>2</v>
      </c>
      <c r="AT55" s="131">
        <v>0</v>
      </c>
      <c r="AU55" s="131">
        <v>0</v>
      </c>
      <c r="AV55" s="131">
        <f>AV6</f>
        <v>1</v>
      </c>
      <c r="AW55" s="131">
        <f t="shared" ref="AW55:AY55" si="58">AW6</f>
        <v>1</v>
      </c>
      <c r="AX55" s="131">
        <f t="shared" si="58"/>
        <v>1</v>
      </c>
      <c r="AY55" s="131">
        <f t="shared" si="58"/>
        <v>1</v>
      </c>
      <c r="AZ55" s="131">
        <v>0</v>
      </c>
      <c r="BA55" s="131">
        <v>0</v>
      </c>
      <c r="BB55" s="131">
        <v>0</v>
      </c>
      <c r="BC55" s="131">
        <v>0</v>
      </c>
      <c r="BD55" s="131">
        <v>0</v>
      </c>
      <c r="BE55" s="131">
        <v>0</v>
      </c>
      <c r="BF55" s="131">
        <v>0</v>
      </c>
    </row>
    <row r="56" spans="1:58" x14ac:dyDescent="0.35">
      <c r="A56" s="132" t="s">
        <v>1927</v>
      </c>
      <c r="B56" s="132" t="s">
        <v>1928</v>
      </c>
      <c r="C56" s="132" t="s">
        <v>1390</v>
      </c>
      <c r="D56" s="132" t="s">
        <v>1424</v>
      </c>
      <c r="E56" s="132"/>
      <c r="F56" s="132" t="s">
        <v>1931</v>
      </c>
      <c r="G56" s="167">
        <v>51</v>
      </c>
      <c r="H56" s="132" t="s">
        <v>1932</v>
      </c>
      <c r="I56" s="129">
        <v>0</v>
      </c>
      <c r="J56" s="129">
        <v>0</v>
      </c>
      <c r="K56" s="129">
        <v>0</v>
      </c>
      <c r="L56" s="129">
        <v>0</v>
      </c>
      <c r="M56" s="129">
        <v>0</v>
      </c>
      <c r="N56" s="129">
        <v>0</v>
      </c>
      <c r="O56" s="129">
        <v>0</v>
      </c>
      <c r="P56" s="129">
        <v>0</v>
      </c>
      <c r="Q56" s="129">
        <v>0</v>
      </c>
      <c r="R56" s="129">
        <v>0</v>
      </c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82"/>
      <c r="AD56" s="182"/>
      <c r="AE56" s="182"/>
      <c r="AF56" s="182"/>
      <c r="AG56" s="182"/>
      <c r="AH56" s="182"/>
      <c r="AI56" s="182"/>
      <c r="AJ56" s="182"/>
      <c r="AK56" s="129"/>
      <c r="AL56" s="130">
        <v>0</v>
      </c>
      <c r="AM56" s="131">
        <v>0</v>
      </c>
      <c r="AN56" s="131">
        <v>0</v>
      </c>
      <c r="AO56" s="131">
        <v>0</v>
      </c>
      <c r="AP56" s="131">
        <v>0</v>
      </c>
      <c r="AQ56" s="131">
        <v>0</v>
      </c>
      <c r="AR56" s="131">
        <v>0</v>
      </c>
      <c r="AS56" s="131">
        <v>0</v>
      </c>
      <c r="AT56" s="131">
        <v>0</v>
      </c>
      <c r="AU56" s="131">
        <v>0</v>
      </c>
      <c r="AV56" s="131">
        <v>0</v>
      </c>
      <c r="AW56" s="131">
        <v>0</v>
      </c>
      <c r="AX56" s="131">
        <v>0</v>
      </c>
      <c r="AY56" s="131">
        <v>0</v>
      </c>
      <c r="AZ56" s="131">
        <v>0</v>
      </c>
      <c r="BA56" s="131">
        <v>0</v>
      </c>
      <c r="BB56" s="131">
        <v>0</v>
      </c>
      <c r="BC56" s="131">
        <v>0</v>
      </c>
      <c r="BD56" s="131">
        <v>0</v>
      </c>
      <c r="BE56" s="131">
        <v>0</v>
      </c>
      <c r="BF56" s="131">
        <v>0</v>
      </c>
    </row>
    <row r="57" spans="1:58" x14ac:dyDescent="0.35">
      <c r="A57" s="132" t="s">
        <v>1927</v>
      </c>
      <c r="B57" s="132" t="s">
        <v>1928</v>
      </c>
      <c r="C57" s="132" t="s">
        <v>1390</v>
      </c>
      <c r="D57" s="132" t="s">
        <v>1425</v>
      </c>
      <c r="E57" s="132"/>
      <c r="F57" s="132" t="s">
        <v>1931</v>
      </c>
      <c r="G57" s="167">
        <v>52</v>
      </c>
      <c r="H57" s="132" t="s">
        <v>1932</v>
      </c>
      <c r="I57" s="129">
        <v>0</v>
      </c>
      <c r="J57" s="129">
        <v>0</v>
      </c>
      <c r="K57" s="129">
        <v>0</v>
      </c>
      <c r="L57" s="129">
        <v>0</v>
      </c>
      <c r="M57" s="129">
        <v>0</v>
      </c>
      <c r="N57" s="129">
        <v>0</v>
      </c>
      <c r="O57" s="129">
        <v>0</v>
      </c>
      <c r="P57" s="129">
        <v>0</v>
      </c>
      <c r="Q57" s="129">
        <v>0</v>
      </c>
      <c r="R57" s="129">
        <v>0</v>
      </c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82"/>
      <c r="AD57" s="182"/>
      <c r="AE57" s="182"/>
      <c r="AF57" s="182"/>
      <c r="AG57" s="182"/>
      <c r="AH57" s="182"/>
      <c r="AI57" s="182"/>
      <c r="AJ57" s="182"/>
      <c r="AK57" s="129"/>
      <c r="AL57" s="130">
        <v>0</v>
      </c>
      <c r="AM57" s="131">
        <v>0</v>
      </c>
      <c r="AN57" s="131">
        <v>0</v>
      </c>
      <c r="AO57" s="131">
        <v>0</v>
      </c>
      <c r="AP57" s="131">
        <v>0</v>
      </c>
      <c r="AQ57" s="131">
        <v>0</v>
      </c>
      <c r="AR57" s="131">
        <v>0</v>
      </c>
      <c r="AS57" s="131">
        <v>0</v>
      </c>
      <c r="AT57" s="131">
        <v>0</v>
      </c>
      <c r="AU57" s="131">
        <v>0</v>
      </c>
      <c r="AV57" s="131">
        <v>0</v>
      </c>
      <c r="AW57" s="131">
        <v>0</v>
      </c>
      <c r="AX57" s="131">
        <v>0</v>
      </c>
      <c r="AY57" s="131">
        <v>0</v>
      </c>
      <c r="AZ57" s="131">
        <v>0</v>
      </c>
      <c r="BA57" s="131">
        <v>0</v>
      </c>
      <c r="BB57" s="131">
        <v>0</v>
      </c>
      <c r="BC57" s="131">
        <v>0</v>
      </c>
      <c r="BD57" s="131">
        <v>0</v>
      </c>
      <c r="BE57" s="131">
        <v>0</v>
      </c>
      <c r="BF57" s="131">
        <v>0</v>
      </c>
    </row>
    <row r="58" spans="1:58" x14ac:dyDescent="0.35">
      <c r="A58" s="132" t="s">
        <v>1927</v>
      </c>
      <c r="B58" s="132" t="s">
        <v>1928</v>
      </c>
      <c r="C58" s="132" t="s">
        <v>1390</v>
      </c>
      <c r="D58" s="132" t="s">
        <v>1426</v>
      </c>
      <c r="E58" s="132"/>
      <c r="F58" s="132" t="s">
        <v>1931</v>
      </c>
      <c r="G58" s="167">
        <v>53</v>
      </c>
      <c r="H58" s="132" t="s">
        <v>1932</v>
      </c>
      <c r="I58" s="129">
        <v>0</v>
      </c>
      <c r="J58" s="129">
        <v>0</v>
      </c>
      <c r="K58" s="129">
        <v>0</v>
      </c>
      <c r="L58" s="129">
        <v>0</v>
      </c>
      <c r="M58" s="129">
        <v>0</v>
      </c>
      <c r="N58" s="129">
        <v>0</v>
      </c>
      <c r="O58" s="129">
        <v>0</v>
      </c>
      <c r="P58" s="129">
        <v>0</v>
      </c>
      <c r="Q58" s="129">
        <v>0</v>
      </c>
      <c r="R58" s="129">
        <v>0</v>
      </c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82"/>
      <c r="AD58" s="182"/>
      <c r="AE58" s="182"/>
      <c r="AF58" s="182"/>
      <c r="AG58" s="182"/>
      <c r="AH58" s="182"/>
      <c r="AI58" s="182"/>
      <c r="AJ58" s="182"/>
      <c r="AK58" s="129"/>
      <c r="AL58" s="130">
        <v>0</v>
      </c>
      <c r="AM58" s="131">
        <v>0</v>
      </c>
      <c r="AN58" s="131">
        <v>0</v>
      </c>
      <c r="AO58" s="131">
        <v>0</v>
      </c>
      <c r="AP58" s="131">
        <v>0</v>
      </c>
      <c r="AQ58" s="131">
        <v>0</v>
      </c>
      <c r="AR58" s="131">
        <v>0</v>
      </c>
      <c r="AS58" s="131">
        <v>0</v>
      </c>
      <c r="AT58" s="131">
        <v>0</v>
      </c>
      <c r="AU58" s="131">
        <v>0</v>
      </c>
      <c r="AV58" s="131">
        <v>0</v>
      </c>
      <c r="AW58" s="131">
        <v>0</v>
      </c>
      <c r="AX58" s="131">
        <v>0</v>
      </c>
      <c r="AY58" s="131">
        <v>0</v>
      </c>
      <c r="AZ58" s="131">
        <v>0</v>
      </c>
      <c r="BA58" s="131">
        <v>0</v>
      </c>
      <c r="BB58" s="131">
        <v>0</v>
      </c>
      <c r="BC58" s="131">
        <v>0</v>
      </c>
      <c r="BD58" s="131">
        <v>0</v>
      </c>
      <c r="BE58" s="131">
        <v>0</v>
      </c>
      <c r="BF58" s="131">
        <v>0</v>
      </c>
    </row>
    <row r="59" spans="1:58" x14ac:dyDescent="0.35">
      <c r="A59" s="132" t="s">
        <v>1927</v>
      </c>
      <c r="B59" s="132" t="s">
        <v>1853</v>
      </c>
      <c r="C59" s="132" t="s">
        <v>1391</v>
      </c>
      <c r="D59" s="132" t="s">
        <v>1427</v>
      </c>
      <c r="E59" s="132"/>
      <c r="F59" s="132" t="s">
        <v>1931</v>
      </c>
      <c r="G59" s="167">
        <v>62</v>
      </c>
      <c r="H59" s="132" t="s">
        <v>1932</v>
      </c>
      <c r="I59" s="129">
        <f>I6-I77-I78</f>
        <v>1</v>
      </c>
      <c r="J59" s="129">
        <f>J6-J78-J79</f>
        <v>1</v>
      </c>
      <c r="K59" s="129">
        <f t="shared" ref="K59:L59" si="59">K6-K78-K79</f>
        <v>1</v>
      </c>
      <c r="L59" s="129">
        <f t="shared" si="59"/>
        <v>1</v>
      </c>
      <c r="M59" s="129">
        <f>M6-M77-M78</f>
        <v>1</v>
      </c>
      <c r="N59" s="129">
        <f>N6-N77-N78</f>
        <v>1</v>
      </c>
      <c r="O59" s="129">
        <f>O6-O78-O79</f>
        <v>1</v>
      </c>
      <c r="P59" s="129">
        <f>P6-P77</f>
        <v>1</v>
      </c>
      <c r="Q59" s="129">
        <f>Q6-Q78</f>
        <v>1</v>
      </c>
      <c r="R59" s="129">
        <f>R6-R77</f>
        <v>1</v>
      </c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82"/>
      <c r="AD59" s="182"/>
      <c r="AE59" s="182"/>
      <c r="AF59" s="182"/>
      <c r="AG59" s="182"/>
      <c r="AH59" s="182"/>
      <c r="AI59" s="182"/>
      <c r="AJ59" s="182"/>
      <c r="AK59" s="129"/>
      <c r="AL59" s="130">
        <v>0</v>
      </c>
      <c r="AM59" s="131">
        <v>0</v>
      </c>
      <c r="AN59" s="131">
        <v>0</v>
      </c>
      <c r="AO59" s="131">
        <v>0</v>
      </c>
      <c r="AP59" s="131">
        <v>0</v>
      </c>
      <c r="AQ59" s="131">
        <v>0</v>
      </c>
      <c r="AR59" s="131">
        <v>0</v>
      </c>
      <c r="AS59" s="131">
        <v>0</v>
      </c>
      <c r="AT59" s="131">
        <v>0</v>
      </c>
      <c r="AU59" s="131">
        <v>0</v>
      </c>
      <c r="AV59" s="131">
        <v>0</v>
      </c>
      <c r="AW59" s="131">
        <v>0</v>
      </c>
      <c r="AX59" s="131">
        <v>0</v>
      </c>
      <c r="AY59" s="131">
        <v>0</v>
      </c>
      <c r="AZ59" s="131">
        <v>0</v>
      </c>
      <c r="BA59" s="131">
        <v>0</v>
      </c>
      <c r="BB59" s="131">
        <v>0</v>
      </c>
      <c r="BC59" s="131">
        <v>0</v>
      </c>
      <c r="BD59" s="131">
        <v>0</v>
      </c>
      <c r="BE59" s="131">
        <v>0</v>
      </c>
      <c r="BF59" s="131">
        <v>0</v>
      </c>
    </row>
    <row r="60" spans="1:58" x14ac:dyDescent="0.35">
      <c r="A60" s="132" t="s">
        <v>1927</v>
      </c>
      <c r="B60" s="132" t="s">
        <v>1853</v>
      </c>
      <c r="C60" s="132" t="s">
        <v>1391</v>
      </c>
      <c r="D60" s="132" t="s">
        <v>1428</v>
      </c>
      <c r="E60" s="132"/>
      <c r="F60" s="132" t="s">
        <v>1931</v>
      </c>
      <c r="G60" s="167">
        <v>63</v>
      </c>
      <c r="H60" s="132" t="s">
        <v>1932</v>
      </c>
      <c r="I60" s="136">
        <v>0</v>
      </c>
      <c r="J60" s="136">
        <v>0</v>
      </c>
      <c r="K60" s="136">
        <v>0</v>
      </c>
      <c r="L60" s="136">
        <v>0</v>
      </c>
      <c r="M60" s="136">
        <v>0</v>
      </c>
      <c r="N60" s="136">
        <v>0</v>
      </c>
      <c r="O60" s="136">
        <v>0</v>
      </c>
      <c r="P60" s="136">
        <v>0</v>
      </c>
      <c r="Q60" s="136">
        <v>0</v>
      </c>
      <c r="R60" s="136">
        <v>0</v>
      </c>
      <c r="S60" s="129"/>
      <c r="T60" s="129"/>
      <c r="U60" s="129"/>
      <c r="V60" s="136"/>
      <c r="W60" s="136"/>
      <c r="X60" s="136"/>
      <c r="Y60" s="136"/>
      <c r="Z60" s="136"/>
      <c r="AA60" s="136"/>
      <c r="AB60" s="136"/>
      <c r="AC60" s="182"/>
      <c r="AD60" s="182"/>
      <c r="AE60" s="182"/>
      <c r="AF60" s="182"/>
      <c r="AG60" s="182"/>
      <c r="AH60" s="182"/>
      <c r="AI60" s="182"/>
      <c r="AJ60" s="182"/>
      <c r="AK60" s="136"/>
      <c r="AL60" s="137">
        <f>AL6-AL77-AL78</f>
        <v>0</v>
      </c>
      <c r="AM60" s="138">
        <f>AM6-AM77-AM78</f>
        <v>0</v>
      </c>
      <c r="AN60" s="138">
        <v>0</v>
      </c>
      <c r="AO60" s="138">
        <f>AO6</f>
        <v>1</v>
      </c>
      <c r="AP60" s="138">
        <f>AP6*2</f>
        <v>2</v>
      </c>
      <c r="AQ60" s="138">
        <f>AQ6</f>
        <v>1</v>
      </c>
      <c r="AR60" s="138">
        <f>AR6*2</f>
        <v>2</v>
      </c>
      <c r="AS60" s="138">
        <f>AS6*2</f>
        <v>2</v>
      </c>
      <c r="AT60" s="138">
        <f t="shared" ref="AT60:AZ60" si="60">AT6-AT77-AT78</f>
        <v>1</v>
      </c>
      <c r="AU60" s="138">
        <f t="shared" si="60"/>
        <v>0</v>
      </c>
      <c r="AV60" s="138">
        <f t="shared" si="60"/>
        <v>1</v>
      </c>
      <c r="AW60" s="138">
        <f t="shared" si="60"/>
        <v>1</v>
      </c>
      <c r="AX60" s="138">
        <f t="shared" si="60"/>
        <v>1</v>
      </c>
      <c r="AY60" s="138">
        <f t="shared" si="60"/>
        <v>1</v>
      </c>
      <c r="AZ60" s="138">
        <f t="shared" si="60"/>
        <v>1</v>
      </c>
      <c r="BA60" s="131">
        <v>0</v>
      </c>
      <c r="BB60" s="131">
        <v>0</v>
      </c>
      <c r="BC60" s="131">
        <v>0</v>
      </c>
      <c r="BD60" s="131">
        <v>0</v>
      </c>
      <c r="BE60" s="131">
        <v>0</v>
      </c>
      <c r="BF60" s="131">
        <v>0</v>
      </c>
    </row>
    <row r="61" spans="1:58" ht="14.5" x14ac:dyDescent="0.35">
      <c r="A61" s="132" t="s">
        <v>1927</v>
      </c>
      <c r="B61" s="132" t="s">
        <v>1853</v>
      </c>
      <c r="C61" s="132" t="s">
        <v>1391</v>
      </c>
      <c r="D61" s="132" t="s">
        <v>1429</v>
      </c>
      <c r="E61" s="132"/>
      <c r="F61" s="168" t="s">
        <v>1937</v>
      </c>
      <c r="G61" s="168" t="s">
        <v>1982</v>
      </c>
      <c r="H61" s="132" t="s">
        <v>1932</v>
      </c>
      <c r="I61" s="129">
        <v>0</v>
      </c>
      <c r="J61" s="129">
        <v>0</v>
      </c>
      <c r="K61" s="129">
        <v>0</v>
      </c>
      <c r="L61" s="129">
        <v>0</v>
      </c>
      <c r="M61" s="129">
        <v>0</v>
      </c>
      <c r="N61" s="129">
        <v>0</v>
      </c>
      <c r="O61" s="129">
        <v>0</v>
      </c>
      <c r="P61" s="129">
        <v>0</v>
      </c>
      <c r="Q61" s="129">
        <v>0</v>
      </c>
      <c r="R61" s="129">
        <v>0</v>
      </c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82"/>
      <c r="AD61" s="182"/>
      <c r="AE61" s="182"/>
      <c r="AF61" s="182"/>
      <c r="AG61" s="182"/>
      <c r="AH61" s="182"/>
      <c r="AI61" s="182"/>
      <c r="AJ61" s="182"/>
      <c r="AK61" s="129"/>
      <c r="AL61" s="130">
        <v>0</v>
      </c>
      <c r="AM61" s="131">
        <v>0</v>
      </c>
      <c r="AN61" s="131">
        <v>0</v>
      </c>
      <c r="AO61" s="131">
        <v>0</v>
      </c>
      <c r="AP61" s="131">
        <v>0</v>
      </c>
      <c r="AQ61" s="131">
        <v>0</v>
      </c>
      <c r="AR61" s="131">
        <v>0</v>
      </c>
      <c r="AS61" s="131">
        <v>0</v>
      </c>
      <c r="AT61" s="131">
        <v>0</v>
      </c>
      <c r="AU61" s="131">
        <v>0</v>
      </c>
      <c r="AV61" s="131">
        <v>0</v>
      </c>
      <c r="AW61" s="131">
        <v>0</v>
      </c>
      <c r="AX61" s="131">
        <v>0</v>
      </c>
      <c r="AY61" s="131">
        <v>0</v>
      </c>
      <c r="AZ61" s="131">
        <v>0</v>
      </c>
      <c r="BA61" s="131">
        <v>0</v>
      </c>
      <c r="BB61" s="131">
        <v>0</v>
      </c>
      <c r="BC61" s="131">
        <v>0</v>
      </c>
      <c r="BD61" s="131">
        <v>0</v>
      </c>
      <c r="BE61" s="131">
        <v>0</v>
      </c>
      <c r="BF61" s="131">
        <v>0</v>
      </c>
    </row>
    <row r="62" spans="1:58" ht="14.5" x14ac:dyDescent="0.35">
      <c r="A62" s="132" t="s">
        <v>1927</v>
      </c>
      <c r="B62" s="132" t="s">
        <v>1853</v>
      </c>
      <c r="C62" s="132" t="s">
        <v>1391</v>
      </c>
      <c r="D62" s="132" t="s">
        <v>1430</v>
      </c>
      <c r="E62" s="132"/>
      <c r="F62" s="168" t="s">
        <v>1937</v>
      </c>
      <c r="G62" s="168" t="s">
        <v>1982</v>
      </c>
      <c r="H62" s="132" t="s">
        <v>1932</v>
      </c>
      <c r="I62" s="129">
        <v>0</v>
      </c>
      <c r="J62" s="129">
        <v>0</v>
      </c>
      <c r="K62" s="129">
        <v>0</v>
      </c>
      <c r="L62" s="129">
        <v>0</v>
      </c>
      <c r="M62" s="129">
        <v>0</v>
      </c>
      <c r="N62" s="129">
        <v>0</v>
      </c>
      <c r="O62" s="129">
        <v>0</v>
      </c>
      <c r="P62" s="129">
        <v>0</v>
      </c>
      <c r="Q62" s="129">
        <v>0</v>
      </c>
      <c r="R62" s="129">
        <v>0</v>
      </c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82"/>
      <c r="AD62" s="182"/>
      <c r="AE62" s="182"/>
      <c r="AF62" s="182"/>
      <c r="AG62" s="182"/>
      <c r="AH62" s="182"/>
      <c r="AI62" s="182"/>
      <c r="AJ62" s="182"/>
      <c r="AK62" s="129"/>
      <c r="AL62" s="130">
        <v>0</v>
      </c>
      <c r="AM62" s="131">
        <v>0</v>
      </c>
      <c r="AN62" s="131">
        <v>0</v>
      </c>
      <c r="AO62" s="131">
        <v>0</v>
      </c>
      <c r="AP62" s="131">
        <v>0</v>
      </c>
      <c r="AQ62" s="131">
        <v>0</v>
      </c>
      <c r="AR62" s="131">
        <v>0</v>
      </c>
      <c r="AS62" s="131">
        <v>0</v>
      </c>
      <c r="AT62" s="131">
        <v>0</v>
      </c>
      <c r="AU62" s="131">
        <v>0</v>
      </c>
      <c r="AV62" s="131">
        <v>0</v>
      </c>
      <c r="AW62" s="131">
        <v>0</v>
      </c>
      <c r="AX62" s="131">
        <v>0</v>
      </c>
      <c r="AY62" s="131">
        <v>0</v>
      </c>
      <c r="AZ62" s="131">
        <v>0</v>
      </c>
      <c r="BA62" s="131">
        <v>0</v>
      </c>
      <c r="BB62" s="131">
        <v>0</v>
      </c>
      <c r="BC62" s="131">
        <v>0</v>
      </c>
      <c r="BD62" s="131">
        <v>0</v>
      </c>
      <c r="BE62" s="131">
        <v>0</v>
      </c>
      <c r="BF62" s="131">
        <v>0</v>
      </c>
    </row>
    <row r="63" spans="1:58" x14ac:dyDescent="0.35">
      <c r="A63" s="132" t="s">
        <v>1927</v>
      </c>
      <c r="B63" s="132" t="s">
        <v>1853</v>
      </c>
      <c r="C63" s="132" t="s">
        <v>1391</v>
      </c>
      <c r="D63" s="132" t="s">
        <v>1431</v>
      </c>
      <c r="E63" s="132"/>
      <c r="F63" s="132" t="s">
        <v>1931</v>
      </c>
      <c r="G63" s="167">
        <v>66</v>
      </c>
      <c r="H63" s="132" t="s">
        <v>1932</v>
      </c>
      <c r="I63" s="129">
        <v>0</v>
      </c>
      <c r="J63" s="129">
        <v>0</v>
      </c>
      <c r="K63" s="129">
        <v>0</v>
      </c>
      <c r="L63" s="129">
        <v>0</v>
      </c>
      <c r="M63" s="129">
        <v>0</v>
      </c>
      <c r="N63" s="129">
        <v>0</v>
      </c>
      <c r="O63" s="129">
        <v>0</v>
      </c>
      <c r="P63" s="129">
        <v>0</v>
      </c>
      <c r="Q63" s="129">
        <v>0</v>
      </c>
      <c r="R63" s="129">
        <v>0</v>
      </c>
      <c r="S63" s="129"/>
      <c r="T63" s="129"/>
      <c r="U63" s="129"/>
      <c r="V63" s="129">
        <f t="shared" ref="V63:AA63" si="61">V6-V77-V78</f>
        <v>1</v>
      </c>
      <c r="W63" s="129">
        <f t="shared" si="61"/>
        <v>1</v>
      </c>
      <c r="X63" s="129">
        <f t="shared" si="61"/>
        <v>1</v>
      </c>
      <c r="Y63" s="129">
        <f t="shared" si="61"/>
        <v>1</v>
      </c>
      <c r="Z63" s="129">
        <f t="shared" si="61"/>
        <v>1</v>
      </c>
      <c r="AA63" s="129">
        <f t="shared" si="61"/>
        <v>1</v>
      </c>
      <c r="AB63" s="129">
        <f>AB6</f>
        <v>1</v>
      </c>
      <c r="AC63" s="182">
        <f>AC6</f>
        <v>1</v>
      </c>
      <c r="AD63" s="182">
        <f>AD6</f>
        <v>1</v>
      </c>
      <c r="AE63" s="182"/>
      <c r="AF63" s="182"/>
      <c r="AG63" s="182">
        <f>AG6</f>
        <v>1</v>
      </c>
      <c r="AH63" s="182"/>
      <c r="AI63" s="182"/>
      <c r="AJ63" s="182"/>
      <c r="AK63" s="129"/>
      <c r="AL63" s="130">
        <v>0</v>
      </c>
      <c r="AM63" s="131">
        <v>0</v>
      </c>
      <c r="AN63" s="131">
        <v>0</v>
      </c>
      <c r="AO63" s="131">
        <v>0</v>
      </c>
      <c r="AP63" s="131">
        <v>0</v>
      </c>
      <c r="AQ63" s="131">
        <v>0</v>
      </c>
      <c r="AR63" s="131">
        <v>0</v>
      </c>
      <c r="AS63" s="131">
        <v>0</v>
      </c>
      <c r="AT63" s="131">
        <v>0</v>
      </c>
      <c r="AU63" s="131">
        <v>0</v>
      </c>
      <c r="AV63" s="131">
        <v>0</v>
      </c>
      <c r="AW63" s="131">
        <v>0</v>
      </c>
      <c r="AX63" s="131">
        <v>0</v>
      </c>
      <c r="AY63" s="131">
        <v>0</v>
      </c>
      <c r="AZ63" s="131">
        <v>0</v>
      </c>
      <c r="BA63" s="131">
        <v>0</v>
      </c>
      <c r="BB63" s="131">
        <v>0</v>
      </c>
      <c r="BC63" s="131">
        <v>0</v>
      </c>
      <c r="BD63" s="131">
        <v>0</v>
      </c>
      <c r="BE63" s="131">
        <v>0</v>
      </c>
      <c r="BF63" s="131">
        <v>0</v>
      </c>
    </row>
    <row r="64" spans="1:58" x14ac:dyDescent="0.35">
      <c r="A64" s="132" t="s">
        <v>1927</v>
      </c>
      <c r="B64" s="132" t="s">
        <v>1853</v>
      </c>
      <c r="C64" s="132" t="s">
        <v>1391</v>
      </c>
      <c r="D64" s="132" t="s">
        <v>1432</v>
      </c>
      <c r="E64" s="132"/>
      <c r="F64" s="132" t="s">
        <v>1931</v>
      </c>
      <c r="G64" s="167">
        <v>67</v>
      </c>
      <c r="H64" s="132" t="s">
        <v>1932</v>
      </c>
      <c r="I64" s="129">
        <v>0</v>
      </c>
      <c r="J64" s="129">
        <v>0</v>
      </c>
      <c r="K64" s="129">
        <v>0</v>
      </c>
      <c r="L64" s="129">
        <v>0</v>
      </c>
      <c r="M64" s="129">
        <v>0</v>
      </c>
      <c r="N64" s="129">
        <v>0</v>
      </c>
      <c r="O64" s="129">
        <v>0</v>
      </c>
      <c r="P64" s="129">
        <v>0</v>
      </c>
      <c r="Q64" s="129">
        <v>0</v>
      </c>
      <c r="R64" s="129">
        <v>0</v>
      </c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82"/>
      <c r="AD64" s="182"/>
      <c r="AE64" s="182"/>
      <c r="AF64" s="182"/>
      <c r="AG64" s="182"/>
      <c r="AH64" s="182"/>
      <c r="AI64" s="182"/>
      <c r="AJ64" s="182"/>
      <c r="AK64" s="129"/>
      <c r="AL64" s="130">
        <v>0</v>
      </c>
      <c r="AM64" s="131">
        <v>0</v>
      </c>
      <c r="AN64" s="131">
        <v>0</v>
      </c>
      <c r="AO64" s="131">
        <v>0</v>
      </c>
      <c r="AP64" s="131">
        <v>0</v>
      </c>
      <c r="AQ64" s="131">
        <v>0</v>
      </c>
      <c r="AR64" s="131">
        <v>0</v>
      </c>
      <c r="AS64" s="131">
        <v>0</v>
      </c>
      <c r="AT64" s="131">
        <v>0</v>
      </c>
      <c r="AU64" s="131">
        <v>0</v>
      </c>
      <c r="AV64" s="131">
        <v>0</v>
      </c>
      <c r="AW64" s="131">
        <v>0</v>
      </c>
      <c r="AX64" s="131">
        <v>0</v>
      </c>
      <c r="AY64" s="131">
        <v>0</v>
      </c>
      <c r="AZ64" s="131">
        <v>0</v>
      </c>
      <c r="BA64" s="131">
        <v>0</v>
      </c>
      <c r="BB64" s="131">
        <v>0</v>
      </c>
      <c r="BC64" s="131">
        <f>BC6</f>
        <v>1</v>
      </c>
      <c r="BD64" s="131">
        <v>0</v>
      </c>
      <c r="BE64" s="131">
        <v>0</v>
      </c>
      <c r="BF64" s="131">
        <v>0</v>
      </c>
    </row>
    <row r="65" spans="1:58" x14ac:dyDescent="0.35">
      <c r="A65" s="132" t="s">
        <v>1927</v>
      </c>
      <c r="B65" s="132" t="s">
        <v>1853</v>
      </c>
      <c r="C65" s="132" t="s">
        <v>1391</v>
      </c>
      <c r="D65" s="132" t="s">
        <v>1433</v>
      </c>
      <c r="E65" s="132"/>
      <c r="F65" s="132" t="s">
        <v>1931</v>
      </c>
      <c r="G65" s="167">
        <v>68</v>
      </c>
      <c r="H65" s="132" t="s">
        <v>1932</v>
      </c>
      <c r="I65" s="129">
        <v>0</v>
      </c>
      <c r="J65" s="129">
        <v>0</v>
      </c>
      <c r="K65" s="129">
        <v>0</v>
      </c>
      <c r="L65" s="129">
        <v>0</v>
      </c>
      <c r="M65" s="129">
        <v>0</v>
      </c>
      <c r="N65" s="129">
        <v>0</v>
      </c>
      <c r="O65" s="129">
        <v>0</v>
      </c>
      <c r="P65" s="129">
        <v>0</v>
      </c>
      <c r="Q65" s="129">
        <v>0</v>
      </c>
      <c r="R65" s="129">
        <v>0</v>
      </c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82"/>
      <c r="AD65" s="182"/>
      <c r="AE65" s="182"/>
      <c r="AF65" s="182"/>
      <c r="AG65" s="182"/>
      <c r="AH65" s="182">
        <f>AH6</f>
        <v>1</v>
      </c>
      <c r="AI65" s="182"/>
      <c r="AJ65" s="182"/>
      <c r="AK65" s="129"/>
      <c r="AL65" s="130">
        <v>0</v>
      </c>
      <c r="AM65" s="131">
        <v>0</v>
      </c>
      <c r="AN65" s="131">
        <v>0</v>
      </c>
      <c r="AO65" s="131">
        <v>0</v>
      </c>
      <c r="AP65" s="131">
        <v>0</v>
      </c>
      <c r="AQ65" s="131">
        <v>0</v>
      </c>
      <c r="AR65" s="131">
        <v>0</v>
      </c>
      <c r="AS65" s="131">
        <v>0</v>
      </c>
      <c r="AT65" s="131">
        <v>0</v>
      </c>
      <c r="AU65" s="131">
        <v>0</v>
      </c>
      <c r="AV65" s="131">
        <v>0</v>
      </c>
      <c r="AW65" s="131">
        <v>0</v>
      </c>
      <c r="AX65" s="131">
        <v>0</v>
      </c>
      <c r="AY65" s="131">
        <v>0</v>
      </c>
      <c r="AZ65" s="131">
        <v>0</v>
      </c>
      <c r="BA65" s="131">
        <v>0</v>
      </c>
      <c r="BB65" s="131">
        <v>0</v>
      </c>
      <c r="BC65" s="131">
        <v>0</v>
      </c>
      <c r="BD65" s="131">
        <v>0</v>
      </c>
      <c r="BE65" s="131">
        <v>0</v>
      </c>
      <c r="BF65" s="131">
        <v>0</v>
      </c>
    </row>
    <row r="66" spans="1:58" ht="14.5" x14ac:dyDescent="0.35">
      <c r="A66" s="132" t="s">
        <v>1927</v>
      </c>
      <c r="B66" s="132" t="s">
        <v>1853</v>
      </c>
      <c r="C66" s="132" t="s">
        <v>1391</v>
      </c>
      <c r="D66" s="132" t="s">
        <v>1435</v>
      </c>
      <c r="E66" s="132"/>
      <c r="F66" s="168" t="s">
        <v>1937</v>
      </c>
      <c r="G66" s="168" t="s">
        <v>1982</v>
      </c>
      <c r="H66" s="132" t="s">
        <v>1932</v>
      </c>
      <c r="I66" s="129">
        <v>0</v>
      </c>
      <c r="J66" s="129">
        <v>0</v>
      </c>
      <c r="K66" s="129">
        <v>0</v>
      </c>
      <c r="L66" s="129">
        <v>0</v>
      </c>
      <c r="M66" s="129">
        <v>0</v>
      </c>
      <c r="N66" s="129">
        <v>0</v>
      </c>
      <c r="O66" s="129">
        <v>0</v>
      </c>
      <c r="P66" s="129">
        <v>0</v>
      </c>
      <c r="Q66" s="129">
        <v>0</v>
      </c>
      <c r="R66" s="129">
        <v>0</v>
      </c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82"/>
      <c r="AD66" s="182"/>
      <c r="AE66" s="182"/>
      <c r="AF66" s="182"/>
      <c r="AG66" s="182"/>
      <c r="AH66" s="182"/>
      <c r="AI66" s="182"/>
      <c r="AJ66" s="182"/>
      <c r="AK66" s="129"/>
      <c r="AL66" s="130">
        <v>0</v>
      </c>
      <c r="AM66" s="131">
        <v>0</v>
      </c>
      <c r="AN66" s="131">
        <v>0</v>
      </c>
      <c r="AO66" s="131">
        <v>0</v>
      </c>
      <c r="AP66" s="131">
        <v>0</v>
      </c>
      <c r="AQ66" s="131">
        <v>0</v>
      </c>
      <c r="AR66" s="131">
        <v>0</v>
      </c>
      <c r="AS66" s="131">
        <v>0</v>
      </c>
      <c r="AT66" s="131">
        <v>0</v>
      </c>
      <c r="AU66" s="131">
        <v>0</v>
      </c>
      <c r="AV66" s="131">
        <v>0</v>
      </c>
      <c r="AW66" s="131">
        <v>0</v>
      </c>
      <c r="AX66" s="131">
        <v>0</v>
      </c>
      <c r="AY66" s="131">
        <v>0</v>
      </c>
      <c r="AZ66" s="131">
        <v>0</v>
      </c>
      <c r="BA66" s="131">
        <v>0</v>
      </c>
      <c r="BB66" s="131">
        <v>0</v>
      </c>
      <c r="BC66" s="131">
        <v>0</v>
      </c>
      <c r="BD66" s="131">
        <v>0</v>
      </c>
      <c r="BE66" s="131">
        <v>0</v>
      </c>
      <c r="BF66" s="131">
        <v>0</v>
      </c>
    </row>
    <row r="67" spans="1:58" x14ac:dyDescent="0.35">
      <c r="A67" s="132" t="s">
        <v>1927</v>
      </c>
      <c r="B67" s="132" t="s">
        <v>1853</v>
      </c>
      <c r="C67" s="132" t="s">
        <v>1391</v>
      </c>
      <c r="D67" s="132" t="s">
        <v>1436</v>
      </c>
      <c r="E67" s="132"/>
      <c r="F67" s="132" t="s">
        <v>1931</v>
      </c>
      <c r="G67" s="167">
        <v>74</v>
      </c>
      <c r="H67" s="132" t="s">
        <v>1932</v>
      </c>
      <c r="I67" s="129">
        <f>I6</f>
        <v>1</v>
      </c>
      <c r="J67" s="129">
        <v>0</v>
      </c>
      <c r="K67" s="129">
        <v>0</v>
      </c>
      <c r="L67" s="129">
        <v>0</v>
      </c>
      <c r="M67" s="129">
        <f>M6</f>
        <v>1</v>
      </c>
      <c r="N67" s="129">
        <v>0</v>
      </c>
      <c r="O67" s="129">
        <v>0</v>
      </c>
      <c r="P67" s="129">
        <v>1</v>
      </c>
      <c r="Q67" s="129">
        <v>0</v>
      </c>
      <c r="R67" s="129">
        <v>1</v>
      </c>
      <c r="S67" s="129"/>
      <c r="T67" s="129"/>
      <c r="U67" s="129"/>
      <c r="V67" s="129">
        <f>V6</f>
        <v>1</v>
      </c>
      <c r="W67" s="129">
        <f>W6</f>
        <v>1</v>
      </c>
      <c r="X67" s="129">
        <v>1</v>
      </c>
      <c r="Y67" s="129">
        <f>Y6</f>
        <v>1</v>
      </c>
      <c r="Z67" s="129"/>
      <c r="AA67" s="129"/>
      <c r="AB67" s="129">
        <f>AB55</f>
        <v>1</v>
      </c>
      <c r="AC67" s="182">
        <f>AC6</f>
        <v>1</v>
      </c>
      <c r="AD67" s="182">
        <f>AD6</f>
        <v>1</v>
      </c>
      <c r="AE67" s="182"/>
      <c r="AF67" s="182"/>
      <c r="AG67" s="182"/>
      <c r="AH67" s="182"/>
      <c r="AI67" s="182"/>
      <c r="AJ67" s="182"/>
      <c r="AK67" s="129"/>
      <c r="AL67" s="130">
        <v>0</v>
      </c>
      <c r="AM67" s="131">
        <v>0</v>
      </c>
      <c r="AN67" s="131">
        <v>0</v>
      </c>
      <c r="AO67" s="131">
        <v>0</v>
      </c>
      <c r="AP67" s="131">
        <v>0</v>
      </c>
      <c r="AQ67" s="131">
        <v>0</v>
      </c>
      <c r="AR67" s="131">
        <v>0</v>
      </c>
      <c r="AS67" s="131">
        <v>0</v>
      </c>
      <c r="AT67" s="131">
        <v>0</v>
      </c>
      <c r="AU67" s="131">
        <v>0</v>
      </c>
      <c r="AV67" s="131">
        <v>0</v>
      </c>
      <c r="AW67" s="131">
        <v>0</v>
      </c>
      <c r="AX67" s="131">
        <v>0</v>
      </c>
      <c r="AY67" s="131">
        <v>0</v>
      </c>
      <c r="AZ67" s="131">
        <v>0</v>
      </c>
      <c r="BA67" s="131">
        <v>0</v>
      </c>
      <c r="BB67" s="131">
        <v>0</v>
      </c>
      <c r="BC67" s="131">
        <v>0</v>
      </c>
      <c r="BD67" s="131">
        <v>0</v>
      </c>
      <c r="BE67" s="131">
        <v>0</v>
      </c>
      <c r="BF67" s="131">
        <v>0</v>
      </c>
    </row>
    <row r="68" spans="1:58" x14ac:dyDescent="0.35">
      <c r="A68" s="132" t="s">
        <v>1927</v>
      </c>
      <c r="B68" s="132" t="s">
        <v>1853</v>
      </c>
      <c r="C68" s="132" t="s">
        <v>1391</v>
      </c>
      <c r="D68" s="132" t="s">
        <v>1437</v>
      </c>
      <c r="E68" s="132"/>
      <c r="F68" s="132" t="s">
        <v>1931</v>
      </c>
      <c r="G68" s="167">
        <v>75</v>
      </c>
      <c r="H68" s="132" t="s">
        <v>1932</v>
      </c>
      <c r="I68" s="129">
        <v>0</v>
      </c>
      <c r="J68" s="129">
        <f>J6</f>
        <v>1</v>
      </c>
      <c r="K68" s="129">
        <f>K55</f>
        <v>1</v>
      </c>
      <c r="L68" s="129">
        <f>L55</f>
        <v>1</v>
      </c>
      <c r="M68" s="129">
        <v>0</v>
      </c>
      <c r="N68" s="129">
        <f>N6</f>
        <v>1</v>
      </c>
      <c r="O68" s="129">
        <v>1</v>
      </c>
      <c r="P68" s="129">
        <v>2</v>
      </c>
      <c r="Q68" s="129">
        <v>1</v>
      </c>
      <c r="R68" s="129">
        <v>2</v>
      </c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82"/>
      <c r="AD68" s="182"/>
      <c r="AE68" s="182"/>
      <c r="AF68" s="182"/>
      <c r="AG68" s="182"/>
      <c r="AH68" s="182">
        <f>AH6</f>
        <v>1</v>
      </c>
      <c r="AI68" s="182"/>
      <c r="AJ68" s="182"/>
      <c r="AK68" s="129"/>
      <c r="AL68" s="130">
        <v>0</v>
      </c>
      <c r="AM68" s="131">
        <v>0</v>
      </c>
      <c r="AN68" s="131">
        <v>0</v>
      </c>
      <c r="AO68" s="131">
        <v>0</v>
      </c>
      <c r="AP68" s="131">
        <v>0</v>
      </c>
      <c r="AQ68" s="131">
        <v>0</v>
      </c>
      <c r="AR68" s="131">
        <v>0</v>
      </c>
      <c r="AS68" s="131">
        <v>0</v>
      </c>
      <c r="AT68" s="131">
        <v>0</v>
      </c>
      <c r="AU68" s="131">
        <v>0</v>
      </c>
      <c r="AV68" s="131">
        <v>0</v>
      </c>
      <c r="AW68" s="131">
        <v>0</v>
      </c>
      <c r="AX68" s="131">
        <v>0</v>
      </c>
      <c r="AY68" s="131">
        <v>0</v>
      </c>
      <c r="AZ68" s="131">
        <v>0</v>
      </c>
      <c r="BA68" s="131">
        <v>0</v>
      </c>
      <c r="BB68" s="131">
        <v>0</v>
      </c>
      <c r="BC68" s="131">
        <v>0</v>
      </c>
      <c r="BD68" s="131">
        <v>0</v>
      </c>
      <c r="BE68" s="131">
        <v>0</v>
      </c>
      <c r="BF68" s="131">
        <v>0</v>
      </c>
    </row>
    <row r="69" spans="1:58" x14ac:dyDescent="0.35">
      <c r="A69" s="132" t="s">
        <v>1927</v>
      </c>
      <c r="B69" s="132" t="s">
        <v>1853</v>
      </c>
      <c r="C69" s="132" t="s">
        <v>1391</v>
      </c>
      <c r="D69" s="132" t="s">
        <v>1438</v>
      </c>
      <c r="E69" s="132"/>
      <c r="F69" s="132" t="s">
        <v>1931</v>
      </c>
      <c r="G69" s="167">
        <v>76</v>
      </c>
      <c r="H69" s="132" t="s">
        <v>1932</v>
      </c>
      <c r="I69" s="129">
        <v>0</v>
      </c>
      <c r="J69" s="129">
        <v>0</v>
      </c>
      <c r="K69" s="129">
        <v>0</v>
      </c>
      <c r="L69" s="129">
        <v>0</v>
      </c>
      <c r="M69" s="129">
        <v>0</v>
      </c>
      <c r="N69" s="129">
        <v>0</v>
      </c>
      <c r="O69" s="129">
        <v>0</v>
      </c>
      <c r="P69" s="129">
        <v>0</v>
      </c>
      <c r="Q69" s="129">
        <v>2</v>
      </c>
      <c r="R69" s="129">
        <v>0</v>
      </c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82"/>
      <c r="AD69" s="182"/>
      <c r="AE69" s="182"/>
      <c r="AF69" s="182"/>
      <c r="AG69" s="182"/>
      <c r="AH69" s="182"/>
      <c r="AI69" s="182"/>
      <c r="AJ69" s="182"/>
      <c r="AK69" s="129"/>
      <c r="AL69" s="130">
        <f>AL6</f>
        <v>1</v>
      </c>
      <c r="AM69" s="131">
        <v>0</v>
      </c>
      <c r="AN69" s="131">
        <v>0</v>
      </c>
      <c r="AO69" s="131">
        <f>AO6</f>
        <v>1</v>
      </c>
      <c r="AP69" s="131">
        <f>AP55</f>
        <v>2</v>
      </c>
      <c r="AQ69" s="131">
        <f>AQ55</f>
        <v>2</v>
      </c>
      <c r="AR69" s="131">
        <f>AR55</f>
        <v>2</v>
      </c>
      <c r="AS69" s="131">
        <f>AS55</f>
        <v>2</v>
      </c>
      <c r="AT69" s="131">
        <v>0</v>
      </c>
      <c r="AU69" s="131">
        <v>0</v>
      </c>
      <c r="AV69" s="131">
        <f>AV55</f>
        <v>1</v>
      </c>
      <c r="AW69" s="131">
        <v>0</v>
      </c>
      <c r="AX69" s="131">
        <f t="shared" ref="AX69:AY69" si="62">AX6</f>
        <v>1</v>
      </c>
      <c r="AY69" s="131">
        <f t="shared" si="62"/>
        <v>1</v>
      </c>
      <c r="AZ69" s="131">
        <v>0</v>
      </c>
      <c r="BA69" s="131">
        <v>0</v>
      </c>
      <c r="BB69" s="131">
        <v>0</v>
      </c>
      <c r="BC69" s="131">
        <v>0</v>
      </c>
      <c r="BD69" s="131">
        <v>0</v>
      </c>
      <c r="BE69" s="131">
        <v>0</v>
      </c>
      <c r="BF69" s="131">
        <v>0</v>
      </c>
    </row>
    <row r="70" spans="1:58" x14ac:dyDescent="0.35">
      <c r="A70" s="132" t="s">
        <v>1927</v>
      </c>
      <c r="B70" s="132" t="s">
        <v>1853</v>
      </c>
      <c r="C70" s="132" t="s">
        <v>1391</v>
      </c>
      <c r="D70" s="132" t="s">
        <v>1439</v>
      </c>
      <c r="E70" s="132"/>
      <c r="F70" s="132" t="s">
        <v>1931</v>
      </c>
      <c r="G70" s="167">
        <v>77</v>
      </c>
      <c r="H70" s="132" t="s">
        <v>1932</v>
      </c>
      <c r="I70" s="129">
        <v>0</v>
      </c>
      <c r="J70" s="129">
        <v>0</v>
      </c>
      <c r="K70" s="129">
        <v>0</v>
      </c>
      <c r="L70" s="129">
        <v>0</v>
      </c>
      <c r="M70" s="129">
        <v>0</v>
      </c>
      <c r="N70" s="129">
        <v>0</v>
      </c>
      <c r="O70" s="129">
        <v>0</v>
      </c>
      <c r="P70" s="129">
        <v>0</v>
      </c>
      <c r="Q70" s="129">
        <v>0</v>
      </c>
      <c r="R70" s="129">
        <v>0</v>
      </c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82"/>
      <c r="AD70" s="182"/>
      <c r="AE70" s="182"/>
      <c r="AF70" s="182"/>
      <c r="AG70" s="182"/>
      <c r="AH70" s="182"/>
      <c r="AI70" s="182"/>
      <c r="AJ70" s="182"/>
      <c r="AK70" s="129"/>
      <c r="AL70" s="130">
        <v>0</v>
      </c>
      <c r="AM70" s="131">
        <f>AM55</f>
        <v>1</v>
      </c>
      <c r="AN70" s="131">
        <f>AN6</f>
        <v>1</v>
      </c>
      <c r="AO70" s="131">
        <v>0</v>
      </c>
      <c r="AP70" s="131">
        <v>0</v>
      </c>
      <c r="AQ70" s="131">
        <v>0</v>
      </c>
      <c r="AR70" s="131">
        <v>0</v>
      </c>
      <c r="AS70" s="131">
        <v>0</v>
      </c>
      <c r="AT70" s="131">
        <v>0</v>
      </c>
      <c r="AU70" s="131">
        <v>0</v>
      </c>
      <c r="AV70" s="131">
        <v>0</v>
      </c>
      <c r="AW70" s="131">
        <f>AW6</f>
        <v>1</v>
      </c>
      <c r="AX70" s="131">
        <v>0</v>
      </c>
      <c r="AY70" s="131">
        <v>0</v>
      </c>
      <c r="AZ70" s="131">
        <f>AZ6</f>
        <v>1</v>
      </c>
      <c r="BA70" s="131">
        <v>0</v>
      </c>
      <c r="BB70" s="131">
        <v>0</v>
      </c>
      <c r="BC70" s="131">
        <v>0</v>
      </c>
      <c r="BD70" s="131">
        <v>0</v>
      </c>
      <c r="BE70" s="131">
        <v>0</v>
      </c>
      <c r="BF70" s="131">
        <v>0</v>
      </c>
    </row>
    <row r="71" spans="1:58" x14ac:dyDescent="0.35">
      <c r="A71" s="132" t="s">
        <v>1927</v>
      </c>
      <c r="B71" s="132" t="s">
        <v>1853</v>
      </c>
      <c r="C71" s="132" t="s">
        <v>1391</v>
      </c>
      <c r="D71" s="132" t="s">
        <v>1440</v>
      </c>
      <c r="E71" s="132"/>
      <c r="F71" s="132" t="s">
        <v>1931</v>
      </c>
      <c r="G71" s="167">
        <v>78</v>
      </c>
      <c r="H71" s="132" t="s">
        <v>1932</v>
      </c>
      <c r="I71" s="129">
        <f>4*SUM(I16:I17,I20:I21)</f>
        <v>20</v>
      </c>
      <c r="J71" s="129">
        <v>0</v>
      </c>
      <c r="K71" s="129">
        <v>0</v>
      </c>
      <c r="L71" s="129">
        <v>0</v>
      </c>
      <c r="M71" s="129">
        <f>4*SUM(M16:M17,M20:M21)</f>
        <v>16</v>
      </c>
      <c r="N71" s="129">
        <f>4*SUM(N16:N17,N20:N21)</f>
        <v>24</v>
      </c>
      <c r="O71" s="129">
        <v>0</v>
      </c>
      <c r="P71" s="129">
        <f>4*SUM(P16:P17,P20:P21)</f>
        <v>28</v>
      </c>
      <c r="Q71" s="129">
        <v>0</v>
      </c>
      <c r="R71" s="129">
        <f>4*SUM(R16:R17,R20:R21)</f>
        <v>44</v>
      </c>
      <c r="S71" s="129"/>
      <c r="T71" s="129"/>
      <c r="U71" s="129"/>
      <c r="V71" s="129">
        <f>4*SUM(V16:V19,V20:V21)</f>
        <v>8</v>
      </c>
      <c r="W71" s="129">
        <f>4*SUM(W16:W19,W20:W21)</f>
        <v>12</v>
      </c>
      <c r="X71" s="129">
        <f>4*SUM(X16:X19,X20:X21)</f>
        <v>12</v>
      </c>
      <c r="Y71" s="129">
        <f>4*SUM(Y16:Y19,Y20:Y21)</f>
        <v>4</v>
      </c>
      <c r="Z71" s="129">
        <f>4*SUM(Z16:Z19,Z20:Z21)</f>
        <v>8</v>
      </c>
      <c r="AA71" s="129">
        <v>248</v>
      </c>
      <c r="AB71" s="129">
        <f>4*SUM(AB15:AB21)</f>
        <v>0</v>
      </c>
      <c r="AC71" s="182">
        <f>12*AC6</f>
        <v>12</v>
      </c>
      <c r="AD71" s="182">
        <f>4*SUM(AD16:AD19,AD20:AD21)</f>
        <v>4</v>
      </c>
      <c r="AE71" s="182"/>
      <c r="AF71" s="182"/>
      <c r="AG71" s="182">
        <f>4*AG6</f>
        <v>4</v>
      </c>
      <c r="AH71" s="182">
        <f>8*AH6</f>
        <v>8</v>
      </c>
      <c r="AI71" s="182"/>
      <c r="AJ71" s="182"/>
      <c r="AK71" s="129"/>
      <c r="AL71" s="130">
        <v>0</v>
      </c>
      <c r="AM71" s="131">
        <v>0</v>
      </c>
      <c r="AN71" s="131">
        <v>0</v>
      </c>
      <c r="AO71" s="131">
        <v>0</v>
      </c>
      <c r="AP71" s="131">
        <v>0</v>
      </c>
      <c r="AQ71" s="131">
        <v>0</v>
      </c>
      <c r="AR71" s="131">
        <v>0</v>
      </c>
      <c r="AS71" s="131">
        <v>0</v>
      </c>
      <c r="AT71" s="131">
        <v>0</v>
      </c>
      <c r="AU71" s="131">
        <v>0</v>
      </c>
      <c r="AV71" s="131">
        <v>0</v>
      </c>
      <c r="AW71" s="131">
        <v>0</v>
      </c>
      <c r="AX71" s="131">
        <v>0</v>
      </c>
      <c r="AY71" s="131">
        <v>0</v>
      </c>
      <c r="AZ71" s="131">
        <v>0</v>
      </c>
      <c r="BA71" s="131">
        <f>4*SUM(BA19:BA21)</f>
        <v>0</v>
      </c>
      <c r="BB71" s="131">
        <f>4*SUM(BB19:BB21)</f>
        <v>0</v>
      </c>
      <c r="BC71" s="131">
        <f>4*SUM(BC16:BC19,BC20:BC21)</f>
        <v>4</v>
      </c>
      <c r="BD71" s="131">
        <f>4*SUM(BD19:BD21)</f>
        <v>0</v>
      </c>
      <c r="BE71" s="131">
        <f>4*SUM(BE19:BE21)</f>
        <v>0</v>
      </c>
      <c r="BF71" s="131">
        <f>4*SUM(BF19:BF21)</f>
        <v>0</v>
      </c>
    </row>
    <row r="72" spans="1:58" x14ac:dyDescent="0.35">
      <c r="A72" s="132" t="s">
        <v>1927</v>
      </c>
      <c r="B72" s="132" t="s">
        <v>1853</v>
      </c>
      <c r="C72" s="132" t="s">
        <v>1391</v>
      </c>
      <c r="D72" s="132" t="s">
        <v>1957</v>
      </c>
      <c r="E72" s="132"/>
      <c r="F72" s="132" t="s">
        <v>1931</v>
      </c>
      <c r="G72" s="167">
        <v>79</v>
      </c>
      <c r="H72" s="132" t="s">
        <v>1932</v>
      </c>
      <c r="I72" s="129">
        <f>2*SUM(I16:I17)</f>
        <v>4</v>
      </c>
      <c r="J72" s="129">
        <f>4*SUM(J16:J17,J20:J21)</f>
        <v>8</v>
      </c>
      <c r="K72" s="129">
        <f t="shared" ref="K72:L72" si="63">4*SUM(K16:K19,K20:K21)</f>
        <v>16</v>
      </c>
      <c r="L72" s="129">
        <f t="shared" si="63"/>
        <v>20</v>
      </c>
      <c r="M72" s="129">
        <f>2*SUM(M16:M17)</f>
        <v>4</v>
      </c>
      <c r="N72" s="129">
        <f>2*SUM(N16:N17)</f>
        <v>4</v>
      </c>
      <c r="O72" s="129">
        <f>4*SUM(O16:O17,O20:O21)</f>
        <v>12</v>
      </c>
      <c r="P72" s="129">
        <f>2*SUM(P16:P19)</f>
        <v>4</v>
      </c>
      <c r="Q72" s="129">
        <f>4*SUM(Q16:Q17,Q20:Q21)</f>
        <v>32</v>
      </c>
      <c r="R72" s="129">
        <f>2*SUM(R16:R19)</f>
        <v>4</v>
      </c>
      <c r="S72" s="129"/>
      <c r="T72" s="129"/>
      <c r="U72" s="129"/>
      <c r="V72" s="129">
        <f>2*SUM(V16:V19)</f>
        <v>4</v>
      </c>
      <c r="W72" s="129">
        <f>2*SUM(W16:W19)</f>
        <v>0</v>
      </c>
      <c r="X72" s="129">
        <f>2*SUM(X16:X19)</f>
        <v>0</v>
      </c>
      <c r="Y72" s="129">
        <f>2*SUM(Y16:Y19)</f>
        <v>2</v>
      </c>
      <c r="Z72" s="129">
        <f>2*SUM(Z16:Z19)</f>
        <v>4</v>
      </c>
      <c r="AA72" s="129">
        <v>124</v>
      </c>
      <c r="AB72" s="129">
        <f>2*AB6*3</f>
        <v>6</v>
      </c>
      <c r="AC72" s="182">
        <v>0</v>
      </c>
      <c r="AD72" s="182">
        <f>2*SUM(AD16:AD19)</f>
        <v>2</v>
      </c>
      <c r="AE72" s="182"/>
      <c r="AF72" s="182"/>
      <c r="AG72" s="182">
        <f>2*AG6</f>
        <v>2</v>
      </c>
      <c r="AH72" s="182"/>
      <c r="AI72" s="182"/>
      <c r="AJ72" s="182"/>
      <c r="AK72" s="129"/>
      <c r="AL72" s="130">
        <v>0</v>
      </c>
      <c r="AM72" s="131">
        <v>0</v>
      </c>
      <c r="AN72" s="131">
        <v>0</v>
      </c>
      <c r="AO72" s="131">
        <v>0</v>
      </c>
      <c r="AP72" s="131">
        <v>0</v>
      </c>
      <c r="AQ72" s="131">
        <v>0</v>
      </c>
      <c r="AR72" s="131">
        <v>0</v>
      </c>
      <c r="AS72" s="131">
        <v>0</v>
      </c>
      <c r="AT72" s="131">
        <v>0</v>
      </c>
      <c r="AU72" s="131">
        <v>0</v>
      </c>
      <c r="AV72" s="131">
        <v>0</v>
      </c>
      <c r="AW72" s="131">
        <v>0</v>
      </c>
      <c r="AX72" s="131">
        <v>0</v>
      </c>
      <c r="AY72" s="131">
        <v>0</v>
      </c>
      <c r="AZ72" s="131">
        <v>0</v>
      </c>
      <c r="BA72" s="131">
        <f t="shared" ref="BA72:BB72" si="64">2*BA19</f>
        <v>0</v>
      </c>
      <c r="BB72" s="131">
        <f t="shared" si="64"/>
        <v>0</v>
      </c>
      <c r="BC72" s="131">
        <f>2*SUM(BC16:BC19)</f>
        <v>2</v>
      </c>
      <c r="BD72" s="131">
        <f>2*BD19</f>
        <v>0</v>
      </c>
      <c r="BE72" s="131">
        <f>2*BE19</f>
        <v>0</v>
      </c>
      <c r="BF72" s="131">
        <f>2*BF19</f>
        <v>0</v>
      </c>
    </row>
    <row r="73" spans="1:58" x14ac:dyDescent="0.35">
      <c r="A73" s="132" t="s">
        <v>1927</v>
      </c>
      <c r="B73" s="132" t="s">
        <v>1853</v>
      </c>
      <c r="C73" s="132" t="s">
        <v>1391</v>
      </c>
      <c r="D73" s="132" t="s">
        <v>1958</v>
      </c>
      <c r="E73" s="132"/>
      <c r="F73" s="132" t="s">
        <v>1931</v>
      </c>
      <c r="G73" s="167">
        <v>80</v>
      </c>
      <c r="H73" s="132" t="s">
        <v>1932</v>
      </c>
      <c r="I73" s="136">
        <f t="shared" ref="I73:R73" si="65">I6</f>
        <v>1</v>
      </c>
      <c r="J73" s="215">
        <f>2*SUM(J16:J17)</f>
        <v>4</v>
      </c>
      <c r="K73" s="129">
        <f t="shared" ref="K73:L73" si="66">2*SUM(K16:K19)</f>
        <v>8</v>
      </c>
      <c r="L73" s="129">
        <f t="shared" si="66"/>
        <v>8</v>
      </c>
      <c r="M73" s="136">
        <f t="shared" si="65"/>
        <v>1</v>
      </c>
      <c r="N73" s="136">
        <f t="shared" si="65"/>
        <v>1</v>
      </c>
      <c r="O73" s="215">
        <v>1</v>
      </c>
      <c r="P73" s="136">
        <f t="shared" si="65"/>
        <v>1</v>
      </c>
      <c r="Q73" s="215">
        <v>1</v>
      </c>
      <c r="R73" s="136">
        <f t="shared" si="65"/>
        <v>1</v>
      </c>
      <c r="S73" s="129"/>
      <c r="T73" s="129"/>
      <c r="U73" s="129"/>
      <c r="V73" s="136">
        <f t="shared" ref="V73:AD73" si="67">V6</f>
        <v>1</v>
      </c>
      <c r="W73" s="136">
        <f t="shared" si="67"/>
        <v>1</v>
      </c>
      <c r="X73" s="162">
        <f t="shared" si="67"/>
        <v>1</v>
      </c>
      <c r="Y73" s="136">
        <f t="shared" si="67"/>
        <v>1</v>
      </c>
      <c r="Z73" s="136">
        <f t="shared" si="67"/>
        <v>1</v>
      </c>
      <c r="AA73" s="136">
        <f t="shared" si="67"/>
        <v>1</v>
      </c>
      <c r="AB73" s="136">
        <f t="shared" si="67"/>
        <v>1</v>
      </c>
      <c r="AC73" s="182">
        <f t="shared" si="67"/>
        <v>1</v>
      </c>
      <c r="AD73" s="182">
        <f t="shared" si="67"/>
        <v>1</v>
      </c>
      <c r="AE73" s="182"/>
      <c r="AF73" s="182"/>
      <c r="AG73" s="182">
        <f>AG6</f>
        <v>1</v>
      </c>
      <c r="AH73" s="182">
        <f>AH6</f>
        <v>1</v>
      </c>
      <c r="AI73" s="182"/>
      <c r="AJ73" s="182"/>
      <c r="AK73" s="136"/>
      <c r="AL73" s="137">
        <f t="shared" ref="AL73:AU73" si="68">AL6</f>
        <v>1</v>
      </c>
      <c r="AM73" s="138">
        <f t="shared" si="68"/>
        <v>1</v>
      </c>
      <c r="AN73" s="138">
        <f t="shared" si="68"/>
        <v>1</v>
      </c>
      <c r="AO73" s="138">
        <f t="shared" si="68"/>
        <v>1</v>
      </c>
      <c r="AP73" s="138">
        <f t="shared" si="68"/>
        <v>1</v>
      </c>
      <c r="AQ73" s="138">
        <f t="shared" si="68"/>
        <v>1</v>
      </c>
      <c r="AR73" s="138">
        <f t="shared" si="68"/>
        <v>1</v>
      </c>
      <c r="AS73" s="138">
        <f t="shared" si="68"/>
        <v>1</v>
      </c>
      <c r="AT73" s="138">
        <f t="shared" si="68"/>
        <v>1</v>
      </c>
      <c r="AU73" s="138">
        <f t="shared" si="68"/>
        <v>1</v>
      </c>
      <c r="AV73" s="138">
        <f>AV6</f>
        <v>1</v>
      </c>
      <c r="AW73" s="138">
        <f t="shared" ref="AW73:AZ73" si="69">AW6</f>
        <v>1</v>
      </c>
      <c r="AX73" s="138">
        <f t="shared" si="69"/>
        <v>1</v>
      </c>
      <c r="AY73" s="138">
        <f t="shared" si="69"/>
        <v>1</v>
      </c>
      <c r="AZ73" s="138">
        <f t="shared" si="69"/>
        <v>1</v>
      </c>
      <c r="BA73" s="131">
        <v>0</v>
      </c>
      <c r="BB73" s="131">
        <v>0</v>
      </c>
      <c r="BC73" s="131">
        <f>BC6</f>
        <v>1</v>
      </c>
      <c r="BD73" s="131">
        <v>0</v>
      </c>
      <c r="BE73" s="131">
        <v>0</v>
      </c>
      <c r="BF73" s="131">
        <v>0</v>
      </c>
    </row>
    <row r="74" spans="1:58" x14ac:dyDescent="0.35">
      <c r="A74" s="132" t="s">
        <v>1927</v>
      </c>
      <c r="B74" s="132" t="s">
        <v>1853</v>
      </c>
      <c r="C74" s="132" t="s">
        <v>1391</v>
      </c>
      <c r="D74" s="132" t="s">
        <v>1441</v>
      </c>
      <c r="E74" s="132"/>
      <c r="F74" s="132" t="s">
        <v>1931</v>
      </c>
      <c r="G74" s="167">
        <v>81</v>
      </c>
      <c r="H74" s="132" t="s">
        <v>1932</v>
      </c>
      <c r="I74" s="136">
        <f t="shared" ref="I74:R74" si="70">I6</f>
        <v>1</v>
      </c>
      <c r="J74" s="136">
        <f>J6</f>
        <v>1</v>
      </c>
      <c r="K74" s="136">
        <f t="shared" ref="K74:L74" si="71">K6</f>
        <v>1</v>
      </c>
      <c r="L74" s="136">
        <f t="shared" si="71"/>
        <v>1</v>
      </c>
      <c r="M74" s="136">
        <f t="shared" si="70"/>
        <v>1</v>
      </c>
      <c r="N74" s="136">
        <f t="shared" si="70"/>
        <v>1</v>
      </c>
      <c r="O74" s="136">
        <f>O6</f>
        <v>1</v>
      </c>
      <c r="P74" s="136">
        <f t="shared" si="70"/>
        <v>1</v>
      </c>
      <c r="Q74" s="136">
        <f>Q6</f>
        <v>1</v>
      </c>
      <c r="R74" s="136">
        <f t="shared" si="70"/>
        <v>1</v>
      </c>
      <c r="S74" s="129"/>
      <c r="T74" s="129"/>
      <c r="U74" s="129"/>
      <c r="V74" s="136">
        <f t="shared" ref="V74:AI74" si="72">V6</f>
        <v>1</v>
      </c>
      <c r="W74" s="136">
        <f t="shared" si="72"/>
        <v>1</v>
      </c>
      <c r="X74" s="136">
        <f t="shared" si="72"/>
        <v>1</v>
      </c>
      <c r="Y74" s="136">
        <f t="shared" si="72"/>
        <v>1</v>
      </c>
      <c r="Z74" s="136">
        <f t="shared" si="72"/>
        <v>1</v>
      </c>
      <c r="AA74" s="136">
        <f t="shared" si="72"/>
        <v>1</v>
      </c>
      <c r="AB74" s="136">
        <f t="shared" si="72"/>
        <v>1</v>
      </c>
      <c r="AC74" s="182">
        <f t="shared" si="72"/>
        <v>1</v>
      </c>
      <c r="AD74" s="182">
        <f t="shared" si="72"/>
        <v>1</v>
      </c>
      <c r="AE74" s="182">
        <f t="shared" si="72"/>
        <v>1</v>
      </c>
      <c r="AF74" s="182">
        <f t="shared" si="72"/>
        <v>1</v>
      </c>
      <c r="AG74" s="182">
        <f t="shared" si="72"/>
        <v>1</v>
      </c>
      <c r="AH74" s="182">
        <f t="shared" si="72"/>
        <v>1</v>
      </c>
      <c r="AI74" s="182">
        <f t="shared" si="72"/>
        <v>1</v>
      </c>
      <c r="AJ74" s="182"/>
      <c r="AK74" s="136"/>
      <c r="AL74" s="137">
        <f t="shared" ref="AL74:AZ74" si="73">AL6</f>
        <v>1</v>
      </c>
      <c r="AM74" s="138">
        <f t="shared" si="73"/>
        <v>1</v>
      </c>
      <c r="AN74" s="138">
        <f t="shared" si="73"/>
        <v>1</v>
      </c>
      <c r="AO74" s="138">
        <f t="shared" si="73"/>
        <v>1</v>
      </c>
      <c r="AP74" s="138">
        <f t="shared" si="73"/>
        <v>1</v>
      </c>
      <c r="AQ74" s="138">
        <f t="shared" si="73"/>
        <v>1</v>
      </c>
      <c r="AR74" s="138">
        <f t="shared" si="73"/>
        <v>1</v>
      </c>
      <c r="AS74" s="138">
        <f t="shared" si="73"/>
        <v>1</v>
      </c>
      <c r="AT74" s="138">
        <f t="shared" si="73"/>
        <v>1</v>
      </c>
      <c r="AU74" s="138">
        <f t="shared" si="73"/>
        <v>1</v>
      </c>
      <c r="AV74" s="138">
        <f t="shared" si="73"/>
        <v>1</v>
      </c>
      <c r="AW74" s="138">
        <f t="shared" si="73"/>
        <v>1</v>
      </c>
      <c r="AX74" s="138">
        <f t="shared" si="73"/>
        <v>1</v>
      </c>
      <c r="AY74" s="138">
        <f t="shared" si="73"/>
        <v>1</v>
      </c>
      <c r="AZ74" s="138">
        <f t="shared" si="73"/>
        <v>1</v>
      </c>
      <c r="BA74" s="131">
        <v>0</v>
      </c>
      <c r="BB74" s="131">
        <v>0</v>
      </c>
      <c r="BC74" s="131">
        <f>BC6</f>
        <v>1</v>
      </c>
      <c r="BD74" s="131">
        <v>0</v>
      </c>
      <c r="BE74" s="131">
        <v>0</v>
      </c>
      <c r="BF74" s="131">
        <v>0</v>
      </c>
    </row>
    <row r="75" spans="1:58" x14ac:dyDescent="0.35">
      <c r="A75" s="132" t="s">
        <v>1927</v>
      </c>
      <c r="B75" s="132" t="s">
        <v>1853</v>
      </c>
      <c r="C75" s="132" t="s">
        <v>1391</v>
      </c>
      <c r="D75" s="132" t="s">
        <v>1442</v>
      </c>
      <c r="E75" s="132"/>
      <c r="F75" s="132" t="s">
        <v>1931</v>
      </c>
      <c r="G75" s="167">
        <v>82</v>
      </c>
      <c r="H75" s="132" t="s">
        <v>1932</v>
      </c>
      <c r="I75" s="129">
        <v>0</v>
      </c>
      <c r="J75" s="216">
        <f>J6</f>
        <v>1</v>
      </c>
      <c r="K75" s="136">
        <f t="shared" ref="K75:L75" si="74">K6</f>
        <v>1</v>
      </c>
      <c r="L75" s="136">
        <f t="shared" si="74"/>
        <v>1</v>
      </c>
      <c r="M75" s="129">
        <v>0</v>
      </c>
      <c r="N75" s="129">
        <v>0</v>
      </c>
      <c r="O75" s="216">
        <f>O6</f>
        <v>1</v>
      </c>
      <c r="P75" s="129">
        <v>0</v>
      </c>
      <c r="Q75" s="216">
        <f>Q6</f>
        <v>1</v>
      </c>
      <c r="R75" s="129">
        <v>0</v>
      </c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82"/>
      <c r="AD75" s="182"/>
      <c r="AE75" s="182"/>
      <c r="AF75" s="182"/>
      <c r="AG75" s="182"/>
      <c r="AH75" s="182"/>
      <c r="AI75" s="182"/>
      <c r="AJ75" s="182"/>
      <c r="AK75" s="129"/>
      <c r="AL75" s="130">
        <v>0</v>
      </c>
      <c r="AM75" s="131">
        <v>0</v>
      </c>
      <c r="AN75" s="131">
        <v>0</v>
      </c>
      <c r="AO75" s="131">
        <v>0</v>
      </c>
      <c r="AP75" s="131">
        <v>0</v>
      </c>
      <c r="AQ75" s="131">
        <v>0</v>
      </c>
      <c r="AR75" s="131">
        <v>0</v>
      </c>
      <c r="AS75" s="131">
        <v>0</v>
      </c>
      <c r="AT75" s="131">
        <v>0</v>
      </c>
      <c r="AU75" s="131">
        <v>0</v>
      </c>
      <c r="AV75" s="131">
        <v>0</v>
      </c>
      <c r="AW75" s="131">
        <v>0</v>
      </c>
      <c r="AX75" s="131">
        <v>0</v>
      </c>
      <c r="AY75" s="131">
        <v>0</v>
      </c>
      <c r="AZ75" s="131">
        <v>0</v>
      </c>
      <c r="BA75" s="131">
        <v>0</v>
      </c>
      <c r="BB75" s="131">
        <v>0</v>
      </c>
      <c r="BC75" s="131">
        <v>0</v>
      </c>
      <c r="BD75" s="131">
        <v>0</v>
      </c>
      <c r="BE75" s="131">
        <v>0</v>
      </c>
      <c r="BF75" s="131">
        <v>0</v>
      </c>
    </row>
    <row r="76" spans="1:58" x14ac:dyDescent="0.35">
      <c r="A76" s="132" t="s">
        <v>1927</v>
      </c>
      <c r="B76" s="132" t="s">
        <v>1853</v>
      </c>
      <c r="C76" s="132" t="s">
        <v>1391</v>
      </c>
      <c r="D76" s="132" t="s">
        <v>1959</v>
      </c>
      <c r="E76" s="132"/>
      <c r="F76" s="132" t="s">
        <v>1931</v>
      </c>
      <c r="G76" s="167">
        <v>83</v>
      </c>
      <c r="H76" s="132" t="s">
        <v>1932</v>
      </c>
      <c r="I76" s="215">
        <f>I6*2</f>
        <v>2</v>
      </c>
      <c r="J76" s="129">
        <v>0</v>
      </c>
      <c r="K76" s="129">
        <v>0</v>
      </c>
      <c r="L76" s="129">
        <v>0</v>
      </c>
      <c r="M76" s="215">
        <f>M6*2</f>
        <v>2</v>
      </c>
      <c r="N76" s="215">
        <f>N6*2</f>
        <v>2</v>
      </c>
      <c r="O76" s="129">
        <v>0</v>
      </c>
      <c r="P76" s="215">
        <f>P6*2</f>
        <v>2</v>
      </c>
      <c r="Q76" s="129">
        <v>0</v>
      </c>
      <c r="R76" s="215">
        <f>R6*2</f>
        <v>2</v>
      </c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82"/>
      <c r="AD76" s="182"/>
      <c r="AE76" s="182"/>
      <c r="AF76" s="182"/>
      <c r="AG76" s="182"/>
      <c r="AH76" s="182"/>
      <c r="AI76" s="182"/>
      <c r="AJ76" s="182"/>
      <c r="AK76" s="129"/>
      <c r="AL76" s="130">
        <f t="shared" ref="AL76:AQ76" si="75">AL6*2</f>
        <v>2</v>
      </c>
      <c r="AM76" s="131">
        <f t="shared" si="75"/>
        <v>2</v>
      </c>
      <c r="AN76" s="131">
        <f t="shared" si="75"/>
        <v>2</v>
      </c>
      <c r="AO76" s="131">
        <f t="shared" si="75"/>
        <v>2</v>
      </c>
      <c r="AP76" s="131">
        <f t="shared" si="75"/>
        <v>2</v>
      </c>
      <c r="AQ76" s="131">
        <f t="shared" si="75"/>
        <v>2</v>
      </c>
      <c r="AR76" s="131">
        <f>AR6*4</f>
        <v>4</v>
      </c>
      <c r="AS76" s="131">
        <f>AS6*4</f>
        <v>4</v>
      </c>
      <c r="AT76" s="131">
        <v>0</v>
      </c>
      <c r="AU76" s="131">
        <v>0</v>
      </c>
      <c r="AV76" s="131">
        <f>2*AV6</f>
        <v>2</v>
      </c>
      <c r="AW76" s="131">
        <f>2*AW6</f>
        <v>2</v>
      </c>
      <c r="AX76" s="131">
        <f>2*AX6</f>
        <v>2</v>
      </c>
      <c r="AY76" s="131">
        <f>2*AY6</f>
        <v>2</v>
      </c>
      <c r="AZ76" s="131">
        <f>2*AZ6</f>
        <v>2</v>
      </c>
      <c r="BA76" s="131">
        <v>0</v>
      </c>
      <c r="BB76" s="131">
        <v>0</v>
      </c>
      <c r="BC76" s="131">
        <v>0</v>
      </c>
      <c r="BD76" s="131">
        <v>0</v>
      </c>
      <c r="BE76" s="131">
        <v>0</v>
      </c>
      <c r="BF76" s="131">
        <v>0</v>
      </c>
    </row>
    <row r="77" spans="1:58" x14ac:dyDescent="0.35">
      <c r="A77" s="132" t="s">
        <v>1927</v>
      </c>
      <c r="B77" s="132" t="s">
        <v>1853</v>
      </c>
      <c r="C77" s="132" t="s">
        <v>1391</v>
      </c>
      <c r="D77" s="132" t="s">
        <v>1443</v>
      </c>
      <c r="E77" s="132"/>
      <c r="F77" s="132" t="s">
        <v>1931</v>
      </c>
      <c r="G77" s="167">
        <v>84</v>
      </c>
      <c r="H77" s="132" t="s">
        <v>1932</v>
      </c>
      <c r="I77" s="129">
        <v>0</v>
      </c>
      <c r="J77" s="215">
        <f>J6*2</f>
        <v>2</v>
      </c>
      <c r="K77" s="129">
        <f t="shared" ref="K77:L77" si="76">K6</f>
        <v>1</v>
      </c>
      <c r="L77" s="129">
        <f t="shared" si="76"/>
        <v>1</v>
      </c>
      <c r="M77" s="129">
        <v>0</v>
      </c>
      <c r="N77" s="129">
        <v>0</v>
      </c>
      <c r="O77" s="215">
        <v>1</v>
      </c>
      <c r="P77" s="129">
        <v>0</v>
      </c>
      <c r="Q77" s="215">
        <v>1</v>
      </c>
      <c r="R77" s="129">
        <v>0</v>
      </c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82"/>
      <c r="AD77" s="182"/>
      <c r="AE77" s="182"/>
      <c r="AF77" s="182"/>
      <c r="AG77" s="182"/>
      <c r="AH77" s="182"/>
      <c r="AI77" s="182"/>
      <c r="AJ77" s="182"/>
      <c r="AK77" s="129"/>
      <c r="AL77" s="130">
        <v>1</v>
      </c>
      <c r="AM77" s="131">
        <f>AM6</f>
        <v>1</v>
      </c>
      <c r="AN77" s="131">
        <f>AN6</f>
        <v>1</v>
      </c>
      <c r="AO77" s="131">
        <v>0</v>
      </c>
      <c r="AP77" s="131">
        <v>0</v>
      </c>
      <c r="AQ77" s="131">
        <v>0</v>
      </c>
      <c r="AR77" s="131">
        <v>0</v>
      </c>
      <c r="AS77" s="131">
        <v>0</v>
      </c>
      <c r="AT77" s="131">
        <v>0</v>
      </c>
      <c r="AU77" s="131">
        <f>AU6</f>
        <v>1</v>
      </c>
      <c r="AV77" s="131">
        <v>0</v>
      </c>
      <c r="AW77" s="131">
        <v>0</v>
      </c>
      <c r="AX77" s="131">
        <v>0</v>
      </c>
      <c r="AY77" s="131">
        <v>0</v>
      </c>
      <c r="AZ77" s="131">
        <v>0</v>
      </c>
      <c r="BA77" s="131">
        <v>0</v>
      </c>
      <c r="BB77" s="131">
        <v>0</v>
      </c>
      <c r="BC77" s="131">
        <v>0</v>
      </c>
      <c r="BD77" s="131">
        <v>0</v>
      </c>
      <c r="BE77" s="131">
        <v>0</v>
      </c>
      <c r="BF77" s="131">
        <v>0</v>
      </c>
    </row>
    <row r="78" spans="1:58" x14ac:dyDescent="0.35">
      <c r="A78" s="132" t="s">
        <v>1927</v>
      </c>
      <c r="B78" s="132" t="s">
        <v>1853</v>
      </c>
      <c r="C78" s="132" t="s">
        <v>1391</v>
      </c>
      <c r="D78" s="132" t="s">
        <v>1444</v>
      </c>
      <c r="E78" s="132"/>
      <c r="F78" s="132" t="s">
        <v>1931</v>
      </c>
      <c r="G78" s="167">
        <v>85</v>
      </c>
      <c r="H78" s="132" t="s">
        <v>1932</v>
      </c>
      <c r="I78" s="129">
        <v>0</v>
      </c>
      <c r="J78" s="129">
        <v>0</v>
      </c>
      <c r="K78" s="129">
        <v>0</v>
      </c>
      <c r="L78" s="129">
        <v>0</v>
      </c>
      <c r="M78" s="129">
        <v>0</v>
      </c>
      <c r="N78" s="129">
        <v>0</v>
      </c>
      <c r="O78" s="129">
        <v>0</v>
      </c>
      <c r="P78" s="129">
        <v>0</v>
      </c>
      <c r="Q78" s="129">
        <v>0</v>
      </c>
      <c r="R78" s="129">
        <v>0</v>
      </c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82"/>
      <c r="AD78" s="182"/>
      <c r="AE78" s="182"/>
      <c r="AF78" s="182"/>
      <c r="AG78" s="182"/>
      <c r="AH78" s="182"/>
      <c r="AI78" s="182"/>
      <c r="AJ78" s="182"/>
      <c r="AK78" s="129"/>
      <c r="AL78" s="130">
        <v>0</v>
      </c>
      <c r="AM78" s="131">
        <v>0</v>
      </c>
      <c r="AN78" s="131">
        <v>0</v>
      </c>
      <c r="AO78" s="131">
        <v>0</v>
      </c>
      <c r="AP78" s="131">
        <v>0</v>
      </c>
      <c r="AQ78" s="131">
        <v>0</v>
      </c>
      <c r="AR78" s="131">
        <v>0</v>
      </c>
      <c r="AS78" s="131">
        <v>0</v>
      </c>
      <c r="AT78" s="131">
        <v>0</v>
      </c>
      <c r="AU78" s="131">
        <v>0</v>
      </c>
      <c r="AV78" s="131">
        <v>0</v>
      </c>
      <c r="AW78" s="131">
        <v>0</v>
      </c>
      <c r="AX78" s="131">
        <v>0</v>
      </c>
      <c r="AY78" s="131">
        <v>0</v>
      </c>
      <c r="AZ78" s="131">
        <v>0</v>
      </c>
      <c r="BA78" s="131">
        <v>0</v>
      </c>
      <c r="BB78" s="131">
        <v>0</v>
      </c>
      <c r="BC78" s="131">
        <v>0</v>
      </c>
      <c r="BD78" s="131">
        <v>0</v>
      </c>
      <c r="BE78" s="131">
        <v>0</v>
      </c>
      <c r="BF78" s="131">
        <v>0</v>
      </c>
    </row>
    <row r="79" spans="1:58" x14ac:dyDescent="0.35">
      <c r="A79" s="132" t="s">
        <v>1927</v>
      </c>
      <c r="B79" s="132" t="s">
        <v>1853</v>
      </c>
      <c r="C79" s="132" t="s">
        <v>1391</v>
      </c>
      <c r="D79" s="132" t="s">
        <v>1960</v>
      </c>
      <c r="E79" s="132"/>
      <c r="F79" s="132" t="s">
        <v>1931</v>
      </c>
      <c r="G79" s="167">
        <v>86</v>
      </c>
      <c r="H79" s="132" t="s">
        <v>1932</v>
      </c>
      <c r="I79" s="129">
        <v>0</v>
      </c>
      <c r="J79" s="129">
        <v>0</v>
      </c>
      <c r="K79" s="129">
        <v>0</v>
      </c>
      <c r="L79" s="129">
        <v>0</v>
      </c>
      <c r="M79" s="129">
        <v>0</v>
      </c>
      <c r="N79" s="129">
        <v>0</v>
      </c>
      <c r="O79" s="129">
        <v>0</v>
      </c>
      <c r="P79" s="129">
        <v>0</v>
      </c>
      <c r="Q79" s="129">
        <v>0</v>
      </c>
      <c r="R79" s="129">
        <v>0</v>
      </c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82"/>
      <c r="AD79" s="182"/>
      <c r="AE79" s="182">
        <f>AE6</f>
        <v>1</v>
      </c>
      <c r="AF79" s="182">
        <f>AF6</f>
        <v>1</v>
      </c>
      <c r="AG79" s="182"/>
      <c r="AH79" s="182"/>
      <c r="AI79" s="182"/>
      <c r="AJ79" s="182"/>
      <c r="AK79" s="129"/>
      <c r="AL79" s="130">
        <v>0</v>
      </c>
      <c r="AM79" s="131">
        <v>0</v>
      </c>
      <c r="AN79" s="131">
        <v>0</v>
      </c>
      <c r="AO79" s="131">
        <v>0</v>
      </c>
      <c r="AP79" s="131">
        <v>0</v>
      </c>
      <c r="AQ79" s="131">
        <v>0</v>
      </c>
      <c r="AR79" s="131">
        <v>0</v>
      </c>
      <c r="AS79" s="131">
        <v>0</v>
      </c>
      <c r="AT79" s="131">
        <v>0</v>
      </c>
      <c r="AU79" s="131">
        <v>0</v>
      </c>
      <c r="AV79" s="131">
        <v>0</v>
      </c>
      <c r="AW79" s="131">
        <v>0</v>
      </c>
      <c r="AX79" s="131">
        <v>0</v>
      </c>
      <c r="AY79" s="131">
        <v>0</v>
      </c>
      <c r="AZ79" s="131">
        <v>0</v>
      </c>
      <c r="BA79" s="131">
        <v>0</v>
      </c>
      <c r="BB79" s="131">
        <v>0</v>
      </c>
      <c r="BC79" s="131">
        <v>0</v>
      </c>
      <c r="BD79" s="131">
        <v>0</v>
      </c>
      <c r="BE79" s="131">
        <v>0</v>
      </c>
      <c r="BF79" s="131">
        <v>0</v>
      </c>
    </row>
    <row r="80" spans="1:58" x14ac:dyDescent="0.35">
      <c r="A80" s="132" t="s">
        <v>1927</v>
      </c>
      <c r="B80" s="132" t="s">
        <v>1853</v>
      </c>
      <c r="C80" s="132" t="s">
        <v>1391</v>
      </c>
      <c r="D80" s="132" t="s">
        <v>1961</v>
      </c>
      <c r="E80" s="132"/>
      <c r="F80" s="132" t="s">
        <v>1931</v>
      </c>
      <c r="G80" s="167">
        <v>87</v>
      </c>
      <c r="H80" s="132" t="s">
        <v>1932</v>
      </c>
      <c r="I80" s="129">
        <v>0</v>
      </c>
      <c r="J80" s="129">
        <v>0</v>
      </c>
      <c r="K80" s="129">
        <v>0</v>
      </c>
      <c r="L80" s="129">
        <v>0</v>
      </c>
      <c r="M80" s="129">
        <v>0</v>
      </c>
      <c r="N80" s="129">
        <v>0</v>
      </c>
      <c r="O80" s="129">
        <v>0</v>
      </c>
      <c r="P80" s="129">
        <v>0</v>
      </c>
      <c r="Q80" s="129">
        <v>0</v>
      </c>
      <c r="R80" s="129">
        <v>0</v>
      </c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82"/>
      <c r="AD80" s="182"/>
      <c r="AE80" s="182"/>
      <c r="AF80" s="182"/>
      <c r="AG80" s="182"/>
      <c r="AH80" s="182"/>
      <c r="AI80" s="182"/>
      <c r="AJ80" s="182"/>
      <c r="AK80" s="129"/>
      <c r="AL80" s="130">
        <v>0</v>
      </c>
      <c r="AM80" s="131">
        <v>0</v>
      </c>
      <c r="AN80" s="131">
        <v>0</v>
      </c>
      <c r="AO80" s="131">
        <v>0</v>
      </c>
      <c r="AP80" s="131">
        <v>0</v>
      </c>
      <c r="AQ80" s="131">
        <v>0</v>
      </c>
      <c r="AR80" s="131">
        <v>0</v>
      </c>
      <c r="AS80" s="131">
        <v>0</v>
      </c>
      <c r="AT80" s="131">
        <v>0</v>
      </c>
      <c r="AU80" s="131">
        <v>0</v>
      </c>
      <c r="AV80" s="131">
        <v>0</v>
      </c>
      <c r="AW80" s="131">
        <v>0</v>
      </c>
      <c r="AX80" s="131">
        <v>0</v>
      </c>
      <c r="AY80" s="131">
        <v>0</v>
      </c>
      <c r="AZ80" s="131">
        <v>0</v>
      </c>
      <c r="BA80" s="131">
        <v>0</v>
      </c>
      <c r="BB80" s="131">
        <v>0</v>
      </c>
      <c r="BC80" s="131">
        <v>0</v>
      </c>
      <c r="BD80" s="131">
        <v>0</v>
      </c>
      <c r="BE80" s="131">
        <v>0</v>
      </c>
      <c r="BF80" s="131">
        <v>0</v>
      </c>
    </row>
    <row r="81" spans="1:58" x14ac:dyDescent="0.35">
      <c r="A81" s="132" t="s">
        <v>1927</v>
      </c>
      <c r="B81" s="132" t="s">
        <v>1853</v>
      </c>
      <c r="C81" s="132" t="s">
        <v>1391</v>
      </c>
      <c r="D81" s="132" t="s">
        <v>1962</v>
      </c>
      <c r="E81" s="132"/>
      <c r="F81" s="132" t="s">
        <v>1931</v>
      </c>
      <c r="G81" s="167">
        <v>88</v>
      </c>
      <c r="H81" s="132" t="s">
        <v>1932</v>
      </c>
      <c r="I81" s="129">
        <v>0</v>
      </c>
      <c r="J81" s="129">
        <v>0</v>
      </c>
      <c r="K81" s="129">
        <v>0</v>
      </c>
      <c r="L81" s="129">
        <v>0</v>
      </c>
      <c r="M81" s="129">
        <v>0</v>
      </c>
      <c r="N81" s="129">
        <v>0</v>
      </c>
      <c r="O81" s="129">
        <v>0</v>
      </c>
      <c r="P81" s="129">
        <v>0</v>
      </c>
      <c r="Q81" s="129">
        <v>0</v>
      </c>
      <c r="R81" s="129">
        <v>0</v>
      </c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82"/>
      <c r="AD81" s="182"/>
      <c r="AE81" s="182"/>
      <c r="AF81" s="182"/>
      <c r="AG81" s="182"/>
      <c r="AH81" s="182"/>
      <c r="AI81" s="182"/>
      <c r="AJ81" s="182"/>
      <c r="AK81" s="129">
        <f>1*AK6</f>
        <v>1</v>
      </c>
      <c r="AL81" s="130">
        <v>0</v>
      </c>
      <c r="AM81" s="131">
        <v>0</v>
      </c>
      <c r="AN81" s="131">
        <v>0</v>
      </c>
      <c r="AO81" s="131">
        <v>0</v>
      </c>
      <c r="AP81" s="131">
        <v>0</v>
      </c>
      <c r="AQ81" s="131">
        <v>0</v>
      </c>
      <c r="AR81" s="131">
        <v>0</v>
      </c>
      <c r="AS81" s="131">
        <v>0</v>
      </c>
      <c r="AT81" s="131">
        <v>0</v>
      </c>
      <c r="AU81" s="131">
        <v>0</v>
      </c>
      <c r="AV81" s="131">
        <v>0</v>
      </c>
      <c r="AW81" s="131">
        <v>0</v>
      </c>
      <c r="AX81" s="131">
        <v>0</v>
      </c>
      <c r="AY81" s="131">
        <v>0</v>
      </c>
      <c r="AZ81" s="131">
        <v>0</v>
      </c>
      <c r="BA81" s="131">
        <v>0</v>
      </c>
      <c r="BB81" s="131">
        <v>0</v>
      </c>
      <c r="BC81" s="131">
        <v>0</v>
      </c>
      <c r="BD81" s="131">
        <v>0</v>
      </c>
      <c r="BE81" s="131">
        <v>0</v>
      </c>
      <c r="BF81" s="131">
        <v>0</v>
      </c>
    </row>
    <row r="82" spans="1:58" ht="14.5" x14ac:dyDescent="0.35">
      <c r="A82" s="132" t="s">
        <v>1927</v>
      </c>
      <c r="B82" s="132" t="s">
        <v>1853</v>
      </c>
      <c r="C82" s="132" t="s">
        <v>1391</v>
      </c>
      <c r="D82" s="132" t="s">
        <v>1963</v>
      </c>
      <c r="E82" s="132"/>
      <c r="F82" s="168" t="s">
        <v>1937</v>
      </c>
      <c r="G82" s="168" t="s">
        <v>1982</v>
      </c>
      <c r="H82" s="132" t="s">
        <v>1932</v>
      </c>
      <c r="I82" s="129">
        <v>0</v>
      </c>
      <c r="J82" s="129">
        <v>0</v>
      </c>
      <c r="K82" s="129">
        <v>0</v>
      </c>
      <c r="L82" s="129">
        <v>0</v>
      </c>
      <c r="M82" s="129">
        <v>0</v>
      </c>
      <c r="N82" s="129">
        <v>0</v>
      </c>
      <c r="O82" s="129">
        <v>0</v>
      </c>
      <c r="P82" s="129">
        <v>0</v>
      </c>
      <c r="Q82" s="129">
        <v>0</v>
      </c>
      <c r="R82" s="129">
        <v>0</v>
      </c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82"/>
      <c r="AD82" s="182"/>
      <c r="AE82" s="182"/>
      <c r="AF82" s="182"/>
      <c r="AG82" s="182"/>
      <c r="AH82" s="182"/>
      <c r="AI82" s="182"/>
      <c r="AJ82" s="182"/>
      <c r="AK82" s="129"/>
      <c r="AL82" s="130">
        <v>0</v>
      </c>
      <c r="AM82" s="131">
        <v>0</v>
      </c>
      <c r="AN82" s="131">
        <v>0</v>
      </c>
      <c r="AO82" s="131">
        <v>0</v>
      </c>
      <c r="AP82" s="131">
        <v>0</v>
      </c>
      <c r="AQ82" s="131">
        <v>0</v>
      </c>
      <c r="AR82" s="131">
        <v>0</v>
      </c>
      <c r="AS82" s="131">
        <v>0</v>
      </c>
      <c r="AT82" s="131">
        <v>0</v>
      </c>
      <c r="AU82" s="131">
        <v>0</v>
      </c>
      <c r="AV82" s="131">
        <v>0</v>
      </c>
      <c r="AW82" s="131">
        <v>0</v>
      </c>
      <c r="AX82" s="131">
        <v>0</v>
      </c>
      <c r="AY82" s="131">
        <v>0</v>
      </c>
      <c r="AZ82" s="131">
        <v>0</v>
      </c>
      <c r="BA82" s="131">
        <v>0</v>
      </c>
      <c r="BB82" s="131">
        <v>0</v>
      </c>
      <c r="BC82" s="131">
        <v>0</v>
      </c>
      <c r="BD82" s="131">
        <v>0</v>
      </c>
      <c r="BE82" s="131">
        <v>0</v>
      </c>
      <c r="BF82" s="131">
        <v>0</v>
      </c>
    </row>
    <row r="83" spans="1:58" x14ac:dyDescent="0.35">
      <c r="A83" s="132" t="s">
        <v>1927</v>
      </c>
      <c r="B83" s="132" t="s">
        <v>1853</v>
      </c>
      <c r="C83" s="132" t="s">
        <v>1391</v>
      </c>
      <c r="D83" s="132" t="s">
        <v>1964</v>
      </c>
      <c r="E83" s="132"/>
      <c r="F83" s="132" t="s">
        <v>1931</v>
      </c>
      <c r="G83" s="167">
        <v>90</v>
      </c>
      <c r="H83" s="132" t="s">
        <v>1932</v>
      </c>
      <c r="I83" s="129">
        <v>0</v>
      </c>
      <c r="J83" s="129">
        <v>0</v>
      </c>
      <c r="K83" s="129">
        <v>0</v>
      </c>
      <c r="L83" s="129">
        <v>0</v>
      </c>
      <c r="M83" s="129">
        <v>0</v>
      </c>
      <c r="N83" s="129">
        <v>0</v>
      </c>
      <c r="O83" s="129">
        <v>0</v>
      </c>
      <c r="P83" s="129">
        <v>0</v>
      </c>
      <c r="Q83" s="129">
        <v>0</v>
      </c>
      <c r="R83" s="129">
        <v>0</v>
      </c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82"/>
      <c r="AD83" s="182"/>
      <c r="AE83" s="182"/>
      <c r="AF83" s="182"/>
      <c r="AG83" s="182"/>
      <c r="AH83" s="182"/>
      <c r="AI83" s="182"/>
      <c r="AJ83" s="182"/>
      <c r="AK83" s="129"/>
      <c r="AL83" s="130">
        <v>0</v>
      </c>
      <c r="AM83" s="131">
        <v>0</v>
      </c>
      <c r="AN83" s="131">
        <v>0</v>
      </c>
      <c r="AO83" s="131">
        <v>0</v>
      </c>
      <c r="AP83" s="131">
        <v>0</v>
      </c>
      <c r="AQ83" s="131">
        <v>0</v>
      </c>
      <c r="AR83" s="131">
        <v>0</v>
      </c>
      <c r="AS83" s="131">
        <v>0</v>
      </c>
      <c r="AT83" s="131">
        <v>0</v>
      </c>
      <c r="AU83" s="131">
        <v>0</v>
      </c>
      <c r="AV83" s="131">
        <v>0</v>
      </c>
      <c r="AW83" s="131">
        <v>0</v>
      </c>
      <c r="AX83" s="131">
        <v>0</v>
      </c>
      <c r="AY83" s="131">
        <v>0</v>
      </c>
      <c r="AZ83" s="131">
        <v>0</v>
      </c>
      <c r="BA83" s="131">
        <v>0</v>
      </c>
      <c r="BB83" s="131">
        <v>0</v>
      </c>
      <c r="BC83" s="131">
        <v>0</v>
      </c>
      <c r="BD83" s="131">
        <v>0</v>
      </c>
      <c r="BE83" s="131">
        <v>0</v>
      </c>
      <c r="BF83" s="131">
        <v>0</v>
      </c>
    </row>
    <row r="84" spans="1:58" x14ac:dyDescent="0.35">
      <c r="A84" s="132" t="s">
        <v>1927</v>
      </c>
      <c r="B84" s="132" t="s">
        <v>1853</v>
      </c>
      <c r="C84" s="132" t="s">
        <v>1391</v>
      </c>
      <c r="D84" s="132" t="s">
        <v>1445</v>
      </c>
      <c r="E84" s="132"/>
      <c r="F84" s="132" t="s">
        <v>1931</v>
      </c>
      <c r="G84" s="167">
        <v>91</v>
      </c>
      <c r="H84" s="132" t="s">
        <v>1932</v>
      </c>
      <c r="I84" s="129">
        <v>0</v>
      </c>
      <c r="J84" s="129">
        <v>0</v>
      </c>
      <c r="K84" s="129">
        <v>0</v>
      </c>
      <c r="L84" s="129">
        <v>0</v>
      </c>
      <c r="M84" s="129">
        <v>0</v>
      </c>
      <c r="N84" s="129">
        <v>0</v>
      </c>
      <c r="O84" s="129">
        <v>0</v>
      </c>
      <c r="P84" s="129">
        <v>0</v>
      </c>
      <c r="Q84" s="129">
        <v>0</v>
      </c>
      <c r="R84" s="129">
        <v>0</v>
      </c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82"/>
      <c r="AD84" s="182"/>
      <c r="AE84" s="182"/>
      <c r="AF84" s="182"/>
      <c r="AG84" s="182"/>
      <c r="AH84" s="182"/>
      <c r="AI84" s="182"/>
      <c r="AJ84" s="182"/>
      <c r="AK84" s="129"/>
      <c r="AL84" s="130">
        <v>0</v>
      </c>
      <c r="AM84" s="131">
        <v>0</v>
      </c>
      <c r="AN84" s="131">
        <v>0</v>
      </c>
      <c r="AO84" s="131">
        <v>0</v>
      </c>
      <c r="AP84" s="131">
        <v>0</v>
      </c>
      <c r="AQ84" s="131">
        <v>0</v>
      </c>
      <c r="AR84" s="131">
        <v>0</v>
      </c>
      <c r="AS84" s="131">
        <v>0</v>
      </c>
      <c r="AT84" s="131">
        <f t="shared" ref="AT84:AU84" si="77">AT6</f>
        <v>1</v>
      </c>
      <c r="AU84" s="131">
        <f t="shared" si="77"/>
        <v>1</v>
      </c>
      <c r="AV84" s="131">
        <v>0</v>
      </c>
      <c r="AW84" s="131">
        <v>0</v>
      </c>
      <c r="AX84" s="131">
        <v>0</v>
      </c>
      <c r="AY84" s="131">
        <v>0</v>
      </c>
      <c r="AZ84" s="131">
        <f>AZ6</f>
        <v>1</v>
      </c>
      <c r="BA84" s="131">
        <v>0</v>
      </c>
      <c r="BB84" s="131">
        <v>0</v>
      </c>
      <c r="BC84" s="131">
        <v>0</v>
      </c>
      <c r="BD84" s="131">
        <v>0</v>
      </c>
      <c r="BE84" s="131">
        <v>0</v>
      </c>
      <c r="BF84" s="131">
        <v>0</v>
      </c>
    </row>
    <row r="85" spans="1:58" x14ac:dyDescent="0.35">
      <c r="A85" s="132" t="s">
        <v>1927</v>
      </c>
      <c r="B85" s="132" t="s">
        <v>1853</v>
      </c>
      <c r="C85" s="132" t="s">
        <v>1391</v>
      </c>
      <c r="D85" s="132" t="s">
        <v>1965</v>
      </c>
      <c r="E85" s="132"/>
      <c r="F85" s="132" t="s">
        <v>1931</v>
      </c>
      <c r="G85" s="167">
        <v>92</v>
      </c>
      <c r="H85" s="132" t="s">
        <v>1932</v>
      </c>
      <c r="I85" s="129">
        <v>0</v>
      </c>
      <c r="J85" s="129">
        <v>0</v>
      </c>
      <c r="K85" s="129">
        <v>0</v>
      </c>
      <c r="L85" s="129">
        <v>0</v>
      </c>
      <c r="M85" s="129">
        <v>0</v>
      </c>
      <c r="N85" s="129">
        <v>0</v>
      </c>
      <c r="O85" s="129">
        <v>0</v>
      </c>
      <c r="P85" s="129">
        <v>0</v>
      </c>
      <c r="Q85" s="129">
        <v>0</v>
      </c>
      <c r="R85" s="129">
        <v>0</v>
      </c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82"/>
      <c r="AD85" s="182"/>
      <c r="AE85" s="182"/>
      <c r="AF85" s="182"/>
      <c r="AG85" s="182"/>
      <c r="AH85" s="182"/>
      <c r="AI85" s="182"/>
      <c r="AJ85" s="182"/>
      <c r="AK85" s="129"/>
      <c r="AL85" s="130"/>
      <c r="AM85" s="131"/>
      <c r="AN85" s="131"/>
      <c r="AO85" s="131"/>
      <c r="AP85" s="131"/>
      <c r="AQ85" s="131">
        <v>0</v>
      </c>
      <c r="AR85" s="131"/>
      <c r="AS85" s="131"/>
      <c r="AT85" s="131">
        <v>0</v>
      </c>
      <c r="AU85" s="131"/>
      <c r="AV85" s="131">
        <v>0</v>
      </c>
      <c r="AW85" s="131">
        <v>0</v>
      </c>
      <c r="AX85" s="131">
        <v>0</v>
      </c>
      <c r="AY85" s="131">
        <v>0</v>
      </c>
      <c r="AZ85" s="131">
        <v>0</v>
      </c>
      <c r="BA85" s="131">
        <v>0</v>
      </c>
      <c r="BB85" s="131">
        <v>0</v>
      </c>
      <c r="BC85" s="131">
        <v>0</v>
      </c>
      <c r="BD85" s="131">
        <v>0</v>
      </c>
      <c r="BE85" s="131">
        <v>0</v>
      </c>
      <c r="BF85" s="131">
        <v>0</v>
      </c>
    </row>
    <row r="86" spans="1:58" x14ac:dyDescent="0.35">
      <c r="A86" s="132" t="s">
        <v>1927</v>
      </c>
      <c r="B86" s="132" t="s">
        <v>1928</v>
      </c>
      <c r="C86" s="132" t="s">
        <v>1390</v>
      </c>
      <c r="D86" s="132" t="s">
        <v>1446</v>
      </c>
      <c r="E86" s="132"/>
      <c r="F86" s="132" t="s">
        <v>1931</v>
      </c>
      <c r="G86" s="167">
        <v>93</v>
      </c>
      <c r="H86" s="132" t="s">
        <v>1966</v>
      </c>
      <c r="I86" s="129">
        <v>0</v>
      </c>
      <c r="J86" s="129">
        <v>0</v>
      </c>
      <c r="K86" s="129">
        <v>0</v>
      </c>
      <c r="L86" s="129">
        <v>0</v>
      </c>
      <c r="M86" s="129">
        <v>0</v>
      </c>
      <c r="N86" s="129">
        <v>0</v>
      </c>
      <c r="O86" s="129">
        <v>0</v>
      </c>
      <c r="P86" s="129">
        <v>0</v>
      </c>
      <c r="Q86" s="129">
        <v>0</v>
      </c>
      <c r="R86" s="129">
        <v>0</v>
      </c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82"/>
      <c r="AD86" s="182"/>
      <c r="AE86" s="182"/>
      <c r="AF86" s="182"/>
      <c r="AG86" s="182"/>
      <c r="AH86" s="182"/>
      <c r="AI86" s="182"/>
      <c r="AJ86" s="182"/>
      <c r="AK86" s="129"/>
      <c r="AL86" s="130"/>
      <c r="AM86" s="131"/>
      <c r="AN86" s="131"/>
      <c r="AO86" s="131"/>
      <c r="AP86" s="131"/>
      <c r="AQ86" s="131"/>
      <c r="AR86" s="131"/>
      <c r="AS86" s="131"/>
      <c r="AT86" s="131">
        <v>0</v>
      </c>
      <c r="AU86" s="131"/>
      <c r="AV86" s="131">
        <v>0</v>
      </c>
      <c r="AW86" s="131">
        <v>0</v>
      </c>
      <c r="AX86" s="131">
        <v>0</v>
      </c>
      <c r="AY86" s="131">
        <v>0</v>
      </c>
      <c r="AZ86" s="131">
        <v>0</v>
      </c>
      <c r="BA86" s="131">
        <f t="shared" ref="BA86:BF86" si="78">BA6*2</f>
        <v>2</v>
      </c>
      <c r="BB86" s="131">
        <f t="shared" si="78"/>
        <v>2</v>
      </c>
      <c r="BC86" s="131">
        <f t="shared" si="78"/>
        <v>2</v>
      </c>
      <c r="BD86" s="131">
        <f t="shared" si="78"/>
        <v>2</v>
      </c>
      <c r="BE86" s="131">
        <f t="shared" si="78"/>
        <v>2</v>
      </c>
      <c r="BF86" s="131">
        <f t="shared" si="78"/>
        <v>2</v>
      </c>
    </row>
    <row r="87" spans="1:58" x14ac:dyDescent="0.35">
      <c r="A87" s="132" t="s">
        <v>1927</v>
      </c>
      <c r="B87" s="132" t="s">
        <v>1928</v>
      </c>
      <c r="C87" s="132" t="s">
        <v>1390</v>
      </c>
      <c r="D87" s="132" t="s">
        <v>1447</v>
      </c>
      <c r="E87" s="132"/>
      <c r="F87" s="132" t="s">
        <v>1931</v>
      </c>
      <c r="G87" s="167">
        <v>94</v>
      </c>
      <c r="H87" s="132" t="s">
        <v>1966</v>
      </c>
      <c r="I87" s="129">
        <v>0</v>
      </c>
      <c r="J87" s="129">
        <v>0</v>
      </c>
      <c r="K87" s="129">
        <v>0</v>
      </c>
      <c r="L87" s="129">
        <v>0</v>
      </c>
      <c r="M87" s="129">
        <v>0</v>
      </c>
      <c r="N87" s="129">
        <v>0</v>
      </c>
      <c r="O87" s="129">
        <v>0</v>
      </c>
      <c r="P87" s="129">
        <v>0</v>
      </c>
      <c r="Q87" s="129">
        <v>0</v>
      </c>
      <c r="R87" s="129">
        <v>0</v>
      </c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82"/>
      <c r="AD87" s="182"/>
      <c r="AE87" s="182"/>
      <c r="AF87" s="182"/>
      <c r="AG87" s="182"/>
      <c r="AH87" s="182"/>
      <c r="AI87" s="182"/>
      <c r="AJ87" s="182"/>
      <c r="AK87" s="129"/>
      <c r="AL87" s="130"/>
      <c r="AM87" s="131"/>
      <c r="AN87" s="131"/>
      <c r="AO87" s="131"/>
      <c r="AP87" s="131"/>
      <c r="AQ87" s="131"/>
      <c r="AR87" s="131"/>
      <c r="AS87" s="131"/>
      <c r="AT87" s="131">
        <v>0</v>
      </c>
      <c r="AU87" s="131"/>
      <c r="AV87" s="131">
        <v>0</v>
      </c>
      <c r="AW87" s="131">
        <v>0</v>
      </c>
      <c r="AX87" s="131">
        <v>0</v>
      </c>
      <c r="AY87" s="131">
        <v>0</v>
      </c>
      <c r="AZ87" s="131">
        <v>0</v>
      </c>
      <c r="BA87" s="131">
        <v>0</v>
      </c>
      <c r="BB87" s="131">
        <v>0</v>
      </c>
      <c r="BC87" s="131">
        <v>0</v>
      </c>
      <c r="BD87" s="131">
        <v>0</v>
      </c>
      <c r="BE87" s="131">
        <v>0</v>
      </c>
      <c r="BF87" s="131">
        <v>0</v>
      </c>
    </row>
    <row r="88" spans="1:58" x14ac:dyDescent="0.35">
      <c r="A88" s="132" t="s">
        <v>1927</v>
      </c>
      <c r="B88" s="132" t="s">
        <v>1928</v>
      </c>
      <c r="C88" s="132" t="s">
        <v>1390</v>
      </c>
      <c r="D88" s="132" t="s">
        <v>1448</v>
      </c>
      <c r="E88" s="132"/>
      <c r="F88" s="132" t="s">
        <v>1931</v>
      </c>
      <c r="G88" s="167">
        <v>95</v>
      </c>
      <c r="H88" s="132" t="s">
        <v>1966</v>
      </c>
      <c r="I88" s="129">
        <v>0</v>
      </c>
      <c r="J88" s="129">
        <v>0</v>
      </c>
      <c r="K88" s="129">
        <v>0</v>
      </c>
      <c r="L88" s="129">
        <v>0</v>
      </c>
      <c r="M88" s="129">
        <v>0</v>
      </c>
      <c r="N88" s="129">
        <v>0</v>
      </c>
      <c r="O88" s="129">
        <v>0</v>
      </c>
      <c r="P88" s="129">
        <v>0</v>
      </c>
      <c r="Q88" s="129">
        <v>0</v>
      </c>
      <c r="R88" s="129">
        <v>0</v>
      </c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82"/>
      <c r="AD88" s="182"/>
      <c r="AE88" s="182"/>
      <c r="AF88" s="182"/>
      <c r="AG88" s="182"/>
      <c r="AH88" s="182"/>
      <c r="AI88" s="182"/>
      <c r="AJ88" s="182"/>
      <c r="AK88" s="129"/>
      <c r="AL88" s="130"/>
      <c r="AM88" s="131"/>
      <c r="AN88" s="131"/>
      <c r="AO88" s="131"/>
      <c r="AP88" s="131"/>
      <c r="AQ88" s="131"/>
      <c r="AR88" s="131"/>
      <c r="AS88" s="131"/>
      <c r="AT88" s="131">
        <v>0</v>
      </c>
      <c r="AU88" s="131"/>
      <c r="AV88" s="131">
        <v>0</v>
      </c>
      <c r="AW88" s="131">
        <v>0</v>
      </c>
      <c r="AX88" s="131">
        <v>0</v>
      </c>
      <c r="AY88" s="131">
        <v>0</v>
      </c>
      <c r="AZ88" s="131">
        <v>0</v>
      </c>
      <c r="BA88" s="131">
        <v>0</v>
      </c>
      <c r="BB88" s="131">
        <v>0</v>
      </c>
      <c r="BC88" s="131">
        <v>0</v>
      </c>
      <c r="BD88" s="131">
        <v>0</v>
      </c>
      <c r="BE88" s="131">
        <v>0</v>
      </c>
      <c r="BF88" s="131">
        <v>0</v>
      </c>
    </row>
    <row r="89" spans="1:58" ht="14.5" x14ac:dyDescent="0.35">
      <c r="A89" s="132" t="s">
        <v>1927</v>
      </c>
      <c r="B89" s="132" t="s">
        <v>1928</v>
      </c>
      <c r="C89" s="132" t="s">
        <v>1394</v>
      </c>
      <c r="D89" s="132" t="s">
        <v>1449</v>
      </c>
      <c r="E89" s="132"/>
      <c r="F89" s="168" t="s">
        <v>1937</v>
      </c>
      <c r="G89" s="168" t="s">
        <v>1982</v>
      </c>
      <c r="H89" s="132" t="s">
        <v>1945</v>
      </c>
      <c r="I89" s="129"/>
      <c r="J89" s="129">
        <v>0</v>
      </c>
      <c r="K89" s="129">
        <v>0</v>
      </c>
      <c r="L89" s="129">
        <v>0</v>
      </c>
      <c r="M89" s="129"/>
      <c r="N89" s="129"/>
      <c r="O89" s="129">
        <v>0</v>
      </c>
      <c r="P89" s="129"/>
      <c r="Q89" s="129">
        <v>0</v>
      </c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82"/>
      <c r="AD89" s="182"/>
      <c r="AE89" s="182"/>
      <c r="AF89" s="182"/>
      <c r="AG89" s="182"/>
      <c r="AH89" s="182"/>
      <c r="AI89" s="182"/>
      <c r="AJ89" s="182"/>
      <c r="AK89" s="129"/>
      <c r="AL89" s="130"/>
      <c r="AM89" s="131"/>
      <c r="AN89" s="131"/>
      <c r="AO89" s="131"/>
      <c r="AP89" s="131"/>
      <c r="AQ89" s="131"/>
      <c r="AR89" s="131"/>
      <c r="AS89" s="131"/>
      <c r="AT89" s="131">
        <v>0</v>
      </c>
      <c r="AU89" s="131"/>
      <c r="AV89" s="131">
        <v>0</v>
      </c>
      <c r="AW89" s="131">
        <v>0</v>
      </c>
      <c r="AX89" s="131">
        <v>0</v>
      </c>
      <c r="AY89" s="131">
        <v>0</v>
      </c>
      <c r="AZ89" s="131">
        <v>0</v>
      </c>
      <c r="BA89" s="131">
        <v>0</v>
      </c>
      <c r="BB89" s="131">
        <v>0</v>
      </c>
      <c r="BC89" s="131">
        <v>0</v>
      </c>
      <c r="BD89" s="131">
        <v>0</v>
      </c>
      <c r="BE89" s="131">
        <v>0</v>
      </c>
      <c r="BF89" s="131">
        <v>0</v>
      </c>
    </row>
    <row r="90" spans="1:58" ht="14.5" x14ac:dyDescent="0.35">
      <c r="A90" s="132" t="s">
        <v>1967</v>
      </c>
      <c r="B90" s="132" t="s">
        <v>1928</v>
      </c>
      <c r="C90" s="132" t="s">
        <v>1390</v>
      </c>
      <c r="D90" s="132" t="s">
        <v>1450</v>
      </c>
      <c r="E90" s="132"/>
      <c r="F90" s="168" t="s">
        <v>1937</v>
      </c>
      <c r="G90" s="168" t="s">
        <v>1982</v>
      </c>
      <c r="H90" s="132" t="s">
        <v>1932</v>
      </c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82"/>
      <c r="AD90" s="182"/>
      <c r="AE90" s="182"/>
      <c r="AF90" s="182"/>
      <c r="AG90" s="182"/>
      <c r="AH90" s="182"/>
      <c r="AI90" s="182"/>
      <c r="AJ90" s="182"/>
      <c r="AK90" s="129"/>
      <c r="AL90" s="130"/>
      <c r="AM90" s="131"/>
      <c r="AN90" s="131"/>
      <c r="AO90" s="131"/>
      <c r="AP90" s="131"/>
      <c r="AQ90" s="131"/>
      <c r="AR90" s="131"/>
      <c r="AS90" s="131"/>
      <c r="AT90" s="131">
        <v>0</v>
      </c>
      <c r="AU90" s="131"/>
      <c r="AV90" s="131"/>
      <c r="AW90" s="131"/>
      <c r="AX90" s="131"/>
      <c r="AY90" s="131"/>
      <c r="AZ90" s="131"/>
      <c r="BA90" s="131">
        <v>0</v>
      </c>
      <c r="BB90" s="131">
        <v>0</v>
      </c>
      <c r="BC90" s="131">
        <v>0</v>
      </c>
      <c r="BD90" s="131">
        <v>0</v>
      </c>
      <c r="BE90" s="131">
        <v>0</v>
      </c>
      <c r="BF90" s="131">
        <v>0</v>
      </c>
    </row>
    <row r="91" spans="1:58" ht="14.5" x14ac:dyDescent="0.35">
      <c r="A91" s="132" t="s">
        <v>1967</v>
      </c>
      <c r="B91" s="132" t="s">
        <v>1928</v>
      </c>
      <c r="C91" s="132" t="s">
        <v>1390</v>
      </c>
      <c r="D91" s="132" t="s">
        <v>1451</v>
      </c>
      <c r="E91" s="132"/>
      <c r="F91" s="168" t="s">
        <v>1937</v>
      </c>
      <c r="G91" s="168" t="s">
        <v>1982</v>
      </c>
      <c r="H91" s="132" t="s">
        <v>1932</v>
      </c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82"/>
      <c r="AD91" s="182"/>
      <c r="AE91" s="182"/>
      <c r="AF91" s="182"/>
      <c r="AG91" s="182"/>
      <c r="AH91" s="182"/>
      <c r="AI91" s="182"/>
      <c r="AJ91" s="182"/>
      <c r="AK91" s="129"/>
      <c r="AL91" s="130"/>
      <c r="AM91" s="131"/>
      <c r="AN91" s="131"/>
      <c r="AO91" s="131"/>
      <c r="AP91" s="131"/>
      <c r="AQ91" s="131"/>
      <c r="AR91" s="131"/>
      <c r="AS91" s="131"/>
      <c r="AT91" s="131">
        <v>0</v>
      </c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</row>
    <row r="92" spans="1:58" x14ac:dyDescent="0.35">
      <c r="A92" s="132" t="s">
        <v>1927</v>
      </c>
      <c r="B92" s="132" t="s">
        <v>1853</v>
      </c>
      <c r="C92" s="132" t="s">
        <v>1391</v>
      </c>
      <c r="D92" s="132" t="s">
        <v>1968</v>
      </c>
      <c r="E92" s="132"/>
      <c r="F92" s="132" t="s">
        <v>1931</v>
      </c>
      <c r="G92" s="167">
        <v>118</v>
      </c>
      <c r="H92" s="132" t="s">
        <v>1932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82"/>
      <c r="AD92" s="182"/>
      <c r="AE92" s="182"/>
      <c r="AF92" s="182"/>
      <c r="AG92" s="182"/>
      <c r="AH92" s="182"/>
      <c r="AI92" s="182"/>
      <c r="AJ92" s="182"/>
      <c r="AK92" s="129"/>
      <c r="AL92" s="130"/>
      <c r="AM92" s="131"/>
      <c r="AN92" s="131"/>
      <c r="AO92" s="131"/>
      <c r="AP92" s="131"/>
      <c r="AQ92" s="131"/>
      <c r="AR92" s="131"/>
      <c r="AS92" s="131"/>
      <c r="AT92" s="131">
        <v>0</v>
      </c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</row>
    <row r="93" spans="1:58" x14ac:dyDescent="0.35">
      <c r="A93" s="132" t="s">
        <v>1927</v>
      </c>
      <c r="B93" s="132" t="s">
        <v>1853</v>
      </c>
      <c r="C93" s="132" t="s">
        <v>1391</v>
      </c>
      <c r="D93" s="132" t="s">
        <v>1434</v>
      </c>
      <c r="E93" s="132"/>
      <c r="F93" s="132" t="s">
        <v>1931</v>
      </c>
      <c r="G93" s="167">
        <v>156</v>
      </c>
      <c r="H93" s="132" t="s">
        <v>1932</v>
      </c>
      <c r="I93" s="129">
        <v>0</v>
      </c>
      <c r="J93" s="129"/>
      <c r="K93" s="129"/>
      <c r="L93" s="129"/>
      <c r="M93" s="129">
        <v>0</v>
      </c>
      <c r="N93" s="129">
        <v>0</v>
      </c>
      <c r="O93" s="129"/>
      <c r="P93" s="129">
        <v>0</v>
      </c>
      <c r="Q93" s="129"/>
      <c r="R93" s="129">
        <v>0</v>
      </c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82"/>
      <c r="AD93" s="182"/>
      <c r="AE93" s="182"/>
      <c r="AF93" s="182"/>
      <c r="AG93" s="182"/>
      <c r="AH93" s="182"/>
      <c r="AI93" s="182"/>
      <c r="AJ93" s="182"/>
      <c r="AK93" s="129"/>
      <c r="AL93" s="130">
        <v>0</v>
      </c>
      <c r="AM93" s="131">
        <v>0</v>
      </c>
      <c r="AN93" s="131">
        <v>0</v>
      </c>
      <c r="AO93" s="131">
        <v>0</v>
      </c>
      <c r="AP93" s="131">
        <v>0</v>
      </c>
      <c r="AQ93" s="131">
        <v>0</v>
      </c>
      <c r="AR93" s="131">
        <v>0</v>
      </c>
      <c r="AS93" s="131">
        <v>0</v>
      </c>
      <c r="AT93" s="131">
        <v>0</v>
      </c>
      <c r="AU93" s="131">
        <v>0</v>
      </c>
      <c r="AV93" s="131">
        <v>0</v>
      </c>
      <c r="AW93" s="131">
        <v>0</v>
      </c>
      <c r="AX93" s="131">
        <v>0</v>
      </c>
      <c r="AY93" s="131">
        <v>0</v>
      </c>
      <c r="AZ93" s="131">
        <v>0</v>
      </c>
      <c r="BA93" s="131">
        <v>0</v>
      </c>
      <c r="BB93" s="131">
        <f>BB6</f>
        <v>1</v>
      </c>
      <c r="BC93" s="131">
        <v>0</v>
      </c>
      <c r="BD93" s="131">
        <f>BD6</f>
        <v>1</v>
      </c>
      <c r="BE93" s="131">
        <v>0</v>
      </c>
      <c r="BF93" s="131">
        <v>0</v>
      </c>
    </row>
    <row r="94" spans="1:58" x14ac:dyDescent="0.35">
      <c r="A94" s="134" t="s">
        <v>1927</v>
      </c>
      <c r="B94" s="132" t="s">
        <v>1853</v>
      </c>
      <c r="C94" s="133" t="s">
        <v>1391</v>
      </c>
      <c r="D94" s="161" t="s">
        <v>1969</v>
      </c>
      <c r="E94" s="135"/>
      <c r="F94" s="135"/>
      <c r="G94" s="169"/>
      <c r="H94" s="132" t="s">
        <v>1932</v>
      </c>
      <c r="I94" s="129"/>
      <c r="J94" s="210"/>
      <c r="K94" s="210"/>
      <c r="L94" s="210"/>
      <c r="M94" s="129"/>
      <c r="N94" s="129"/>
      <c r="O94" s="210"/>
      <c r="P94" s="129"/>
      <c r="Q94" s="210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82"/>
      <c r="AD94" s="182"/>
      <c r="AE94" s="182"/>
      <c r="AF94" s="182"/>
      <c r="AG94" s="182"/>
      <c r="AH94" s="182"/>
      <c r="AI94" s="182"/>
      <c r="AJ94" s="182"/>
      <c r="AK94" s="129"/>
      <c r="AL94" s="130"/>
      <c r="AM94" s="131"/>
      <c r="AN94" s="131"/>
      <c r="AO94" s="131"/>
      <c r="AP94" s="131"/>
      <c r="AQ94" s="131"/>
      <c r="AR94" s="131">
        <v>0</v>
      </c>
      <c r="AS94" s="131">
        <v>0</v>
      </c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</row>
    <row r="95" spans="1:58" ht="21.5" thickBot="1" x14ac:dyDescent="0.4">
      <c r="A95" s="134" t="s">
        <v>1927</v>
      </c>
      <c r="B95" s="132" t="s">
        <v>1853</v>
      </c>
      <c r="C95" s="133" t="s">
        <v>1391</v>
      </c>
      <c r="D95" s="161" t="s">
        <v>1970</v>
      </c>
      <c r="E95" s="135"/>
      <c r="F95" s="135"/>
      <c r="G95" s="169"/>
      <c r="H95" s="132" t="s">
        <v>1932</v>
      </c>
      <c r="I95" s="129"/>
      <c r="J95" s="211"/>
      <c r="K95" s="211"/>
      <c r="L95" s="211"/>
      <c r="M95" s="129"/>
      <c r="N95" s="129"/>
      <c r="O95" s="211"/>
      <c r="P95" s="129"/>
      <c r="Q95" s="211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82"/>
      <c r="AD95" s="182"/>
      <c r="AE95" s="182"/>
      <c r="AF95" s="182"/>
      <c r="AG95" s="182"/>
      <c r="AH95" s="182"/>
      <c r="AI95" s="182">
        <f>AI6</f>
        <v>1</v>
      </c>
      <c r="AJ95" s="182">
        <f>AJ6</f>
        <v>1</v>
      </c>
      <c r="AK95" s="129"/>
      <c r="AL95" s="130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</row>
  </sheetData>
  <autoFilter ref="A7:BF95" xr:uid="{95F55631-0B72-42B7-87F2-280283FF2BB8}"/>
  <mergeCells count="7">
    <mergeCell ref="AV1:AZ1"/>
    <mergeCell ref="BA1:BE1"/>
    <mergeCell ref="I1:R1"/>
    <mergeCell ref="S1:U1"/>
    <mergeCell ref="V1:AJ1"/>
    <mergeCell ref="AL1:AS1"/>
    <mergeCell ref="AT1:A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3291-BF3C-4B78-A554-B636B2D1905A}">
  <dimension ref="A1:E359"/>
  <sheetViews>
    <sheetView workbookViewId="0">
      <selection activeCell="A12" sqref="A12"/>
    </sheetView>
  </sheetViews>
  <sheetFormatPr defaultColWidth="8.81640625" defaultRowHeight="12" x14ac:dyDescent="0.35"/>
  <cols>
    <col min="1" max="1" width="89.7265625" style="95" bestFit="1" customWidth="1"/>
    <col min="2" max="2" width="8.1796875" style="95" bestFit="1" customWidth="1"/>
    <col min="3" max="3" width="9" style="95" bestFit="1" customWidth="1"/>
    <col min="4" max="4" width="7.7265625" style="95" bestFit="1" customWidth="1"/>
    <col min="5" max="5" width="8.26953125" style="95" bestFit="1" customWidth="1"/>
    <col min="6" max="16384" width="8.81640625" style="95"/>
  </cols>
  <sheetData>
    <row r="1" spans="1:5" x14ac:dyDescent="0.35">
      <c r="A1" s="93" t="s">
        <v>1454</v>
      </c>
      <c r="B1" s="93" t="s">
        <v>1452</v>
      </c>
      <c r="C1" s="94" t="s">
        <v>1453</v>
      </c>
      <c r="D1" s="94" t="s">
        <v>1755</v>
      </c>
      <c r="E1" s="93" t="s">
        <v>1455</v>
      </c>
    </row>
    <row r="2" spans="1:5" x14ac:dyDescent="0.35">
      <c r="A2" s="95" t="s">
        <v>1456</v>
      </c>
      <c r="B2" s="95">
        <v>1</v>
      </c>
      <c r="C2" s="95">
        <v>3036542312</v>
      </c>
      <c r="D2" s="95" t="s">
        <v>1390</v>
      </c>
      <c r="E2" s="95">
        <v>130</v>
      </c>
    </row>
    <row r="3" spans="1:5" x14ac:dyDescent="0.35">
      <c r="A3" s="95" t="s">
        <v>1392</v>
      </c>
      <c r="B3" s="95">
        <v>2</v>
      </c>
      <c r="C3" s="95">
        <v>3036542313</v>
      </c>
      <c r="D3" s="95" t="s">
        <v>1390</v>
      </c>
      <c r="E3" s="95">
        <v>538</v>
      </c>
    </row>
    <row r="4" spans="1:5" x14ac:dyDescent="0.35">
      <c r="A4" s="95" t="s">
        <v>1457</v>
      </c>
      <c r="B4" s="95">
        <v>3</v>
      </c>
      <c r="C4" s="95">
        <v>3028812899</v>
      </c>
      <c r="D4" s="95" t="s">
        <v>1390</v>
      </c>
      <c r="E4" s="95">
        <v>134</v>
      </c>
    </row>
    <row r="5" spans="1:5" x14ac:dyDescent="0.35">
      <c r="A5" s="95" t="s">
        <v>1393</v>
      </c>
      <c r="B5" s="95">
        <v>4</v>
      </c>
      <c r="C5" s="95">
        <v>3036542315</v>
      </c>
      <c r="D5" s="95" t="s">
        <v>1390</v>
      </c>
      <c r="E5" s="95">
        <v>2044</v>
      </c>
    </row>
    <row r="6" spans="1:5" x14ac:dyDescent="0.35">
      <c r="A6" s="95" t="s">
        <v>1395</v>
      </c>
      <c r="B6" s="95">
        <v>5</v>
      </c>
      <c r="C6" s="95">
        <v>3021228003</v>
      </c>
      <c r="D6" s="95" t="s">
        <v>1394</v>
      </c>
      <c r="E6" s="95">
        <v>0</v>
      </c>
    </row>
    <row r="7" spans="1:5" x14ac:dyDescent="0.35">
      <c r="A7" s="95" t="s">
        <v>1396</v>
      </c>
      <c r="B7" s="95">
        <v>6</v>
      </c>
      <c r="C7" s="95">
        <v>3036542317</v>
      </c>
      <c r="D7" s="95" t="s">
        <v>1390</v>
      </c>
      <c r="E7" s="95">
        <v>469</v>
      </c>
    </row>
    <row r="8" spans="1:5" x14ac:dyDescent="0.35">
      <c r="A8" s="95" t="s">
        <v>1397</v>
      </c>
      <c r="B8" s="95">
        <v>7</v>
      </c>
      <c r="C8" s="95">
        <v>3036542318</v>
      </c>
      <c r="D8" s="95" t="s">
        <v>1390</v>
      </c>
      <c r="E8" s="95">
        <v>0</v>
      </c>
    </row>
    <row r="9" spans="1:5" x14ac:dyDescent="0.35">
      <c r="A9" s="95" t="s">
        <v>1398</v>
      </c>
      <c r="B9" s="95">
        <v>8</v>
      </c>
      <c r="C9" s="95">
        <v>3036542319</v>
      </c>
      <c r="D9" s="95" t="s">
        <v>1390</v>
      </c>
      <c r="E9" s="95">
        <v>0</v>
      </c>
    </row>
    <row r="10" spans="1:5" x14ac:dyDescent="0.35">
      <c r="A10" s="95" t="s">
        <v>1399</v>
      </c>
      <c r="B10" s="95">
        <v>9</v>
      </c>
      <c r="C10" s="95">
        <v>3036542323</v>
      </c>
      <c r="D10" s="95" t="s">
        <v>1390</v>
      </c>
      <c r="E10" s="95">
        <v>129</v>
      </c>
    </row>
    <row r="11" spans="1:5" x14ac:dyDescent="0.35">
      <c r="A11" s="95" t="s">
        <v>1400</v>
      </c>
      <c r="B11" s="95">
        <v>10</v>
      </c>
      <c r="C11" s="95">
        <v>3036542324</v>
      </c>
      <c r="D11" s="95" t="s">
        <v>1390</v>
      </c>
      <c r="E11" s="95">
        <v>134</v>
      </c>
    </row>
    <row r="12" spans="1:5" x14ac:dyDescent="0.35">
      <c r="A12" s="95" t="s">
        <v>1458</v>
      </c>
      <c r="B12" s="95">
        <v>11</v>
      </c>
      <c r="C12" s="95">
        <v>3040432028</v>
      </c>
      <c r="D12" s="95" t="s">
        <v>1390</v>
      </c>
      <c r="E12" s="95">
        <v>104</v>
      </c>
    </row>
    <row r="13" spans="1:5" x14ac:dyDescent="0.35">
      <c r="A13" s="95" t="s">
        <v>1459</v>
      </c>
      <c r="B13" s="95">
        <v>12</v>
      </c>
      <c r="C13" s="95">
        <v>3089443593</v>
      </c>
      <c r="D13" s="95" t="s">
        <v>1390</v>
      </c>
      <c r="E13" s="95">
        <v>222</v>
      </c>
    </row>
    <row r="14" spans="1:5" x14ac:dyDescent="0.35">
      <c r="A14" s="95" t="s">
        <v>1401</v>
      </c>
      <c r="B14" s="95">
        <v>13</v>
      </c>
      <c r="C14" s="95">
        <v>3036542325</v>
      </c>
      <c r="D14" s="95" t="s">
        <v>1390</v>
      </c>
      <c r="E14" s="95">
        <v>10</v>
      </c>
    </row>
    <row r="15" spans="1:5" x14ac:dyDescent="0.35">
      <c r="A15" s="95" t="s">
        <v>1402</v>
      </c>
      <c r="B15" s="95">
        <v>14</v>
      </c>
      <c r="C15" s="95">
        <v>3036542326</v>
      </c>
      <c r="D15" s="95" t="s">
        <v>1390</v>
      </c>
      <c r="E15" s="95">
        <v>469</v>
      </c>
    </row>
    <row r="16" spans="1:5" x14ac:dyDescent="0.35">
      <c r="A16" s="95" t="s">
        <v>1403</v>
      </c>
      <c r="B16" s="95">
        <v>15</v>
      </c>
      <c r="C16" s="95">
        <v>3036542327</v>
      </c>
      <c r="D16" s="95" t="s">
        <v>1390</v>
      </c>
      <c r="E16" s="95">
        <v>0</v>
      </c>
    </row>
    <row r="17" spans="1:5" x14ac:dyDescent="0.35">
      <c r="A17" s="95" t="s">
        <v>1404</v>
      </c>
      <c r="B17" s="95">
        <v>16</v>
      </c>
      <c r="C17" s="95">
        <v>3036542328</v>
      </c>
      <c r="D17" s="95" t="s">
        <v>1390</v>
      </c>
      <c r="E17" s="95">
        <v>0</v>
      </c>
    </row>
    <row r="18" spans="1:5" x14ac:dyDescent="0.35">
      <c r="A18" s="95" t="s">
        <v>1406</v>
      </c>
      <c r="B18" s="95">
        <v>17</v>
      </c>
      <c r="C18" s="95">
        <v>3036542329</v>
      </c>
      <c r="D18" s="95" t="s">
        <v>1390</v>
      </c>
      <c r="E18" s="95">
        <v>945</v>
      </c>
    </row>
    <row r="19" spans="1:5" x14ac:dyDescent="0.35">
      <c r="A19" s="95" t="s">
        <v>1405</v>
      </c>
      <c r="B19" s="95">
        <v>18</v>
      </c>
      <c r="C19" s="95">
        <v>3036542334</v>
      </c>
      <c r="D19" s="95" t="s">
        <v>1390</v>
      </c>
      <c r="E19" s="95">
        <v>0</v>
      </c>
    </row>
    <row r="20" spans="1:5" x14ac:dyDescent="0.35">
      <c r="A20" s="95" t="s">
        <v>1460</v>
      </c>
      <c r="B20" s="95">
        <v>19</v>
      </c>
      <c r="C20" s="95">
        <v>3036542330</v>
      </c>
      <c r="D20" s="95" t="s">
        <v>1390</v>
      </c>
      <c r="E20" s="95">
        <v>0</v>
      </c>
    </row>
    <row r="21" spans="1:5" x14ac:dyDescent="0.35">
      <c r="A21" s="95" t="s">
        <v>1461</v>
      </c>
      <c r="B21" s="95">
        <v>20</v>
      </c>
      <c r="C21" s="95">
        <v>3036542331</v>
      </c>
      <c r="D21" s="95" t="s">
        <v>1390</v>
      </c>
      <c r="E21" s="95">
        <v>0</v>
      </c>
    </row>
    <row r="22" spans="1:5" x14ac:dyDescent="0.35">
      <c r="A22" s="95" t="s">
        <v>1408</v>
      </c>
      <c r="B22" s="95">
        <v>21</v>
      </c>
      <c r="C22" s="95">
        <v>3016948126</v>
      </c>
      <c r="D22" s="95" t="s">
        <v>1390</v>
      </c>
      <c r="E22" s="95">
        <v>0</v>
      </c>
    </row>
    <row r="23" spans="1:5" x14ac:dyDescent="0.35">
      <c r="A23" s="95" t="s">
        <v>1409</v>
      </c>
      <c r="B23" s="95">
        <v>22</v>
      </c>
      <c r="C23" s="95">
        <v>3036542333</v>
      </c>
      <c r="D23" s="95" t="s">
        <v>1390</v>
      </c>
      <c r="E23" s="95">
        <v>0</v>
      </c>
    </row>
    <row r="24" spans="1:5" x14ac:dyDescent="0.35">
      <c r="A24" s="95" t="s">
        <v>1462</v>
      </c>
      <c r="B24" s="95">
        <v>23</v>
      </c>
      <c r="C24" s="95">
        <v>3036542339</v>
      </c>
      <c r="D24" s="95" t="s">
        <v>1390</v>
      </c>
      <c r="E24" s="95">
        <v>0</v>
      </c>
    </row>
    <row r="25" spans="1:5" x14ac:dyDescent="0.35">
      <c r="A25" s="95" t="s">
        <v>1463</v>
      </c>
      <c r="B25" s="95">
        <v>24</v>
      </c>
      <c r="C25" s="95">
        <v>3036542336</v>
      </c>
      <c r="D25" s="95" t="s">
        <v>1390</v>
      </c>
      <c r="E25" s="95">
        <v>0</v>
      </c>
    </row>
    <row r="26" spans="1:5" x14ac:dyDescent="0.35">
      <c r="A26" s="95" t="s">
        <v>1464</v>
      </c>
      <c r="B26" s="95">
        <v>25</v>
      </c>
      <c r="C26" s="95">
        <v>3036542337</v>
      </c>
      <c r="D26" s="95" t="s">
        <v>1390</v>
      </c>
      <c r="E26" s="95">
        <v>0</v>
      </c>
    </row>
    <row r="27" spans="1:5" x14ac:dyDescent="0.35">
      <c r="A27" s="95" t="s">
        <v>1410</v>
      </c>
      <c r="B27" s="95">
        <v>26</v>
      </c>
      <c r="C27" s="95">
        <v>3015737098</v>
      </c>
      <c r="D27" s="95" t="s">
        <v>1390</v>
      </c>
      <c r="E27" s="95">
        <v>199</v>
      </c>
    </row>
    <row r="28" spans="1:5" x14ac:dyDescent="0.35">
      <c r="A28" s="95" t="s">
        <v>1411</v>
      </c>
      <c r="B28" s="95">
        <v>27</v>
      </c>
      <c r="C28" s="95">
        <v>3099358456</v>
      </c>
      <c r="D28" s="95" t="s">
        <v>1394</v>
      </c>
      <c r="E28" s="95">
        <v>2159</v>
      </c>
    </row>
    <row r="29" spans="1:5" x14ac:dyDescent="0.35">
      <c r="A29" s="95" t="s">
        <v>1465</v>
      </c>
      <c r="B29" s="95">
        <v>28</v>
      </c>
      <c r="C29" s="95">
        <v>3094537448</v>
      </c>
      <c r="D29" s="95" t="s">
        <v>1394</v>
      </c>
      <c r="E29" s="95">
        <v>785</v>
      </c>
    </row>
    <row r="30" spans="1:5" x14ac:dyDescent="0.35">
      <c r="A30" s="95" t="s">
        <v>1466</v>
      </c>
      <c r="B30" s="95">
        <v>29</v>
      </c>
      <c r="C30" s="95">
        <v>3055647578</v>
      </c>
      <c r="D30" s="95" t="s">
        <v>1394</v>
      </c>
      <c r="E30" s="95">
        <v>0</v>
      </c>
    </row>
    <row r="31" spans="1:5" x14ac:dyDescent="0.35">
      <c r="A31" s="95" t="s">
        <v>1467</v>
      </c>
      <c r="B31" s="95">
        <v>30</v>
      </c>
      <c r="C31" s="95">
        <v>3015627551</v>
      </c>
      <c r="D31" s="95" t="s">
        <v>1394</v>
      </c>
      <c r="E31" s="95">
        <v>0</v>
      </c>
    </row>
    <row r="32" spans="1:5" x14ac:dyDescent="0.35">
      <c r="A32" s="95" t="s">
        <v>1468</v>
      </c>
      <c r="B32" s="95">
        <v>31</v>
      </c>
      <c r="C32" s="95">
        <v>3075395159</v>
      </c>
      <c r="D32" s="95" t="s">
        <v>1394</v>
      </c>
      <c r="E32" s="95">
        <v>0</v>
      </c>
    </row>
    <row r="33" spans="1:5" x14ac:dyDescent="0.35">
      <c r="A33" s="95" t="s">
        <v>1469</v>
      </c>
      <c r="B33" s="95">
        <v>32</v>
      </c>
      <c r="C33" s="95">
        <v>3095444889</v>
      </c>
      <c r="D33" s="95" t="s">
        <v>1394</v>
      </c>
      <c r="E33" s="95">
        <v>0</v>
      </c>
    </row>
    <row r="34" spans="1:5" x14ac:dyDescent="0.35">
      <c r="A34" s="95" t="s">
        <v>1412</v>
      </c>
      <c r="B34" s="95">
        <v>33</v>
      </c>
      <c r="C34" s="95">
        <v>3037815194</v>
      </c>
      <c r="D34" s="95" t="s">
        <v>1394</v>
      </c>
      <c r="E34" s="95">
        <v>806</v>
      </c>
    </row>
    <row r="35" spans="1:5" x14ac:dyDescent="0.35">
      <c r="A35" s="95" t="s">
        <v>1413</v>
      </c>
      <c r="B35" s="95">
        <v>34</v>
      </c>
      <c r="C35" s="95">
        <v>3036542345</v>
      </c>
      <c r="D35" s="95" t="s">
        <v>1394</v>
      </c>
      <c r="E35" s="95">
        <v>830</v>
      </c>
    </row>
    <row r="36" spans="1:5" x14ac:dyDescent="0.35">
      <c r="A36" s="95" t="s">
        <v>1414</v>
      </c>
      <c r="B36" s="95">
        <v>35</v>
      </c>
      <c r="C36" s="95">
        <v>3036542346</v>
      </c>
      <c r="D36" s="95" t="s">
        <v>1394</v>
      </c>
      <c r="E36" s="95">
        <v>945</v>
      </c>
    </row>
    <row r="37" spans="1:5" x14ac:dyDescent="0.35">
      <c r="A37" s="95" t="s">
        <v>1470</v>
      </c>
      <c r="B37" s="95">
        <v>36</v>
      </c>
      <c r="C37" s="95">
        <v>3030631799</v>
      </c>
      <c r="D37" s="95" t="s">
        <v>1394</v>
      </c>
      <c r="E37" s="95">
        <v>945</v>
      </c>
    </row>
    <row r="38" spans="1:5" x14ac:dyDescent="0.35">
      <c r="A38" s="95" t="s">
        <v>1415</v>
      </c>
      <c r="B38" s="95">
        <v>37</v>
      </c>
      <c r="C38" s="95">
        <v>3036542348</v>
      </c>
      <c r="D38" s="95" t="s">
        <v>1394</v>
      </c>
      <c r="E38" s="95">
        <v>4032</v>
      </c>
    </row>
    <row r="39" spans="1:5" x14ac:dyDescent="0.35">
      <c r="A39" s="95" t="s">
        <v>1471</v>
      </c>
      <c r="B39" s="95">
        <v>38</v>
      </c>
      <c r="C39" s="95">
        <v>3029864445</v>
      </c>
      <c r="D39" s="95" t="s">
        <v>1394</v>
      </c>
      <c r="E39" s="95">
        <v>0</v>
      </c>
    </row>
    <row r="40" spans="1:5" x14ac:dyDescent="0.35">
      <c r="A40" s="95" t="s">
        <v>1472</v>
      </c>
      <c r="B40" s="95">
        <v>39</v>
      </c>
      <c r="C40" s="95">
        <v>3016948132</v>
      </c>
      <c r="D40" s="95" t="s">
        <v>1394</v>
      </c>
      <c r="E40" s="95">
        <v>4032</v>
      </c>
    </row>
    <row r="41" spans="1:5" x14ac:dyDescent="0.35">
      <c r="A41" s="95" t="s">
        <v>1416</v>
      </c>
      <c r="B41" s="95">
        <v>40</v>
      </c>
      <c r="C41" s="95">
        <v>3036542347</v>
      </c>
      <c r="D41" s="95" t="s">
        <v>1394</v>
      </c>
      <c r="E41" s="95">
        <v>288</v>
      </c>
    </row>
    <row r="42" spans="1:5" x14ac:dyDescent="0.35">
      <c r="A42" s="95" t="s">
        <v>1473</v>
      </c>
      <c r="B42" s="95">
        <v>41</v>
      </c>
      <c r="C42" s="95">
        <v>3036542349</v>
      </c>
      <c r="D42" s="95" t="s">
        <v>1394</v>
      </c>
      <c r="E42" s="95">
        <v>4032</v>
      </c>
    </row>
    <row r="43" spans="1:5" x14ac:dyDescent="0.35">
      <c r="A43" s="95" t="s">
        <v>1417</v>
      </c>
      <c r="B43" s="95">
        <v>42</v>
      </c>
      <c r="C43" s="95">
        <v>3016948133</v>
      </c>
      <c r="D43" s="95" t="s">
        <v>1394</v>
      </c>
      <c r="E43" s="95">
        <v>945</v>
      </c>
    </row>
    <row r="44" spans="1:5" x14ac:dyDescent="0.35">
      <c r="A44" s="95" t="s">
        <v>1418</v>
      </c>
      <c r="B44" s="95">
        <v>43</v>
      </c>
      <c r="C44" s="95">
        <v>3016948134</v>
      </c>
      <c r="D44" s="95" t="s">
        <v>1394</v>
      </c>
      <c r="E44" s="95">
        <v>945</v>
      </c>
    </row>
    <row r="45" spans="1:5" x14ac:dyDescent="0.35">
      <c r="A45" s="95" t="s">
        <v>1419</v>
      </c>
      <c r="B45" s="95">
        <v>44</v>
      </c>
      <c r="C45" s="95">
        <v>3016948135</v>
      </c>
      <c r="D45" s="95" t="s">
        <v>1394</v>
      </c>
      <c r="E45" s="95">
        <v>945</v>
      </c>
    </row>
    <row r="46" spans="1:5" x14ac:dyDescent="0.35">
      <c r="A46" s="95" t="s">
        <v>1474</v>
      </c>
      <c r="B46" s="95">
        <v>45</v>
      </c>
      <c r="C46" s="95">
        <v>3014313726</v>
      </c>
      <c r="D46" s="95" t="s">
        <v>1394</v>
      </c>
      <c r="E46" s="95">
        <v>945</v>
      </c>
    </row>
    <row r="47" spans="1:5" x14ac:dyDescent="0.35">
      <c r="A47" s="95" t="s">
        <v>1420</v>
      </c>
      <c r="B47" s="95">
        <v>46</v>
      </c>
      <c r="C47" s="95">
        <v>3036542350</v>
      </c>
      <c r="D47" s="95" t="s">
        <v>1394</v>
      </c>
      <c r="E47" s="95">
        <v>2159</v>
      </c>
    </row>
    <row r="48" spans="1:5" x14ac:dyDescent="0.35">
      <c r="A48" s="95" t="s">
        <v>1421</v>
      </c>
      <c r="B48" s="95">
        <v>47</v>
      </c>
      <c r="C48" s="95">
        <v>3036542351</v>
      </c>
      <c r="D48" s="95" t="s">
        <v>1394</v>
      </c>
      <c r="E48" s="95">
        <v>830</v>
      </c>
    </row>
    <row r="49" spans="1:5" x14ac:dyDescent="0.35">
      <c r="A49" s="95" t="s">
        <v>1422</v>
      </c>
      <c r="B49" s="95">
        <v>48</v>
      </c>
      <c r="C49" s="95">
        <v>3036542352</v>
      </c>
      <c r="D49" s="95" t="s">
        <v>1394</v>
      </c>
      <c r="E49" s="95">
        <v>4977</v>
      </c>
    </row>
    <row r="50" spans="1:5" x14ac:dyDescent="0.35">
      <c r="A50" s="95" t="s">
        <v>1423</v>
      </c>
      <c r="B50" s="95">
        <v>49</v>
      </c>
      <c r="C50" s="95">
        <v>3036542413</v>
      </c>
      <c r="D50" s="95" t="s">
        <v>1394</v>
      </c>
      <c r="E50" s="95">
        <v>4977</v>
      </c>
    </row>
    <row r="51" spans="1:5" x14ac:dyDescent="0.35">
      <c r="A51" s="95" t="s">
        <v>1475</v>
      </c>
      <c r="B51" s="95">
        <v>50</v>
      </c>
      <c r="C51" s="95">
        <v>3099018936</v>
      </c>
      <c r="D51" s="95" t="s">
        <v>1390</v>
      </c>
      <c r="E51" s="95">
        <v>618</v>
      </c>
    </row>
    <row r="52" spans="1:5" x14ac:dyDescent="0.35">
      <c r="A52" s="95" t="s">
        <v>1424</v>
      </c>
      <c r="B52" s="95">
        <v>51</v>
      </c>
      <c r="C52" s="95">
        <v>3016948128</v>
      </c>
      <c r="D52" s="95" t="s">
        <v>1390</v>
      </c>
      <c r="E52" s="95">
        <v>45</v>
      </c>
    </row>
    <row r="53" spans="1:5" x14ac:dyDescent="0.35">
      <c r="A53" s="95" t="s">
        <v>1425</v>
      </c>
      <c r="B53" s="95">
        <v>52</v>
      </c>
      <c r="C53" s="95">
        <v>3016948129</v>
      </c>
      <c r="D53" s="95" t="s">
        <v>1390</v>
      </c>
      <c r="E53" s="95">
        <v>45</v>
      </c>
    </row>
    <row r="54" spans="1:5" x14ac:dyDescent="0.35">
      <c r="A54" s="95" t="s">
        <v>1426</v>
      </c>
      <c r="B54" s="95">
        <v>53</v>
      </c>
      <c r="C54" s="95">
        <v>3036542470</v>
      </c>
      <c r="D54" s="95" t="s">
        <v>1390</v>
      </c>
      <c r="E54" s="95">
        <v>45</v>
      </c>
    </row>
    <row r="55" spans="1:5" x14ac:dyDescent="0.35">
      <c r="A55" s="95" t="s">
        <v>1476</v>
      </c>
      <c r="B55" s="95">
        <v>54</v>
      </c>
      <c r="C55" s="95">
        <v>3036542341</v>
      </c>
      <c r="D55" s="95" t="s">
        <v>1390</v>
      </c>
      <c r="E55" s="95">
        <v>0</v>
      </c>
    </row>
    <row r="56" spans="1:5" x14ac:dyDescent="0.35">
      <c r="A56" s="95" t="s">
        <v>1477</v>
      </c>
      <c r="B56" s="95">
        <v>55</v>
      </c>
      <c r="C56" s="95">
        <v>3036542342</v>
      </c>
      <c r="D56" s="95" t="s">
        <v>1390</v>
      </c>
      <c r="E56" s="95">
        <v>0</v>
      </c>
    </row>
    <row r="57" spans="1:5" x14ac:dyDescent="0.35">
      <c r="A57" s="95" t="s">
        <v>1478</v>
      </c>
      <c r="B57" s="95">
        <v>56</v>
      </c>
      <c r="C57" s="95">
        <v>3036542343</v>
      </c>
      <c r="D57" s="95" t="s">
        <v>1390</v>
      </c>
      <c r="E57" s="95">
        <v>0</v>
      </c>
    </row>
    <row r="58" spans="1:5" x14ac:dyDescent="0.35">
      <c r="A58" s="95" t="s">
        <v>1479</v>
      </c>
      <c r="B58" s="95">
        <v>57</v>
      </c>
      <c r="C58" s="95">
        <v>3036542344</v>
      </c>
      <c r="D58" s="95" t="s">
        <v>1390</v>
      </c>
      <c r="E58" s="95">
        <v>0</v>
      </c>
    </row>
    <row r="59" spans="1:5" x14ac:dyDescent="0.35">
      <c r="A59" s="95" t="s">
        <v>1480</v>
      </c>
      <c r="B59" s="95">
        <v>58</v>
      </c>
      <c r="C59" s="95">
        <v>3013320540</v>
      </c>
      <c r="D59" s="95" t="s">
        <v>1390</v>
      </c>
      <c r="E59" s="95">
        <v>0</v>
      </c>
    </row>
    <row r="60" spans="1:5" x14ac:dyDescent="0.35">
      <c r="A60" s="95" t="s">
        <v>1481</v>
      </c>
      <c r="B60" s="95">
        <v>59</v>
      </c>
      <c r="C60" s="95">
        <v>3013320541</v>
      </c>
      <c r="D60" s="95" t="s">
        <v>1390</v>
      </c>
      <c r="E60" s="95">
        <v>0</v>
      </c>
    </row>
    <row r="61" spans="1:5" x14ac:dyDescent="0.35">
      <c r="A61" s="95" t="s">
        <v>1482</v>
      </c>
      <c r="B61" s="95">
        <v>60</v>
      </c>
      <c r="C61" s="95">
        <v>3013320542</v>
      </c>
      <c r="D61" s="95" t="s">
        <v>1390</v>
      </c>
      <c r="E61" s="95">
        <v>0</v>
      </c>
    </row>
    <row r="62" spans="1:5" x14ac:dyDescent="0.35">
      <c r="A62" s="95" t="s">
        <v>1483</v>
      </c>
      <c r="B62" s="95">
        <v>61</v>
      </c>
      <c r="C62" s="95">
        <v>3013320543</v>
      </c>
      <c r="D62" s="95" t="s">
        <v>1390</v>
      </c>
      <c r="E62" s="95">
        <v>0</v>
      </c>
    </row>
    <row r="63" spans="1:5" x14ac:dyDescent="0.35">
      <c r="A63" s="95" t="s">
        <v>1427</v>
      </c>
      <c r="B63" s="95">
        <v>62</v>
      </c>
      <c r="C63" s="95">
        <v>3036542353</v>
      </c>
      <c r="D63" s="95" t="s">
        <v>1391</v>
      </c>
      <c r="E63" s="95">
        <v>96</v>
      </c>
    </row>
    <row r="64" spans="1:5" x14ac:dyDescent="0.35">
      <c r="A64" s="95" t="s">
        <v>1428</v>
      </c>
      <c r="B64" s="95">
        <v>63</v>
      </c>
      <c r="C64" s="95">
        <v>3036542354</v>
      </c>
      <c r="D64" s="95" t="s">
        <v>1391</v>
      </c>
      <c r="E64" s="95">
        <v>160</v>
      </c>
    </row>
    <row r="65" spans="1:5" x14ac:dyDescent="0.35">
      <c r="A65" s="95" t="s">
        <v>1429</v>
      </c>
      <c r="B65" s="95">
        <v>64</v>
      </c>
      <c r="C65" s="95">
        <v>3036542355</v>
      </c>
      <c r="D65" s="95" t="s">
        <v>1391</v>
      </c>
      <c r="E65" s="95">
        <v>0</v>
      </c>
    </row>
    <row r="66" spans="1:5" x14ac:dyDescent="0.35">
      <c r="A66" s="95" t="s">
        <v>1430</v>
      </c>
      <c r="B66" s="95">
        <v>65</v>
      </c>
      <c r="C66" s="95">
        <v>3036542356</v>
      </c>
      <c r="D66" s="95" t="s">
        <v>1391</v>
      </c>
      <c r="E66" s="95">
        <v>0</v>
      </c>
    </row>
    <row r="67" spans="1:5" x14ac:dyDescent="0.35">
      <c r="A67" s="95" t="s">
        <v>1431</v>
      </c>
      <c r="B67" s="95">
        <v>66</v>
      </c>
      <c r="C67" s="95">
        <v>3036542359</v>
      </c>
      <c r="D67" s="95" t="s">
        <v>1391</v>
      </c>
      <c r="E67" s="95">
        <v>95</v>
      </c>
    </row>
    <row r="68" spans="1:5" x14ac:dyDescent="0.35">
      <c r="A68" s="95" t="s">
        <v>1432</v>
      </c>
      <c r="B68" s="95">
        <v>67</v>
      </c>
      <c r="C68" s="95">
        <v>3036542357</v>
      </c>
      <c r="D68" s="95" t="s">
        <v>1391</v>
      </c>
      <c r="E68" s="95">
        <v>1078</v>
      </c>
    </row>
    <row r="69" spans="1:5" x14ac:dyDescent="0.35">
      <c r="A69" s="95" t="s">
        <v>1433</v>
      </c>
      <c r="B69" s="95">
        <v>68</v>
      </c>
      <c r="C69" s="95">
        <v>3036542358</v>
      </c>
      <c r="D69" s="95" t="s">
        <v>1391</v>
      </c>
      <c r="E69" s="95">
        <v>10</v>
      </c>
    </row>
    <row r="70" spans="1:5" x14ac:dyDescent="0.35">
      <c r="A70" s="95" t="s">
        <v>1484</v>
      </c>
      <c r="B70" s="95">
        <v>69</v>
      </c>
      <c r="C70" s="95">
        <v>3036542362</v>
      </c>
      <c r="D70" s="95" t="s">
        <v>1391</v>
      </c>
      <c r="E70" s="95">
        <v>0</v>
      </c>
    </row>
    <row r="71" spans="1:5" x14ac:dyDescent="0.35">
      <c r="A71" s="95" t="s">
        <v>1485</v>
      </c>
      <c r="B71" s="95">
        <v>70</v>
      </c>
      <c r="C71" s="95">
        <v>3036542363</v>
      </c>
      <c r="D71" s="95" t="s">
        <v>1391</v>
      </c>
      <c r="E71" s="95">
        <v>0</v>
      </c>
    </row>
    <row r="72" spans="1:5" x14ac:dyDescent="0.35">
      <c r="A72" s="95" t="s">
        <v>1486</v>
      </c>
      <c r="B72" s="95">
        <v>71</v>
      </c>
      <c r="C72" s="95">
        <v>3036542364</v>
      </c>
      <c r="D72" s="95" t="s">
        <v>1391</v>
      </c>
      <c r="E72" s="95">
        <v>0</v>
      </c>
    </row>
    <row r="73" spans="1:5" x14ac:dyDescent="0.35">
      <c r="A73" s="95" t="s">
        <v>1487</v>
      </c>
      <c r="B73" s="95">
        <v>72</v>
      </c>
      <c r="C73" s="95">
        <v>3036542360</v>
      </c>
      <c r="D73" s="95" t="s">
        <v>1391</v>
      </c>
      <c r="E73" s="95">
        <v>0</v>
      </c>
    </row>
    <row r="74" spans="1:5" x14ac:dyDescent="0.35">
      <c r="A74" s="95" t="s">
        <v>1435</v>
      </c>
      <c r="B74" s="95">
        <v>73</v>
      </c>
      <c r="C74" s="95">
        <v>3036542361</v>
      </c>
      <c r="D74" s="95" t="s">
        <v>1391</v>
      </c>
      <c r="E74" s="95">
        <v>0</v>
      </c>
    </row>
    <row r="75" spans="1:5" x14ac:dyDescent="0.35">
      <c r="A75" s="95" t="s">
        <v>1436</v>
      </c>
      <c r="B75" s="95">
        <v>74</v>
      </c>
      <c r="C75" s="95">
        <v>3036542378</v>
      </c>
      <c r="D75" s="95" t="s">
        <v>1391</v>
      </c>
      <c r="E75" s="95">
        <v>148</v>
      </c>
    </row>
    <row r="76" spans="1:5" x14ac:dyDescent="0.35">
      <c r="A76" s="95" t="s">
        <v>1437</v>
      </c>
      <c r="B76" s="95">
        <v>75</v>
      </c>
      <c r="C76" s="95">
        <v>3036542392</v>
      </c>
      <c r="D76" s="95" t="s">
        <v>1391</v>
      </c>
      <c r="E76" s="95">
        <v>72</v>
      </c>
    </row>
    <row r="77" spans="1:5" x14ac:dyDescent="0.35">
      <c r="A77" s="95" t="s">
        <v>1438</v>
      </c>
      <c r="B77" s="95">
        <v>76</v>
      </c>
      <c r="C77" s="95">
        <v>3036542379</v>
      </c>
      <c r="D77" s="95" t="s">
        <v>1391</v>
      </c>
      <c r="E77" s="95">
        <v>180</v>
      </c>
    </row>
    <row r="78" spans="1:5" x14ac:dyDescent="0.35">
      <c r="A78" s="95" t="s">
        <v>1439</v>
      </c>
      <c r="B78" s="95">
        <v>77</v>
      </c>
      <c r="C78" s="95">
        <v>3036542393</v>
      </c>
      <c r="D78" s="95" t="s">
        <v>1391</v>
      </c>
      <c r="E78" s="95">
        <v>246</v>
      </c>
    </row>
    <row r="79" spans="1:5" x14ac:dyDescent="0.35">
      <c r="A79" s="95" t="s">
        <v>1440</v>
      </c>
      <c r="B79" s="95">
        <v>78</v>
      </c>
      <c r="C79" s="95">
        <v>3036542380</v>
      </c>
      <c r="D79" s="95" t="s">
        <v>1391</v>
      </c>
      <c r="E79" s="95">
        <v>4272</v>
      </c>
    </row>
    <row r="80" spans="1:5" x14ac:dyDescent="0.35">
      <c r="A80" s="95" t="s">
        <v>1488</v>
      </c>
      <c r="B80" s="95">
        <v>79</v>
      </c>
      <c r="C80" s="95">
        <v>3036542391</v>
      </c>
      <c r="D80" s="95" t="s">
        <v>1391</v>
      </c>
      <c r="E80" s="95">
        <v>1178</v>
      </c>
    </row>
    <row r="81" spans="1:5" x14ac:dyDescent="0.35">
      <c r="A81" s="95" t="s">
        <v>1489</v>
      </c>
      <c r="B81" s="95">
        <v>80</v>
      </c>
      <c r="C81" s="95">
        <v>3040347406</v>
      </c>
      <c r="D81" s="95" t="s">
        <v>1391</v>
      </c>
      <c r="E81" s="95">
        <v>819</v>
      </c>
    </row>
    <row r="82" spans="1:5" x14ac:dyDescent="0.35">
      <c r="A82" s="95" t="s">
        <v>1441</v>
      </c>
      <c r="B82" s="95">
        <v>81</v>
      </c>
      <c r="C82" s="95">
        <v>3036542365</v>
      </c>
      <c r="D82" s="95" t="s">
        <v>1391</v>
      </c>
      <c r="E82" s="95">
        <v>2079</v>
      </c>
    </row>
    <row r="83" spans="1:5" x14ac:dyDescent="0.35">
      <c r="A83" s="95" t="s">
        <v>1442</v>
      </c>
      <c r="B83" s="95">
        <v>82</v>
      </c>
      <c r="C83" s="95">
        <v>3036542389</v>
      </c>
      <c r="D83" s="95" t="s">
        <v>1391</v>
      </c>
      <c r="E83" s="95">
        <v>0</v>
      </c>
    </row>
    <row r="84" spans="1:5" x14ac:dyDescent="0.35">
      <c r="A84" s="95" t="s">
        <v>1490</v>
      </c>
      <c r="B84" s="95">
        <v>83</v>
      </c>
      <c r="C84" s="95">
        <v>3086144987</v>
      </c>
      <c r="D84" s="95" t="s">
        <v>1391</v>
      </c>
      <c r="E84" s="95">
        <v>810</v>
      </c>
    </row>
    <row r="85" spans="1:5" x14ac:dyDescent="0.35">
      <c r="A85" s="95" t="s">
        <v>1443</v>
      </c>
      <c r="B85" s="95">
        <v>84</v>
      </c>
      <c r="C85" s="95">
        <v>3036542394</v>
      </c>
      <c r="D85" s="95" t="s">
        <v>1391</v>
      </c>
      <c r="E85" s="95">
        <v>374</v>
      </c>
    </row>
    <row r="86" spans="1:5" x14ac:dyDescent="0.35">
      <c r="A86" s="95" t="s">
        <v>1444</v>
      </c>
      <c r="B86" s="95">
        <v>85</v>
      </c>
      <c r="C86" s="95">
        <v>3036542395</v>
      </c>
      <c r="D86" s="95" t="s">
        <v>1391</v>
      </c>
      <c r="E86" s="95">
        <v>56</v>
      </c>
    </row>
    <row r="87" spans="1:5" x14ac:dyDescent="0.35">
      <c r="A87" s="95" t="s">
        <v>1491</v>
      </c>
      <c r="B87" s="95">
        <v>86</v>
      </c>
      <c r="C87" s="95">
        <v>3077554604</v>
      </c>
      <c r="D87" s="95" t="s">
        <v>1391</v>
      </c>
      <c r="E87" s="95">
        <v>42</v>
      </c>
    </row>
    <row r="88" spans="1:5" x14ac:dyDescent="0.35">
      <c r="A88" s="95" t="s">
        <v>1492</v>
      </c>
      <c r="B88" s="95">
        <v>87</v>
      </c>
      <c r="C88" s="95">
        <v>3016532073</v>
      </c>
      <c r="D88" s="95" t="s">
        <v>1391</v>
      </c>
      <c r="E88" s="95">
        <v>35</v>
      </c>
    </row>
    <row r="89" spans="1:5" x14ac:dyDescent="0.35">
      <c r="A89" s="95" t="s">
        <v>1493</v>
      </c>
      <c r="B89" s="95">
        <v>88</v>
      </c>
      <c r="C89" s="95">
        <v>3046826895</v>
      </c>
      <c r="D89" s="95" t="s">
        <v>1391</v>
      </c>
      <c r="E89" s="95">
        <v>50</v>
      </c>
    </row>
    <row r="90" spans="1:5" x14ac:dyDescent="0.35">
      <c r="A90" s="95" t="s">
        <v>1494</v>
      </c>
      <c r="B90" s="95">
        <v>89</v>
      </c>
      <c r="C90" s="95">
        <v>3027322223</v>
      </c>
      <c r="D90" s="95" t="s">
        <v>1391</v>
      </c>
      <c r="E90" s="95">
        <v>0</v>
      </c>
    </row>
    <row r="91" spans="1:5" x14ac:dyDescent="0.35">
      <c r="A91" s="95" t="s">
        <v>1495</v>
      </c>
      <c r="B91" s="95">
        <v>90</v>
      </c>
      <c r="C91" s="95">
        <v>3080473321</v>
      </c>
      <c r="D91" s="95" t="s">
        <v>1391</v>
      </c>
      <c r="E91" s="95">
        <v>16</v>
      </c>
    </row>
    <row r="92" spans="1:5" x14ac:dyDescent="0.35">
      <c r="A92" s="95" t="s">
        <v>1445</v>
      </c>
      <c r="B92" s="95">
        <v>91</v>
      </c>
      <c r="C92" s="95">
        <v>3016948151</v>
      </c>
      <c r="D92" s="95" t="s">
        <v>1391</v>
      </c>
      <c r="E92" s="95">
        <v>105</v>
      </c>
    </row>
    <row r="93" spans="1:5" x14ac:dyDescent="0.35">
      <c r="A93" s="95" t="s">
        <v>1496</v>
      </c>
      <c r="B93" s="95">
        <v>92</v>
      </c>
      <c r="C93" s="95">
        <v>3054883004</v>
      </c>
      <c r="D93" s="95" t="s">
        <v>1391</v>
      </c>
      <c r="E93" s="95">
        <v>150</v>
      </c>
    </row>
    <row r="94" spans="1:5" x14ac:dyDescent="0.35">
      <c r="A94" s="95" t="s">
        <v>1446</v>
      </c>
      <c r="B94" s="95">
        <v>93</v>
      </c>
      <c r="C94" s="95">
        <v>3091203535</v>
      </c>
      <c r="D94" s="95" t="s">
        <v>1390</v>
      </c>
      <c r="E94" s="95">
        <v>2914</v>
      </c>
    </row>
    <row r="95" spans="1:5" x14ac:dyDescent="0.35">
      <c r="A95" s="95" t="s">
        <v>1447</v>
      </c>
      <c r="B95" s="95">
        <v>94</v>
      </c>
      <c r="C95" s="95">
        <v>3091203536</v>
      </c>
      <c r="D95" s="95" t="s">
        <v>1390</v>
      </c>
      <c r="E95" s="95">
        <v>1</v>
      </c>
    </row>
    <row r="96" spans="1:5" x14ac:dyDescent="0.35">
      <c r="A96" s="95" t="s">
        <v>1448</v>
      </c>
      <c r="B96" s="95">
        <v>95</v>
      </c>
      <c r="C96" s="95">
        <v>3091203537</v>
      </c>
      <c r="D96" s="95" t="s">
        <v>1390</v>
      </c>
      <c r="E96" s="95">
        <v>2</v>
      </c>
    </row>
    <row r="97" spans="1:5" x14ac:dyDescent="0.35">
      <c r="A97" s="95" t="s">
        <v>1497</v>
      </c>
      <c r="B97" s="95">
        <v>96</v>
      </c>
      <c r="C97" s="95">
        <v>3036542384</v>
      </c>
      <c r="D97" s="95" t="s">
        <v>1391</v>
      </c>
      <c r="E97" s="95">
        <v>0</v>
      </c>
    </row>
    <row r="98" spans="1:5" x14ac:dyDescent="0.35">
      <c r="A98" s="95" t="s">
        <v>1498</v>
      </c>
      <c r="B98" s="95">
        <v>97</v>
      </c>
      <c r="C98" s="95">
        <v>3036542385</v>
      </c>
      <c r="D98" s="95" t="e">
        <v>#N/A</v>
      </c>
      <c r="E98" s="95">
        <v>0</v>
      </c>
    </row>
    <row r="99" spans="1:5" x14ac:dyDescent="0.35">
      <c r="A99" s="95" t="s">
        <v>1499</v>
      </c>
      <c r="B99" s="95">
        <v>98</v>
      </c>
      <c r="C99" s="95">
        <v>3036542386</v>
      </c>
      <c r="D99" s="95" t="e">
        <v>#N/A</v>
      </c>
      <c r="E99" s="95">
        <v>0</v>
      </c>
    </row>
    <row r="100" spans="1:5" x14ac:dyDescent="0.35">
      <c r="A100" s="95" t="s">
        <v>1500</v>
      </c>
      <c r="B100" s="95">
        <v>99</v>
      </c>
      <c r="C100" s="95">
        <v>3036542387</v>
      </c>
      <c r="D100" s="95" t="e">
        <v>#N/A</v>
      </c>
      <c r="E100" s="95">
        <v>0</v>
      </c>
    </row>
    <row r="101" spans="1:5" x14ac:dyDescent="0.35">
      <c r="A101" s="95" t="s">
        <v>1501</v>
      </c>
      <c r="B101" s="95">
        <v>100</v>
      </c>
      <c r="C101" s="95">
        <v>3036542388</v>
      </c>
      <c r="D101" s="95" t="e">
        <v>#N/A</v>
      </c>
      <c r="E101" s="95">
        <v>0</v>
      </c>
    </row>
    <row r="102" spans="1:5" x14ac:dyDescent="0.35">
      <c r="A102" s="95" t="s">
        <v>1502</v>
      </c>
      <c r="B102" s="95">
        <v>101</v>
      </c>
      <c r="C102" s="95">
        <v>3024263251</v>
      </c>
      <c r="D102" s="95" t="e">
        <v>#N/A</v>
      </c>
      <c r="E102" s="95">
        <v>0</v>
      </c>
    </row>
    <row r="103" spans="1:5" x14ac:dyDescent="0.35">
      <c r="A103" s="95" t="s">
        <v>1503</v>
      </c>
      <c r="B103" s="95">
        <v>102</v>
      </c>
      <c r="C103" s="95">
        <v>3016948139</v>
      </c>
      <c r="D103" s="95" t="e">
        <v>#N/A</v>
      </c>
      <c r="E103" s="95">
        <v>0</v>
      </c>
    </row>
    <row r="104" spans="1:5" x14ac:dyDescent="0.35">
      <c r="A104" s="95" t="s">
        <v>1504</v>
      </c>
      <c r="B104" s="95">
        <v>103</v>
      </c>
      <c r="C104" s="95">
        <v>3036542397</v>
      </c>
      <c r="D104" s="95" t="e">
        <v>#N/A</v>
      </c>
      <c r="E104" s="95">
        <v>0</v>
      </c>
    </row>
    <row r="105" spans="1:5" x14ac:dyDescent="0.35">
      <c r="A105" s="95" t="s">
        <v>1505</v>
      </c>
      <c r="B105" s="95">
        <v>104</v>
      </c>
      <c r="C105" s="95">
        <v>3036542399</v>
      </c>
      <c r="D105" s="95" t="e">
        <v>#N/A</v>
      </c>
      <c r="E105" s="95">
        <v>0</v>
      </c>
    </row>
    <row r="106" spans="1:5" x14ac:dyDescent="0.35">
      <c r="A106" s="95" t="s">
        <v>1506</v>
      </c>
      <c r="B106" s="95">
        <v>105</v>
      </c>
      <c r="C106" s="95">
        <v>3021280745</v>
      </c>
      <c r="D106" s="95" t="e">
        <v>#N/A</v>
      </c>
      <c r="E106" s="95">
        <v>0</v>
      </c>
    </row>
    <row r="107" spans="1:5" x14ac:dyDescent="0.35">
      <c r="A107" s="95" t="s">
        <v>1507</v>
      </c>
      <c r="B107" s="95">
        <v>106</v>
      </c>
      <c r="C107" s="95">
        <v>3036542400</v>
      </c>
      <c r="D107" s="95" t="e">
        <v>#N/A</v>
      </c>
      <c r="E107" s="95">
        <v>0</v>
      </c>
    </row>
    <row r="108" spans="1:5" x14ac:dyDescent="0.35">
      <c r="A108" s="95" t="s">
        <v>1508</v>
      </c>
      <c r="B108" s="95">
        <v>107</v>
      </c>
      <c r="C108" s="95">
        <v>3036542401</v>
      </c>
      <c r="D108" s="95" t="e">
        <v>#N/A</v>
      </c>
      <c r="E108" s="95">
        <v>0</v>
      </c>
    </row>
    <row r="109" spans="1:5" x14ac:dyDescent="0.35">
      <c r="A109" s="95" t="s">
        <v>1509</v>
      </c>
      <c r="B109" s="95">
        <v>108</v>
      </c>
      <c r="C109" s="95">
        <v>3036542402</v>
      </c>
      <c r="D109" s="95" t="e">
        <v>#N/A</v>
      </c>
      <c r="E109" s="95">
        <v>0</v>
      </c>
    </row>
    <row r="110" spans="1:5" x14ac:dyDescent="0.35">
      <c r="A110" s="95" t="s">
        <v>1510</v>
      </c>
      <c r="B110" s="95">
        <v>109</v>
      </c>
      <c r="C110" s="95">
        <v>3056413942</v>
      </c>
      <c r="D110" s="95" t="e">
        <v>#N/A</v>
      </c>
      <c r="E110" s="95">
        <v>0</v>
      </c>
    </row>
    <row r="111" spans="1:5" x14ac:dyDescent="0.35">
      <c r="A111" s="95" t="s">
        <v>1511</v>
      </c>
      <c r="B111" s="95">
        <v>110</v>
      </c>
      <c r="C111" s="95">
        <v>3036542403</v>
      </c>
      <c r="D111" s="95" t="e">
        <v>#N/A</v>
      </c>
      <c r="E111" s="95">
        <v>0</v>
      </c>
    </row>
    <row r="112" spans="1:5" x14ac:dyDescent="0.35">
      <c r="A112" s="95" t="s">
        <v>1512</v>
      </c>
      <c r="B112" s="95">
        <v>111</v>
      </c>
      <c r="C112" s="95">
        <v>3036542404</v>
      </c>
      <c r="D112" s="95" t="e">
        <v>#N/A</v>
      </c>
      <c r="E112" s="95">
        <v>0</v>
      </c>
    </row>
    <row r="113" spans="1:5" x14ac:dyDescent="0.35">
      <c r="A113" s="95" t="s">
        <v>1513</v>
      </c>
      <c r="B113" s="95">
        <v>112</v>
      </c>
      <c r="C113" s="95">
        <v>3016948145</v>
      </c>
      <c r="D113" s="95" t="e">
        <v>#N/A</v>
      </c>
      <c r="E113" s="95">
        <v>0</v>
      </c>
    </row>
    <row r="114" spans="1:5" x14ac:dyDescent="0.35">
      <c r="A114" s="95" t="s">
        <v>1514</v>
      </c>
      <c r="B114" s="95">
        <v>113</v>
      </c>
      <c r="C114" s="95">
        <v>3016948146</v>
      </c>
      <c r="D114" s="95" t="e">
        <v>#N/A</v>
      </c>
      <c r="E114" s="95">
        <v>0</v>
      </c>
    </row>
    <row r="115" spans="1:5" x14ac:dyDescent="0.35">
      <c r="A115" s="95" t="s">
        <v>1515</v>
      </c>
      <c r="B115" s="95">
        <v>114</v>
      </c>
      <c r="C115" s="95">
        <v>3016948147</v>
      </c>
      <c r="D115" s="95" t="e">
        <v>#N/A</v>
      </c>
      <c r="E115" s="95">
        <v>0</v>
      </c>
    </row>
    <row r="116" spans="1:5" x14ac:dyDescent="0.35">
      <c r="A116" s="95" t="s">
        <v>1516</v>
      </c>
      <c r="B116" s="95">
        <v>115</v>
      </c>
      <c r="C116" s="95">
        <v>3016948148</v>
      </c>
      <c r="D116" s="95" t="e">
        <v>#N/A</v>
      </c>
      <c r="E116" s="95">
        <v>0</v>
      </c>
    </row>
    <row r="117" spans="1:5" x14ac:dyDescent="0.35">
      <c r="A117" s="95" t="s">
        <v>1517</v>
      </c>
      <c r="B117" s="95">
        <v>116</v>
      </c>
      <c r="C117" s="95">
        <v>3065708945</v>
      </c>
      <c r="D117" s="95" t="e">
        <v>#N/A</v>
      </c>
      <c r="E117" s="95">
        <v>0</v>
      </c>
    </row>
    <row r="118" spans="1:5" x14ac:dyDescent="0.35">
      <c r="A118" s="95" t="s">
        <v>1518</v>
      </c>
      <c r="B118" s="95">
        <v>117</v>
      </c>
      <c r="C118" s="95">
        <v>3016047420</v>
      </c>
      <c r="D118" s="95" t="e">
        <v>#N/A</v>
      </c>
      <c r="E118" s="95">
        <v>0</v>
      </c>
    </row>
    <row r="119" spans="1:5" x14ac:dyDescent="0.35">
      <c r="A119" s="95" t="s">
        <v>1519</v>
      </c>
      <c r="B119" s="95">
        <v>118</v>
      </c>
      <c r="C119" s="95">
        <v>3033455133</v>
      </c>
      <c r="D119" s="95" t="s">
        <v>1391</v>
      </c>
      <c r="E119" s="95">
        <v>229</v>
      </c>
    </row>
    <row r="120" spans="1:5" x14ac:dyDescent="0.35">
      <c r="A120" s="95" t="s">
        <v>1520</v>
      </c>
      <c r="B120" s="95">
        <v>119</v>
      </c>
      <c r="C120" s="95">
        <v>3087549099</v>
      </c>
      <c r="D120" s="95" t="e">
        <v>#N/A</v>
      </c>
      <c r="E120" s="95">
        <v>0</v>
      </c>
    </row>
    <row r="121" spans="1:5" x14ac:dyDescent="0.35">
      <c r="A121" s="95" t="s">
        <v>1521</v>
      </c>
      <c r="B121" s="95">
        <v>120</v>
      </c>
      <c r="C121" s="95">
        <v>3036542419</v>
      </c>
      <c r="D121" s="95" t="s">
        <v>1391</v>
      </c>
      <c r="E121" s="95">
        <v>2</v>
      </c>
    </row>
    <row r="122" spans="1:5" x14ac:dyDescent="0.35">
      <c r="A122" s="95" t="s">
        <v>1522</v>
      </c>
      <c r="B122" s="95">
        <v>121</v>
      </c>
      <c r="C122" s="95">
        <v>3036542422</v>
      </c>
      <c r="D122" s="95" t="s">
        <v>1391</v>
      </c>
      <c r="E122" s="95">
        <v>6063</v>
      </c>
    </row>
    <row r="123" spans="1:5" x14ac:dyDescent="0.35">
      <c r="A123" s="95" t="s">
        <v>1523</v>
      </c>
      <c r="B123" s="95">
        <v>122</v>
      </c>
      <c r="C123" s="95">
        <v>3036413228</v>
      </c>
      <c r="D123" s="95" t="s">
        <v>1391</v>
      </c>
      <c r="E123" s="95">
        <v>1</v>
      </c>
    </row>
    <row r="124" spans="1:5" x14ac:dyDescent="0.35">
      <c r="A124" s="95" t="s">
        <v>1524</v>
      </c>
      <c r="B124" s="95">
        <v>123</v>
      </c>
      <c r="C124" s="95">
        <v>3036542423</v>
      </c>
      <c r="D124" s="95" t="s">
        <v>1391</v>
      </c>
      <c r="E124" s="95">
        <v>17985</v>
      </c>
    </row>
    <row r="125" spans="1:5" x14ac:dyDescent="0.35">
      <c r="A125" s="95" t="s">
        <v>1525</v>
      </c>
      <c r="B125" s="95">
        <v>124</v>
      </c>
      <c r="C125" s="95">
        <v>3053336404</v>
      </c>
      <c r="D125" s="95" t="s">
        <v>1391</v>
      </c>
      <c r="E125" s="95">
        <v>2</v>
      </c>
    </row>
    <row r="126" spans="1:5" x14ac:dyDescent="0.35">
      <c r="A126" s="95" t="s">
        <v>1526</v>
      </c>
      <c r="B126" s="95">
        <v>125</v>
      </c>
      <c r="C126" s="95">
        <v>3021227944</v>
      </c>
      <c r="D126" s="95" t="s">
        <v>1391</v>
      </c>
      <c r="E126" s="95">
        <v>2</v>
      </c>
    </row>
    <row r="127" spans="1:5" x14ac:dyDescent="0.35">
      <c r="A127" s="95" t="s">
        <v>1527</v>
      </c>
      <c r="B127" s="95">
        <v>126</v>
      </c>
      <c r="C127" s="95">
        <v>3036542424</v>
      </c>
      <c r="D127" s="95" t="s">
        <v>1391</v>
      </c>
      <c r="E127" s="95">
        <v>1</v>
      </c>
    </row>
    <row r="128" spans="1:5" x14ac:dyDescent="0.35">
      <c r="A128" s="95" t="s">
        <v>1528</v>
      </c>
      <c r="B128" s="95">
        <v>127</v>
      </c>
      <c r="C128" s="95">
        <v>3036542425</v>
      </c>
      <c r="D128" s="95" t="s">
        <v>1391</v>
      </c>
      <c r="E128" s="95">
        <v>1</v>
      </c>
    </row>
    <row r="129" spans="1:5" x14ac:dyDescent="0.35">
      <c r="A129" s="95" t="s">
        <v>1529</v>
      </c>
      <c r="B129" s="95">
        <v>128</v>
      </c>
      <c r="C129" s="95">
        <v>3016948141</v>
      </c>
      <c r="D129" s="95" t="s">
        <v>1391</v>
      </c>
      <c r="E129" s="95">
        <v>1</v>
      </c>
    </row>
    <row r="130" spans="1:5" x14ac:dyDescent="0.35">
      <c r="A130" s="95" t="s">
        <v>1530</v>
      </c>
      <c r="B130" s="95">
        <v>129</v>
      </c>
      <c r="C130" s="95">
        <v>3016948142</v>
      </c>
      <c r="D130" s="95" t="s">
        <v>1391</v>
      </c>
      <c r="E130" s="95">
        <v>1</v>
      </c>
    </row>
    <row r="131" spans="1:5" x14ac:dyDescent="0.35">
      <c r="A131" s="95" t="s">
        <v>1531</v>
      </c>
      <c r="B131" s="95">
        <v>130</v>
      </c>
      <c r="C131" s="95">
        <v>3018123650</v>
      </c>
      <c r="D131" s="95" t="e">
        <v>#N/A</v>
      </c>
      <c r="E131" s="95">
        <v>0</v>
      </c>
    </row>
    <row r="132" spans="1:5" x14ac:dyDescent="0.35">
      <c r="A132" s="95" t="s">
        <v>1532</v>
      </c>
      <c r="B132" s="95">
        <v>131</v>
      </c>
      <c r="C132" s="95">
        <v>3036542444</v>
      </c>
      <c r="D132" s="95" t="e">
        <v>#N/A</v>
      </c>
      <c r="E132" s="95">
        <v>0</v>
      </c>
    </row>
    <row r="133" spans="1:5" x14ac:dyDescent="0.35">
      <c r="A133" s="95" t="s">
        <v>1533</v>
      </c>
      <c r="B133" s="95">
        <v>132</v>
      </c>
      <c r="C133" s="95">
        <v>3013320544</v>
      </c>
      <c r="D133" s="95" t="s">
        <v>1391</v>
      </c>
      <c r="E133" s="95">
        <v>1</v>
      </c>
    </row>
    <row r="134" spans="1:5" x14ac:dyDescent="0.35">
      <c r="A134" s="95" t="s">
        <v>1534</v>
      </c>
      <c r="B134" s="95">
        <v>133</v>
      </c>
      <c r="C134" s="95">
        <v>3086201089</v>
      </c>
      <c r="D134" s="95" t="s">
        <v>1391</v>
      </c>
      <c r="E134" s="95">
        <v>1</v>
      </c>
    </row>
    <row r="135" spans="1:5" x14ac:dyDescent="0.35">
      <c r="A135" s="95" t="s">
        <v>1535</v>
      </c>
      <c r="B135" s="95">
        <v>134</v>
      </c>
      <c r="C135" s="95">
        <v>3036542445</v>
      </c>
      <c r="D135" s="95" t="s">
        <v>1391</v>
      </c>
      <c r="E135" s="95">
        <v>1</v>
      </c>
    </row>
    <row r="136" spans="1:5" x14ac:dyDescent="0.35">
      <c r="A136" s="95" t="s">
        <v>1536</v>
      </c>
      <c r="B136" s="95">
        <v>135</v>
      </c>
      <c r="C136" s="95">
        <v>3036542446</v>
      </c>
      <c r="D136" s="95" t="s">
        <v>1391</v>
      </c>
      <c r="E136" s="95">
        <v>1</v>
      </c>
    </row>
    <row r="137" spans="1:5" x14ac:dyDescent="0.35">
      <c r="A137" s="95" t="s">
        <v>1537</v>
      </c>
      <c r="B137" s="95">
        <v>136</v>
      </c>
      <c r="C137" s="95">
        <v>3065812110</v>
      </c>
      <c r="D137" s="95" t="s">
        <v>1391</v>
      </c>
      <c r="E137" s="95">
        <v>2</v>
      </c>
    </row>
    <row r="138" spans="1:5" x14ac:dyDescent="0.35">
      <c r="A138" s="95" t="s">
        <v>1538</v>
      </c>
      <c r="B138" s="95">
        <v>137</v>
      </c>
      <c r="C138" s="95">
        <v>3041327792</v>
      </c>
      <c r="D138" s="95" t="e">
        <v>#N/A</v>
      </c>
      <c r="E138" s="95">
        <v>0</v>
      </c>
    </row>
    <row r="139" spans="1:5" x14ac:dyDescent="0.35">
      <c r="A139" s="95" t="s">
        <v>1539</v>
      </c>
      <c r="B139" s="95">
        <v>138</v>
      </c>
      <c r="C139" s="95">
        <v>3036542449</v>
      </c>
      <c r="D139" s="95" t="e">
        <v>#N/A</v>
      </c>
      <c r="E139" s="95">
        <v>0</v>
      </c>
    </row>
    <row r="140" spans="1:5" x14ac:dyDescent="0.35">
      <c r="A140" s="95" t="s">
        <v>1540</v>
      </c>
      <c r="B140" s="95">
        <v>139</v>
      </c>
      <c r="C140" s="95">
        <v>3036542450</v>
      </c>
      <c r="D140" s="95" t="e">
        <v>#N/A</v>
      </c>
      <c r="E140" s="95">
        <v>0</v>
      </c>
    </row>
    <row r="141" spans="1:5" x14ac:dyDescent="0.35">
      <c r="A141" s="95" t="s">
        <v>1541</v>
      </c>
      <c r="B141" s="95">
        <v>140</v>
      </c>
      <c r="C141" s="95">
        <v>3036542451</v>
      </c>
      <c r="D141" s="95" t="e">
        <v>#N/A</v>
      </c>
      <c r="E141" s="95">
        <v>0</v>
      </c>
    </row>
    <row r="142" spans="1:5" x14ac:dyDescent="0.35">
      <c r="A142" s="95" t="s">
        <v>1542</v>
      </c>
      <c r="B142" s="95">
        <v>141</v>
      </c>
      <c r="C142" s="95">
        <v>3036542382</v>
      </c>
      <c r="D142" s="95" t="e">
        <v>#N/A</v>
      </c>
      <c r="E142" s="95">
        <v>0</v>
      </c>
    </row>
    <row r="143" spans="1:5" x14ac:dyDescent="0.35">
      <c r="A143" s="95" t="s">
        <v>1543</v>
      </c>
      <c r="B143" s="95">
        <v>142</v>
      </c>
      <c r="C143" s="95">
        <v>3036542396</v>
      </c>
      <c r="D143" s="95" t="e">
        <v>#N/A</v>
      </c>
      <c r="E143" s="95">
        <v>0</v>
      </c>
    </row>
    <row r="144" spans="1:5" x14ac:dyDescent="0.35">
      <c r="A144" s="95" t="s">
        <v>1544</v>
      </c>
      <c r="B144" s="95">
        <v>143</v>
      </c>
      <c r="C144" s="95">
        <v>3036542383</v>
      </c>
      <c r="D144" s="95" t="e">
        <v>#N/A</v>
      </c>
      <c r="E144" s="95">
        <v>0</v>
      </c>
    </row>
    <row r="145" spans="1:5" x14ac:dyDescent="0.35">
      <c r="A145" s="95" t="s">
        <v>1450</v>
      </c>
      <c r="B145" s="95">
        <v>144</v>
      </c>
      <c r="C145" s="95">
        <v>3036542381</v>
      </c>
      <c r="D145" s="95" t="s">
        <v>1390</v>
      </c>
      <c r="E145" s="95">
        <v>1</v>
      </c>
    </row>
    <row r="146" spans="1:5" x14ac:dyDescent="0.35">
      <c r="A146" s="95" t="s">
        <v>1545</v>
      </c>
      <c r="B146" s="95">
        <v>145</v>
      </c>
      <c r="C146" s="95">
        <v>3036542448</v>
      </c>
      <c r="D146" s="95" t="s">
        <v>1391</v>
      </c>
      <c r="E146" s="95">
        <v>3</v>
      </c>
    </row>
    <row r="147" spans="1:5" x14ac:dyDescent="0.35">
      <c r="A147" s="95" t="s">
        <v>1546</v>
      </c>
      <c r="B147" s="95">
        <v>146</v>
      </c>
      <c r="C147" s="95">
        <v>3076471155</v>
      </c>
      <c r="D147" s="95" t="s">
        <v>1391</v>
      </c>
      <c r="E147" s="95">
        <v>6</v>
      </c>
    </row>
    <row r="148" spans="1:5" x14ac:dyDescent="0.35">
      <c r="A148" s="95" t="s">
        <v>1547</v>
      </c>
      <c r="B148" s="95">
        <v>147</v>
      </c>
      <c r="C148" s="95">
        <v>3036542418</v>
      </c>
      <c r="D148" s="95" t="e">
        <v>#N/A</v>
      </c>
      <c r="E148" s="95">
        <v>0</v>
      </c>
    </row>
    <row r="149" spans="1:5" x14ac:dyDescent="0.35">
      <c r="A149" s="95" t="s">
        <v>1548</v>
      </c>
      <c r="B149" s="95">
        <v>148</v>
      </c>
      <c r="C149" s="95">
        <v>3053084649</v>
      </c>
      <c r="D149" s="95" t="e">
        <v>#N/A</v>
      </c>
      <c r="E149" s="95">
        <v>0</v>
      </c>
    </row>
    <row r="150" spans="1:5" x14ac:dyDescent="0.35">
      <c r="A150" s="95" t="s">
        <v>1549</v>
      </c>
      <c r="B150" s="95">
        <v>149</v>
      </c>
      <c r="C150" s="95">
        <v>3056586046</v>
      </c>
      <c r="D150" s="95" t="e">
        <v>#N/A</v>
      </c>
      <c r="E150" s="95">
        <v>0</v>
      </c>
    </row>
    <row r="151" spans="1:5" x14ac:dyDescent="0.35">
      <c r="A151" s="95" t="s">
        <v>1550</v>
      </c>
      <c r="B151" s="95">
        <v>150</v>
      </c>
      <c r="C151" s="95">
        <v>3036542466</v>
      </c>
      <c r="D151" s="95" t="e">
        <v>#N/A</v>
      </c>
      <c r="E151" s="95">
        <v>0</v>
      </c>
    </row>
    <row r="152" spans="1:5" x14ac:dyDescent="0.35">
      <c r="A152" s="95" t="s">
        <v>1551</v>
      </c>
      <c r="B152" s="95">
        <v>151</v>
      </c>
      <c r="C152" s="95">
        <v>3036542468</v>
      </c>
      <c r="D152" s="95" t="e">
        <v>#N/A</v>
      </c>
      <c r="E152" s="95">
        <v>0</v>
      </c>
    </row>
    <row r="153" spans="1:5" x14ac:dyDescent="0.35">
      <c r="A153" s="95" t="s">
        <v>1552</v>
      </c>
      <c r="B153" s="95">
        <v>152</v>
      </c>
      <c r="C153" s="95">
        <v>3013950586</v>
      </c>
      <c r="D153" s="95" t="e">
        <v>#N/A</v>
      </c>
      <c r="E153" s="95">
        <v>0</v>
      </c>
    </row>
    <row r="154" spans="1:5" x14ac:dyDescent="0.35">
      <c r="A154" s="95" t="s">
        <v>1553</v>
      </c>
      <c r="B154" s="95">
        <v>153</v>
      </c>
      <c r="C154" s="95">
        <v>3013950587</v>
      </c>
      <c r="D154" s="95" t="e">
        <v>#N/A</v>
      </c>
      <c r="E154" s="95">
        <v>0</v>
      </c>
    </row>
    <row r="155" spans="1:5" x14ac:dyDescent="0.35">
      <c r="A155" s="95" t="s">
        <v>1554</v>
      </c>
      <c r="B155" s="95">
        <v>154</v>
      </c>
      <c r="C155" s="95">
        <v>3036542420</v>
      </c>
      <c r="D155" s="95" t="s">
        <v>1391</v>
      </c>
      <c r="E155" s="95">
        <v>2</v>
      </c>
    </row>
    <row r="156" spans="1:5" x14ac:dyDescent="0.35">
      <c r="A156" s="95" t="s">
        <v>1555</v>
      </c>
      <c r="B156" s="95">
        <v>155</v>
      </c>
      <c r="C156" s="95">
        <v>3013320640</v>
      </c>
      <c r="D156" s="95" t="s">
        <v>1391</v>
      </c>
      <c r="E156" s="95">
        <v>1</v>
      </c>
    </row>
    <row r="157" spans="1:5" x14ac:dyDescent="0.35">
      <c r="A157" s="95" t="s">
        <v>1434</v>
      </c>
      <c r="B157" s="95">
        <v>156</v>
      </c>
      <c r="C157" s="95">
        <v>3013320641</v>
      </c>
      <c r="D157" s="95" t="s">
        <v>1391</v>
      </c>
      <c r="E157" s="95">
        <v>213</v>
      </c>
    </row>
    <row r="158" spans="1:5" x14ac:dyDescent="0.35">
      <c r="A158" s="95" t="s">
        <v>1556</v>
      </c>
      <c r="B158" s="95">
        <v>157</v>
      </c>
      <c r="C158" s="95">
        <v>3036542471</v>
      </c>
      <c r="D158" s="95" t="e">
        <v>#N/A</v>
      </c>
      <c r="E158" s="95">
        <v>0</v>
      </c>
    </row>
    <row r="159" spans="1:5" x14ac:dyDescent="0.35">
      <c r="A159" s="95" t="s">
        <v>1557</v>
      </c>
      <c r="B159" s="95">
        <v>158</v>
      </c>
      <c r="C159" s="95">
        <v>3036542472</v>
      </c>
      <c r="D159" s="95" t="e">
        <v>#N/A</v>
      </c>
      <c r="E159" s="95">
        <v>0</v>
      </c>
    </row>
    <row r="160" spans="1:5" x14ac:dyDescent="0.35">
      <c r="A160" s="95" t="s">
        <v>1558</v>
      </c>
      <c r="B160" s="95">
        <v>159</v>
      </c>
      <c r="C160" s="95">
        <v>3036542473</v>
      </c>
      <c r="D160" s="95" t="e">
        <v>#N/A</v>
      </c>
      <c r="E160" s="95">
        <v>0</v>
      </c>
    </row>
    <row r="161" spans="1:5" x14ac:dyDescent="0.35">
      <c r="A161" s="95" t="s">
        <v>1559</v>
      </c>
      <c r="B161" s="95">
        <v>160</v>
      </c>
      <c r="C161" s="95">
        <v>3036542474</v>
      </c>
      <c r="D161" s="95" t="e">
        <v>#N/A</v>
      </c>
      <c r="E161" s="95">
        <v>0</v>
      </c>
    </row>
    <row r="162" spans="1:5" x14ac:dyDescent="0.35">
      <c r="A162" s="95" t="s">
        <v>1560</v>
      </c>
      <c r="B162" s="95">
        <v>161</v>
      </c>
      <c r="C162" s="95">
        <v>3036542475</v>
      </c>
      <c r="D162" s="95" t="e">
        <v>#N/A</v>
      </c>
      <c r="E162" s="95">
        <v>0</v>
      </c>
    </row>
    <row r="163" spans="1:5" x14ac:dyDescent="0.35">
      <c r="A163" s="95" t="s">
        <v>1561</v>
      </c>
      <c r="B163" s="95">
        <v>162</v>
      </c>
      <c r="C163" s="95">
        <v>3036542316</v>
      </c>
      <c r="D163" s="95" t="e">
        <v>#N/A</v>
      </c>
      <c r="E163" s="95">
        <v>0</v>
      </c>
    </row>
    <row r="164" spans="1:5" x14ac:dyDescent="0.35">
      <c r="A164" s="95" t="s">
        <v>1562</v>
      </c>
      <c r="B164" s="95">
        <v>163</v>
      </c>
      <c r="C164" s="95">
        <v>3042413128</v>
      </c>
      <c r="D164" s="95" t="e">
        <v>#N/A</v>
      </c>
      <c r="E164" s="95">
        <v>0</v>
      </c>
    </row>
    <row r="165" spans="1:5" x14ac:dyDescent="0.35">
      <c r="A165" s="95" t="s">
        <v>1563</v>
      </c>
      <c r="B165" s="95">
        <v>164</v>
      </c>
      <c r="C165" s="95">
        <v>3081892633</v>
      </c>
      <c r="D165" s="95" t="e">
        <v>#N/A</v>
      </c>
      <c r="E165" s="95">
        <v>0</v>
      </c>
    </row>
    <row r="166" spans="1:5" x14ac:dyDescent="0.35">
      <c r="A166" s="95" t="s">
        <v>1564</v>
      </c>
      <c r="B166" s="95">
        <v>165</v>
      </c>
      <c r="C166" s="95">
        <v>3036542477</v>
      </c>
      <c r="D166" s="95" t="e">
        <v>#N/A</v>
      </c>
      <c r="E166" s="95">
        <v>0</v>
      </c>
    </row>
    <row r="167" spans="1:5" x14ac:dyDescent="0.35">
      <c r="A167" s="95" t="s">
        <v>1565</v>
      </c>
      <c r="B167" s="95">
        <v>166</v>
      </c>
      <c r="C167" s="95">
        <v>3097760183</v>
      </c>
      <c r="D167" s="95" t="e">
        <v>#N/A</v>
      </c>
      <c r="E167" s="95">
        <v>0</v>
      </c>
    </row>
    <row r="168" spans="1:5" x14ac:dyDescent="0.35">
      <c r="A168" s="95" t="s">
        <v>1566</v>
      </c>
      <c r="B168" s="95">
        <v>167</v>
      </c>
      <c r="C168" s="95">
        <v>3036542580</v>
      </c>
      <c r="D168" s="95" t="e">
        <v>#N/A</v>
      </c>
      <c r="E168" s="95">
        <v>0</v>
      </c>
    </row>
    <row r="169" spans="1:5" x14ac:dyDescent="0.35">
      <c r="A169" s="95" t="s">
        <v>1567</v>
      </c>
      <c r="B169" s="95">
        <v>168</v>
      </c>
      <c r="C169" s="95">
        <v>3022059583</v>
      </c>
      <c r="D169" s="95" t="e">
        <v>#N/A</v>
      </c>
      <c r="E169" s="95">
        <v>0</v>
      </c>
    </row>
    <row r="170" spans="1:5" x14ac:dyDescent="0.35">
      <c r="A170" s="95" t="s">
        <v>1568</v>
      </c>
      <c r="B170" s="95">
        <v>169</v>
      </c>
      <c r="C170" s="95">
        <v>3036542479</v>
      </c>
      <c r="D170" s="95" t="e">
        <v>#N/A</v>
      </c>
      <c r="E170" s="95">
        <v>0</v>
      </c>
    </row>
    <row r="171" spans="1:5" x14ac:dyDescent="0.35">
      <c r="A171" s="95" t="s">
        <v>1569</v>
      </c>
      <c r="B171" s="95">
        <v>170</v>
      </c>
      <c r="C171" s="95">
        <v>3036542494</v>
      </c>
      <c r="D171" s="95" t="e">
        <v>#N/A</v>
      </c>
      <c r="E171" s="95">
        <v>0</v>
      </c>
    </row>
    <row r="172" spans="1:5" x14ac:dyDescent="0.35">
      <c r="A172" s="95" t="s">
        <v>1407</v>
      </c>
      <c r="B172" s="95">
        <v>171</v>
      </c>
      <c r="C172" s="95">
        <v>3036542480</v>
      </c>
      <c r="D172" s="95" t="s">
        <v>1390</v>
      </c>
      <c r="E172" s="95">
        <v>0</v>
      </c>
    </row>
    <row r="173" spans="1:5" x14ac:dyDescent="0.35">
      <c r="A173" s="95" t="s">
        <v>1570</v>
      </c>
      <c r="B173" s="95">
        <v>172</v>
      </c>
      <c r="C173" s="95">
        <v>3036542495</v>
      </c>
      <c r="D173" s="95" t="e">
        <v>#N/A</v>
      </c>
      <c r="E173" s="95">
        <v>0</v>
      </c>
    </row>
    <row r="174" spans="1:5" x14ac:dyDescent="0.35">
      <c r="A174" s="95" t="s">
        <v>1571</v>
      </c>
      <c r="B174" s="95">
        <v>173</v>
      </c>
      <c r="C174" s="95">
        <v>3036542481</v>
      </c>
      <c r="D174" s="95" t="e">
        <v>#N/A</v>
      </c>
      <c r="E174" s="95">
        <v>0</v>
      </c>
    </row>
    <row r="175" spans="1:5" x14ac:dyDescent="0.35">
      <c r="A175" s="95" t="s">
        <v>1572</v>
      </c>
      <c r="B175" s="95">
        <v>174</v>
      </c>
      <c r="C175" s="95">
        <v>3036542482</v>
      </c>
      <c r="D175" s="95" t="e">
        <v>#N/A</v>
      </c>
      <c r="E175" s="95">
        <v>0</v>
      </c>
    </row>
    <row r="176" spans="1:5" x14ac:dyDescent="0.35">
      <c r="A176" s="95" t="s">
        <v>1573</v>
      </c>
      <c r="B176" s="95">
        <v>175</v>
      </c>
      <c r="C176" s="95">
        <v>3036542483</v>
      </c>
      <c r="D176" s="95" t="e">
        <v>#N/A</v>
      </c>
      <c r="E176" s="95">
        <v>0</v>
      </c>
    </row>
    <row r="177" spans="1:5" x14ac:dyDescent="0.35">
      <c r="A177" s="95" t="s">
        <v>1574</v>
      </c>
      <c r="B177" s="95">
        <v>176</v>
      </c>
      <c r="C177" s="95">
        <v>3036542484</v>
      </c>
      <c r="D177" s="95" t="e">
        <v>#N/A</v>
      </c>
      <c r="E177" s="95">
        <v>0</v>
      </c>
    </row>
    <row r="178" spans="1:5" x14ac:dyDescent="0.35">
      <c r="A178" s="95" t="s">
        <v>1575</v>
      </c>
      <c r="B178" s="95">
        <v>177</v>
      </c>
      <c r="C178" s="95">
        <v>3036542485</v>
      </c>
      <c r="D178" s="95" t="e">
        <v>#N/A</v>
      </c>
      <c r="E178" s="95">
        <v>0</v>
      </c>
    </row>
    <row r="179" spans="1:5" x14ac:dyDescent="0.35">
      <c r="A179" s="95" t="s">
        <v>1449</v>
      </c>
      <c r="B179" s="95">
        <v>178</v>
      </c>
      <c r="C179" s="95">
        <v>3036542398</v>
      </c>
      <c r="D179" s="95" t="s">
        <v>1394</v>
      </c>
      <c r="E179" s="95">
        <v>0</v>
      </c>
    </row>
    <row r="180" spans="1:5" x14ac:dyDescent="0.35">
      <c r="A180" s="95" t="s">
        <v>1576</v>
      </c>
      <c r="B180" s="95">
        <v>179</v>
      </c>
      <c r="C180" s="95">
        <v>3036542486</v>
      </c>
      <c r="D180" s="95" t="e">
        <v>#N/A</v>
      </c>
      <c r="E180" s="95">
        <v>0</v>
      </c>
    </row>
    <row r="181" spans="1:5" x14ac:dyDescent="0.35">
      <c r="A181" s="95" t="s">
        <v>1577</v>
      </c>
      <c r="B181" s="95">
        <v>180</v>
      </c>
      <c r="C181" s="95">
        <v>3036542487</v>
      </c>
      <c r="D181" s="95" t="e">
        <v>#N/A</v>
      </c>
      <c r="E181" s="95">
        <v>0</v>
      </c>
    </row>
    <row r="182" spans="1:5" x14ac:dyDescent="0.35">
      <c r="A182" s="95" t="s">
        <v>1578</v>
      </c>
      <c r="B182" s="95">
        <v>181</v>
      </c>
      <c r="C182" s="95">
        <v>3036542489</v>
      </c>
      <c r="D182" s="95" t="e">
        <v>#N/A</v>
      </c>
      <c r="E182" s="95">
        <v>0</v>
      </c>
    </row>
    <row r="183" spans="1:5" x14ac:dyDescent="0.35">
      <c r="A183" s="95" t="s">
        <v>1579</v>
      </c>
      <c r="B183" s="95">
        <v>182</v>
      </c>
      <c r="C183" s="95">
        <v>3036542490</v>
      </c>
      <c r="D183" s="95" t="e">
        <v>#N/A</v>
      </c>
      <c r="E183" s="95">
        <v>0</v>
      </c>
    </row>
    <row r="184" spans="1:5" x14ac:dyDescent="0.35">
      <c r="A184" s="95" t="s">
        <v>1580</v>
      </c>
      <c r="B184" s="95">
        <v>183</v>
      </c>
      <c r="C184" s="95">
        <v>3036542491</v>
      </c>
      <c r="D184" s="95" t="e">
        <v>#N/A</v>
      </c>
      <c r="E184" s="95">
        <v>0</v>
      </c>
    </row>
    <row r="185" spans="1:5" x14ac:dyDescent="0.35">
      <c r="A185" s="95" t="s">
        <v>1581</v>
      </c>
      <c r="B185" s="95">
        <v>184</v>
      </c>
      <c r="C185" s="95">
        <v>3036542492</v>
      </c>
      <c r="D185" s="95" t="e">
        <v>#N/A</v>
      </c>
      <c r="E185" s="95">
        <v>0</v>
      </c>
    </row>
    <row r="186" spans="1:5" x14ac:dyDescent="0.35">
      <c r="A186" s="95" t="s">
        <v>1582</v>
      </c>
      <c r="B186" s="95">
        <v>185</v>
      </c>
      <c r="C186" s="95">
        <v>3015737097</v>
      </c>
      <c r="D186" s="95" t="e">
        <v>#N/A</v>
      </c>
      <c r="E186" s="95">
        <v>0</v>
      </c>
    </row>
    <row r="187" spans="1:5" x14ac:dyDescent="0.35">
      <c r="A187" s="95" t="s">
        <v>1583</v>
      </c>
      <c r="B187" s="95">
        <v>186</v>
      </c>
      <c r="C187" s="95">
        <v>3036542499</v>
      </c>
      <c r="D187" s="95" t="e">
        <v>#N/A</v>
      </c>
      <c r="E187" s="95">
        <v>0</v>
      </c>
    </row>
    <row r="188" spans="1:5" x14ac:dyDescent="0.35">
      <c r="A188" s="95" t="s">
        <v>1584</v>
      </c>
      <c r="B188" s="95">
        <v>187</v>
      </c>
      <c r="C188" s="95">
        <v>3036542500</v>
      </c>
      <c r="D188" s="95" t="e">
        <v>#N/A</v>
      </c>
      <c r="E188" s="95">
        <v>0</v>
      </c>
    </row>
    <row r="189" spans="1:5" x14ac:dyDescent="0.35">
      <c r="A189" s="95" t="s">
        <v>1585</v>
      </c>
      <c r="B189" s="95">
        <v>188</v>
      </c>
      <c r="C189" s="95">
        <v>3036542501</v>
      </c>
      <c r="D189" s="95" t="e">
        <v>#N/A</v>
      </c>
      <c r="E189" s="95">
        <v>0</v>
      </c>
    </row>
    <row r="190" spans="1:5" x14ac:dyDescent="0.35">
      <c r="A190" s="95" t="s">
        <v>1586</v>
      </c>
      <c r="B190" s="95">
        <v>189</v>
      </c>
      <c r="C190" s="95">
        <v>3036542502</v>
      </c>
      <c r="D190" s="95" t="e">
        <v>#N/A</v>
      </c>
      <c r="E190" s="95">
        <v>0</v>
      </c>
    </row>
    <row r="191" spans="1:5" x14ac:dyDescent="0.35">
      <c r="A191" s="95" t="s">
        <v>1587</v>
      </c>
      <c r="B191" s="95">
        <v>190</v>
      </c>
      <c r="C191" s="95">
        <v>3036542503</v>
      </c>
      <c r="D191" s="95" t="e">
        <v>#N/A</v>
      </c>
      <c r="E191" s="95">
        <v>0</v>
      </c>
    </row>
    <row r="192" spans="1:5" x14ac:dyDescent="0.35">
      <c r="A192" s="95" t="s">
        <v>1588</v>
      </c>
      <c r="B192" s="95">
        <v>191</v>
      </c>
      <c r="C192" s="95">
        <v>3036542520</v>
      </c>
      <c r="D192" s="95" t="e">
        <v>#N/A</v>
      </c>
      <c r="E192" s="95">
        <v>0</v>
      </c>
    </row>
    <row r="193" spans="1:5" x14ac:dyDescent="0.35">
      <c r="A193" s="95" t="s">
        <v>1589</v>
      </c>
      <c r="B193" s="95">
        <v>192</v>
      </c>
      <c r="C193" s="95">
        <v>3036542521</v>
      </c>
      <c r="D193" s="95" t="e">
        <v>#N/A</v>
      </c>
      <c r="E193" s="95">
        <v>0</v>
      </c>
    </row>
    <row r="194" spans="1:5" x14ac:dyDescent="0.35">
      <c r="A194" s="95" t="s">
        <v>1590</v>
      </c>
      <c r="B194" s="95">
        <v>193</v>
      </c>
      <c r="C194" s="95">
        <v>3036542522</v>
      </c>
      <c r="D194" s="95" t="e">
        <v>#N/A</v>
      </c>
      <c r="E194" s="95">
        <v>0</v>
      </c>
    </row>
    <row r="195" spans="1:5" x14ac:dyDescent="0.35">
      <c r="A195" s="95" t="s">
        <v>1591</v>
      </c>
      <c r="B195" s="95">
        <v>194</v>
      </c>
      <c r="C195" s="95">
        <v>3036542504</v>
      </c>
      <c r="D195" s="95" t="e">
        <v>#N/A</v>
      </c>
      <c r="E195" s="95">
        <v>0</v>
      </c>
    </row>
    <row r="196" spans="1:5" x14ac:dyDescent="0.35">
      <c r="A196" s="95" t="s">
        <v>1592</v>
      </c>
      <c r="B196" s="95">
        <v>195</v>
      </c>
      <c r="C196" s="95">
        <v>3036542505</v>
      </c>
      <c r="D196" s="95" t="e">
        <v>#N/A</v>
      </c>
      <c r="E196" s="95">
        <v>0</v>
      </c>
    </row>
    <row r="197" spans="1:5" x14ac:dyDescent="0.35">
      <c r="A197" s="95" t="s">
        <v>1593</v>
      </c>
      <c r="B197" s="95">
        <v>196</v>
      </c>
      <c r="C197" s="95">
        <v>3036542506</v>
      </c>
      <c r="D197" s="95" t="e">
        <v>#N/A</v>
      </c>
      <c r="E197" s="95">
        <v>0</v>
      </c>
    </row>
    <row r="198" spans="1:5" x14ac:dyDescent="0.35">
      <c r="A198" s="95" t="s">
        <v>1594</v>
      </c>
      <c r="B198" s="95">
        <v>197</v>
      </c>
      <c r="C198" s="95">
        <v>3036542526</v>
      </c>
      <c r="D198" s="95" t="e">
        <v>#N/A</v>
      </c>
      <c r="E198" s="95">
        <v>0</v>
      </c>
    </row>
    <row r="199" spans="1:5" x14ac:dyDescent="0.35">
      <c r="A199" s="95" t="s">
        <v>1595</v>
      </c>
      <c r="B199" s="95">
        <v>198</v>
      </c>
      <c r="C199" s="95">
        <v>3036542527</v>
      </c>
      <c r="D199" s="95" t="e">
        <v>#N/A</v>
      </c>
      <c r="E199" s="95">
        <v>0</v>
      </c>
    </row>
    <row r="200" spans="1:5" x14ac:dyDescent="0.35">
      <c r="A200" s="95" t="s">
        <v>1596</v>
      </c>
      <c r="B200" s="95">
        <v>199</v>
      </c>
      <c r="C200" s="95">
        <v>3047419432</v>
      </c>
      <c r="D200" s="95" t="e">
        <v>#N/A</v>
      </c>
      <c r="E200" s="95">
        <v>0</v>
      </c>
    </row>
    <row r="201" spans="1:5" x14ac:dyDescent="0.35">
      <c r="A201" s="95" t="s">
        <v>1597</v>
      </c>
      <c r="B201" s="95">
        <v>200</v>
      </c>
      <c r="C201" s="95">
        <v>3036317109</v>
      </c>
      <c r="D201" s="95" t="e">
        <v>#N/A</v>
      </c>
      <c r="E201" s="95">
        <v>0</v>
      </c>
    </row>
    <row r="202" spans="1:5" x14ac:dyDescent="0.35">
      <c r="A202" s="95" t="s">
        <v>1598</v>
      </c>
      <c r="B202" s="95">
        <v>201</v>
      </c>
      <c r="C202" s="95">
        <v>3039580095</v>
      </c>
      <c r="D202" s="95" t="e">
        <v>#N/A</v>
      </c>
      <c r="E202" s="95">
        <v>0</v>
      </c>
    </row>
    <row r="203" spans="1:5" x14ac:dyDescent="0.35">
      <c r="A203" s="95" t="s">
        <v>1599</v>
      </c>
      <c r="B203" s="95">
        <v>202</v>
      </c>
      <c r="C203" s="95">
        <v>3036542529</v>
      </c>
      <c r="D203" s="95" t="e">
        <v>#N/A</v>
      </c>
      <c r="E203" s="95">
        <v>0</v>
      </c>
    </row>
    <row r="204" spans="1:5" x14ac:dyDescent="0.35">
      <c r="A204" s="95" t="s">
        <v>1600</v>
      </c>
      <c r="B204" s="95">
        <v>203</v>
      </c>
      <c r="C204" s="95">
        <v>3036542390</v>
      </c>
      <c r="D204" s="95" t="e">
        <v>#N/A</v>
      </c>
      <c r="E204" s="95">
        <v>0</v>
      </c>
    </row>
    <row r="205" spans="1:5" x14ac:dyDescent="0.35">
      <c r="A205" s="95" t="s">
        <v>1601</v>
      </c>
      <c r="B205" s="95">
        <v>204</v>
      </c>
      <c r="C205" s="95">
        <v>3036542531</v>
      </c>
      <c r="D205" s="95" t="e">
        <v>#N/A</v>
      </c>
      <c r="E205" s="95">
        <v>0</v>
      </c>
    </row>
    <row r="206" spans="1:5" x14ac:dyDescent="0.35">
      <c r="A206" s="95" t="s">
        <v>1602</v>
      </c>
      <c r="B206" s="95">
        <v>205</v>
      </c>
      <c r="C206" s="95">
        <v>3036542467</v>
      </c>
      <c r="D206" s="95" t="e">
        <v>#N/A</v>
      </c>
      <c r="E206" s="95">
        <v>0</v>
      </c>
    </row>
    <row r="207" spans="1:5" x14ac:dyDescent="0.35">
      <c r="A207" s="95" t="s">
        <v>1603</v>
      </c>
      <c r="B207" s="95">
        <v>206</v>
      </c>
      <c r="C207" s="95">
        <v>3036542546</v>
      </c>
      <c r="D207" s="95" t="e">
        <v>#N/A</v>
      </c>
      <c r="E207" s="95">
        <v>0</v>
      </c>
    </row>
    <row r="208" spans="1:5" x14ac:dyDescent="0.35">
      <c r="A208" s="95" t="s">
        <v>1604</v>
      </c>
      <c r="B208" s="95">
        <v>207</v>
      </c>
      <c r="C208" s="95">
        <v>3036542539</v>
      </c>
      <c r="D208" s="95" t="e">
        <v>#N/A</v>
      </c>
      <c r="E208" s="95">
        <v>0</v>
      </c>
    </row>
    <row r="209" spans="1:5" x14ac:dyDescent="0.35">
      <c r="A209" s="95" t="s">
        <v>1605</v>
      </c>
      <c r="B209" s="95">
        <v>208</v>
      </c>
      <c r="C209" s="95">
        <v>3036542541</v>
      </c>
      <c r="D209" s="95" t="e">
        <v>#N/A</v>
      </c>
      <c r="E209" s="95">
        <v>0</v>
      </c>
    </row>
    <row r="210" spans="1:5" x14ac:dyDescent="0.35">
      <c r="A210" s="95" t="s">
        <v>1606</v>
      </c>
      <c r="B210" s="95">
        <v>209</v>
      </c>
      <c r="C210" s="95">
        <v>3036542535</v>
      </c>
      <c r="D210" s="95" t="e">
        <v>#N/A</v>
      </c>
      <c r="E210" s="95">
        <v>0</v>
      </c>
    </row>
    <row r="211" spans="1:5" x14ac:dyDescent="0.35">
      <c r="A211" s="95" t="s">
        <v>1607</v>
      </c>
      <c r="B211" s="95">
        <v>210</v>
      </c>
      <c r="C211" s="95">
        <v>3050017277</v>
      </c>
      <c r="D211" s="95" t="e">
        <v>#N/A</v>
      </c>
      <c r="E211" s="95">
        <v>0</v>
      </c>
    </row>
    <row r="212" spans="1:5" x14ac:dyDescent="0.35">
      <c r="A212" s="95" t="s">
        <v>1608</v>
      </c>
      <c r="B212" s="95">
        <v>211</v>
      </c>
      <c r="C212" s="95">
        <v>3036542542</v>
      </c>
      <c r="D212" s="95" t="e">
        <v>#N/A</v>
      </c>
      <c r="E212" s="95">
        <v>0</v>
      </c>
    </row>
    <row r="213" spans="1:5" x14ac:dyDescent="0.35">
      <c r="A213" s="95" t="s">
        <v>1609</v>
      </c>
      <c r="B213" s="95">
        <v>212</v>
      </c>
      <c r="C213" s="95">
        <v>4072634459</v>
      </c>
      <c r="D213" s="95" t="e">
        <v>#N/A</v>
      </c>
      <c r="E213" s="95">
        <v>0</v>
      </c>
    </row>
    <row r="214" spans="1:5" x14ac:dyDescent="0.35">
      <c r="A214" s="95" t="s">
        <v>1610</v>
      </c>
      <c r="B214" s="95">
        <v>213</v>
      </c>
      <c r="C214" s="95">
        <v>3089773295</v>
      </c>
      <c r="D214" s="95" t="e">
        <v>#N/A</v>
      </c>
      <c r="E214" s="95">
        <v>0</v>
      </c>
    </row>
    <row r="215" spans="1:5" x14ac:dyDescent="0.35">
      <c r="A215" s="95" t="s">
        <v>1611</v>
      </c>
      <c r="B215" s="95">
        <v>214</v>
      </c>
      <c r="C215" s="95">
        <v>3087102401</v>
      </c>
      <c r="D215" s="95" t="e">
        <v>#N/A</v>
      </c>
      <c r="E215" s="95">
        <v>0</v>
      </c>
    </row>
    <row r="216" spans="1:5" x14ac:dyDescent="0.35">
      <c r="A216" s="95" t="s">
        <v>1612</v>
      </c>
      <c r="B216" s="95">
        <v>215</v>
      </c>
      <c r="C216" s="95">
        <v>3036542538</v>
      </c>
      <c r="D216" s="95" t="e">
        <v>#N/A</v>
      </c>
      <c r="E216" s="95">
        <v>0</v>
      </c>
    </row>
    <row r="217" spans="1:5" x14ac:dyDescent="0.35">
      <c r="A217" s="95" t="s">
        <v>1613</v>
      </c>
      <c r="B217" s="95">
        <v>216</v>
      </c>
      <c r="C217" s="95">
        <v>3036542540</v>
      </c>
      <c r="D217" s="95" t="e">
        <v>#N/A</v>
      </c>
      <c r="E217" s="95">
        <v>0</v>
      </c>
    </row>
    <row r="218" spans="1:5" x14ac:dyDescent="0.35">
      <c r="A218" s="95" t="s">
        <v>1614</v>
      </c>
      <c r="B218" s="95">
        <v>217</v>
      </c>
      <c r="C218" s="95">
        <v>3075808848</v>
      </c>
      <c r="D218" s="95" t="e">
        <v>#N/A</v>
      </c>
      <c r="E218" s="95">
        <v>0</v>
      </c>
    </row>
    <row r="219" spans="1:5" x14ac:dyDescent="0.35">
      <c r="A219" s="95" t="s">
        <v>1615</v>
      </c>
      <c r="B219" s="95">
        <v>218</v>
      </c>
      <c r="C219" s="95">
        <v>3090130040</v>
      </c>
      <c r="D219" s="95" t="e">
        <v>#N/A</v>
      </c>
      <c r="E219" s="95">
        <v>0</v>
      </c>
    </row>
    <row r="220" spans="1:5" x14ac:dyDescent="0.35">
      <c r="A220" s="95" t="s">
        <v>1616</v>
      </c>
      <c r="B220" s="95">
        <v>219</v>
      </c>
      <c r="C220" s="95">
        <v>3036542536</v>
      </c>
      <c r="D220" s="95" t="e">
        <v>#N/A</v>
      </c>
      <c r="E220" s="95">
        <v>0</v>
      </c>
    </row>
    <row r="221" spans="1:5" x14ac:dyDescent="0.35">
      <c r="A221" s="95" t="s">
        <v>1617</v>
      </c>
      <c r="B221" s="95">
        <v>220</v>
      </c>
      <c r="C221" s="95">
        <v>3075461339</v>
      </c>
      <c r="D221" s="95" t="e">
        <v>#N/A</v>
      </c>
      <c r="E221" s="95">
        <v>0</v>
      </c>
    </row>
    <row r="222" spans="1:5" x14ac:dyDescent="0.35">
      <c r="A222" s="95" t="s">
        <v>1618</v>
      </c>
      <c r="B222" s="95">
        <v>221</v>
      </c>
      <c r="C222" s="95">
        <v>3036542579</v>
      </c>
      <c r="D222" s="95" t="e">
        <v>#N/A</v>
      </c>
      <c r="E222" s="95">
        <v>0</v>
      </c>
    </row>
    <row r="223" spans="1:5" x14ac:dyDescent="0.35">
      <c r="A223" s="95" t="s">
        <v>1619</v>
      </c>
      <c r="B223" s="95">
        <v>222</v>
      </c>
      <c r="C223" s="95">
        <v>3054016330</v>
      </c>
      <c r="D223" s="95" t="e">
        <v>#N/A</v>
      </c>
      <c r="E223" s="95">
        <v>0</v>
      </c>
    </row>
    <row r="224" spans="1:5" x14ac:dyDescent="0.35">
      <c r="A224" s="95" t="s">
        <v>1620</v>
      </c>
      <c r="B224" s="95">
        <v>223</v>
      </c>
      <c r="C224" s="95">
        <v>3053693365</v>
      </c>
      <c r="D224" s="95" t="e">
        <v>#N/A</v>
      </c>
      <c r="E224" s="95">
        <v>0</v>
      </c>
    </row>
    <row r="225" spans="1:5" x14ac:dyDescent="0.35">
      <c r="A225" s="95" t="s">
        <v>1621</v>
      </c>
      <c r="B225" s="95">
        <v>224</v>
      </c>
      <c r="C225" s="95">
        <v>3039468165</v>
      </c>
      <c r="D225" s="95" t="e">
        <v>#N/A</v>
      </c>
      <c r="E225" s="95">
        <v>0</v>
      </c>
    </row>
    <row r="226" spans="1:5" x14ac:dyDescent="0.35">
      <c r="A226" s="95" t="s">
        <v>1622</v>
      </c>
      <c r="B226" s="95">
        <v>225</v>
      </c>
      <c r="C226" s="95">
        <v>3036542543</v>
      </c>
      <c r="D226" s="95" t="e">
        <v>#N/A</v>
      </c>
      <c r="E226" s="95">
        <v>0</v>
      </c>
    </row>
    <row r="227" spans="1:5" x14ac:dyDescent="0.35">
      <c r="A227" s="95" t="s">
        <v>1623</v>
      </c>
      <c r="B227" s="95">
        <v>226</v>
      </c>
      <c r="C227" s="95">
        <v>3030846218</v>
      </c>
      <c r="D227" s="95" t="e">
        <v>#N/A</v>
      </c>
      <c r="E227" s="95">
        <v>0</v>
      </c>
    </row>
    <row r="228" spans="1:5" x14ac:dyDescent="0.35">
      <c r="A228" s="95" t="s">
        <v>1624</v>
      </c>
      <c r="B228" s="95">
        <v>227</v>
      </c>
      <c r="C228" s="95">
        <v>3036542537</v>
      </c>
      <c r="D228" s="95" t="e">
        <v>#N/A</v>
      </c>
      <c r="E228" s="95">
        <v>0</v>
      </c>
    </row>
    <row r="229" spans="1:5" x14ac:dyDescent="0.35">
      <c r="A229" s="95" t="s">
        <v>1625</v>
      </c>
      <c r="B229" s="95">
        <v>228</v>
      </c>
      <c r="C229" s="95">
        <v>3018805550</v>
      </c>
      <c r="D229" s="95" t="e">
        <v>#N/A</v>
      </c>
      <c r="E229" s="95">
        <v>0</v>
      </c>
    </row>
    <row r="230" spans="1:5" x14ac:dyDescent="0.35">
      <c r="A230" s="95" t="s">
        <v>1626</v>
      </c>
      <c r="B230" s="95">
        <v>229</v>
      </c>
      <c r="C230" s="95">
        <v>3036542545</v>
      </c>
      <c r="D230" s="95" t="e">
        <v>#N/A</v>
      </c>
      <c r="E230" s="95">
        <v>0</v>
      </c>
    </row>
    <row r="231" spans="1:5" x14ac:dyDescent="0.35">
      <c r="A231" s="95" t="s">
        <v>1627</v>
      </c>
      <c r="B231" s="95">
        <v>230</v>
      </c>
      <c r="C231" s="95">
        <v>3078296066</v>
      </c>
      <c r="D231" s="95" t="e">
        <v>#N/A</v>
      </c>
      <c r="E231" s="95">
        <v>0</v>
      </c>
    </row>
    <row r="232" spans="1:5" x14ac:dyDescent="0.35">
      <c r="A232" s="95" t="s">
        <v>1628</v>
      </c>
      <c r="B232" s="95">
        <v>231</v>
      </c>
      <c r="C232" s="95">
        <v>3074773754</v>
      </c>
      <c r="D232" s="95" t="e">
        <v>#N/A</v>
      </c>
      <c r="E232" s="95">
        <v>0</v>
      </c>
    </row>
    <row r="233" spans="1:5" x14ac:dyDescent="0.35">
      <c r="A233" s="95" t="s">
        <v>1629</v>
      </c>
      <c r="B233" s="95">
        <v>232</v>
      </c>
      <c r="C233" s="95">
        <v>3036542533</v>
      </c>
      <c r="D233" s="95" t="e">
        <v>#N/A</v>
      </c>
      <c r="E233" s="95">
        <v>0</v>
      </c>
    </row>
    <row r="234" spans="1:5" x14ac:dyDescent="0.35">
      <c r="A234" s="95" t="s">
        <v>1630</v>
      </c>
      <c r="B234" s="95">
        <v>233</v>
      </c>
      <c r="C234" s="95">
        <v>3013950588</v>
      </c>
      <c r="D234" s="95" t="e">
        <v>#N/A</v>
      </c>
      <c r="E234" s="95">
        <v>0</v>
      </c>
    </row>
    <row r="235" spans="1:5" x14ac:dyDescent="0.35">
      <c r="A235" s="95" t="s">
        <v>1631</v>
      </c>
      <c r="B235" s="95">
        <v>234</v>
      </c>
      <c r="C235" s="95">
        <v>3036542497</v>
      </c>
      <c r="D235" s="95" t="e">
        <v>#N/A</v>
      </c>
      <c r="E235" s="95">
        <v>0</v>
      </c>
    </row>
    <row r="236" spans="1:5" x14ac:dyDescent="0.35">
      <c r="A236" s="95" t="s">
        <v>1632</v>
      </c>
      <c r="B236" s="95">
        <v>235</v>
      </c>
      <c r="C236" s="95">
        <v>3036542320</v>
      </c>
      <c r="D236" s="95" t="e">
        <v>#N/A</v>
      </c>
      <c r="E236" s="95">
        <v>0</v>
      </c>
    </row>
    <row r="237" spans="1:5" x14ac:dyDescent="0.35">
      <c r="A237" s="95" t="s">
        <v>1633</v>
      </c>
      <c r="B237" s="95">
        <v>236</v>
      </c>
      <c r="C237" s="95">
        <v>3036542321</v>
      </c>
      <c r="D237" s="95" t="e">
        <v>#N/A</v>
      </c>
      <c r="E237" s="95">
        <v>0</v>
      </c>
    </row>
    <row r="238" spans="1:5" x14ac:dyDescent="0.35">
      <c r="A238" s="95" t="s">
        <v>1634</v>
      </c>
      <c r="B238" s="95">
        <v>237</v>
      </c>
      <c r="C238" s="95">
        <v>3036542322</v>
      </c>
      <c r="D238" s="95" t="e">
        <v>#N/A</v>
      </c>
      <c r="E238" s="95">
        <v>0</v>
      </c>
    </row>
    <row r="239" spans="1:5" x14ac:dyDescent="0.35">
      <c r="A239" s="95" t="s">
        <v>1635</v>
      </c>
      <c r="B239" s="95">
        <v>238</v>
      </c>
      <c r="C239" s="95">
        <v>3036542549</v>
      </c>
      <c r="D239" s="95" t="e">
        <v>#N/A</v>
      </c>
      <c r="E239" s="95">
        <v>0</v>
      </c>
    </row>
    <row r="240" spans="1:5" x14ac:dyDescent="0.35">
      <c r="A240" s="95" t="s">
        <v>1636</v>
      </c>
      <c r="B240" s="95">
        <v>239</v>
      </c>
      <c r="C240" s="95">
        <v>3085694634</v>
      </c>
      <c r="D240" s="95" t="e">
        <v>#N/A</v>
      </c>
      <c r="E240" s="95">
        <v>0</v>
      </c>
    </row>
    <row r="241" spans="1:5" x14ac:dyDescent="0.35">
      <c r="A241" s="95" t="s">
        <v>1637</v>
      </c>
      <c r="B241" s="95">
        <v>240</v>
      </c>
      <c r="C241" s="95">
        <v>3036542493</v>
      </c>
      <c r="D241" s="95" t="e">
        <v>#N/A</v>
      </c>
      <c r="E241" s="95">
        <v>0</v>
      </c>
    </row>
    <row r="242" spans="1:5" x14ac:dyDescent="0.35">
      <c r="A242" s="95" t="s">
        <v>1638</v>
      </c>
      <c r="B242" s="95">
        <v>241</v>
      </c>
      <c r="C242" s="95">
        <v>3036542507</v>
      </c>
      <c r="D242" s="95" t="e">
        <v>#N/A</v>
      </c>
      <c r="E242" s="95">
        <v>0</v>
      </c>
    </row>
    <row r="243" spans="1:5" x14ac:dyDescent="0.35">
      <c r="A243" s="95" t="s">
        <v>1639</v>
      </c>
      <c r="B243" s="95">
        <v>242</v>
      </c>
      <c r="C243" s="95">
        <v>3036542508</v>
      </c>
      <c r="D243" s="95" t="e">
        <v>#N/A</v>
      </c>
      <c r="E243" s="95">
        <v>0</v>
      </c>
    </row>
    <row r="244" spans="1:5" x14ac:dyDescent="0.35">
      <c r="A244" s="95" t="s">
        <v>1640</v>
      </c>
      <c r="B244" s="95">
        <v>243</v>
      </c>
      <c r="C244" s="95">
        <v>3096870721</v>
      </c>
      <c r="D244" s="95" t="e">
        <v>#N/A</v>
      </c>
      <c r="E244" s="95">
        <v>0</v>
      </c>
    </row>
    <row r="245" spans="1:5" x14ac:dyDescent="0.35">
      <c r="A245" s="95" t="s">
        <v>1641</v>
      </c>
      <c r="B245" s="95">
        <v>244</v>
      </c>
      <c r="C245" s="95">
        <v>3019054731</v>
      </c>
      <c r="D245" s="95" t="e">
        <v>#N/A</v>
      </c>
      <c r="E245" s="95">
        <v>0</v>
      </c>
    </row>
    <row r="246" spans="1:5" x14ac:dyDescent="0.35">
      <c r="A246" s="95" t="s">
        <v>1642</v>
      </c>
      <c r="B246" s="95">
        <v>245</v>
      </c>
      <c r="C246" s="95">
        <v>3094519430</v>
      </c>
      <c r="D246" s="95" t="e">
        <v>#N/A</v>
      </c>
      <c r="E246" s="95">
        <v>0</v>
      </c>
    </row>
    <row r="247" spans="1:5" x14ac:dyDescent="0.35">
      <c r="A247" s="95" t="s">
        <v>1643</v>
      </c>
      <c r="B247" s="95">
        <v>246</v>
      </c>
      <c r="C247" s="95">
        <v>3010994916</v>
      </c>
      <c r="D247" s="95" t="e">
        <v>#N/A</v>
      </c>
      <c r="E247" s="95">
        <v>0</v>
      </c>
    </row>
    <row r="248" spans="1:5" x14ac:dyDescent="0.35">
      <c r="A248" s="95" t="s">
        <v>1644</v>
      </c>
      <c r="B248" s="95">
        <v>247</v>
      </c>
      <c r="C248" s="95">
        <v>3016080456</v>
      </c>
      <c r="D248" s="95" t="e">
        <v>#N/A</v>
      </c>
      <c r="E248" s="95">
        <v>0</v>
      </c>
    </row>
    <row r="249" spans="1:5" x14ac:dyDescent="0.35">
      <c r="A249" s="95" t="s">
        <v>1645</v>
      </c>
      <c r="B249" s="95">
        <v>248</v>
      </c>
      <c r="C249" s="95">
        <v>3036542532</v>
      </c>
      <c r="D249" s="95" t="e">
        <v>#N/A</v>
      </c>
      <c r="E249" s="95">
        <v>0</v>
      </c>
    </row>
    <row r="250" spans="1:5" x14ac:dyDescent="0.35">
      <c r="A250" s="95" t="s">
        <v>1646</v>
      </c>
      <c r="B250" s="95">
        <v>249</v>
      </c>
      <c r="C250" s="95">
        <v>3028414636</v>
      </c>
      <c r="D250" s="95" t="e">
        <v>#N/A</v>
      </c>
      <c r="E250" s="95">
        <v>0</v>
      </c>
    </row>
    <row r="251" spans="1:5" x14ac:dyDescent="0.35">
      <c r="A251" s="95" t="s">
        <v>1647</v>
      </c>
      <c r="B251" s="95">
        <v>250</v>
      </c>
      <c r="C251" s="95">
        <v>3016846964</v>
      </c>
      <c r="D251" s="95" t="e">
        <v>#N/A</v>
      </c>
      <c r="E251" s="95">
        <v>0</v>
      </c>
    </row>
    <row r="252" spans="1:5" x14ac:dyDescent="0.35">
      <c r="A252" s="95" t="s">
        <v>1648</v>
      </c>
      <c r="B252" s="95">
        <v>251</v>
      </c>
      <c r="C252" s="95">
        <v>3088127255</v>
      </c>
      <c r="D252" s="95" t="e">
        <v>#N/A</v>
      </c>
      <c r="E252" s="95">
        <v>0</v>
      </c>
    </row>
    <row r="253" spans="1:5" x14ac:dyDescent="0.35">
      <c r="A253" s="95" t="s">
        <v>1649</v>
      </c>
      <c r="B253" s="95">
        <v>252</v>
      </c>
      <c r="C253" s="95">
        <v>3095178048</v>
      </c>
      <c r="D253" s="95" t="e">
        <v>#N/A</v>
      </c>
      <c r="E253" s="95">
        <v>0</v>
      </c>
    </row>
    <row r="254" spans="1:5" x14ac:dyDescent="0.35">
      <c r="A254" s="95" t="s">
        <v>1650</v>
      </c>
      <c r="B254" s="95">
        <v>253</v>
      </c>
      <c r="C254" s="95">
        <v>3036542544</v>
      </c>
      <c r="D254" s="95" t="e">
        <v>#N/A</v>
      </c>
      <c r="E254" s="95">
        <v>0</v>
      </c>
    </row>
    <row r="255" spans="1:5" x14ac:dyDescent="0.35">
      <c r="A255" s="95" t="s">
        <v>1651</v>
      </c>
      <c r="B255" s="95">
        <v>254</v>
      </c>
      <c r="C255" s="95">
        <v>3036542556</v>
      </c>
      <c r="D255" s="95" t="e">
        <v>#N/A</v>
      </c>
      <c r="E255" s="95">
        <v>0</v>
      </c>
    </row>
    <row r="256" spans="1:5" x14ac:dyDescent="0.35">
      <c r="A256" s="95" t="s">
        <v>1652</v>
      </c>
      <c r="B256" s="95">
        <v>255</v>
      </c>
      <c r="C256" s="95">
        <v>3036542557</v>
      </c>
      <c r="D256" s="95" t="e">
        <v>#N/A</v>
      </c>
      <c r="E256" s="95">
        <v>0</v>
      </c>
    </row>
    <row r="257" spans="1:5" x14ac:dyDescent="0.35">
      <c r="A257" s="95" t="s">
        <v>1653</v>
      </c>
      <c r="B257" s="95">
        <v>256</v>
      </c>
      <c r="C257" s="95">
        <v>3036542558</v>
      </c>
      <c r="D257" s="95" t="e">
        <v>#N/A</v>
      </c>
      <c r="E257" s="95">
        <v>0</v>
      </c>
    </row>
    <row r="258" spans="1:5" x14ac:dyDescent="0.35">
      <c r="A258" s="95" t="s">
        <v>1654</v>
      </c>
      <c r="B258" s="95">
        <v>257</v>
      </c>
      <c r="C258" s="95">
        <v>3036542559</v>
      </c>
      <c r="D258" s="95" t="e">
        <v>#N/A</v>
      </c>
      <c r="E258" s="95">
        <v>0</v>
      </c>
    </row>
    <row r="259" spans="1:5" x14ac:dyDescent="0.35">
      <c r="A259" s="95" t="s">
        <v>1655</v>
      </c>
      <c r="B259" s="95">
        <v>258</v>
      </c>
      <c r="C259" s="95">
        <v>3036542560</v>
      </c>
      <c r="D259" s="95" t="e">
        <v>#N/A</v>
      </c>
      <c r="E259" s="95">
        <v>0</v>
      </c>
    </row>
    <row r="260" spans="1:5" x14ac:dyDescent="0.35">
      <c r="A260" s="95" t="s">
        <v>1656</v>
      </c>
      <c r="B260" s="95">
        <v>259</v>
      </c>
      <c r="C260" s="95">
        <v>3036542561</v>
      </c>
      <c r="D260" s="95" t="e">
        <v>#N/A</v>
      </c>
      <c r="E260" s="95">
        <v>0</v>
      </c>
    </row>
    <row r="261" spans="1:5" x14ac:dyDescent="0.35">
      <c r="A261" s="95" t="s">
        <v>1657</v>
      </c>
      <c r="B261" s="95">
        <v>260</v>
      </c>
      <c r="C261" s="95">
        <v>3036542562</v>
      </c>
      <c r="D261" s="95" t="e">
        <v>#N/A</v>
      </c>
      <c r="E261" s="95">
        <v>0</v>
      </c>
    </row>
    <row r="262" spans="1:5" x14ac:dyDescent="0.35">
      <c r="A262" s="95" t="s">
        <v>1658</v>
      </c>
      <c r="B262" s="95">
        <v>261</v>
      </c>
      <c r="C262" s="95">
        <v>3036542563</v>
      </c>
      <c r="D262" s="95" t="e">
        <v>#N/A</v>
      </c>
      <c r="E262" s="95">
        <v>0</v>
      </c>
    </row>
    <row r="263" spans="1:5" x14ac:dyDescent="0.35">
      <c r="A263" s="95" t="s">
        <v>1659</v>
      </c>
      <c r="B263" s="95">
        <v>262</v>
      </c>
      <c r="C263" s="95">
        <v>3036542564</v>
      </c>
      <c r="D263" s="95" t="e">
        <v>#N/A</v>
      </c>
      <c r="E263" s="95">
        <v>0</v>
      </c>
    </row>
    <row r="264" spans="1:5" x14ac:dyDescent="0.35">
      <c r="A264" s="95" t="s">
        <v>1660</v>
      </c>
      <c r="B264" s="95">
        <v>263</v>
      </c>
      <c r="C264" s="95">
        <v>3036542565</v>
      </c>
      <c r="D264" s="95" t="e">
        <v>#N/A</v>
      </c>
      <c r="E264" s="95">
        <v>0</v>
      </c>
    </row>
    <row r="265" spans="1:5" x14ac:dyDescent="0.35">
      <c r="A265" s="95" t="s">
        <v>1661</v>
      </c>
      <c r="B265" s="95">
        <v>264</v>
      </c>
      <c r="C265" s="95">
        <v>3036542566</v>
      </c>
      <c r="D265" s="95" t="e">
        <v>#N/A</v>
      </c>
      <c r="E265" s="95">
        <v>0</v>
      </c>
    </row>
    <row r="266" spans="1:5" x14ac:dyDescent="0.35">
      <c r="A266" s="95" t="s">
        <v>1662</v>
      </c>
      <c r="B266" s="95">
        <v>265</v>
      </c>
      <c r="C266" s="95">
        <v>3036542567</v>
      </c>
      <c r="D266" s="95" t="e">
        <v>#N/A</v>
      </c>
      <c r="E266" s="95">
        <v>0</v>
      </c>
    </row>
    <row r="267" spans="1:5" x14ac:dyDescent="0.35">
      <c r="A267" s="95" t="s">
        <v>1663</v>
      </c>
      <c r="B267" s="95">
        <v>266</v>
      </c>
      <c r="C267" s="95">
        <v>3036542568</v>
      </c>
      <c r="D267" s="95" t="e">
        <v>#N/A</v>
      </c>
      <c r="E267" s="95">
        <v>0</v>
      </c>
    </row>
    <row r="268" spans="1:5" x14ac:dyDescent="0.35">
      <c r="A268" s="95" t="s">
        <v>1664</v>
      </c>
      <c r="B268" s="95">
        <v>267</v>
      </c>
      <c r="C268" s="95">
        <v>3036542569</v>
      </c>
      <c r="D268" s="95" t="e">
        <v>#N/A</v>
      </c>
      <c r="E268" s="95">
        <v>0</v>
      </c>
    </row>
    <row r="269" spans="1:5" x14ac:dyDescent="0.35">
      <c r="A269" s="95" t="s">
        <v>1665</v>
      </c>
      <c r="B269" s="95">
        <v>268</v>
      </c>
      <c r="C269" s="95">
        <v>3036542570</v>
      </c>
      <c r="D269" s="95" t="e">
        <v>#N/A</v>
      </c>
      <c r="E269" s="95">
        <v>0</v>
      </c>
    </row>
    <row r="270" spans="1:5" x14ac:dyDescent="0.35">
      <c r="A270" s="95" t="s">
        <v>1666</v>
      </c>
      <c r="B270" s="95">
        <v>269</v>
      </c>
      <c r="C270" s="95">
        <v>3036542571</v>
      </c>
      <c r="D270" s="95" t="e">
        <v>#N/A</v>
      </c>
      <c r="E270" s="95">
        <v>0</v>
      </c>
    </row>
    <row r="271" spans="1:5" x14ac:dyDescent="0.35">
      <c r="A271" s="95" t="s">
        <v>1667</v>
      </c>
      <c r="B271" s="95">
        <v>270</v>
      </c>
      <c r="C271" s="95">
        <v>3036542572</v>
      </c>
      <c r="D271" s="95" t="e">
        <v>#N/A</v>
      </c>
      <c r="E271" s="95">
        <v>0</v>
      </c>
    </row>
    <row r="272" spans="1:5" x14ac:dyDescent="0.35">
      <c r="A272" s="95" t="s">
        <v>1668</v>
      </c>
      <c r="B272" s="95">
        <v>271</v>
      </c>
      <c r="C272" s="95">
        <v>3036542573</v>
      </c>
      <c r="D272" s="95" t="e">
        <v>#N/A</v>
      </c>
      <c r="E272" s="95">
        <v>0</v>
      </c>
    </row>
    <row r="273" spans="1:5" x14ac:dyDescent="0.35">
      <c r="A273" s="95" t="s">
        <v>1669</v>
      </c>
      <c r="B273" s="95">
        <v>272</v>
      </c>
      <c r="C273" s="95">
        <v>3036542574</v>
      </c>
      <c r="D273" s="95" t="e">
        <v>#N/A</v>
      </c>
      <c r="E273" s="95">
        <v>0</v>
      </c>
    </row>
    <row r="274" spans="1:5" x14ac:dyDescent="0.35">
      <c r="A274" s="95" t="s">
        <v>1670</v>
      </c>
      <c r="B274" s="95">
        <v>273</v>
      </c>
      <c r="C274" s="95">
        <v>3036542575</v>
      </c>
      <c r="D274" s="95" t="e">
        <v>#N/A</v>
      </c>
      <c r="E274" s="95">
        <v>0</v>
      </c>
    </row>
    <row r="275" spans="1:5" x14ac:dyDescent="0.35">
      <c r="A275" s="95" t="s">
        <v>1671</v>
      </c>
      <c r="B275" s="95">
        <v>274</v>
      </c>
      <c r="C275" s="95">
        <v>3036542576</v>
      </c>
      <c r="D275" s="95" t="e">
        <v>#N/A</v>
      </c>
      <c r="E275" s="95">
        <v>0</v>
      </c>
    </row>
    <row r="276" spans="1:5" x14ac:dyDescent="0.35">
      <c r="A276" s="95" t="s">
        <v>1672</v>
      </c>
      <c r="B276" s="95">
        <v>275</v>
      </c>
      <c r="C276" s="95">
        <v>3036542577</v>
      </c>
      <c r="D276" s="95" t="e">
        <v>#N/A</v>
      </c>
      <c r="E276" s="95">
        <v>0</v>
      </c>
    </row>
    <row r="277" spans="1:5" x14ac:dyDescent="0.35">
      <c r="A277" s="95" t="s">
        <v>1673</v>
      </c>
      <c r="B277" s="95">
        <v>276</v>
      </c>
      <c r="C277" s="95">
        <v>3036542578</v>
      </c>
      <c r="D277" s="95" t="e">
        <v>#N/A</v>
      </c>
      <c r="E277" s="95">
        <v>0</v>
      </c>
    </row>
    <row r="278" spans="1:5" x14ac:dyDescent="0.35">
      <c r="A278" s="95" t="s">
        <v>1674</v>
      </c>
      <c r="B278" s="95">
        <v>277</v>
      </c>
      <c r="C278" s="95">
        <v>3051750408</v>
      </c>
      <c r="D278" s="95" t="e">
        <v>#N/A</v>
      </c>
      <c r="E278" s="95">
        <v>0</v>
      </c>
    </row>
    <row r="279" spans="1:5" x14ac:dyDescent="0.35">
      <c r="A279" s="95" t="s">
        <v>1675</v>
      </c>
      <c r="B279" s="95">
        <v>278</v>
      </c>
      <c r="C279" s="95">
        <v>3014760438</v>
      </c>
      <c r="D279" s="95" t="e">
        <v>#N/A</v>
      </c>
      <c r="E279" s="95">
        <v>0</v>
      </c>
    </row>
    <row r="280" spans="1:5" x14ac:dyDescent="0.35">
      <c r="A280" s="95" t="s">
        <v>1676</v>
      </c>
      <c r="B280" s="95">
        <v>279</v>
      </c>
      <c r="C280" s="95">
        <v>3073990311</v>
      </c>
      <c r="D280" s="95" t="e">
        <v>#N/A</v>
      </c>
      <c r="E280" s="95">
        <v>0</v>
      </c>
    </row>
    <row r="281" spans="1:5" x14ac:dyDescent="0.35">
      <c r="A281" s="95" t="s">
        <v>1677</v>
      </c>
      <c r="B281" s="95">
        <v>280</v>
      </c>
      <c r="C281" s="95">
        <v>3073668105</v>
      </c>
      <c r="D281" s="95" t="e">
        <v>#N/A</v>
      </c>
      <c r="E281" s="95">
        <v>0</v>
      </c>
    </row>
    <row r="282" spans="1:5" x14ac:dyDescent="0.35">
      <c r="A282" s="95" t="s">
        <v>1678</v>
      </c>
      <c r="B282" s="95">
        <v>281</v>
      </c>
      <c r="C282" s="95">
        <v>3061750387</v>
      </c>
      <c r="D282" s="95" t="e">
        <v>#N/A</v>
      </c>
      <c r="E282" s="95">
        <v>0</v>
      </c>
    </row>
    <row r="283" spans="1:5" x14ac:dyDescent="0.35">
      <c r="A283" s="95" t="s">
        <v>1679</v>
      </c>
      <c r="B283" s="95">
        <v>282</v>
      </c>
      <c r="C283" s="95">
        <v>3082140388</v>
      </c>
      <c r="D283" s="95" t="e">
        <v>#N/A</v>
      </c>
      <c r="E283" s="95">
        <v>0</v>
      </c>
    </row>
    <row r="284" spans="1:5" x14ac:dyDescent="0.35">
      <c r="A284" s="95" t="s">
        <v>1680</v>
      </c>
      <c r="B284" s="95">
        <v>283</v>
      </c>
      <c r="C284" s="95">
        <v>3018795566</v>
      </c>
      <c r="D284" s="95" t="e">
        <v>#N/A</v>
      </c>
      <c r="E284" s="95">
        <v>0</v>
      </c>
    </row>
    <row r="285" spans="1:5" x14ac:dyDescent="0.35">
      <c r="A285" s="95" t="s">
        <v>1681</v>
      </c>
      <c r="B285" s="95">
        <v>284</v>
      </c>
      <c r="C285" s="95">
        <v>3014949003</v>
      </c>
      <c r="D285" s="95" t="e">
        <v>#N/A</v>
      </c>
      <c r="E285" s="95">
        <v>0</v>
      </c>
    </row>
    <row r="286" spans="1:5" x14ac:dyDescent="0.35">
      <c r="A286" s="95" t="s">
        <v>1682</v>
      </c>
      <c r="B286" s="95">
        <v>285</v>
      </c>
      <c r="C286" s="95">
        <v>3093777630</v>
      </c>
      <c r="D286" s="95" t="e">
        <v>#N/A</v>
      </c>
      <c r="E286" s="95">
        <v>0</v>
      </c>
    </row>
    <row r="287" spans="1:5" x14ac:dyDescent="0.35">
      <c r="A287" s="95" t="s">
        <v>1683</v>
      </c>
      <c r="B287" s="95">
        <v>286</v>
      </c>
      <c r="C287" s="95">
        <v>3074494063</v>
      </c>
      <c r="D287" s="95" t="e">
        <v>#N/A</v>
      </c>
      <c r="E287" s="95">
        <v>0</v>
      </c>
    </row>
    <row r="288" spans="1:5" x14ac:dyDescent="0.35">
      <c r="A288" s="95" t="s">
        <v>1684</v>
      </c>
      <c r="B288" s="95">
        <v>287</v>
      </c>
      <c r="C288" s="95">
        <v>3078720118</v>
      </c>
      <c r="D288" s="95" t="e">
        <v>#N/A</v>
      </c>
      <c r="E288" s="95">
        <v>0</v>
      </c>
    </row>
    <row r="289" spans="1:5" x14ac:dyDescent="0.35">
      <c r="A289" s="95" t="s">
        <v>1685</v>
      </c>
      <c r="B289" s="95">
        <v>288</v>
      </c>
      <c r="C289" s="95">
        <v>3074025279</v>
      </c>
      <c r="D289" s="95" t="e">
        <v>#N/A</v>
      </c>
      <c r="E289" s="95">
        <v>0</v>
      </c>
    </row>
    <row r="290" spans="1:5" x14ac:dyDescent="0.35">
      <c r="A290" s="95" t="s">
        <v>1686</v>
      </c>
      <c r="B290" s="95">
        <v>289</v>
      </c>
      <c r="C290" s="95">
        <v>3064160710</v>
      </c>
      <c r="D290" s="95" t="e">
        <v>#N/A</v>
      </c>
      <c r="E290" s="95">
        <v>0</v>
      </c>
    </row>
    <row r="291" spans="1:5" x14ac:dyDescent="0.35">
      <c r="A291" s="95" t="s">
        <v>1687</v>
      </c>
      <c r="B291" s="95">
        <v>290</v>
      </c>
      <c r="C291" s="95">
        <v>3061190242</v>
      </c>
      <c r="D291" s="95" t="e">
        <v>#N/A</v>
      </c>
      <c r="E291" s="95">
        <v>0</v>
      </c>
    </row>
    <row r="292" spans="1:5" x14ac:dyDescent="0.35">
      <c r="A292" s="95" t="s">
        <v>1688</v>
      </c>
      <c r="B292" s="95">
        <v>291</v>
      </c>
      <c r="C292" s="95">
        <v>3071551974</v>
      </c>
      <c r="D292" s="95" t="e">
        <v>#N/A</v>
      </c>
      <c r="E292" s="95">
        <v>0</v>
      </c>
    </row>
    <row r="293" spans="1:5" x14ac:dyDescent="0.35">
      <c r="A293" s="95" t="s">
        <v>1689</v>
      </c>
      <c r="B293" s="95">
        <v>292</v>
      </c>
      <c r="C293" s="95">
        <v>3023224710</v>
      </c>
      <c r="D293" s="95" t="e">
        <v>#N/A</v>
      </c>
      <c r="E293" s="95">
        <v>0</v>
      </c>
    </row>
    <row r="294" spans="1:5" x14ac:dyDescent="0.35">
      <c r="A294" s="95" t="s">
        <v>1690</v>
      </c>
      <c r="B294" s="95">
        <v>293</v>
      </c>
      <c r="C294" s="95">
        <v>3032980802</v>
      </c>
      <c r="D294" s="95" t="e">
        <v>#N/A</v>
      </c>
      <c r="E294" s="95">
        <v>0</v>
      </c>
    </row>
    <row r="295" spans="1:5" x14ac:dyDescent="0.35">
      <c r="A295" s="95" t="s">
        <v>1691</v>
      </c>
      <c r="B295" s="95">
        <v>294</v>
      </c>
      <c r="C295" s="95">
        <v>3052932826</v>
      </c>
      <c r="D295" s="95" t="e">
        <v>#N/A</v>
      </c>
      <c r="E295" s="95">
        <v>0</v>
      </c>
    </row>
    <row r="296" spans="1:5" x14ac:dyDescent="0.35">
      <c r="A296" s="95" t="s">
        <v>1692</v>
      </c>
      <c r="B296" s="95">
        <v>295</v>
      </c>
      <c r="C296" s="95">
        <v>3030642719</v>
      </c>
      <c r="D296" s="95" t="e">
        <v>#N/A</v>
      </c>
      <c r="E296" s="95">
        <v>0</v>
      </c>
    </row>
    <row r="297" spans="1:5" x14ac:dyDescent="0.35">
      <c r="A297" s="95" t="s">
        <v>1693</v>
      </c>
      <c r="B297" s="95">
        <v>296</v>
      </c>
      <c r="C297" s="95">
        <v>3071470464</v>
      </c>
      <c r="D297" s="95" t="e">
        <v>#N/A</v>
      </c>
      <c r="E297" s="95">
        <v>0</v>
      </c>
    </row>
    <row r="298" spans="1:5" x14ac:dyDescent="0.35">
      <c r="A298" s="95" t="s">
        <v>1694</v>
      </c>
      <c r="B298" s="95">
        <v>297</v>
      </c>
      <c r="C298" s="95">
        <v>3084123441</v>
      </c>
      <c r="D298" s="95" t="e">
        <v>#N/A</v>
      </c>
      <c r="E298" s="95">
        <v>0</v>
      </c>
    </row>
    <row r="299" spans="1:5" x14ac:dyDescent="0.35">
      <c r="A299" s="95" t="s">
        <v>1695</v>
      </c>
      <c r="B299" s="95">
        <v>298</v>
      </c>
      <c r="C299" s="95">
        <v>3010516241</v>
      </c>
      <c r="D299" s="95" t="e">
        <v>#N/A</v>
      </c>
      <c r="E299" s="95">
        <v>0</v>
      </c>
    </row>
    <row r="300" spans="1:5" x14ac:dyDescent="0.35">
      <c r="A300" s="95" t="s">
        <v>1696</v>
      </c>
      <c r="B300" s="95">
        <v>299</v>
      </c>
      <c r="C300" s="95">
        <v>3059411963</v>
      </c>
      <c r="D300" s="95" t="e">
        <v>#N/A</v>
      </c>
      <c r="E300" s="95">
        <v>0</v>
      </c>
    </row>
    <row r="301" spans="1:5" x14ac:dyDescent="0.35">
      <c r="A301" s="95" t="s">
        <v>1697</v>
      </c>
      <c r="B301" s="95">
        <v>300</v>
      </c>
      <c r="C301" s="95">
        <v>3029928585</v>
      </c>
      <c r="D301" s="95" t="e">
        <v>#N/A</v>
      </c>
      <c r="E301" s="95">
        <v>0</v>
      </c>
    </row>
    <row r="302" spans="1:5" x14ac:dyDescent="0.35">
      <c r="A302" s="95" t="s">
        <v>1698</v>
      </c>
      <c r="B302" s="95">
        <v>301</v>
      </c>
      <c r="C302" s="95">
        <v>3057520447</v>
      </c>
      <c r="D302" s="95" t="e">
        <v>#N/A</v>
      </c>
      <c r="E302" s="95">
        <v>0</v>
      </c>
    </row>
    <row r="303" spans="1:5" x14ac:dyDescent="0.35">
      <c r="A303" s="95" t="s">
        <v>1699</v>
      </c>
      <c r="B303" s="95">
        <v>302</v>
      </c>
      <c r="C303" s="95">
        <v>3012712721</v>
      </c>
      <c r="D303" s="95" t="e">
        <v>#N/A</v>
      </c>
      <c r="E303" s="95">
        <v>0</v>
      </c>
    </row>
    <row r="304" spans="1:5" x14ac:dyDescent="0.35">
      <c r="A304" s="95" t="s">
        <v>1700</v>
      </c>
      <c r="B304" s="95">
        <v>303</v>
      </c>
      <c r="C304" s="95">
        <v>3082178828</v>
      </c>
      <c r="D304" s="95" t="e">
        <v>#N/A</v>
      </c>
      <c r="E304" s="95">
        <v>0</v>
      </c>
    </row>
    <row r="305" spans="1:5" x14ac:dyDescent="0.35">
      <c r="A305" s="95" t="s">
        <v>1701</v>
      </c>
      <c r="B305" s="95">
        <v>304</v>
      </c>
      <c r="C305" s="95">
        <v>3014153687</v>
      </c>
      <c r="D305" s="95" t="e">
        <v>#N/A</v>
      </c>
      <c r="E305" s="95">
        <v>0</v>
      </c>
    </row>
    <row r="306" spans="1:5" x14ac:dyDescent="0.35">
      <c r="A306" s="95" t="s">
        <v>1702</v>
      </c>
      <c r="B306" s="95">
        <v>305</v>
      </c>
      <c r="C306" s="95">
        <v>3031599208</v>
      </c>
      <c r="D306" s="95" t="e">
        <v>#N/A</v>
      </c>
      <c r="E306" s="95">
        <v>0</v>
      </c>
    </row>
    <row r="307" spans="1:5" x14ac:dyDescent="0.35">
      <c r="A307" s="95" t="s">
        <v>1703</v>
      </c>
      <c r="B307" s="95">
        <v>306</v>
      </c>
      <c r="C307" s="95">
        <v>3039466859</v>
      </c>
      <c r="D307" s="95" t="e">
        <v>#N/A</v>
      </c>
      <c r="E307" s="95">
        <v>0</v>
      </c>
    </row>
    <row r="308" spans="1:5" x14ac:dyDescent="0.35">
      <c r="A308" s="95" t="s">
        <v>1704</v>
      </c>
      <c r="B308" s="95">
        <v>307</v>
      </c>
      <c r="C308" s="95">
        <v>3015290527</v>
      </c>
      <c r="D308" s="95" t="e">
        <v>#N/A</v>
      </c>
      <c r="E308" s="95">
        <v>0</v>
      </c>
    </row>
    <row r="309" spans="1:5" x14ac:dyDescent="0.35">
      <c r="A309" s="95" t="s">
        <v>1705</v>
      </c>
      <c r="B309" s="95">
        <v>308</v>
      </c>
      <c r="C309" s="95">
        <v>3060695689</v>
      </c>
      <c r="D309" s="95" t="e">
        <v>#N/A</v>
      </c>
      <c r="E309" s="95">
        <v>0</v>
      </c>
    </row>
    <row r="310" spans="1:5" x14ac:dyDescent="0.35">
      <c r="A310" s="95" t="s">
        <v>1706</v>
      </c>
      <c r="B310" s="95">
        <v>309</v>
      </c>
      <c r="C310" s="95">
        <v>3062163742</v>
      </c>
      <c r="D310" s="95" t="e">
        <v>#N/A</v>
      </c>
      <c r="E310" s="95">
        <v>0</v>
      </c>
    </row>
    <row r="311" spans="1:5" x14ac:dyDescent="0.35">
      <c r="A311" s="95" t="s">
        <v>1707</v>
      </c>
      <c r="B311" s="95">
        <v>310</v>
      </c>
      <c r="C311" s="95">
        <v>3050238420</v>
      </c>
      <c r="D311" s="95" t="e">
        <v>#N/A</v>
      </c>
      <c r="E311" s="95">
        <v>0</v>
      </c>
    </row>
    <row r="312" spans="1:5" x14ac:dyDescent="0.35">
      <c r="A312" s="95" t="s">
        <v>1708</v>
      </c>
      <c r="B312" s="95">
        <v>311</v>
      </c>
      <c r="C312" s="95">
        <v>3062909609</v>
      </c>
      <c r="D312" s="95" t="e">
        <v>#N/A</v>
      </c>
      <c r="E312" s="95">
        <v>0</v>
      </c>
    </row>
    <row r="313" spans="1:5" x14ac:dyDescent="0.35">
      <c r="A313" s="95" t="s">
        <v>1709</v>
      </c>
      <c r="B313" s="95">
        <v>312</v>
      </c>
      <c r="C313" s="95">
        <v>3075343440</v>
      </c>
      <c r="D313" s="95" t="e">
        <v>#N/A</v>
      </c>
      <c r="E313" s="95">
        <v>0</v>
      </c>
    </row>
    <row r="314" spans="1:5" x14ac:dyDescent="0.35">
      <c r="A314" s="95" t="s">
        <v>1710</v>
      </c>
      <c r="B314" s="95">
        <v>313</v>
      </c>
      <c r="C314" s="95">
        <v>3027894855</v>
      </c>
      <c r="D314" s="95" t="e">
        <v>#N/A</v>
      </c>
      <c r="E314" s="95">
        <v>0</v>
      </c>
    </row>
    <row r="315" spans="1:5" x14ac:dyDescent="0.35">
      <c r="A315" s="95" t="s">
        <v>1711</v>
      </c>
      <c r="B315" s="95">
        <v>314</v>
      </c>
      <c r="C315" s="95">
        <v>3066817929</v>
      </c>
      <c r="D315" s="95" t="e">
        <v>#N/A</v>
      </c>
      <c r="E315" s="95">
        <v>0</v>
      </c>
    </row>
    <row r="316" spans="1:5" x14ac:dyDescent="0.35">
      <c r="A316" s="95" t="s">
        <v>1712</v>
      </c>
      <c r="B316" s="95">
        <v>315</v>
      </c>
      <c r="C316" s="95">
        <v>3047074494</v>
      </c>
      <c r="D316" s="95" t="e">
        <v>#N/A</v>
      </c>
      <c r="E316" s="95">
        <v>0</v>
      </c>
    </row>
    <row r="317" spans="1:5" x14ac:dyDescent="0.35">
      <c r="A317" s="95" t="s">
        <v>1713</v>
      </c>
      <c r="B317" s="95">
        <v>316</v>
      </c>
      <c r="C317" s="95">
        <v>3088525474</v>
      </c>
      <c r="D317" s="95" t="e">
        <v>#N/A</v>
      </c>
      <c r="E317" s="95">
        <v>0</v>
      </c>
    </row>
    <row r="318" spans="1:5" x14ac:dyDescent="0.35">
      <c r="A318" s="95" t="s">
        <v>1714</v>
      </c>
      <c r="B318" s="95">
        <v>317</v>
      </c>
      <c r="C318" s="95">
        <v>3084023658</v>
      </c>
      <c r="D318" s="95" t="e">
        <v>#N/A</v>
      </c>
      <c r="E318" s="95">
        <v>0</v>
      </c>
    </row>
    <row r="319" spans="1:5" x14ac:dyDescent="0.35">
      <c r="A319" s="95" t="s">
        <v>1715</v>
      </c>
      <c r="B319" s="95">
        <v>318</v>
      </c>
      <c r="C319" s="95">
        <v>3031641664</v>
      </c>
      <c r="D319" s="95" t="e">
        <v>#N/A</v>
      </c>
      <c r="E319" s="95">
        <v>0</v>
      </c>
    </row>
    <row r="320" spans="1:5" x14ac:dyDescent="0.35">
      <c r="A320" s="95" t="s">
        <v>1716</v>
      </c>
      <c r="B320" s="95">
        <v>319</v>
      </c>
      <c r="C320" s="95">
        <v>3079410934</v>
      </c>
      <c r="D320" s="95" t="e">
        <v>#N/A</v>
      </c>
      <c r="E320" s="95">
        <v>0</v>
      </c>
    </row>
    <row r="321" spans="1:5" x14ac:dyDescent="0.35">
      <c r="A321" s="95" t="s">
        <v>1717</v>
      </c>
      <c r="B321" s="95">
        <v>320</v>
      </c>
      <c r="C321" s="95">
        <v>3065149865</v>
      </c>
      <c r="D321" s="95" t="e">
        <v>#N/A</v>
      </c>
      <c r="E321" s="95">
        <v>0</v>
      </c>
    </row>
    <row r="322" spans="1:5" x14ac:dyDescent="0.35">
      <c r="A322" s="95" t="s">
        <v>1718</v>
      </c>
      <c r="B322" s="95">
        <v>321</v>
      </c>
      <c r="C322" s="95">
        <v>3027112586</v>
      </c>
      <c r="D322" s="95" t="e">
        <v>#N/A</v>
      </c>
      <c r="E322" s="95">
        <v>0</v>
      </c>
    </row>
    <row r="323" spans="1:5" x14ac:dyDescent="0.35">
      <c r="A323" s="95" t="s">
        <v>1719</v>
      </c>
      <c r="B323" s="95">
        <v>322</v>
      </c>
      <c r="C323" s="95">
        <v>3022386942</v>
      </c>
      <c r="D323" s="95" t="e">
        <v>#N/A</v>
      </c>
      <c r="E323" s="95">
        <v>0</v>
      </c>
    </row>
    <row r="324" spans="1:5" x14ac:dyDescent="0.35">
      <c r="A324" s="95" t="s">
        <v>1720</v>
      </c>
      <c r="B324" s="95">
        <v>323</v>
      </c>
      <c r="C324" s="95">
        <v>3079867517</v>
      </c>
      <c r="D324" s="95" t="e">
        <v>#N/A</v>
      </c>
      <c r="E324" s="95">
        <v>0</v>
      </c>
    </row>
    <row r="325" spans="1:5" x14ac:dyDescent="0.35">
      <c r="A325" s="95" t="s">
        <v>1721</v>
      </c>
      <c r="B325" s="95">
        <v>324</v>
      </c>
      <c r="C325" s="95">
        <v>3056611415</v>
      </c>
      <c r="D325" s="95" t="e">
        <v>#N/A</v>
      </c>
      <c r="E325" s="95">
        <v>0</v>
      </c>
    </row>
    <row r="326" spans="1:5" x14ac:dyDescent="0.35">
      <c r="A326" s="95" t="s">
        <v>1722</v>
      </c>
      <c r="B326" s="95">
        <v>325</v>
      </c>
      <c r="C326" s="95">
        <v>3078142133</v>
      </c>
      <c r="D326" s="95" t="e">
        <v>#N/A</v>
      </c>
      <c r="E326" s="95">
        <v>0</v>
      </c>
    </row>
    <row r="327" spans="1:5" x14ac:dyDescent="0.35">
      <c r="A327" s="95" t="s">
        <v>1723</v>
      </c>
      <c r="B327" s="95">
        <v>326</v>
      </c>
      <c r="C327" s="95">
        <v>3097304079</v>
      </c>
      <c r="D327" s="95" t="e">
        <v>#N/A</v>
      </c>
      <c r="E327" s="95">
        <v>0</v>
      </c>
    </row>
    <row r="328" spans="1:5" x14ac:dyDescent="0.35">
      <c r="A328" s="95" t="s">
        <v>1724</v>
      </c>
      <c r="B328" s="95">
        <v>327</v>
      </c>
      <c r="C328" s="95">
        <v>3066245939</v>
      </c>
      <c r="D328" s="95" t="e">
        <v>#N/A</v>
      </c>
      <c r="E328" s="95">
        <v>0</v>
      </c>
    </row>
    <row r="329" spans="1:5" x14ac:dyDescent="0.35">
      <c r="A329" s="95" t="s">
        <v>1725</v>
      </c>
      <c r="B329" s="95">
        <v>328</v>
      </c>
      <c r="C329" s="95">
        <v>3067351927</v>
      </c>
      <c r="D329" s="95" t="e">
        <v>#N/A</v>
      </c>
      <c r="E329" s="95">
        <v>0</v>
      </c>
    </row>
    <row r="330" spans="1:5" x14ac:dyDescent="0.35">
      <c r="A330" s="95" t="s">
        <v>1726</v>
      </c>
      <c r="B330" s="95">
        <v>329</v>
      </c>
      <c r="C330" s="95">
        <v>3085250477</v>
      </c>
      <c r="D330" s="95" t="e">
        <v>#N/A</v>
      </c>
      <c r="E330" s="95">
        <v>0</v>
      </c>
    </row>
    <row r="331" spans="1:5" x14ac:dyDescent="0.35">
      <c r="A331" s="95" t="s">
        <v>1727</v>
      </c>
      <c r="B331" s="95">
        <v>345</v>
      </c>
      <c r="C331" s="95">
        <v>3013320546</v>
      </c>
      <c r="D331" s="95" t="e">
        <v>#N/A</v>
      </c>
      <c r="E331" s="95">
        <v>0</v>
      </c>
    </row>
    <row r="332" spans="1:5" x14ac:dyDescent="0.35">
      <c r="A332" s="95" t="s">
        <v>1728</v>
      </c>
      <c r="B332" s="95">
        <v>346</v>
      </c>
      <c r="C332" s="95">
        <v>3013320547</v>
      </c>
      <c r="D332" s="95" t="e">
        <v>#N/A</v>
      </c>
      <c r="E332" s="95">
        <v>0</v>
      </c>
    </row>
    <row r="333" spans="1:5" x14ac:dyDescent="0.35">
      <c r="A333" s="95" t="s">
        <v>1729</v>
      </c>
      <c r="B333" s="95">
        <v>347</v>
      </c>
      <c r="C333" s="95">
        <v>3013320548</v>
      </c>
      <c r="D333" s="95" t="e">
        <v>#N/A</v>
      </c>
      <c r="E333" s="95">
        <v>0</v>
      </c>
    </row>
    <row r="334" spans="1:5" x14ac:dyDescent="0.35">
      <c r="A334" s="95" t="s">
        <v>1730</v>
      </c>
      <c r="B334" s="95">
        <v>348</v>
      </c>
      <c r="C334" s="95">
        <v>3013320549</v>
      </c>
      <c r="D334" s="95" t="e">
        <v>#N/A</v>
      </c>
      <c r="E334" s="95">
        <v>0</v>
      </c>
    </row>
    <row r="335" spans="1:5" x14ac:dyDescent="0.35">
      <c r="A335" s="95" t="s">
        <v>1731</v>
      </c>
      <c r="B335" s="95">
        <v>349</v>
      </c>
      <c r="C335" s="95">
        <v>3013320550</v>
      </c>
      <c r="D335" s="95" t="e">
        <v>#N/A</v>
      </c>
      <c r="E335" s="95">
        <v>0</v>
      </c>
    </row>
    <row r="336" spans="1:5" x14ac:dyDescent="0.35">
      <c r="A336" s="95" t="s">
        <v>1732</v>
      </c>
      <c r="B336" s="95">
        <v>350</v>
      </c>
      <c r="C336" s="95">
        <v>3013320551</v>
      </c>
      <c r="D336" s="95" t="e">
        <v>#N/A</v>
      </c>
      <c r="E336" s="95">
        <v>0</v>
      </c>
    </row>
    <row r="337" spans="1:5" x14ac:dyDescent="0.35">
      <c r="A337" s="95" t="s">
        <v>1733</v>
      </c>
      <c r="B337" s="95">
        <v>351</v>
      </c>
      <c r="C337" s="95">
        <v>3013320552</v>
      </c>
      <c r="D337" s="95" t="e">
        <v>#N/A</v>
      </c>
      <c r="E337" s="95">
        <v>0</v>
      </c>
    </row>
    <row r="338" spans="1:5" x14ac:dyDescent="0.35">
      <c r="A338" s="95" t="s">
        <v>1734</v>
      </c>
      <c r="B338" s="95">
        <v>352</v>
      </c>
      <c r="C338" s="95">
        <v>3013320553</v>
      </c>
      <c r="D338" s="95" t="e">
        <v>#N/A</v>
      </c>
      <c r="E338" s="95">
        <v>0</v>
      </c>
    </row>
    <row r="339" spans="1:5" x14ac:dyDescent="0.35">
      <c r="A339" s="95" t="s">
        <v>1735</v>
      </c>
      <c r="B339" s="95">
        <v>353</v>
      </c>
      <c r="C339" s="95">
        <v>3013320554</v>
      </c>
      <c r="D339" s="95" t="e">
        <v>#N/A</v>
      </c>
      <c r="E339" s="95">
        <v>0</v>
      </c>
    </row>
    <row r="340" spans="1:5" x14ac:dyDescent="0.35">
      <c r="A340" s="95" t="s">
        <v>1736</v>
      </c>
      <c r="B340" s="95">
        <v>354</v>
      </c>
      <c r="C340" s="95">
        <v>3013320555</v>
      </c>
      <c r="D340" s="95" t="e">
        <v>#N/A</v>
      </c>
      <c r="E340" s="95">
        <v>0</v>
      </c>
    </row>
    <row r="341" spans="1:5" x14ac:dyDescent="0.35">
      <c r="A341" s="95" t="s">
        <v>1737</v>
      </c>
      <c r="B341" s="95">
        <v>355</v>
      </c>
      <c r="C341" s="95">
        <v>3013320642</v>
      </c>
      <c r="D341" s="95" t="e">
        <v>#N/A</v>
      </c>
      <c r="E341" s="95">
        <v>0</v>
      </c>
    </row>
    <row r="342" spans="1:5" x14ac:dyDescent="0.35">
      <c r="A342" s="95" t="s">
        <v>1738</v>
      </c>
      <c r="B342" s="95">
        <v>356</v>
      </c>
      <c r="C342" s="95">
        <v>3013320643</v>
      </c>
      <c r="D342" s="95" t="e">
        <v>#N/A</v>
      </c>
      <c r="E342" s="95">
        <v>0</v>
      </c>
    </row>
    <row r="343" spans="1:5" x14ac:dyDescent="0.35">
      <c r="A343" s="95" t="s">
        <v>1739</v>
      </c>
      <c r="B343" s="95">
        <v>357</v>
      </c>
      <c r="C343" s="95">
        <v>3013320644</v>
      </c>
      <c r="D343" s="95" t="e">
        <v>#N/A</v>
      </c>
      <c r="E343" s="95">
        <v>0</v>
      </c>
    </row>
    <row r="344" spans="1:5" x14ac:dyDescent="0.35">
      <c r="A344" s="95" t="s">
        <v>1740</v>
      </c>
      <c r="B344" s="95">
        <v>358</v>
      </c>
      <c r="C344" s="95">
        <v>3013320645</v>
      </c>
      <c r="D344" s="95" t="e">
        <v>#N/A</v>
      </c>
      <c r="E344" s="95">
        <v>0</v>
      </c>
    </row>
    <row r="345" spans="1:5" x14ac:dyDescent="0.35">
      <c r="A345" s="95" t="s">
        <v>1741</v>
      </c>
      <c r="B345" s="95">
        <v>359</v>
      </c>
      <c r="C345" s="95">
        <v>3013320646</v>
      </c>
      <c r="D345" s="95" t="e">
        <v>#N/A</v>
      </c>
      <c r="E345" s="95">
        <v>0</v>
      </c>
    </row>
    <row r="346" spans="1:5" x14ac:dyDescent="0.35">
      <c r="A346" s="95" t="s">
        <v>1742</v>
      </c>
      <c r="B346" s="95">
        <v>360</v>
      </c>
      <c r="C346" s="95">
        <v>3013320647</v>
      </c>
      <c r="D346" s="95" t="e">
        <v>#N/A</v>
      </c>
      <c r="E346" s="95">
        <v>0</v>
      </c>
    </row>
    <row r="347" spans="1:5" x14ac:dyDescent="0.35">
      <c r="A347" s="95" t="s">
        <v>1743</v>
      </c>
      <c r="B347" s="95">
        <v>361</v>
      </c>
      <c r="C347" s="95">
        <v>3013320648</v>
      </c>
      <c r="D347" s="95" t="e">
        <v>#N/A</v>
      </c>
      <c r="E347" s="95">
        <v>0</v>
      </c>
    </row>
    <row r="348" spans="1:5" x14ac:dyDescent="0.35">
      <c r="A348" s="95" t="s">
        <v>1744</v>
      </c>
      <c r="B348" s="95">
        <v>362</v>
      </c>
      <c r="C348" s="95">
        <v>3013320649</v>
      </c>
      <c r="D348" s="95" t="e">
        <v>#N/A</v>
      </c>
      <c r="E348" s="95">
        <v>0</v>
      </c>
    </row>
    <row r="349" spans="1:5" x14ac:dyDescent="0.35">
      <c r="A349" s="95" t="s">
        <v>1451</v>
      </c>
      <c r="B349" s="95">
        <v>363</v>
      </c>
      <c r="C349" s="95">
        <v>3013320650</v>
      </c>
      <c r="D349" s="95" t="s">
        <v>1391</v>
      </c>
      <c r="E349" s="95">
        <v>47</v>
      </c>
    </row>
    <row r="350" spans="1:5" x14ac:dyDescent="0.35">
      <c r="A350" s="95" t="s">
        <v>1745</v>
      </c>
      <c r="B350" s="95">
        <v>364</v>
      </c>
      <c r="C350" s="95">
        <v>3013320651</v>
      </c>
      <c r="D350" s="95" t="e">
        <v>#N/A</v>
      </c>
      <c r="E350" s="95">
        <v>0</v>
      </c>
    </row>
    <row r="351" spans="1:5" x14ac:dyDescent="0.35">
      <c r="A351" s="95" t="s">
        <v>1746</v>
      </c>
      <c r="B351" s="95">
        <v>365</v>
      </c>
      <c r="C351" s="95">
        <v>3013320652</v>
      </c>
      <c r="D351" s="95" t="e">
        <v>#N/A</v>
      </c>
      <c r="E351" s="95">
        <v>0</v>
      </c>
    </row>
    <row r="352" spans="1:5" x14ac:dyDescent="0.35">
      <c r="A352" s="95" t="s">
        <v>1747</v>
      </c>
      <c r="B352" s="95">
        <v>366</v>
      </c>
      <c r="C352" s="95">
        <v>3013320653</v>
      </c>
      <c r="D352" s="95" t="e">
        <v>#N/A</v>
      </c>
      <c r="E352" s="95">
        <v>0</v>
      </c>
    </row>
    <row r="353" spans="1:5" x14ac:dyDescent="0.35">
      <c r="A353" s="95" t="s">
        <v>1748</v>
      </c>
      <c r="B353" s="95">
        <v>367</v>
      </c>
      <c r="C353" s="95">
        <v>3013320654</v>
      </c>
      <c r="D353" s="95" t="e">
        <v>#N/A</v>
      </c>
      <c r="E353" s="95">
        <v>0</v>
      </c>
    </row>
    <row r="354" spans="1:5" x14ac:dyDescent="0.35">
      <c r="A354" s="95" t="s">
        <v>1749</v>
      </c>
      <c r="B354" s="95">
        <v>368</v>
      </c>
      <c r="C354" s="95">
        <v>3013320655</v>
      </c>
      <c r="D354" s="95" t="e">
        <v>#N/A</v>
      </c>
      <c r="E354" s="95">
        <v>0</v>
      </c>
    </row>
    <row r="355" spans="1:5" x14ac:dyDescent="0.35">
      <c r="A355" s="95" t="s">
        <v>1750</v>
      </c>
      <c r="B355" s="95">
        <v>369</v>
      </c>
      <c r="C355" s="95">
        <v>3013320656</v>
      </c>
      <c r="D355" s="95" t="e">
        <v>#N/A</v>
      </c>
      <c r="E355" s="95">
        <v>0</v>
      </c>
    </row>
    <row r="356" spans="1:5" x14ac:dyDescent="0.35">
      <c r="A356" s="95" t="s">
        <v>1751</v>
      </c>
      <c r="B356" s="95">
        <v>370</v>
      </c>
      <c r="C356" s="95">
        <v>3013320657</v>
      </c>
      <c r="D356" s="95" t="e">
        <v>#N/A</v>
      </c>
      <c r="E356" s="95">
        <v>0</v>
      </c>
    </row>
    <row r="357" spans="1:5" x14ac:dyDescent="0.35">
      <c r="A357" s="95" t="s">
        <v>1752</v>
      </c>
      <c r="B357" s="95">
        <v>371</v>
      </c>
      <c r="C357" s="95">
        <v>3013320658</v>
      </c>
      <c r="D357" s="95" t="e">
        <v>#N/A</v>
      </c>
      <c r="E357" s="95">
        <v>0</v>
      </c>
    </row>
    <row r="358" spans="1:5" x14ac:dyDescent="0.35">
      <c r="A358" s="95" t="s">
        <v>1753</v>
      </c>
      <c r="B358" s="95">
        <v>372</v>
      </c>
      <c r="C358" s="95">
        <v>3013320659</v>
      </c>
      <c r="D358" s="95" t="e">
        <v>#N/A</v>
      </c>
      <c r="E358" s="95">
        <v>0</v>
      </c>
    </row>
    <row r="359" spans="1:5" x14ac:dyDescent="0.35">
      <c r="A359" s="95" t="s">
        <v>1754</v>
      </c>
      <c r="B359" s="95">
        <v>373</v>
      </c>
      <c r="C359" s="95">
        <v>3013320660</v>
      </c>
      <c r="D359" s="95" t="e">
        <v>#N/A</v>
      </c>
      <c r="E359" s="95">
        <v>0</v>
      </c>
    </row>
  </sheetData>
  <autoFilter ref="A1:E359" xr:uid="{E75E3291-BF3C-4B78-A554-B636B2D1905A}"/>
  <conditionalFormatting sqref="A1:A359">
    <cfRule type="duplicateValues" dxfId="0" priority="1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CC07-C1E7-4CF1-A195-080B15ECF3D2}">
  <dimension ref="A1:AM22"/>
  <sheetViews>
    <sheetView zoomScale="50" zoomScaleNormal="5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A26" sqref="AA26"/>
    </sheetView>
  </sheetViews>
  <sheetFormatPr defaultColWidth="8.54296875" defaultRowHeight="14.5" x14ac:dyDescent="0.35"/>
  <cols>
    <col min="1" max="1" width="23.54296875" style="2" customWidth="1"/>
    <col min="2" max="2" width="10.453125" style="4" hidden="1" customWidth="1"/>
    <col min="3" max="3" width="14.54296875" style="4" hidden="1" customWidth="1"/>
    <col min="4" max="4" width="16.453125" style="4" hidden="1" customWidth="1"/>
    <col min="5" max="5" width="12.453125" style="4" hidden="1" customWidth="1"/>
    <col min="6" max="6" width="13.54296875" style="2" hidden="1" customWidth="1"/>
    <col min="7" max="7" width="12" style="2" hidden="1" customWidth="1"/>
    <col min="8" max="8" width="12.453125" style="2" hidden="1" customWidth="1"/>
    <col min="9" max="9" width="1.453125" style="2" hidden="1" customWidth="1"/>
    <col min="10" max="10" width="15.453125" style="4" hidden="1" customWidth="1"/>
    <col min="11" max="11" width="11.54296875" style="4" hidden="1" customWidth="1"/>
    <col min="12" max="12" width="15.453125" style="4" hidden="1" customWidth="1"/>
    <col min="13" max="15" width="12.453125" style="2" hidden="1" customWidth="1"/>
    <col min="16" max="16" width="13.453125" style="2" hidden="1" customWidth="1"/>
    <col min="17" max="17" width="1.453125" style="2" customWidth="1"/>
    <col min="18" max="18" width="15.453125" style="4" customWidth="1"/>
    <col min="19" max="19" width="11.54296875" style="4" customWidth="1"/>
    <col min="20" max="20" width="15.453125" style="4" customWidth="1"/>
    <col min="21" max="23" width="12.453125" style="2" customWidth="1"/>
    <col min="24" max="24" width="13.453125" style="2" customWidth="1"/>
    <col min="25" max="25" width="1.453125" style="2" customWidth="1"/>
    <col min="26" max="26" width="17" style="4" customWidth="1"/>
    <col min="27" max="27" width="18.453125" style="4" customWidth="1"/>
    <col min="28" max="28" width="18" style="4" customWidth="1"/>
    <col min="29" max="29" width="14.453125" style="1" customWidth="1"/>
    <col min="30" max="30" width="1.453125" style="2" customWidth="1"/>
    <col min="31" max="31" width="17" style="4" customWidth="1"/>
    <col min="32" max="32" width="18.453125" style="4" customWidth="1"/>
    <col min="33" max="33" width="18.54296875" style="4" customWidth="1"/>
    <col min="34" max="34" width="14.453125" style="1" customWidth="1"/>
    <col min="35" max="35" width="1.453125" style="2" customWidth="1"/>
    <col min="36" max="36" width="17" style="4" customWidth="1"/>
    <col min="37" max="37" width="20.453125" style="4" customWidth="1"/>
    <col min="38" max="38" width="20.81640625" style="4" customWidth="1"/>
    <col min="39" max="39" width="16" style="1" customWidth="1"/>
    <col min="40" max="16384" width="8.54296875" style="2"/>
  </cols>
  <sheetData>
    <row r="1" spans="1:39" ht="21" x14ac:dyDescent="0.35">
      <c r="A1" s="29" t="s">
        <v>841</v>
      </c>
      <c r="B1" s="261" t="s">
        <v>842</v>
      </c>
      <c r="C1" s="262"/>
      <c r="D1" s="263"/>
      <c r="E1" s="261" t="s">
        <v>843</v>
      </c>
      <c r="F1" s="262"/>
      <c r="G1" s="262"/>
      <c r="H1" s="263"/>
      <c r="I1" s="25"/>
      <c r="J1" s="261" t="s">
        <v>844</v>
      </c>
      <c r="K1" s="262"/>
      <c r="L1" s="263"/>
      <c r="M1" s="267" t="s">
        <v>843</v>
      </c>
      <c r="N1" s="268"/>
      <c r="O1" s="268"/>
      <c r="P1" s="268"/>
      <c r="Q1" s="25"/>
      <c r="R1" s="261" t="s">
        <v>1977</v>
      </c>
      <c r="S1" s="262"/>
      <c r="T1" s="263"/>
      <c r="U1" s="267" t="s">
        <v>843</v>
      </c>
      <c r="V1" s="268"/>
      <c r="W1" s="268"/>
      <c r="X1" s="268"/>
      <c r="Y1" s="25"/>
      <c r="Z1" s="264" t="s">
        <v>1104</v>
      </c>
      <c r="AA1" s="265"/>
      <c r="AB1" s="265"/>
      <c r="AC1" s="266"/>
      <c r="AD1" s="25"/>
      <c r="AE1" s="264" t="s">
        <v>845</v>
      </c>
      <c r="AF1" s="265"/>
      <c r="AG1" s="265"/>
      <c r="AH1" s="266"/>
      <c r="AI1" s="25"/>
      <c r="AJ1" s="264" t="s">
        <v>1105</v>
      </c>
      <c r="AK1" s="265"/>
      <c r="AL1" s="265"/>
      <c r="AM1" s="266"/>
    </row>
    <row r="2" spans="1:39" customFormat="1" ht="66" customHeight="1" x14ac:dyDescent="0.35">
      <c r="A2" s="253" t="s">
        <v>0</v>
      </c>
      <c r="B2" s="255" t="s">
        <v>846</v>
      </c>
      <c r="C2" s="257" t="s">
        <v>847</v>
      </c>
      <c r="D2" s="18" t="s">
        <v>848</v>
      </c>
      <c r="E2" s="20" t="s">
        <v>849</v>
      </c>
      <c r="F2" s="6" t="s">
        <v>849</v>
      </c>
      <c r="G2" s="6" t="s">
        <v>849</v>
      </c>
      <c r="H2" s="21" t="s">
        <v>849</v>
      </c>
      <c r="I2" s="26"/>
      <c r="J2" s="255" t="s">
        <v>850</v>
      </c>
      <c r="K2" s="257" t="s">
        <v>851</v>
      </c>
      <c r="L2" s="18" t="s">
        <v>848</v>
      </c>
      <c r="M2" s="57" t="s">
        <v>849</v>
      </c>
      <c r="N2" s="6" t="s">
        <v>849</v>
      </c>
      <c r="O2" s="6" t="s">
        <v>849</v>
      </c>
      <c r="P2" s="6" t="s">
        <v>849</v>
      </c>
      <c r="Q2" s="26"/>
      <c r="R2" s="255" t="s">
        <v>1978</v>
      </c>
      <c r="S2" s="257" t="s">
        <v>1979</v>
      </c>
      <c r="T2" s="18" t="s">
        <v>848</v>
      </c>
      <c r="U2" s="57" t="s">
        <v>849</v>
      </c>
      <c r="V2" s="6" t="s">
        <v>849</v>
      </c>
      <c r="W2" s="6" t="s">
        <v>849</v>
      </c>
      <c r="X2" s="6" t="s">
        <v>849</v>
      </c>
      <c r="Y2" s="26"/>
      <c r="Z2" s="255" t="s">
        <v>852</v>
      </c>
      <c r="AA2" s="273" t="s">
        <v>853</v>
      </c>
      <c r="AB2" s="275" t="s">
        <v>854</v>
      </c>
      <c r="AC2" s="259" t="s">
        <v>855</v>
      </c>
      <c r="AD2" s="26"/>
      <c r="AE2" s="255" t="s">
        <v>856</v>
      </c>
      <c r="AF2" s="273" t="s">
        <v>857</v>
      </c>
      <c r="AG2" s="275" t="s">
        <v>858</v>
      </c>
      <c r="AH2" s="259" t="s">
        <v>859</v>
      </c>
      <c r="AI2" s="26"/>
      <c r="AJ2" s="255" t="s">
        <v>1075</v>
      </c>
      <c r="AK2" s="273" t="s">
        <v>1076</v>
      </c>
      <c r="AL2" s="275" t="s">
        <v>1078</v>
      </c>
      <c r="AM2" s="259" t="s">
        <v>1077</v>
      </c>
    </row>
    <row r="3" spans="1:39" customFormat="1" ht="55.5" customHeight="1" thickBot="1" x14ac:dyDescent="0.4">
      <c r="A3" s="254"/>
      <c r="B3" s="256"/>
      <c r="C3" s="258"/>
      <c r="D3" s="19" t="s">
        <v>860</v>
      </c>
      <c r="E3" s="22" t="s">
        <v>861</v>
      </c>
      <c r="F3" s="23" t="s">
        <v>862</v>
      </c>
      <c r="G3" s="23" t="s">
        <v>863</v>
      </c>
      <c r="H3" s="24" t="s">
        <v>864</v>
      </c>
      <c r="I3" s="26"/>
      <c r="J3" s="256"/>
      <c r="K3" s="258"/>
      <c r="L3" s="19" t="s">
        <v>860</v>
      </c>
      <c r="M3" s="57" t="s">
        <v>863</v>
      </c>
      <c r="N3" s="6" t="s">
        <v>864</v>
      </c>
      <c r="O3" s="6" t="s">
        <v>865</v>
      </c>
      <c r="P3" s="6" t="s">
        <v>1027</v>
      </c>
      <c r="Q3" s="26"/>
      <c r="R3" s="256"/>
      <c r="S3" s="258"/>
      <c r="T3" s="19" t="s">
        <v>860</v>
      </c>
      <c r="U3" s="57" t="s">
        <v>863</v>
      </c>
      <c r="V3" s="6" t="s">
        <v>864</v>
      </c>
      <c r="W3" s="6" t="s">
        <v>865</v>
      </c>
      <c r="X3" s="6" t="s">
        <v>1027</v>
      </c>
      <c r="Y3" s="26"/>
      <c r="Z3" s="256"/>
      <c r="AA3" s="274"/>
      <c r="AB3" s="276"/>
      <c r="AC3" s="260"/>
      <c r="AD3" s="26"/>
      <c r="AE3" s="256"/>
      <c r="AF3" s="274"/>
      <c r="AG3" s="276"/>
      <c r="AH3" s="260"/>
      <c r="AI3" s="26"/>
      <c r="AJ3" s="256"/>
      <c r="AK3" s="274"/>
      <c r="AL3" s="276"/>
      <c r="AM3" s="260"/>
    </row>
    <row r="4" spans="1:39" customFormat="1" ht="26.5" thickBot="1" x14ac:dyDescent="0.4">
      <c r="A4" s="269" t="s">
        <v>866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  <c r="AH4" s="270"/>
      <c r="AI4" s="270"/>
      <c r="AJ4" s="270"/>
      <c r="AK4" s="270"/>
      <c r="AL4" s="270"/>
      <c r="AM4" s="270"/>
    </row>
    <row r="5" spans="1:39" ht="21" x14ac:dyDescent="0.35">
      <c r="A5" s="31" t="s">
        <v>19</v>
      </c>
      <c r="B5" s="28">
        <v>130</v>
      </c>
      <c r="C5" s="28">
        <f>SUM(E5:H5)</f>
        <v>100</v>
      </c>
      <c r="D5" s="32">
        <f>C5/B5</f>
        <v>0.76923076923076927</v>
      </c>
      <c r="E5" s="30"/>
      <c r="F5" s="13">
        <v>3</v>
      </c>
      <c r="G5" s="13">
        <v>25</v>
      </c>
      <c r="H5" s="13">
        <v>72</v>
      </c>
      <c r="I5" s="39"/>
      <c r="J5" s="27">
        <v>175</v>
      </c>
      <c r="K5" s="28">
        <f>SUM(M5:P5)</f>
        <v>162</v>
      </c>
      <c r="L5" s="32">
        <f>K5/J5</f>
        <v>0.92571428571428571</v>
      </c>
      <c r="M5" s="40">
        <v>3</v>
      </c>
      <c r="N5" s="13">
        <v>99</v>
      </c>
      <c r="O5" s="13">
        <v>25</v>
      </c>
      <c r="P5" s="13">
        <v>35</v>
      </c>
      <c r="Q5" s="15"/>
      <c r="R5" s="27">
        <v>145</v>
      </c>
      <c r="S5" s="28">
        <f>SUM(U5:X5)</f>
        <v>10</v>
      </c>
      <c r="T5" s="32">
        <f>S5/R5</f>
        <v>6.8965517241379309E-2</v>
      </c>
      <c r="U5" s="40"/>
      <c r="V5" s="13"/>
      <c r="W5" s="13"/>
      <c r="X5" s="13">
        <v>10</v>
      </c>
      <c r="Y5" s="15"/>
      <c r="Z5" s="14">
        <v>188</v>
      </c>
      <c r="AA5" s="14">
        <f>N5+H5+V5</f>
        <v>171</v>
      </c>
      <c r="AB5" s="14">
        <f>Z5-AA5</f>
        <v>17</v>
      </c>
      <c r="AC5" s="17">
        <f>(H5+N5)/Z5</f>
        <v>0.90957446808510634</v>
      </c>
      <c r="AD5" s="15"/>
      <c r="AE5" s="14">
        <v>27</v>
      </c>
      <c r="AF5" s="14">
        <f>O5+W5</f>
        <v>25</v>
      </c>
      <c r="AG5" s="14">
        <f>AE5-AF5</f>
        <v>2</v>
      </c>
      <c r="AH5" s="56">
        <f>AF5/AE5</f>
        <v>0.92592592592592593</v>
      </c>
      <c r="AI5" s="15"/>
      <c r="AJ5" s="14">
        <v>130</v>
      </c>
      <c r="AK5" s="14">
        <f>P5+X5</f>
        <v>45</v>
      </c>
      <c r="AL5" s="14">
        <f>AJ5-AK5</f>
        <v>85</v>
      </c>
      <c r="AM5" s="16">
        <f>AK5/AJ5</f>
        <v>0.34615384615384615</v>
      </c>
    </row>
    <row r="6" spans="1:39" ht="21" x14ac:dyDescent="0.35">
      <c r="A6" s="33" t="s">
        <v>867</v>
      </c>
      <c r="B6" s="12">
        <v>0</v>
      </c>
      <c r="C6" s="12">
        <f>SUM(E6:H6)</f>
        <v>0</v>
      </c>
      <c r="D6" s="34"/>
      <c r="E6" s="30"/>
      <c r="F6" s="13"/>
      <c r="G6" s="13"/>
      <c r="H6" s="13"/>
      <c r="I6" s="39"/>
      <c r="J6" s="41">
        <v>349</v>
      </c>
      <c r="K6" s="12">
        <f>SUM(M6:P6)</f>
        <v>350</v>
      </c>
      <c r="L6" s="34">
        <f t="shared" ref="L6" si="0">K6/J6</f>
        <v>1.002865329512894</v>
      </c>
      <c r="M6" s="40"/>
      <c r="N6" s="13">
        <v>64</v>
      </c>
      <c r="O6" s="13">
        <v>24</v>
      </c>
      <c r="P6" s="13">
        <v>262</v>
      </c>
      <c r="Q6" s="15"/>
      <c r="R6" s="41">
        <v>10</v>
      </c>
      <c r="S6" s="12">
        <f>SUM(U6:X6)</f>
        <v>0</v>
      </c>
      <c r="T6" s="34">
        <f t="shared" ref="T6:T8" si="1">S6/R6</f>
        <v>0</v>
      </c>
      <c r="U6" s="40"/>
      <c r="V6" s="13"/>
      <c r="W6" s="13"/>
      <c r="X6" s="13"/>
      <c r="Y6" s="15"/>
      <c r="Z6" s="14">
        <v>117</v>
      </c>
      <c r="AA6" s="14">
        <f t="shared" ref="AA6:AA9" si="2">N6+H6+V6</f>
        <v>64</v>
      </c>
      <c r="AB6" s="14">
        <f>Z6-AA6</f>
        <v>53</v>
      </c>
      <c r="AC6" s="16">
        <f>(H6+N6)/Z6</f>
        <v>0.54700854700854706</v>
      </c>
      <c r="AD6" s="15"/>
      <c r="AE6" s="14">
        <v>25</v>
      </c>
      <c r="AF6" s="14">
        <f t="shared" ref="AF6:AF9" si="3">O6+W6</f>
        <v>24</v>
      </c>
      <c r="AG6" s="14">
        <f>AE6-AF6</f>
        <v>1</v>
      </c>
      <c r="AH6" s="56">
        <f>AF6/AE6</f>
        <v>0.96</v>
      </c>
      <c r="AI6" s="15"/>
      <c r="AJ6" s="14">
        <v>178</v>
      </c>
      <c r="AK6" s="14">
        <f t="shared" ref="AK6:AK8" si="4">P6+X6</f>
        <v>262</v>
      </c>
      <c r="AL6" s="53">
        <f>AJ6-AK6</f>
        <v>-84</v>
      </c>
      <c r="AM6" s="58">
        <f t="shared" ref="AM6:AM9" si="5">AK6/AJ6</f>
        <v>1.4719101123595506</v>
      </c>
    </row>
    <row r="7" spans="1:39" ht="21" x14ac:dyDescent="0.35">
      <c r="A7" s="33" t="s">
        <v>868</v>
      </c>
      <c r="B7" s="12">
        <v>0</v>
      </c>
      <c r="C7" s="12">
        <f>SUM(E7:H7)</f>
        <v>0</v>
      </c>
      <c r="D7" s="34"/>
      <c r="E7" s="30"/>
      <c r="F7" s="13"/>
      <c r="G7" s="13"/>
      <c r="H7" s="13"/>
      <c r="I7" s="39"/>
      <c r="J7" s="41">
        <v>6</v>
      </c>
      <c r="K7" s="12">
        <f>SUM(M7:P7)</f>
        <v>6</v>
      </c>
      <c r="L7" s="34"/>
      <c r="M7" s="40"/>
      <c r="N7" s="13">
        <v>4</v>
      </c>
      <c r="O7" s="13"/>
      <c r="P7" s="13">
        <v>2</v>
      </c>
      <c r="Q7" s="15"/>
      <c r="R7" s="41">
        <v>10</v>
      </c>
      <c r="S7" s="12">
        <f>SUM(U7:X7)</f>
        <v>0</v>
      </c>
      <c r="T7" s="34">
        <f t="shared" si="1"/>
        <v>0</v>
      </c>
      <c r="U7" s="40"/>
      <c r="V7" s="13"/>
      <c r="W7" s="13"/>
      <c r="X7" s="13"/>
      <c r="Y7" s="15"/>
      <c r="Z7" s="14">
        <v>5</v>
      </c>
      <c r="AA7" s="14">
        <f t="shared" si="2"/>
        <v>4</v>
      </c>
      <c r="AB7" s="14">
        <f t="shared" ref="AB7:AB9" si="6">Z7-AA7</f>
        <v>1</v>
      </c>
      <c r="AC7" s="17">
        <f>(H7+N7)/Z7</f>
        <v>0.8</v>
      </c>
      <c r="AD7" s="15"/>
      <c r="AE7" s="14">
        <v>0</v>
      </c>
      <c r="AF7" s="14">
        <f t="shared" si="3"/>
        <v>0</v>
      </c>
      <c r="AG7" s="14">
        <f t="shared" ref="AG7:AG9" si="7">AE7-AF7</f>
        <v>0</v>
      </c>
      <c r="AH7" s="55"/>
      <c r="AI7" s="15"/>
      <c r="AJ7" s="14">
        <v>5</v>
      </c>
      <c r="AK7" s="14">
        <f t="shared" si="4"/>
        <v>2</v>
      </c>
      <c r="AL7" s="14">
        <f t="shared" ref="AL7:AL9" si="8">AJ7-AK7</f>
        <v>3</v>
      </c>
      <c r="AM7" s="16">
        <f t="shared" si="5"/>
        <v>0.4</v>
      </c>
    </row>
    <row r="8" spans="1:39" ht="21" x14ac:dyDescent="0.35">
      <c r="A8" s="33" t="s">
        <v>869</v>
      </c>
      <c r="B8" s="12">
        <v>0</v>
      </c>
      <c r="C8" s="12">
        <f>SUM(E8:H8)</f>
        <v>0</v>
      </c>
      <c r="D8" s="34"/>
      <c r="E8" s="30"/>
      <c r="F8" s="13"/>
      <c r="G8" s="13"/>
      <c r="H8" s="13"/>
      <c r="I8" s="39"/>
      <c r="J8" s="41">
        <v>0</v>
      </c>
      <c r="K8" s="12">
        <f>SUM(M8:P8)</f>
        <v>0</v>
      </c>
      <c r="L8" s="34"/>
      <c r="M8" s="40"/>
      <c r="N8" s="13"/>
      <c r="O8" s="13"/>
      <c r="P8" s="13"/>
      <c r="Q8" s="15"/>
      <c r="R8" s="41">
        <v>10</v>
      </c>
      <c r="S8" s="12">
        <f>SUM(U8:X8)</f>
        <v>0</v>
      </c>
      <c r="T8" s="34">
        <f t="shared" si="1"/>
        <v>0</v>
      </c>
      <c r="U8" s="40"/>
      <c r="V8" s="13"/>
      <c r="W8" s="13"/>
      <c r="X8" s="13"/>
      <c r="Y8" s="15"/>
      <c r="Z8" s="14">
        <v>10</v>
      </c>
      <c r="AA8" s="14">
        <f t="shared" si="2"/>
        <v>0</v>
      </c>
      <c r="AB8" s="14">
        <f t="shared" si="6"/>
        <v>10</v>
      </c>
      <c r="AC8" s="16">
        <f>(H8+N8)/Z8</f>
        <v>0</v>
      </c>
      <c r="AD8" s="15"/>
      <c r="AE8" s="14">
        <v>0</v>
      </c>
      <c r="AF8" s="14">
        <f t="shared" si="3"/>
        <v>0</v>
      </c>
      <c r="AG8" s="14">
        <f t="shared" si="7"/>
        <v>0</v>
      </c>
      <c r="AH8" s="55"/>
      <c r="AI8" s="15"/>
      <c r="AJ8" s="14">
        <v>10</v>
      </c>
      <c r="AK8" s="14">
        <f t="shared" si="4"/>
        <v>0</v>
      </c>
      <c r="AL8" s="14">
        <f t="shared" si="8"/>
        <v>10</v>
      </c>
      <c r="AM8" s="16">
        <f t="shared" si="5"/>
        <v>0</v>
      </c>
    </row>
    <row r="9" spans="1:39" ht="21.5" thickBot="1" x14ac:dyDescent="0.4">
      <c r="A9" s="35" t="s">
        <v>88</v>
      </c>
      <c r="B9" s="36">
        <v>29</v>
      </c>
      <c r="C9" s="36">
        <f>SUM(E9:H9)</f>
        <v>29</v>
      </c>
      <c r="D9" s="37">
        <f t="shared" ref="D9" si="9">C9/B9</f>
        <v>1</v>
      </c>
      <c r="E9" s="30"/>
      <c r="F9" s="13"/>
      <c r="G9" s="13">
        <v>14</v>
      </c>
      <c r="H9" s="13">
        <v>15</v>
      </c>
      <c r="I9" s="39"/>
      <c r="J9" s="42">
        <v>26</v>
      </c>
      <c r="K9" s="36">
        <f>SUM(M9:P9)</f>
        <v>26</v>
      </c>
      <c r="L9" s="37">
        <f t="shared" ref="L9" si="10">K9/J9</f>
        <v>1</v>
      </c>
      <c r="M9" s="40"/>
      <c r="N9" s="13">
        <v>10</v>
      </c>
      <c r="O9" s="13"/>
      <c r="P9" s="13">
        <v>16</v>
      </c>
      <c r="Q9" s="15"/>
      <c r="R9" s="42">
        <v>10</v>
      </c>
      <c r="S9" s="36">
        <f>SUM(U9:X9)</f>
        <v>2</v>
      </c>
      <c r="T9" s="37">
        <f t="shared" ref="T9" si="11">S9/R9</f>
        <v>0.2</v>
      </c>
      <c r="U9" s="40"/>
      <c r="V9" s="13"/>
      <c r="W9" s="13"/>
      <c r="X9" s="13">
        <v>2</v>
      </c>
      <c r="Y9" s="15"/>
      <c r="Z9" s="14">
        <v>10</v>
      </c>
      <c r="AA9" s="14">
        <f t="shared" si="2"/>
        <v>25</v>
      </c>
      <c r="AB9" s="53">
        <f t="shared" si="6"/>
        <v>-15</v>
      </c>
      <c r="AC9" s="58">
        <f>(H9+N9)/Z9</f>
        <v>2.5</v>
      </c>
      <c r="AD9" s="15"/>
      <c r="AE9" s="14">
        <v>0</v>
      </c>
      <c r="AF9" s="14">
        <f t="shared" si="3"/>
        <v>0</v>
      </c>
      <c r="AG9" s="14">
        <f t="shared" si="7"/>
        <v>0</v>
      </c>
      <c r="AH9" s="55"/>
      <c r="AI9" s="15"/>
      <c r="AJ9" s="14">
        <v>50</v>
      </c>
      <c r="AK9" s="14">
        <f>P9+X9</f>
        <v>18</v>
      </c>
      <c r="AL9" s="14">
        <f t="shared" si="8"/>
        <v>32</v>
      </c>
      <c r="AM9" s="16">
        <f t="shared" si="5"/>
        <v>0.36</v>
      </c>
    </row>
    <row r="10" spans="1:39" customFormat="1" ht="27" customHeight="1" thickBot="1" x14ac:dyDescent="0.4">
      <c r="A10" s="271" t="s">
        <v>870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</row>
    <row r="11" spans="1:39" ht="21" x14ac:dyDescent="0.35">
      <c r="A11" s="31" t="s">
        <v>871</v>
      </c>
      <c r="B11" s="28">
        <v>79</v>
      </c>
      <c r="C11" s="28">
        <f t="shared" ref="C11:C20" si="12">SUM(E11:H11)</f>
        <v>69</v>
      </c>
      <c r="D11" s="32">
        <f>C11/B11</f>
        <v>0.87341772151898733</v>
      </c>
      <c r="E11" s="30"/>
      <c r="F11" s="13"/>
      <c r="G11" s="13">
        <v>25</v>
      </c>
      <c r="H11" s="13">
        <v>44</v>
      </c>
      <c r="I11" s="39"/>
      <c r="J11" s="27">
        <v>146</v>
      </c>
      <c r="K11" s="28">
        <f t="shared" ref="K11:K22" si="13">SUM(M11:P11)</f>
        <v>126</v>
      </c>
      <c r="L11" s="32">
        <f>K11/J11</f>
        <v>0.86301369863013699</v>
      </c>
      <c r="M11" s="40"/>
      <c r="N11" s="13">
        <v>33</v>
      </c>
      <c r="O11" s="13"/>
      <c r="P11" s="13">
        <v>93</v>
      </c>
      <c r="Q11" s="15"/>
      <c r="R11" s="27">
        <v>178</v>
      </c>
      <c r="S11" s="28">
        <f t="shared" ref="S11:S22" si="14">SUM(U11:X11)</f>
        <v>20</v>
      </c>
      <c r="T11" s="32">
        <f>S11/R11</f>
        <v>0.11235955056179775</v>
      </c>
      <c r="U11" s="40"/>
      <c r="V11" s="13">
        <v>5</v>
      </c>
      <c r="W11" s="13"/>
      <c r="X11" s="13">
        <v>15</v>
      </c>
      <c r="Y11" s="15"/>
      <c r="Z11" s="14">
        <f>189-106</f>
        <v>83</v>
      </c>
      <c r="AA11" s="14">
        <f>N11+H11+V11</f>
        <v>82</v>
      </c>
      <c r="AB11" s="14">
        <f>Z11-AA11</f>
        <v>1</v>
      </c>
      <c r="AC11" s="17">
        <f t="shared" ref="AC11:AC21" si="15">(H11+N11)/Z11</f>
        <v>0.92771084337349397</v>
      </c>
      <c r="AD11" s="15"/>
      <c r="AE11" s="14">
        <v>0</v>
      </c>
      <c r="AF11" s="14"/>
      <c r="AG11" s="14">
        <f>AE11-AF11</f>
        <v>0</v>
      </c>
      <c r="AH11" s="14"/>
      <c r="AI11" s="15"/>
      <c r="AJ11" s="14">
        <v>101</v>
      </c>
      <c r="AK11" s="14">
        <f>P11+X11</f>
        <v>108</v>
      </c>
      <c r="AL11" s="14">
        <f>AJ11-AK11</f>
        <v>-7</v>
      </c>
      <c r="AM11" s="238">
        <f>AK11/AJ11</f>
        <v>1.0693069306930694</v>
      </c>
    </row>
    <row r="12" spans="1:39" ht="21" x14ac:dyDescent="0.35">
      <c r="A12" s="33" t="s">
        <v>872</v>
      </c>
      <c r="B12" s="12">
        <v>109</v>
      </c>
      <c r="C12" s="12">
        <f>SUM(E12:H12)</f>
        <v>67</v>
      </c>
      <c r="D12" s="34">
        <f>C12/B12</f>
        <v>0.61467889908256879</v>
      </c>
      <c r="E12" s="30"/>
      <c r="F12" s="13"/>
      <c r="G12" s="13">
        <v>9</v>
      </c>
      <c r="H12" s="13">
        <v>58</v>
      </c>
      <c r="I12" s="39"/>
      <c r="J12" s="41">
        <v>255</v>
      </c>
      <c r="K12" s="12">
        <f t="shared" si="13"/>
        <v>130</v>
      </c>
      <c r="L12" s="34">
        <f t="shared" ref="L12:L21" si="16">K12/J12</f>
        <v>0.50980392156862742</v>
      </c>
      <c r="M12" s="40"/>
      <c r="N12" s="13">
        <v>19</v>
      </c>
      <c r="O12" s="13">
        <v>70</v>
      </c>
      <c r="P12" s="13">
        <v>41</v>
      </c>
      <c r="Q12" s="15"/>
      <c r="R12" s="41">
        <v>85</v>
      </c>
      <c r="S12" s="12">
        <f t="shared" si="14"/>
        <v>6</v>
      </c>
      <c r="T12" s="34">
        <f t="shared" ref="T12" si="17">S12/R12</f>
        <v>7.0588235294117646E-2</v>
      </c>
      <c r="U12" s="40"/>
      <c r="V12" s="13"/>
      <c r="W12" s="13">
        <v>2</v>
      </c>
      <c r="X12" s="13">
        <v>4</v>
      </c>
      <c r="Y12" s="15"/>
      <c r="Z12" s="14">
        <v>80</v>
      </c>
      <c r="AA12" s="14">
        <f t="shared" ref="AA12:AA21" si="18">N12+H12+V12</f>
        <v>77</v>
      </c>
      <c r="AB12" s="14">
        <f t="shared" ref="AB12:AB21" si="19">Z12-AA12</f>
        <v>3</v>
      </c>
      <c r="AC12" s="17">
        <f t="shared" si="15"/>
        <v>0.96250000000000002</v>
      </c>
      <c r="AD12" s="15"/>
      <c r="AE12" s="14">
        <v>83</v>
      </c>
      <c r="AF12" s="14">
        <f>O12+W12</f>
        <v>72</v>
      </c>
      <c r="AG12" s="14">
        <f t="shared" ref="AG12:AG21" si="20">AE12-AF12</f>
        <v>11</v>
      </c>
      <c r="AH12" s="56">
        <f>AF12/AE12</f>
        <v>0.86746987951807231</v>
      </c>
      <c r="AI12" s="15"/>
      <c r="AJ12" s="14">
        <v>181</v>
      </c>
      <c r="AK12" s="14">
        <f t="shared" ref="AK12:AK20" si="21">P12+X12</f>
        <v>45</v>
      </c>
      <c r="AL12" s="14">
        <f t="shared" ref="AL12" si="22">AJ12-AK12</f>
        <v>136</v>
      </c>
      <c r="AM12" s="16">
        <f t="shared" ref="AM12:AM21" si="23">AK12/AJ12</f>
        <v>0.24861878453038674</v>
      </c>
    </row>
    <row r="13" spans="1:39" ht="42" x14ac:dyDescent="0.35">
      <c r="A13" s="38" t="s">
        <v>259</v>
      </c>
      <c r="B13" s="12">
        <v>10</v>
      </c>
      <c r="C13" s="12">
        <f>SUM(E13:H13)</f>
        <v>10</v>
      </c>
      <c r="D13" s="34">
        <f>C13/B13</f>
        <v>1</v>
      </c>
      <c r="E13" s="30"/>
      <c r="F13" s="13"/>
      <c r="G13" s="13"/>
      <c r="H13" s="13">
        <v>10</v>
      </c>
      <c r="I13" s="39"/>
      <c r="J13" s="41">
        <v>4</v>
      </c>
      <c r="K13" s="12">
        <f t="shared" si="13"/>
        <v>4</v>
      </c>
      <c r="L13" s="34">
        <f t="shared" si="16"/>
        <v>1</v>
      </c>
      <c r="M13" s="40"/>
      <c r="N13" s="13">
        <v>4</v>
      </c>
      <c r="O13" s="13"/>
      <c r="P13" s="13"/>
      <c r="Q13" s="15"/>
      <c r="R13" s="41">
        <v>0</v>
      </c>
      <c r="S13" s="12">
        <f t="shared" si="14"/>
        <v>0</v>
      </c>
      <c r="T13" s="34"/>
      <c r="U13" s="40"/>
      <c r="V13" s="13"/>
      <c r="W13" s="13"/>
      <c r="X13" s="13"/>
      <c r="Y13" s="15"/>
      <c r="Z13" s="14">
        <v>11</v>
      </c>
      <c r="AA13" s="14">
        <f t="shared" si="18"/>
        <v>14</v>
      </c>
      <c r="AB13" s="53">
        <f t="shared" si="19"/>
        <v>-3</v>
      </c>
      <c r="AC13" s="58">
        <f t="shared" si="15"/>
        <v>1.2727272727272727</v>
      </c>
      <c r="AD13" s="15"/>
      <c r="AE13" s="14">
        <v>0</v>
      </c>
      <c r="AF13" s="14"/>
      <c r="AG13" s="14">
        <f t="shared" si="20"/>
        <v>0</v>
      </c>
      <c r="AH13" s="16"/>
      <c r="AI13" s="15"/>
      <c r="AJ13" s="14">
        <v>0</v>
      </c>
      <c r="AK13" s="14">
        <f t="shared" si="21"/>
        <v>0</v>
      </c>
      <c r="AL13" s="14">
        <f t="shared" ref="AL13:AL21" si="24">AJ13-AK13</f>
        <v>0</v>
      </c>
      <c r="AM13" s="16"/>
    </row>
    <row r="14" spans="1:39" ht="21" x14ac:dyDescent="0.35">
      <c r="A14" s="33" t="s">
        <v>873</v>
      </c>
      <c r="B14" s="12">
        <v>1</v>
      </c>
      <c r="C14" s="12">
        <f t="shared" si="12"/>
        <v>1</v>
      </c>
      <c r="D14" s="34">
        <f t="shared" ref="D14:D21" si="25">C14/B14</f>
        <v>1</v>
      </c>
      <c r="E14" s="30"/>
      <c r="F14" s="13"/>
      <c r="G14" s="13"/>
      <c r="H14" s="13">
        <v>1</v>
      </c>
      <c r="I14" s="39"/>
      <c r="J14" s="41">
        <v>1</v>
      </c>
      <c r="K14" s="12">
        <f t="shared" si="13"/>
        <v>1</v>
      </c>
      <c r="L14" s="34">
        <f>K14/J14</f>
        <v>1</v>
      </c>
      <c r="M14" s="40"/>
      <c r="N14" s="13">
        <v>1</v>
      </c>
      <c r="O14" s="13"/>
      <c r="P14" s="13"/>
      <c r="Q14" s="15"/>
      <c r="R14" s="41">
        <v>160</v>
      </c>
      <c r="S14" s="12">
        <f t="shared" si="14"/>
        <v>0</v>
      </c>
      <c r="T14" s="34">
        <f>S14/R14</f>
        <v>0</v>
      </c>
      <c r="U14" s="40"/>
      <c r="V14" s="13"/>
      <c r="W14" s="13"/>
      <c r="X14" s="13"/>
      <c r="Y14" s="15"/>
      <c r="Z14" s="14">
        <v>5</v>
      </c>
      <c r="AA14" s="14">
        <f t="shared" si="18"/>
        <v>2</v>
      </c>
      <c r="AB14" s="14">
        <f t="shared" si="19"/>
        <v>3</v>
      </c>
      <c r="AC14" s="16">
        <f t="shared" si="15"/>
        <v>0.4</v>
      </c>
      <c r="AD14" s="15"/>
      <c r="AE14" s="14">
        <v>0</v>
      </c>
      <c r="AF14" s="14"/>
      <c r="AG14" s="14">
        <f t="shared" si="20"/>
        <v>0</v>
      </c>
      <c r="AH14" s="16"/>
      <c r="AI14" s="15"/>
      <c r="AJ14" s="14">
        <v>0</v>
      </c>
      <c r="AK14" s="14">
        <f t="shared" si="21"/>
        <v>0</v>
      </c>
      <c r="AL14" s="14">
        <f t="shared" si="24"/>
        <v>0</v>
      </c>
      <c r="AM14" s="16"/>
    </row>
    <row r="15" spans="1:39" ht="21" x14ac:dyDescent="0.35">
      <c r="A15" s="33" t="s">
        <v>874</v>
      </c>
      <c r="B15" s="12">
        <v>3</v>
      </c>
      <c r="C15" s="12">
        <f>SUM(E15:H15)</f>
        <v>3</v>
      </c>
      <c r="D15" s="34">
        <f>C15/B15</f>
        <v>1</v>
      </c>
      <c r="E15" s="30"/>
      <c r="F15" s="13"/>
      <c r="G15" s="13"/>
      <c r="H15" s="13">
        <v>3</v>
      </c>
      <c r="I15" s="39"/>
      <c r="J15" s="41">
        <v>4</v>
      </c>
      <c r="K15" s="12">
        <f t="shared" si="13"/>
        <v>4</v>
      </c>
      <c r="L15" s="34">
        <f t="shared" si="16"/>
        <v>1</v>
      </c>
      <c r="M15" s="40"/>
      <c r="N15" s="13">
        <v>1</v>
      </c>
      <c r="O15" s="13">
        <v>3</v>
      </c>
      <c r="P15" s="13"/>
      <c r="Q15" s="15"/>
      <c r="R15" s="41"/>
      <c r="S15" s="12">
        <f t="shared" si="14"/>
        <v>0</v>
      </c>
      <c r="T15" s="34"/>
      <c r="U15" s="40"/>
      <c r="V15" s="13"/>
      <c r="W15" s="13"/>
      <c r="X15" s="13"/>
      <c r="Y15" s="15"/>
      <c r="Z15" s="14">
        <v>6</v>
      </c>
      <c r="AA15" s="14">
        <f t="shared" si="18"/>
        <v>4</v>
      </c>
      <c r="AB15" s="14">
        <f t="shared" si="19"/>
        <v>2</v>
      </c>
      <c r="AC15" s="16">
        <f t="shared" si="15"/>
        <v>0.66666666666666663</v>
      </c>
      <c r="AD15" s="15"/>
      <c r="AE15" s="14">
        <v>3</v>
      </c>
      <c r="AF15" s="14">
        <f t="shared" ref="AF15:AF21" si="26">O15+W15</f>
        <v>3</v>
      </c>
      <c r="AG15" s="14">
        <f t="shared" si="20"/>
        <v>0</v>
      </c>
      <c r="AH15" s="56">
        <f>AF15/AE15</f>
        <v>1</v>
      </c>
      <c r="AI15" s="15"/>
      <c r="AJ15" s="14">
        <v>0</v>
      </c>
      <c r="AK15" s="14">
        <f t="shared" si="21"/>
        <v>0</v>
      </c>
      <c r="AL15" s="14">
        <f t="shared" si="24"/>
        <v>0</v>
      </c>
      <c r="AM15" s="16"/>
    </row>
    <row r="16" spans="1:39" ht="21" x14ac:dyDescent="0.35">
      <c r="A16" s="33" t="s">
        <v>875</v>
      </c>
      <c r="B16" s="12">
        <v>3</v>
      </c>
      <c r="C16" s="12">
        <f t="shared" si="12"/>
        <v>3</v>
      </c>
      <c r="D16" s="34">
        <f t="shared" si="25"/>
        <v>1</v>
      </c>
      <c r="E16" s="30"/>
      <c r="F16" s="13"/>
      <c r="G16" s="13"/>
      <c r="H16" s="13">
        <v>3</v>
      </c>
      <c r="I16" s="39"/>
      <c r="J16" s="41">
        <v>1</v>
      </c>
      <c r="K16" s="12">
        <f t="shared" si="13"/>
        <v>1</v>
      </c>
      <c r="L16" s="34">
        <f t="shared" si="16"/>
        <v>1</v>
      </c>
      <c r="M16" s="40"/>
      <c r="N16" s="13">
        <v>1</v>
      </c>
      <c r="O16" s="13"/>
      <c r="P16" s="13"/>
      <c r="Q16" s="15"/>
      <c r="R16" s="41"/>
      <c r="S16" s="12">
        <f t="shared" si="14"/>
        <v>0</v>
      </c>
      <c r="T16" s="34"/>
      <c r="U16" s="40"/>
      <c r="V16" s="13"/>
      <c r="W16" s="13"/>
      <c r="X16" s="13"/>
      <c r="Y16" s="15"/>
      <c r="Z16" s="14">
        <v>6</v>
      </c>
      <c r="AA16" s="14">
        <f t="shared" si="18"/>
        <v>4</v>
      </c>
      <c r="AB16" s="14">
        <f t="shared" si="19"/>
        <v>2</v>
      </c>
      <c r="AC16" s="16">
        <f t="shared" si="15"/>
        <v>0.66666666666666663</v>
      </c>
      <c r="AD16" s="15"/>
      <c r="AE16" s="14">
        <v>0</v>
      </c>
      <c r="AF16" s="14"/>
      <c r="AG16" s="14">
        <f t="shared" si="20"/>
        <v>0</v>
      </c>
      <c r="AH16" s="16"/>
      <c r="AI16" s="15"/>
      <c r="AJ16" s="14">
        <v>0</v>
      </c>
      <c r="AK16" s="14">
        <f t="shared" si="21"/>
        <v>0</v>
      </c>
      <c r="AL16" s="14">
        <f t="shared" si="24"/>
        <v>0</v>
      </c>
      <c r="AM16" s="16"/>
    </row>
    <row r="17" spans="1:39" ht="21" x14ac:dyDescent="0.35">
      <c r="A17" s="33" t="s">
        <v>876</v>
      </c>
      <c r="B17" s="12">
        <v>88</v>
      </c>
      <c r="C17" s="12">
        <f t="shared" si="12"/>
        <v>83</v>
      </c>
      <c r="D17" s="34">
        <f t="shared" si="25"/>
        <v>0.94318181818181823</v>
      </c>
      <c r="E17" s="30">
        <v>8</v>
      </c>
      <c r="F17" s="13"/>
      <c r="G17" s="13">
        <v>30</v>
      </c>
      <c r="H17" s="13">
        <v>45</v>
      </c>
      <c r="I17" s="39"/>
      <c r="J17" s="41">
        <v>110</v>
      </c>
      <c r="K17" s="12">
        <f t="shared" si="13"/>
        <v>110</v>
      </c>
      <c r="L17" s="34">
        <f t="shared" si="16"/>
        <v>1</v>
      </c>
      <c r="M17" s="40"/>
      <c r="N17" s="13">
        <v>46</v>
      </c>
      <c r="O17" s="13"/>
      <c r="P17" s="13">
        <v>64</v>
      </c>
      <c r="Q17" s="15"/>
      <c r="R17" s="41">
        <v>1</v>
      </c>
      <c r="S17" s="12">
        <f t="shared" si="14"/>
        <v>0</v>
      </c>
      <c r="T17" s="34">
        <f t="shared" ref="T17" si="27">S17/R17</f>
        <v>0</v>
      </c>
      <c r="U17" s="40"/>
      <c r="V17" s="13"/>
      <c r="W17" s="13"/>
      <c r="X17" s="13"/>
      <c r="Y17" s="15"/>
      <c r="Z17" s="14">
        <v>100</v>
      </c>
      <c r="AA17" s="14">
        <f t="shared" si="18"/>
        <v>91</v>
      </c>
      <c r="AB17" s="14">
        <f t="shared" si="19"/>
        <v>9</v>
      </c>
      <c r="AC17" s="17">
        <f t="shared" si="15"/>
        <v>0.91</v>
      </c>
      <c r="AD17" s="15"/>
      <c r="AE17" s="14">
        <v>0</v>
      </c>
      <c r="AF17" s="14"/>
      <c r="AG17" s="14">
        <f t="shared" si="20"/>
        <v>0</v>
      </c>
      <c r="AH17" s="14"/>
      <c r="AI17" s="15"/>
      <c r="AJ17" s="14">
        <v>109</v>
      </c>
      <c r="AK17" s="14">
        <f t="shared" si="21"/>
        <v>64</v>
      </c>
      <c r="AL17" s="14">
        <f>AJ17-AK17</f>
        <v>45</v>
      </c>
      <c r="AM17" s="16">
        <f>AK17/AJ17</f>
        <v>0.58715596330275233</v>
      </c>
    </row>
    <row r="18" spans="1:39" ht="21" x14ac:dyDescent="0.35">
      <c r="A18" s="33" t="s">
        <v>877</v>
      </c>
      <c r="B18" s="12">
        <v>182</v>
      </c>
      <c r="C18" s="12">
        <f t="shared" si="12"/>
        <v>163</v>
      </c>
      <c r="D18" s="34">
        <f t="shared" si="25"/>
        <v>0.89560439560439564</v>
      </c>
      <c r="E18" s="30">
        <v>15</v>
      </c>
      <c r="F18" s="13">
        <v>5</v>
      </c>
      <c r="G18" s="13">
        <v>5</v>
      </c>
      <c r="H18" s="13">
        <v>138</v>
      </c>
      <c r="I18" s="39"/>
      <c r="J18" s="41">
        <v>251</v>
      </c>
      <c r="K18" s="12">
        <f t="shared" si="13"/>
        <v>251</v>
      </c>
      <c r="L18" s="34">
        <f t="shared" si="16"/>
        <v>1</v>
      </c>
      <c r="M18" s="40"/>
      <c r="N18" s="13">
        <v>123</v>
      </c>
      <c r="O18" s="13">
        <v>45</v>
      </c>
      <c r="P18" s="13">
        <v>83</v>
      </c>
      <c r="Q18" s="15"/>
      <c r="R18" s="41"/>
      <c r="S18" s="12">
        <f t="shared" si="14"/>
        <v>0</v>
      </c>
      <c r="T18" s="34"/>
      <c r="U18" s="40"/>
      <c r="V18" s="13"/>
      <c r="W18" s="13"/>
      <c r="X18" s="13"/>
      <c r="Y18" s="15"/>
      <c r="Z18" s="14">
        <f>156+106</f>
        <v>262</v>
      </c>
      <c r="AA18" s="14">
        <f t="shared" si="18"/>
        <v>261</v>
      </c>
      <c r="AB18" s="14">
        <f t="shared" si="19"/>
        <v>1</v>
      </c>
      <c r="AC18" s="17">
        <f t="shared" si="15"/>
        <v>0.99618320610687028</v>
      </c>
      <c r="AD18" s="15"/>
      <c r="AE18" s="14">
        <v>45</v>
      </c>
      <c r="AF18" s="14">
        <f t="shared" si="26"/>
        <v>45</v>
      </c>
      <c r="AG18" s="14">
        <f t="shared" si="20"/>
        <v>0</v>
      </c>
      <c r="AH18" s="56">
        <f>AF18/AE18</f>
        <v>1</v>
      </c>
      <c r="AI18" s="15"/>
      <c r="AJ18" s="14">
        <v>105</v>
      </c>
      <c r="AK18" s="14">
        <f t="shared" si="21"/>
        <v>83</v>
      </c>
      <c r="AL18" s="14">
        <f>AJ18-AK18</f>
        <v>22</v>
      </c>
      <c r="AM18" s="17">
        <f>AK18/AJ18</f>
        <v>0.79047619047619044</v>
      </c>
    </row>
    <row r="19" spans="1:39" ht="21" x14ac:dyDescent="0.35">
      <c r="A19" s="33" t="s">
        <v>878</v>
      </c>
      <c r="B19" s="12">
        <v>35</v>
      </c>
      <c r="C19" s="12">
        <f t="shared" si="12"/>
        <v>27</v>
      </c>
      <c r="D19" s="34">
        <f t="shared" si="25"/>
        <v>0.77142857142857146</v>
      </c>
      <c r="E19" s="30"/>
      <c r="F19" s="13"/>
      <c r="G19" s="13"/>
      <c r="H19" s="13">
        <v>27</v>
      </c>
      <c r="I19" s="39"/>
      <c r="J19" s="41">
        <v>475</v>
      </c>
      <c r="K19" s="12">
        <f t="shared" si="13"/>
        <v>480</v>
      </c>
      <c r="L19" s="34">
        <f t="shared" si="16"/>
        <v>1.0105263157894737</v>
      </c>
      <c r="M19" s="40"/>
      <c r="N19" s="13">
        <v>7</v>
      </c>
      <c r="O19" s="13"/>
      <c r="P19" s="13">
        <v>473</v>
      </c>
      <c r="Q19" s="15"/>
      <c r="R19" s="41"/>
      <c r="S19" s="12">
        <f t="shared" si="14"/>
        <v>0</v>
      </c>
      <c r="T19" s="34"/>
      <c r="U19" s="40"/>
      <c r="V19" s="13"/>
      <c r="W19" s="13"/>
      <c r="X19" s="13"/>
      <c r="Y19" s="15"/>
      <c r="Z19" s="14">
        <v>35</v>
      </c>
      <c r="AA19" s="14">
        <f t="shared" si="18"/>
        <v>34</v>
      </c>
      <c r="AB19" s="14">
        <f t="shared" si="19"/>
        <v>1</v>
      </c>
      <c r="AC19" s="17">
        <f t="shared" si="15"/>
        <v>0.97142857142857142</v>
      </c>
      <c r="AD19" s="15"/>
      <c r="AE19" s="14">
        <v>0</v>
      </c>
      <c r="AF19" s="14"/>
      <c r="AG19" s="14">
        <f t="shared" si="20"/>
        <v>0</v>
      </c>
      <c r="AH19" s="14"/>
      <c r="AI19" s="15"/>
      <c r="AJ19" s="14">
        <v>1344</v>
      </c>
      <c r="AK19" s="14">
        <f t="shared" si="21"/>
        <v>473</v>
      </c>
      <c r="AL19" s="14">
        <f t="shared" si="24"/>
        <v>871</v>
      </c>
      <c r="AM19" s="16">
        <f t="shared" si="23"/>
        <v>0.35193452380952384</v>
      </c>
    </row>
    <row r="20" spans="1:39" ht="21" x14ac:dyDescent="0.35">
      <c r="A20" s="33" t="s">
        <v>879</v>
      </c>
      <c r="B20" s="12">
        <v>0</v>
      </c>
      <c r="C20" s="12">
        <f t="shared" si="12"/>
        <v>0</v>
      </c>
      <c r="D20" s="34"/>
      <c r="E20" s="30"/>
      <c r="F20" s="13"/>
      <c r="G20" s="13"/>
      <c r="H20" s="13"/>
      <c r="I20" s="39"/>
      <c r="J20" s="41">
        <v>0</v>
      </c>
      <c r="K20" s="12">
        <f t="shared" si="13"/>
        <v>0</v>
      </c>
      <c r="L20" s="34"/>
      <c r="M20" s="40"/>
      <c r="N20" s="13"/>
      <c r="O20" s="13"/>
      <c r="P20" s="13"/>
      <c r="Q20" s="15"/>
      <c r="R20" s="41"/>
      <c r="S20" s="12">
        <f t="shared" si="14"/>
        <v>0</v>
      </c>
      <c r="T20" s="34"/>
      <c r="U20" s="40"/>
      <c r="V20" s="13"/>
      <c r="W20" s="13"/>
      <c r="X20" s="13"/>
      <c r="Y20" s="15"/>
      <c r="Z20" s="14">
        <v>0</v>
      </c>
      <c r="AA20" s="14">
        <f t="shared" si="18"/>
        <v>0</v>
      </c>
      <c r="AB20" s="14">
        <f t="shared" si="19"/>
        <v>0</v>
      </c>
      <c r="AC20" s="16"/>
      <c r="AD20" s="15"/>
      <c r="AE20" s="14">
        <v>0</v>
      </c>
      <c r="AF20" s="14"/>
      <c r="AG20" s="14">
        <f t="shared" si="20"/>
        <v>0</v>
      </c>
      <c r="AH20" s="14"/>
      <c r="AI20" s="15"/>
      <c r="AJ20" s="14"/>
      <c r="AK20" s="14">
        <f t="shared" si="21"/>
        <v>0</v>
      </c>
      <c r="AL20" s="14">
        <f t="shared" si="24"/>
        <v>0</v>
      </c>
      <c r="AM20" s="16"/>
    </row>
    <row r="21" spans="1:39" ht="21" x14ac:dyDescent="0.35">
      <c r="A21" s="33" t="s">
        <v>880</v>
      </c>
      <c r="B21" s="12">
        <v>19</v>
      </c>
      <c r="C21" s="12">
        <f>SUM(E21:H21)</f>
        <v>19</v>
      </c>
      <c r="D21" s="34">
        <f t="shared" si="25"/>
        <v>1</v>
      </c>
      <c r="E21" s="30"/>
      <c r="F21" s="13"/>
      <c r="G21" s="13">
        <v>6</v>
      </c>
      <c r="H21" s="13">
        <v>13</v>
      </c>
      <c r="I21" s="39"/>
      <c r="J21" s="41">
        <v>71</v>
      </c>
      <c r="K21" s="12">
        <f t="shared" si="13"/>
        <v>71</v>
      </c>
      <c r="L21" s="34">
        <f t="shared" si="16"/>
        <v>1</v>
      </c>
      <c r="M21" s="40"/>
      <c r="N21" s="13">
        <v>3</v>
      </c>
      <c r="O21" s="13">
        <v>4</v>
      </c>
      <c r="P21" s="13">
        <v>64</v>
      </c>
      <c r="Q21" s="15"/>
      <c r="R21" s="41">
        <v>40</v>
      </c>
      <c r="S21" s="12">
        <f t="shared" si="14"/>
        <v>8</v>
      </c>
      <c r="T21" s="34">
        <f t="shared" ref="T21" si="28">S21/R21</f>
        <v>0.2</v>
      </c>
      <c r="U21" s="40"/>
      <c r="V21" s="13"/>
      <c r="W21" s="13"/>
      <c r="X21" s="13">
        <v>8</v>
      </c>
      <c r="Y21" s="15"/>
      <c r="Z21" s="14">
        <v>16</v>
      </c>
      <c r="AA21" s="14">
        <f t="shared" si="18"/>
        <v>16</v>
      </c>
      <c r="AB21" s="14">
        <f t="shared" si="19"/>
        <v>0</v>
      </c>
      <c r="AC21" s="17">
        <f t="shared" si="15"/>
        <v>1</v>
      </c>
      <c r="AD21" s="15"/>
      <c r="AE21" s="14">
        <v>5</v>
      </c>
      <c r="AF21" s="14">
        <f t="shared" si="26"/>
        <v>4</v>
      </c>
      <c r="AG21" s="14">
        <f t="shared" si="20"/>
        <v>1</v>
      </c>
      <c r="AH21" s="56">
        <f t="shared" ref="AH21" si="29">AF21/AE21</f>
        <v>0.8</v>
      </c>
      <c r="AI21" s="15"/>
      <c r="AJ21" s="14">
        <v>15</v>
      </c>
      <c r="AK21" s="14">
        <f>P21+X21</f>
        <v>72</v>
      </c>
      <c r="AL21" s="53">
        <f t="shared" si="24"/>
        <v>-57</v>
      </c>
      <c r="AM21" s="58">
        <f t="shared" si="23"/>
        <v>4.8</v>
      </c>
    </row>
    <row r="22" spans="1:39" customFormat="1" ht="26.5" thickBot="1" x14ac:dyDescent="0.4">
      <c r="A22" s="43" t="s">
        <v>881</v>
      </c>
      <c r="B22" s="44">
        <f>SUM(B11:B21,B5:B9)</f>
        <v>688</v>
      </c>
      <c r="C22" s="54">
        <f>SUM(C11:C21,C5:C9)</f>
        <v>574</v>
      </c>
      <c r="D22" s="45">
        <f>C22/B22</f>
        <v>0.83430232558139539</v>
      </c>
      <c r="E22" s="46">
        <f>SUM(E11:E21,E5:E9)</f>
        <v>23</v>
      </c>
      <c r="F22" s="47">
        <f>SUM(F11:F21,F5:F9)</f>
        <v>8</v>
      </c>
      <c r="G22" s="47">
        <f>SUM(G11:G21,G5:G9)</f>
        <v>114</v>
      </c>
      <c r="H22" s="47">
        <f>SUM(H11:H21,H5:H9)</f>
        <v>429</v>
      </c>
      <c r="I22" s="48"/>
      <c r="J22" s="43">
        <f>SUM(J11:J21,J5:J9)</f>
        <v>1874</v>
      </c>
      <c r="K22" s="54">
        <f t="shared" si="13"/>
        <v>1722</v>
      </c>
      <c r="L22" s="45">
        <f>K22/J22</f>
        <v>0.91889007470651018</v>
      </c>
      <c r="M22" s="46">
        <f>SUM(M11:M21,M5:M9)</f>
        <v>3</v>
      </c>
      <c r="N22" s="47">
        <f>SUM(N11:N21,N5:N9)</f>
        <v>415</v>
      </c>
      <c r="O22" s="47">
        <f>SUM(O11:O21,O5:O9)</f>
        <v>171</v>
      </c>
      <c r="P22" s="47">
        <f>SUM(P11:P21,P5:P9)</f>
        <v>1133</v>
      </c>
      <c r="Q22" s="49"/>
      <c r="R22" s="43">
        <f>SUM(R11:R21,R5:R9)</f>
        <v>649</v>
      </c>
      <c r="S22" s="54">
        <f t="shared" si="14"/>
        <v>46</v>
      </c>
      <c r="T22" s="45">
        <f>S22/R22</f>
        <v>7.0878274268104779E-2</v>
      </c>
      <c r="U22" s="46">
        <f>SUM(U11:U21,U5:U9)</f>
        <v>0</v>
      </c>
      <c r="V22" s="47">
        <f>SUM(V11:V21,V5:V9)</f>
        <v>5</v>
      </c>
      <c r="W22" s="47">
        <f>SUM(W11:W21,W5:W9)</f>
        <v>2</v>
      </c>
      <c r="X22" s="47">
        <f>SUM(X11:X21,X5:X9)</f>
        <v>39</v>
      </c>
      <c r="Y22" s="49"/>
      <c r="Z22" s="50">
        <f>SUM(Z11:Z21,Z5:Z9)</f>
        <v>934</v>
      </c>
      <c r="AA22" s="47">
        <f>N22+H22+V22</f>
        <v>849</v>
      </c>
      <c r="AB22" s="51">
        <f>Z22-AA22</f>
        <v>85</v>
      </c>
      <c r="AC22" s="52">
        <f>(H22+N22)/Z22</f>
        <v>0.90364025695931482</v>
      </c>
      <c r="AD22" s="49"/>
      <c r="AE22" s="50">
        <f>SUM(AE11:AE21,AE5:AE9)</f>
        <v>188</v>
      </c>
      <c r="AF22" s="47">
        <f>SUM(AF11:AF21,AF5:AF9)</f>
        <v>173</v>
      </c>
      <c r="AG22" s="51">
        <f>AE22-AF22</f>
        <v>15</v>
      </c>
      <c r="AH22" s="52">
        <f>O22/AE22</f>
        <v>0.90957446808510634</v>
      </c>
      <c r="AI22" s="49"/>
      <c r="AJ22" s="50">
        <f>SUM(AJ11:AJ21,AJ5:AJ9)</f>
        <v>2228</v>
      </c>
      <c r="AK22" s="47">
        <f>SUM(AK11:AK21,AK5:AK9)</f>
        <v>1172</v>
      </c>
      <c r="AL22" s="51">
        <f>AJ22-AK22</f>
        <v>1056</v>
      </c>
      <c r="AM22" s="52">
        <f>P22/AJ22</f>
        <v>0.50852782764811488</v>
      </c>
    </row>
  </sheetData>
  <mergeCells count="30">
    <mergeCell ref="A4:AM4"/>
    <mergeCell ref="A10:AM10"/>
    <mergeCell ref="AJ1:AM1"/>
    <mergeCell ref="AJ2:AJ3"/>
    <mergeCell ref="AK2:AK3"/>
    <mergeCell ref="AL2:AL3"/>
    <mergeCell ref="AM2:AM3"/>
    <mergeCell ref="J1:L1"/>
    <mergeCell ref="J2:J3"/>
    <mergeCell ref="AA2:AA3"/>
    <mergeCell ref="AB2:AB3"/>
    <mergeCell ref="M1:P1"/>
    <mergeCell ref="AE1:AH1"/>
    <mergeCell ref="AE2:AE3"/>
    <mergeCell ref="AF2:AF3"/>
    <mergeCell ref="AG2:AG3"/>
    <mergeCell ref="AH2:AH3"/>
    <mergeCell ref="K2:K3"/>
    <mergeCell ref="B1:D1"/>
    <mergeCell ref="E1:H1"/>
    <mergeCell ref="Z1:AC1"/>
    <mergeCell ref="R1:T1"/>
    <mergeCell ref="U1:X1"/>
    <mergeCell ref="R2:R3"/>
    <mergeCell ref="S2:S3"/>
    <mergeCell ref="A2:A3"/>
    <mergeCell ref="B2:B3"/>
    <mergeCell ref="C2:C3"/>
    <mergeCell ref="Z2:Z3"/>
    <mergeCell ref="AC2:AC3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B3F8-BC79-4D55-82A4-D53CC14C8220}">
  <dimension ref="A1:G2344"/>
  <sheetViews>
    <sheetView zoomScale="80" zoomScaleNormal="80" workbookViewId="0">
      <pane xSplit="1" ySplit="2" topLeftCell="B2304" activePane="bottomRight" state="frozen"/>
      <selection pane="topRight" activeCell="B1" sqref="B1"/>
      <selection pane="bottomLeft" activeCell="A3" sqref="A3"/>
      <selection pane="bottomRight" activeCell="D2318" sqref="D2318"/>
    </sheetView>
  </sheetViews>
  <sheetFormatPr defaultColWidth="8.54296875" defaultRowHeight="14.5" x14ac:dyDescent="0.35"/>
  <cols>
    <col min="1" max="1" width="14.54296875" style="2" bestFit="1" customWidth="1"/>
    <col min="2" max="2" width="30.453125" style="2" bestFit="1" customWidth="1"/>
    <col min="3" max="3" width="14.54296875" style="2" bestFit="1" customWidth="1"/>
    <col min="4" max="4" width="20.453125" style="3" bestFit="1" customWidth="1"/>
    <col min="5" max="5" width="19.54296875" style="3" bestFit="1" customWidth="1"/>
    <col min="6" max="6" width="27.453125" style="2" bestFit="1" customWidth="1"/>
    <col min="7" max="7" width="26.453125" style="2" bestFit="1" customWidth="1"/>
    <col min="8" max="16384" width="8.54296875" style="2"/>
  </cols>
  <sheetData>
    <row r="1" spans="1:7" x14ac:dyDescent="0.35">
      <c r="A1" s="5">
        <f>SUBTOTAL(3,A3:A3362)</f>
        <v>2342</v>
      </c>
      <c r="B1" s="5">
        <f t="shared" ref="B1:G1" si="0">SUBTOTAL(3,B3:B3362)</f>
        <v>2342</v>
      </c>
      <c r="C1" s="5">
        <f t="shared" si="0"/>
        <v>2342</v>
      </c>
      <c r="D1" s="5">
        <f t="shared" si="0"/>
        <v>2342</v>
      </c>
      <c r="E1" s="5">
        <f t="shared" si="0"/>
        <v>2342</v>
      </c>
      <c r="F1" s="5">
        <f t="shared" si="0"/>
        <v>2342</v>
      </c>
      <c r="G1" s="5">
        <f t="shared" si="0"/>
        <v>808</v>
      </c>
    </row>
    <row r="2" spans="1:7" x14ac:dyDescent="0.35">
      <c r="A2" s="8" t="s">
        <v>882</v>
      </c>
      <c r="B2" s="8" t="s">
        <v>1088</v>
      </c>
      <c r="C2" s="8" t="s">
        <v>883</v>
      </c>
      <c r="D2" s="9" t="s">
        <v>5</v>
      </c>
      <c r="E2" s="9" t="s">
        <v>884</v>
      </c>
      <c r="F2" s="8" t="s">
        <v>1089</v>
      </c>
      <c r="G2" s="8" t="s">
        <v>885</v>
      </c>
    </row>
    <row r="3" spans="1:7" x14ac:dyDescent="0.35">
      <c r="A3" s="7" t="s">
        <v>886</v>
      </c>
      <c r="B3" s="7" t="s">
        <v>887</v>
      </c>
      <c r="C3" s="7">
        <v>82906</v>
      </c>
      <c r="D3" s="10">
        <v>45292</v>
      </c>
      <c r="E3" s="11" t="s">
        <v>888</v>
      </c>
      <c r="F3" s="7" t="s">
        <v>877</v>
      </c>
      <c r="G3" s="7"/>
    </row>
    <row r="4" spans="1:7" x14ac:dyDescent="0.35">
      <c r="A4" s="7" t="s">
        <v>892</v>
      </c>
      <c r="B4" s="7" t="s">
        <v>890</v>
      </c>
      <c r="C4" s="7">
        <v>84411</v>
      </c>
      <c r="D4" s="10">
        <v>45317</v>
      </c>
      <c r="E4" s="11" t="s">
        <v>888</v>
      </c>
      <c r="F4" s="7" t="s">
        <v>872</v>
      </c>
      <c r="G4" s="7" t="s">
        <v>891</v>
      </c>
    </row>
    <row r="5" spans="1:7" x14ac:dyDescent="0.35">
      <c r="A5" s="7" t="s">
        <v>889</v>
      </c>
      <c r="B5" s="7" t="s">
        <v>890</v>
      </c>
      <c r="C5" s="7">
        <v>84411</v>
      </c>
      <c r="D5" s="10">
        <v>45317</v>
      </c>
      <c r="E5" s="11" t="s">
        <v>888</v>
      </c>
      <c r="F5" s="7" t="s">
        <v>871</v>
      </c>
      <c r="G5" s="7" t="s">
        <v>891</v>
      </c>
    </row>
    <row r="6" spans="1:7" x14ac:dyDescent="0.35">
      <c r="A6" s="7" t="s">
        <v>489</v>
      </c>
      <c r="B6" s="7" t="s">
        <v>887</v>
      </c>
      <c r="C6" s="7">
        <v>82906</v>
      </c>
      <c r="D6" s="10">
        <v>45322</v>
      </c>
      <c r="E6" s="11" t="s">
        <v>888</v>
      </c>
      <c r="F6" s="7" t="s">
        <v>877</v>
      </c>
      <c r="G6" s="7"/>
    </row>
    <row r="7" spans="1:7" x14ac:dyDescent="0.35">
      <c r="A7" s="7" t="s">
        <v>632</v>
      </c>
      <c r="B7" s="7" t="s">
        <v>890</v>
      </c>
      <c r="C7" s="7">
        <v>84411</v>
      </c>
      <c r="D7" s="10">
        <v>45325</v>
      </c>
      <c r="E7" s="11" t="s">
        <v>888</v>
      </c>
      <c r="F7" s="7" t="s">
        <v>872</v>
      </c>
      <c r="G7" s="7" t="s">
        <v>891</v>
      </c>
    </row>
    <row r="8" spans="1:7" x14ac:dyDescent="0.35">
      <c r="A8" s="7" t="s">
        <v>893</v>
      </c>
      <c r="B8" s="7" t="s">
        <v>890</v>
      </c>
      <c r="C8" s="7">
        <v>84411</v>
      </c>
      <c r="D8" s="10">
        <v>45325</v>
      </c>
      <c r="E8" s="11" t="s">
        <v>888</v>
      </c>
      <c r="F8" s="7" t="s">
        <v>871</v>
      </c>
      <c r="G8" s="7" t="s">
        <v>891</v>
      </c>
    </row>
    <row r="9" spans="1:7" x14ac:dyDescent="0.35">
      <c r="A9" s="7" t="s">
        <v>16</v>
      </c>
      <c r="B9" s="7" t="s">
        <v>890</v>
      </c>
      <c r="C9" s="7">
        <v>84411</v>
      </c>
      <c r="D9" s="10">
        <v>45327</v>
      </c>
      <c r="E9" s="11" t="s">
        <v>888</v>
      </c>
      <c r="F9" s="7" t="s">
        <v>871</v>
      </c>
      <c r="G9" s="7" t="s">
        <v>891</v>
      </c>
    </row>
    <row r="10" spans="1:7" x14ac:dyDescent="0.35">
      <c r="A10" s="7" t="s">
        <v>16</v>
      </c>
      <c r="B10" s="7" t="s">
        <v>890</v>
      </c>
      <c r="C10" s="7">
        <v>84411</v>
      </c>
      <c r="D10" s="10">
        <v>45327</v>
      </c>
      <c r="E10" s="11" t="s">
        <v>888</v>
      </c>
      <c r="F10" s="7" t="s">
        <v>894</v>
      </c>
      <c r="G10" s="7" t="s">
        <v>15</v>
      </c>
    </row>
    <row r="11" spans="1:7" x14ac:dyDescent="0.35">
      <c r="A11" s="7" t="s">
        <v>213</v>
      </c>
      <c r="B11" s="7" t="s">
        <v>890</v>
      </c>
      <c r="C11" s="7">
        <v>84411</v>
      </c>
      <c r="D11" s="10">
        <v>45329</v>
      </c>
      <c r="E11" s="11" t="s">
        <v>888</v>
      </c>
      <c r="F11" s="7" t="s">
        <v>877</v>
      </c>
      <c r="G11" s="7"/>
    </row>
    <row r="12" spans="1:7" x14ac:dyDescent="0.35">
      <c r="A12" s="7" t="s">
        <v>14</v>
      </c>
      <c r="B12" s="7" t="s">
        <v>890</v>
      </c>
      <c r="C12" s="7">
        <v>84411</v>
      </c>
      <c r="D12" s="10">
        <v>45331</v>
      </c>
      <c r="E12" s="11" t="s">
        <v>888</v>
      </c>
      <c r="F12" s="7" t="s">
        <v>871</v>
      </c>
      <c r="G12" s="7" t="s">
        <v>891</v>
      </c>
    </row>
    <row r="13" spans="1:7" x14ac:dyDescent="0.35">
      <c r="A13" s="7" t="s">
        <v>14</v>
      </c>
      <c r="B13" s="7" t="s">
        <v>890</v>
      </c>
      <c r="C13" s="7">
        <v>84411</v>
      </c>
      <c r="D13" s="10">
        <v>45331</v>
      </c>
      <c r="E13" s="11" t="s">
        <v>888</v>
      </c>
      <c r="F13" s="7" t="s">
        <v>894</v>
      </c>
      <c r="G13" s="7" t="s">
        <v>15</v>
      </c>
    </row>
    <row r="14" spans="1:7" x14ac:dyDescent="0.35">
      <c r="A14" s="77" t="s">
        <v>21</v>
      </c>
      <c r="B14" s="77" t="s">
        <v>890</v>
      </c>
      <c r="C14" s="77">
        <v>84411</v>
      </c>
      <c r="D14" s="78">
        <v>45332</v>
      </c>
      <c r="E14" s="79" t="s">
        <v>888</v>
      </c>
      <c r="F14" s="77" t="s">
        <v>88</v>
      </c>
      <c r="G14" s="77" t="s">
        <v>22</v>
      </c>
    </row>
    <row r="15" spans="1:7" x14ac:dyDescent="0.35">
      <c r="A15" s="77" t="s">
        <v>24</v>
      </c>
      <c r="B15" s="77" t="s">
        <v>890</v>
      </c>
      <c r="C15" s="77">
        <v>84411</v>
      </c>
      <c r="D15" s="78">
        <v>45332</v>
      </c>
      <c r="E15" s="79" t="s">
        <v>888</v>
      </c>
      <c r="F15" s="77" t="s">
        <v>88</v>
      </c>
      <c r="G15" s="77" t="s">
        <v>22</v>
      </c>
    </row>
    <row r="16" spans="1:7" x14ac:dyDescent="0.35">
      <c r="A16" s="77" t="s">
        <v>24</v>
      </c>
      <c r="B16" s="77" t="s">
        <v>890</v>
      </c>
      <c r="C16" s="77">
        <v>84411</v>
      </c>
      <c r="D16" s="78">
        <v>45332</v>
      </c>
      <c r="E16" s="79" t="s">
        <v>888</v>
      </c>
      <c r="F16" s="77" t="s">
        <v>872</v>
      </c>
      <c r="G16" s="77" t="s">
        <v>895</v>
      </c>
    </row>
    <row r="17" spans="1:7" x14ac:dyDescent="0.35">
      <c r="A17" s="77" t="s">
        <v>24</v>
      </c>
      <c r="B17" s="77" t="s">
        <v>890</v>
      </c>
      <c r="C17" s="77">
        <v>84411</v>
      </c>
      <c r="D17" s="78">
        <v>45334</v>
      </c>
      <c r="E17" s="79" t="s">
        <v>888</v>
      </c>
      <c r="F17" s="77" t="s">
        <v>872</v>
      </c>
      <c r="G17" s="77" t="s">
        <v>895</v>
      </c>
    </row>
    <row r="18" spans="1:7" x14ac:dyDescent="0.35">
      <c r="A18" s="7" t="s">
        <v>42</v>
      </c>
      <c r="B18" s="7" t="s">
        <v>887</v>
      </c>
      <c r="C18" s="7">
        <v>82906</v>
      </c>
      <c r="D18" s="10">
        <v>45344</v>
      </c>
      <c r="E18" s="11" t="s">
        <v>888</v>
      </c>
      <c r="F18" s="7" t="s">
        <v>877</v>
      </c>
      <c r="G18" s="7"/>
    </row>
    <row r="19" spans="1:7" x14ac:dyDescent="0.35">
      <c r="A19" s="7" t="s">
        <v>11</v>
      </c>
      <c r="B19" s="7" t="s">
        <v>896</v>
      </c>
      <c r="C19" s="7" t="s">
        <v>897</v>
      </c>
      <c r="D19" s="10">
        <v>45345</v>
      </c>
      <c r="E19" s="11" t="s">
        <v>888</v>
      </c>
      <c r="F19" s="7" t="s">
        <v>19</v>
      </c>
      <c r="G19" s="7"/>
    </row>
    <row r="20" spans="1:7" x14ac:dyDescent="0.35">
      <c r="A20" s="7" t="s">
        <v>43</v>
      </c>
      <c r="B20" s="7" t="s">
        <v>887</v>
      </c>
      <c r="C20" s="7">
        <v>82906</v>
      </c>
      <c r="D20" s="10">
        <v>45345</v>
      </c>
      <c r="E20" s="11" t="s">
        <v>888</v>
      </c>
      <c r="F20" s="7" t="s">
        <v>877</v>
      </c>
      <c r="G20" s="7"/>
    </row>
    <row r="21" spans="1:7" x14ac:dyDescent="0.35">
      <c r="A21" s="7" t="s">
        <v>11</v>
      </c>
      <c r="B21" s="7" t="s">
        <v>890</v>
      </c>
      <c r="C21" s="7">
        <v>84411</v>
      </c>
      <c r="D21" s="10">
        <v>45348</v>
      </c>
      <c r="E21" s="11" t="s">
        <v>888</v>
      </c>
      <c r="F21" s="7" t="s">
        <v>872</v>
      </c>
      <c r="G21" s="7" t="s">
        <v>891</v>
      </c>
    </row>
    <row r="22" spans="1:7" x14ac:dyDescent="0.35">
      <c r="A22" s="7" t="s">
        <v>44</v>
      </c>
      <c r="B22" s="7" t="s">
        <v>887</v>
      </c>
      <c r="C22" s="7">
        <v>82906</v>
      </c>
      <c r="D22" s="10">
        <v>45348</v>
      </c>
      <c r="E22" s="11" t="s">
        <v>888</v>
      </c>
      <c r="F22" s="7" t="s">
        <v>877</v>
      </c>
      <c r="G22" s="7"/>
    </row>
    <row r="23" spans="1:7" x14ac:dyDescent="0.35">
      <c r="A23" s="7" t="s">
        <v>47</v>
      </c>
      <c r="B23" s="7" t="s">
        <v>890</v>
      </c>
      <c r="C23" s="7">
        <v>84411</v>
      </c>
      <c r="D23" s="10">
        <v>45348</v>
      </c>
      <c r="E23" s="11" t="s">
        <v>888</v>
      </c>
      <c r="F23" s="7" t="s">
        <v>27</v>
      </c>
      <c r="G23" s="7"/>
    </row>
    <row r="24" spans="1:7" x14ac:dyDescent="0.35">
      <c r="A24" s="7" t="s">
        <v>26</v>
      </c>
      <c r="B24" s="7" t="s">
        <v>890</v>
      </c>
      <c r="C24" s="7">
        <v>84411</v>
      </c>
      <c r="D24" s="10">
        <v>45349</v>
      </c>
      <c r="E24" s="11" t="s">
        <v>888</v>
      </c>
      <c r="F24" s="7" t="s">
        <v>27</v>
      </c>
      <c r="G24" s="7"/>
    </row>
    <row r="25" spans="1:7" x14ac:dyDescent="0.35">
      <c r="A25" s="7" t="s">
        <v>31</v>
      </c>
      <c r="B25" s="7" t="s">
        <v>890</v>
      </c>
      <c r="C25" s="7">
        <v>84411</v>
      </c>
      <c r="D25" s="10">
        <v>45349</v>
      </c>
      <c r="E25" s="11" t="s">
        <v>888</v>
      </c>
      <c r="F25" s="7" t="s">
        <v>27</v>
      </c>
      <c r="G25" s="7"/>
    </row>
    <row r="26" spans="1:7" x14ac:dyDescent="0.35">
      <c r="A26" s="7" t="s">
        <v>32</v>
      </c>
      <c r="B26" s="7" t="s">
        <v>890</v>
      </c>
      <c r="C26" s="7">
        <v>84411</v>
      </c>
      <c r="D26" s="10">
        <v>45349</v>
      </c>
      <c r="E26" s="11" t="s">
        <v>888</v>
      </c>
      <c r="F26" s="7" t="s">
        <v>27</v>
      </c>
      <c r="G26" s="7"/>
    </row>
    <row r="27" spans="1:7" x14ac:dyDescent="0.35">
      <c r="A27" s="7" t="s">
        <v>33</v>
      </c>
      <c r="B27" s="7" t="s">
        <v>890</v>
      </c>
      <c r="C27" s="7">
        <v>84411</v>
      </c>
      <c r="D27" s="10">
        <v>45349</v>
      </c>
      <c r="E27" s="11" t="s">
        <v>888</v>
      </c>
      <c r="F27" s="7" t="s">
        <v>27</v>
      </c>
      <c r="G27" s="7"/>
    </row>
    <row r="28" spans="1:7" x14ac:dyDescent="0.35">
      <c r="A28" s="7" t="s">
        <v>29</v>
      </c>
      <c r="B28" s="7" t="s">
        <v>890</v>
      </c>
      <c r="C28" s="7">
        <v>84411</v>
      </c>
      <c r="D28" s="10">
        <v>45350</v>
      </c>
      <c r="E28" s="11" t="s">
        <v>888</v>
      </c>
      <c r="F28" s="7" t="s">
        <v>27</v>
      </c>
      <c r="G28" s="7"/>
    </row>
    <row r="29" spans="1:7" x14ac:dyDescent="0.35">
      <c r="A29" s="7" t="s">
        <v>45</v>
      </c>
      <c r="B29" s="7" t="s">
        <v>890</v>
      </c>
      <c r="C29" s="7">
        <v>84411</v>
      </c>
      <c r="D29" s="10">
        <v>45350</v>
      </c>
      <c r="E29" s="11" t="s">
        <v>888</v>
      </c>
      <c r="F29" s="7" t="s">
        <v>27</v>
      </c>
      <c r="G29" s="7"/>
    </row>
    <row r="30" spans="1:7" x14ac:dyDescent="0.35">
      <c r="A30" s="7" t="s">
        <v>53</v>
      </c>
      <c r="B30" s="7" t="s">
        <v>890</v>
      </c>
      <c r="C30" s="7">
        <v>84411</v>
      </c>
      <c r="D30" s="10">
        <v>45350</v>
      </c>
      <c r="E30" s="11" t="s">
        <v>888</v>
      </c>
      <c r="F30" s="7" t="s">
        <v>27</v>
      </c>
      <c r="G30" s="7"/>
    </row>
    <row r="31" spans="1:7" x14ac:dyDescent="0.35">
      <c r="A31" s="7" t="s">
        <v>48</v>
      </c>
      <c r="B31" s="7" t="s">
        <v>890</v>
      </c>
      <c r="C31" s="7">
        <v>84411</v>
      </c>
      <c r="D31" s="10">
        <v>45351</v>
      </c>
      <c r="E31" s="11" t="s">
        <v>888</v>
      </c>
      <c r="F31" s="7" t="s">
        <v>871</v>
      </c>
      <c r="G31" s="7" t="s">
        <v>891</v>
      </c>
    </row>
    <row r="32" spans="1:7" x14ac:dyDescent="0.35">
      <c r="A32" s="7" t="s">
        <v>54</v>
      </c>
      <c r="B32" s="7" t="s">
        <v>890</v>
      </c>
      <c r="C32" s="7">
        <v>84411</v>
      </c>
      <c r="D32" s="10">
        <v>45351</v>
      </c>
      <c r="E32" s="11" t="s">
        <v>888</v>
      </c>
      <c r="F32" s="7" t="s">
        <v>871</v>
      </c>
      <c r="G32" s="7" t="s">
        <v>891</v>
      </c>
    </row>
    <row r="33" spans="1:7" x14ac:dyDescent="0.35">
      <c r="A33" s="7" t="s">
        <v>34</v>
      </c>
      <c r="B33" s="7" t="s">
        <v>890</v>
      </c>
      <c r="C33" s="7">
        <v>84411</v>
      </c>
      <c r="D33" s="10">
        <v>45351</v>
      </c>
      <c r="E33" s="11" t="s">
        <v>888</v>
      </c>
      <c r="F33" s="7" t="s">
        <v>872</v>
      </c>
      <c r="G33" s="7" t="s">
        <v>891</v>
      </c>
    </row>
    <row r="34" spans="1:7" x14ac:dyDescent="0.35">
      <c r="A34" s="7" t="s">
        <v>49</v>
      </c>
      <c r="B34" s="7" t="s">
        <v>890</v>
      </c>
      <c r="C34" s="7">
        <v>84411</v>
      </c>
      <c r="D34" s="10">
        <v>45352</v>
      </c>
      <c r="E34" s="11" t="s">
        <v>888</v>
      </c>
      <c r="F34" s="7" t="s">
        <v>27</v>
      </c>
      <c r="G34" s="7"/>
    </row>
    <row r="35" spans="1:7" x14ac:dyDescent="0.35">
      <c r="A35" s="7" t="s">
        <v>37</v>
      </c>
      <c r="B35" s="7" t="s">
        <v>890</v>
      </c>
      <c r="C35" s="7">
        <v>84411</v>
      </c>
      <c r="D35" s="10">
        <v>45353</v>
      </c>
      <c r="E35" s="11" t="s">
        <v>888</v>
      </c>
      <c r="F35" s="7" t="s">
        <v>872</v>
      </c>
      <c r="G35" s="7" t="s">
        <v>38</v>
      </c>
    </row>
    <row r="36" spans="1:7" x14ac:dyDescent="0.35">
      <c r="A36" s="7" t="s">
        <v>28</v>
      </c>
      <c r="B36" s="7" t="s">
        <v>890</v>
      </c>
      <c r="C36" s="7">
        <v>84411</v>
      </c>
      <c r="D36" s="10">
        <v>45355</v>
      </c>
      <c r="E36" s="11" t="s">
        <v>888</v>
      </c>
      <c r="F36" s="7" t="s">
        <v>27</v>
      </c>
      <c r="G36" s="7"/>
    </row>
    <row r="37" spans="1:7" x14ac:dyDescent="0.35">
      <c r="A37" s="7" t="s">
        <v>52</v>
      </c>
      <c r="B37" s="7" t="s">
        <v>890</v>
      </c>
      <c r="C37" s="7">
        <v>84411</v>
      </c>
      <c r="D37" s="10">
        <v>45358</v>
      </c>
      <c r="E37" s="11" t="s">
        <v>888</v>
      </c>
      <c r="F37" s="7" t="s">
        <v>27</v>
      </c>
      <c r="G37" s="7"/>
    </row>
    <row r="38" spans="1:7" x14ac:dyDescent="0.35">
      <c r="A38" s="7" t="s">
        <v>46</v>
      </c>
      <c r="B38" s="7" t="s">
        <v>890</v>
      </c>
      <c r="C38" s="7">
        <v>84411</v>
      </c>
      <c r="D38" s="10">
        <v>45358</v>
      </c>
      <c r="E38" s="11" t="s">
        <v>888</v>
      </c>
      <c r="F38" s="7" t="s">
        <v>27</v>
      </c>
      <c r="G38" s="7"/>
    </row>
    <row r="39" spans="1:7" x14ac:dyDescent="0.35">
      <c r="A39" s="7" t="s">
        <v>30</v>
      </c>
      <c r="B39" s="7" t="s">
        <v>890</v>
      </c>
      <c r="C39" s="7">
        <v>84411</v>
      </c>
      <c r="D39" s="10">
        <v>45359</v>
      </c>
      <c r="E39" s="11" t="s">
        <v>888</v>
      </c>
      <c r="F39" s="7" t="s">
        <v>27</v>
      </c>
      <c r="G39" s="7"/>
    </row>
    <row r="40" spans="1:7" x14ac:dyDescent="0.35">
      <c r="A40" s="7" t="s">
        <v>51</v>
      </c>
      <c r="B40" s="7" t="s">
        <v>890</v>
      </c>
      <c r="C40" s="7">
        <v>84411</v>
      </c>
      <c r="D40" s="10">
        <v>45359</v>
      </c>
      <c r="E40" s="11" t="s">
        <v>888</v>
      </c>
      <c r="F40" s="7" t="s">
        <v>27</v>
      </c>
      <c r="G40" s="7"/>
    </row>
    <row r="41" spans="1:7" x14ac:dyDescent="0.35">
      <c r="A41" s="7" t="s">
        <v>50</v>
      </c>
      <c r="B41" s="7" t="s">
        <v>890</v>
      </c>
      <c r="C41" s="7">
        <v>84411</v>
      </c>
      <c r="D41" s="10">
        <v>45363</v>
      </c>
      <c r="E41" s="11" t="s">
        <v>888</v>
      </c>
      <c r="F41" s="7" t="s">
        <v>27</v>
      </c>
      <c r="G41" s="7"/>
    </row>
    <row r="42" spans="1:7" x14ac:dyDescent="0.35">
      <c r="A42" s="7" t="s">
        <v>18</v>
      </c>
      <c r="B42" s="7" t="s">
        <v>890</v>
      </c>
      <c r="C42" s="7">
        <v>84411</v>
      </c>
      <c r="D42" s="10">
        <v>45363</v>
      </c>
      <c r="E42" s="11" t="s">
        <v>888</v>
      </c>
      <c r="F42" s="7" t="s">
        <v>19</v>
      </c>
      <c r="G42" s="7"/>
    </row>
    <row r="43" spans="1:7" x14ac:dyDescent="0.35">
      <c r="A43" s="7" t="s">
        <v>13</v>
      </c>
      <c r="B43" s="7" t="s">
        <v>890</v>
      </c>
      <c r="C43" s="7">
        <v>84411</v>
      </c>
      <c r="D43" s="10">
        <v>45366</v>
      </c>
      <c r="E43" s="11" t="s">
        <v>888</v>
      </c>
      <c r="F43" s="7" t="s">
        <v>871</v>
      </c>
      <c r="G43" s="7" t="s">
        <v>891</v>
      </c>
    </row>
    <row r="44" spans="1:7" x14ac:dyDescent="0.35">
      <c r="A44" s="7" t="s">
        <v>898</v>
      </c>
      <c r="B44" s="7" t="s">
        <v>887</v>
      </c>
      <c r="C44" s="7">
        <v>82906</v>
      </c>
      <c r="D44" s="10">
        <v>45371</v>
      </c>
      <c r="E44" s="11" t="s">
        <v>888</v>
      </c>
      <c r="F44" s="7" t="s">
        <v>19</v>
      </c>
      <c r="G44" s="7"/>
    </row>
    <row r="45" spans="1:7" x14ac:dyDescent="0.35">
      <c r="A45" s="77" t="s">
        <v>61</v>
      </c>
      <c r="B45" s="77" t="s">
        <v>890</v>
      </c>
      <c r="C45" s="77">
        <v>84411</v>
      </c>
      <c r="D45" s="78">
        <v>45372</v>
      </c>
      <c r="E45" s="79" t="s">
        <v>888</v>
      </c>
      <c r="F45" s="77" t="s">
        <v>88</v>
      </c>
      <c r="G45" s="77" t="s">
        <v>22</v>
      </c>
    </row>
    <row r="46" spans="1:7" x14ac:dyDescent="0.35">
      <c r="A46" s="77" t="s">
        <v>60</v>
      </c>
      <c r="B46" s="77" t="s">
        <v>890</v>
      </c>
      <c r="C46" s="77">
        <v>84411</v>
      </c>
      <c r="D46" s="78">
        <v>45372</v>
      </c>
      <c r="E46" s="79" t="s">
        <v>888</v>
      </c>
      <c r="F46" s="77" t="s">
        <v>88</v>
      </c>
      <c r="G46" s="77" t="s">
        <v>22</v>
      </c>
    </row>
    <row r="47" spans="1:7" x14ac:dyDescent="0.35">
      <c r="A47" s="7" t="s">
        <v>12</v>
      </c>
      <c r="B47" s="7" t="s">
        <v>890</v>
      </c>
      <c r="C47" s="7">
        <v>84411</v>
      </c>
      <c r="D47" s="10">
        <v>45375</v>
      </c>
      <c r="E47" s="11" t="s">
        <v>888</v>
      </c>
      <c r="F47" s="7" t="s">
        <v>871</v>
      </c>
      <c r="G47" s="7" t="s">
        <v>891</v>
      </c>
    </row>
    <row r="48" spans="1:7" x14ac:dyDescent="0.35">
      <c r="A48" s="7" t="s">
        <v>20</v>
      </c>
      <c r="B48" s="7" t="s">
        <v>890</v>
      </c>
      <c r="C48" s="7">
        <v>84411</v>
      </c>
      <c r="D48" s="10">
        <v>45376</v>
      </c>
      <c r="E48" s="11" t="s">
        <v>888</v>
      </c>
      <c r="F48" s="7" t="s">
        <v>27</v>
      </c>
      <c r="G48" s="7"/>
    </row>
    <row r="49" spans="1:7" x14ac:dyDescent="0.35">
      <c r="A49" s="7" t="s">
        <v>20</v>
      </c>
      <c r="B49" s="7" t="s">
        <v>890</v>
      </c>
      <c r="C49" s="7">
        <v>84411</v>
      </c>
      <c r="D49" s="10">
        <v>45376</v>
      </c>
      <c r="E49" s="11" t="s">
        <v>888</v>
      </c>
      <c r="F49" s="7" t="s">
        <v>19</v>
      </c>
      <c r="G49" s="7"/>
    </row>
    <row r="50" spans="1:7" x14ac:dyDescent="0.35">
      <c r="A50" s="7" t="s">
        <v>20</v>
      </c>
      <c r="B50" s="7" t="s">
        <v>890</v>
      </c>
      <c r="C50" s="7">
        <v>84411</v>
      </c>
      <c r="D50" s="10">
        <v>45377</v>
      </c>
      <c r="E50" s="11" t="s">
        <v>888</v>
      </c>
      <c r="F50" s="7" t="s">
        <v>872</v>
      </c>
      <c r="G50" s="7" t="s">
        <v>891</v>
      </c>
    </row>
    <row r="51" spans="1:7" x14ac:dyDescent="0.35">
      <c r="A51" s="7" t="s">
        <v>59</v>
      </c>
      <c r="B51" s="7" t="s">
        <v>890</v>
      </c>
      <c r="C51" s="7">
        <v>84411</v>
      </c>
      <c r="D51" s="10">
        <v>45380</v>
      </c>
      <c r="E51" s="11" t="s">
        <v>888</v>
      </c>
      <c r="F51" s="7" t="s">
        <v>27</v>
      </c>
      <c r="G51" s="7"/>
    </row>
    <row r="52" spans="1:7" x14ac:dyDescent="0.35">
      <c r="A52" s="7" t="s">
        <v>36</v>
      </c>
      <c r="B52" s="7" t="s">
        <v>890</v>
      </c>
      <c r="C52" s="7">
        <v>84411</v>
      </c>
      <c r="D52" s="10">
        <v>45383</v>
      </c>
      <c r="E52" s="11" t="s">
        <v>888</v>
      </c>
      <c r="F52" s="7" t="s">
        <v>19</v>
      </c>
      <c r="G52" s="7"/>
    </row>
    <row r="53" spans="1:7" x14ac:dyDescent="0.35">
      <c r="A53" s="77" t="s">
        <v>65</v>
      </c>
      <c r="B53" s="77" t="s">
        <v>890</v>
      </c>
      <c r="C53" s="77">
        <v>84411</v>
      </c>
      <c r="D53" s="78">
        <v>45385</v>
      </c>
      <c r="E53" s="79" t="s">
        <v>888</v>
      </c>
      <c r="F53" s="77" t="s">
        <v>88</v>
      </c>
      <c r="G53" s="77" t="s">
        <v>22</v>
      </c>
    </row>
    <row r="54" spans="1:7" x14ac:dyDescent="0.35">
      <c r="A54" s="7" t="s">
        <v>71</v>
      </c>
      <c r="B54" s="7" t="s">
        <v>890</v>
      </c>
      <c r="C54" s="7">
        <v>84411</v>
      </c>
      <c r="D54" s="10">
        <v>45386</v>
      </c>
      <c r="E54" s="11" t="s">
        <v>888</v>
      </c>
      <c r="F54" s="7" t="s">
        <v>27</v>
      </c>
      <c r="G54" s="7"/>
    </row>
    <row r="55" spans="1:7" x14ac:dyDescent="0.35">
      <c r="A55" s="7" t="s">
        <v>67</v>
      </c>
      <c r="B55" s="7" t="s">
        <v>890</v>
      </c>
      <c r="C55" s="7">
        <v>84411</v>
      </c>
      <c r="D55" s="10">
        <v>45386</v>
      </c>
      <c r="E55" s="11" t="s">
        <v>888</v>
      </c>
      <c r="F55" s="7" t="s">
        <v>27</v>
      </c>
      <c r="G55" s="7"/>
    </row>
    <row r="56" spans="1:7" x14ac:dyDescent="0.35">
      <c r="A56" s="7" t="s">
        <v>73</v>
      </c>
      <c r="B56" s="7" t="s">
        <v>890</v>
      </c>
      <c r="C56" s="7">
        <v>84411</v>
      </c>
      <c r="D56" s="10">
        <v>45386</v>
      </c>
      <c r="E56" s="11" t="s">
        <v>888</v>
      </c>
      <c r="F56" s="7" t="s">
        <v>27</v>
      </c>
      <c r="G56" s="7"/>
    </row>
    <row r="57" spans="1:7" x14ac:dyDescent="0.35">
      <c r="A57" s="7" t="s">
        <v>70</v>
      </c>
      <c r="B57" s="7" t="s">
        <v>890</v>
      </c>
      <c r="C57" s="7">
        <v>84411</v>
      </c>
      <c r="D57" s="10">
        <v>45387</v>
      </c>
      <c r="E57" s="11" t="s">
        <v>888</v>
      </c>
      <c r="F57" s="7" t="s">
        <v>27</v>
      </c>
      <c r="G57" s="7"/>
    </row>
    <row r="58" spans="1:7" x14ac:dyDescent="0.35">
      <c r="A58" s="7" t="s">
        <v>66</v>
      </c>
      <c r="B58" s="7" t="s">
        <v>890</v>
      </c>
      <c r="C58" s="7">
        <v>84411</v>
      </c>
      <c r="D58" s="10">
        <v>45387</v>
      </c>
      <c r="E58" s="11" t="s">
        <v>888</v>
      </c>
      <c r="F58" s="7" t="s">
        <v>27</v>
      </c>
      <c r="G58" s="7"/>
    </row>
    <row r="59" spans="1:7" x14ac:dyDescent="0.35">
      <c r="A59" s="7" t="s">
        <v>68</v>
      </c>
      <c r="B59" s="7" t="s">
        <v>890</v>
      </c>
      <c r="C59" s="7">
        <v>84411</v>
      </c>
      <c r="D59" s="10">
        <v>45387</v>
      </c>
      <c r="E59" s="11" t="s">
        <v>888</v>
      </c>
      <c r="F59" s="7" t="s">
        <v>27</v>
      </c>
      <c r="G59" s="7"/>
    </row>
    <row r="60" spans="1:7" x14ac:dyDescent="0.35">
      <c r="A60" s="77" t="s">
        <v>63</v>
      </c>
      <c r="B60" s="77" t="s">
        <v>890</v>
      </c>
      <c r="C60" s="77">
        <v>84411</v>
      </c>
      <c r="D60" s="78">
        <v>45387</v>
      </c>
      <c r="E60" s="79" t="s">
        <v>888</v>
      </c>
      <c r="F60" s="77" t="s">
        <v>871</v>
      </c>
      <c r="G60" s="77" t="s">
        <v>891</v>
      </c>
    </row>
    <row r="61" spans="1:7" x14ac:dyDescent="0.35">
      <c r="A61" s="77" t="s">
        <v>63</v>
      </c>
      <c r="B61" s="77" t="s">
        <v>890</v>
      </c>
      <c r="C61" s="77">
        <v>84411</v>
      </c>
      <c r="D61" s="78">
        <v>45387</v>
      </c>
      <c r="E61" s="79" t="s">
        <v>888</v>
      </c>
      <c r="F61" s="77" t="s">
        <v>894</v>
      </c>
      <c r="G61" s="77" t="s">
        <v>15</v>
      </c>
    </row>
    <row r="62" spans="1:7" x14ac:dyDescent="0.35">
      <c r="A62" s="77" t="s">
        <v>63</v>
      </c>
      <c r="B62" s="77" t="s">
        <v>890</v>
      </c>
      <c r="C62" s="77">
        <v>84411</v>
      </c>
      <c r="D62" s="78">
        <v>45387</v>
      </c>
      <c r="E62" s="79" t="s">
        <v>888</v>
      </c>
      <c r="F62" s="77" t="s">
        <v>19</v>
      </c>
      <c r="G62" s="77"/>
    </row>
    <row r="63" spans="1:7" x14ac:dyDescent="0.35">
      <c r="A63" s="77" t="s">
        <v>64</v>
      </c>
      <c r="B63" s="77" t="s">
        <v>896</v>
      </c>
      <c r="C63" s="77" t="s">
        <v>897</v>
      </c>
      <c r="D63" s="78">
        <v>45401</v>
      </c>
      <c r="E63" s="79" t="s">
        <v>888</v>
      </c>
      <c r="F63" s="77" t="s">
        <v>873</v>
      </c>
      <c r="G63" s="77" t="s">
        <v>23</v>
      </c>
    </row>
    <row r="64" spans="1:7" x14ac:dyDescent="0.35">
      <c r="A64" s="77" t="s">
        <v>64</v>
      </c>
      <c r="B64" s="77" t="s">
        <v>890</v>
      </c>
      <c r="C64" s="77">
        <v>84411</v>
      </c>
      <c r="D64" s="78">
        <v>45401</v>
      </c>
      <c r="E64" s="79" t="s">
        <v>888</v>
      </c>
      <c r="F64" s="77" t="s">
        <v>88</v>
      </c>
      <c r="G64" s="77" t="s">
        <v>22</v>
      </c>
    </row>
    <row r="65" spans="1:7" x14ac:dyDescent="0.35">
      <c r="A65" s="77" t="s">
        <v>78</v>
      </c>
      <c r="B65" s="77" t="s">
        <v>890</v>
      </c>
      <c r="C65" s="77">
        <v>84411</v>
      </c>
      <c r="D65" s="78">
        <v>45405</v>
      </c>
      <c r="E65" s="79" t="s">
        <v>888</v>
      </c>
      <c r="F65" s="77" t="s">
        <v>88</v>
      </c>
      <c r="G65" s="77" t="s">
        <v>22</v>
      </c>
    </row>
    <row r="66" spans="1:7" x14ac:dyDescent="0.35">
      <c r="A66" s="7" t="s">
        <v>62</v>
      </c>
      <c r="B66" s="7" t="s">
        <v>890</v>
      </c>
      <c r="C66" s="7">
        <v>84411</v>
      </c>
      <c r="D66" s="10">
        <v>45413</v>
      </c>
      <c r="E66" s="11" t="s">
        <v>888</v>
      </c>
      <c r="F66" s="7" t="s">
        <v>871</v>
      </c>
      <c r="G66" s="7" t="s">
        <v>891</v>
      </c>
    </row>
    <row r="67" spans="1:7" x14ac:dyDescent="0.35">
      <c r="A67" s="7" t="s">
        <v>62</v>
      </c>
      <c r="B67" s="7" t="s">
        <v>890</v>
      </c>
      <c r="C67" s="7">
        <v>84411</v>
      </c>
      <c r="D67" s="10">
        <v>45413</v>
      </c>
      <c r="E67" s="11" t="s">
        <v>888</v>
      </c>
      <c r="F67" s="7" t="s">
        <v>894</v>
      </c>
      <c r="G67" s="7" t="s">
        <v>15</v>
      </c>
    </row>
    <row r="68" spans="1:7" x14ac:dyDescent="0.35">
      <c r="A68" s="7" t="s">
        <v>62</v>
      </c>
      <c r="B68" s="7" t="s">
        <v>890</v>
      </c>
      <c r="C68" s="7">
        <v>84411</v>
      </c>
      <c r="D68" s="10">
        <v>45413</v>
      </c>
      <c r="E68" s="11" t="s">
        <v>888</v>
      </c>
      <c r="F68" s="7" t="s">
        <v>19</v>
      </c>
      <c r="G68" s="7"/>
    </row>
    <row r="69" spans="1:7" x14ac:dyDescent="0.35">
      <c r="A69" s="77" t="s">
        <v>65</v>
      </c>
      <c r="B69" s="77" t="s">
        <v>890</v>
      </c>
      <c r="C69" s="77">
        <v>84411</v>
      </c>
      <c r="D69" s="78">
        <v>45413</v>
      </c>
      <c r="E69" s="79" t="s">
        <v>888</v>
      </c>
      <c r="F69" s="77" t="s">
        <v>88</v>
      </c>
      <c r="G69" s="77" t="s">
        <v>82</v>
      </c>
    </row>
    <row r="70" spans="1:7" x14ac:dyDescent="0.35">
      <c r="A70" s="7" t="s">
        <v>74</v>
      </c>
      <c r="B70" s="7" t="s">
        <v>890</v>
      </c>
      <c r="C70" s="7">
        <v>84411</v>
      </c>
      <c r="D70" s="10">
        <v>45422</v>
      </c>
      <c r="E70" s="11" t="s">
        <v>888</v>
      </c>
      <c r="F70" s="7" t="s">
        <v>871</v>
      </c>
      <c r="G70" s="7" t="s">
        <v>891</v>
      </c>
    </row>
    <row r="71" spans="1:7" x14ac:dyDescent="0.35">
      <c r="A71" s="7" t="s">
        <v>35</v>
      </c>
      <c r="B71" s="7" t="s">
        <v>890</v>
      </c>
      <c r="C71" s="7">
        <v>84411</v>
      </c>
      <c r="D71" s="10">
        <v>45425</v>
      </c>
      <c r="E71" s="11" t="s">
        <v>888</v>
      </c>
      <c r="F71" s="7" t="s">
        <v>19</v>
      </c>
      <c r="G71" s="7"/>
    </row>
    <row r="72" spans="1:7" x14ac:dyDescent="0.35">
      <c r="A72" s="7" t="s">
        <v>72</v>
      </c>
      <c r="B72" s="7" t="s">
        <v>890</v>
      </c>
      <c r="C72" s="7">
        <v>84411</v>
      </c>
      <c r="D72" s="10">
        <v>45426</v>
      </c>
      <c r="E72" s="11" t="s">
        <v>888</v>
      </c>
      <c r="F72" s="7" t="s">
        <v>27</v>
      </c>
      <c r="G72" s="7"/>
    </row>
    <row r="73" spans="1:7" x14ac:dyDescent="0.35">
      <c r="A73" s="7" t="s">
        <v>86</v>
      </c>
      <c r="B73" s="7" t="s">
        <v>890</v>
      </c>
      <c r="C73" s="7">
        <v>84411</v>
      </c>
      <c r="D73" s="10">
        <v>45433</v>
      </c>
      <c r="E73" s="11" t="s">
        <v>888</v>
      </c>
      <c r="F73" s="7" t="s">
        <v>27</v>
      </c>
      <c r="G73" s="7"/>
    </row>
    <row r="74" spans="1:7" x14ac:dyDescent="0.35">
      <c r="A74" s="7" t="s">
        <v>94</v>
      </c>
      <c r="B74" s="7" t="s">
        <v>890</v>
      </c>
      <c r="C74" s="7">
        <v>84411</v>
      </c>
      <c r="D74" s="10">
        <v>45436</v>
      </c>
      <c r="E74" s="11" t="s">
        <v>888</v>
      </c>
      <c r="F74" s="7" t="s">
        <v>27</v>
      </c>
      <c r="G74" s="7"/>
    </row>
    <row r="75" spans="1:7" x14ac:dyDescent="0.35">
      <c r="A75" s="7" t="s">
        <v>99</v>
      </c>
      <c r="B75" s="7" t="s">
        <v>890</v>
      </c>
      <c r="C75" s="7">
        <v>84411</v>
      </c>
      <c r="D75" s="10">
        <v>45440</v>
      </c>
      <c r="E75" s="11" t="s">
        <v>888</v>
      </c>
      <c r="F75" s="7" t="s">
        <v>871</v>
      </c>
      <c r="G75" s="7" t="s">
        <v>891</v>
      </c>
    </row>
    <row r="76" spans="1:7" x14ac:dyDescent="0.35">
      <c r="A76" s="7" t="s">
        <v>87</v>
      </c>
      <c r="B76" s="7" t="s">
        <v>890</v>
      </c>
      <c r="C76" s="7">
        <v>84411</v>
      </c>
      <c r="D76" s="10">
        <v>45441</v>
      </c>
      <c r="E76" s="11" t="s">
        <v>888</v>
      </c>
      <c r="F76" s="7" t="s">
        <v>27</v>
      </c>
      <c r="G76" s="7"/>
    </row>
    <row r="77" spans="1:7" x14ac:dyDescent="0.35">
      <c r="A77" s="7" t="s">
        <v>93</v>
      </c>
      <c r="B77" s="7" t="s">
        <v>890</v>
      </c>
      <c r="C77" s="7">
        <v>84411</v>
      </c>
      <c r="D77" s="10">
        <v>45443</v>
      </c>
      <c r="E77" s="11" t="s">
        <v>888</v>
      </c>
      <c r="F77" s="7" t="s">
        <v>871</v>
      </c>
      <c r="G77" s="7" t="s">
        <v>891</v>
      </c>
    </row>
    <row r="78" spans="1:7" x14ac:dyDescent="0.35">
      <c r="A78" s="7" t="s">
        <v>93</v>
      </c>
      <c r="B78" s="7" t="s">
        <v>890</v>
      </c>
      <c r="C78" s="7">
        <v>84411</v>
      </c>
      <c r="D78" s="10">
        <v>45443</v>
      </c>
      <c r="E78" s="11" t="s">
        <v>888</v>
      </c>
      <c r="F78" s="7" t="s">
        <v>19</v>
      </c>
      <c r="G78" s="7"/>
    </row>
    <row r="79" spans="1:7" x14ac:dyDescent="0.35">
      <c r="A79" s="77" t="s">
        <v>85</v>
      </c>
      <c r="B79" s="77" t="s">
        <v>890</v>
      </c>
      <c r="C79" s="77">
        <v>84411</v>
      </c>
      <c r="D79" s="78">
        <v>45443</v>
      </c>
      <c r="E79" s="79" t="s">
        <v>888</v>
      </c>
      <c r="F79" s="77" t="s">
        <v>19</v>
      </c>
      <c r="G79" s="77"/>
    </row>
    <row r="80" spans="1:7" x14ac:dyDescent="0.35">
      <c r="A80" s="77" t="s">
        <v>85</v>
      </c>
      <c r="B80" s="77" t="s">
        <v>890</v>
      </c>
      <c r="C80" s="77">
        <v>84411</v>
      </c>
      <c r="D80" s="78">
        <v>45443</v>
      </c>
      <c r="E80" s="79" t="s">
        <v>888</v>
      </c>
      <c r="F80" s="77" t="s">
        <v>872</v>
      </c>
      <c r="G80" s="77" t="s">
        <v>891</v>
      </c>
    </row>
    <row r="81" spans="1:7" x14ac:dyDescent="0.35">
      <c r="A81" s="7" t="s">
        <v>98</v>
      </c>
      <c r="B81" s="7" t="s">
        <v>890</v>
      </c>
      <c r="C81" s="7">
        <v>84411</v>
      </c>
      <c r="D81" s="10">
        <v>45449</v>
      </c>
      <c r="E81" s="11" t="s">
        <v>888</v>
      </c>
      <c r="F81" s="7" t="s">
        <v>871</v>
      </c>
      <c r="G81" s="7" t="s">
        <v>891</v>
      </c>
    </row>
    <row r="82" spans="1:7" x14ac:dyDescent="0.35">
      <c r="A82" s="7" t="s">
        <v>89</v>
      </c>
      <c r="B82" s="7" t="s">
        <v>890</v>
      </c>
      <c r="C82" s="7">
        <v>84411</v>
      </c>
      <c r="D82" s="10">
        <v>45451</v>
      </c>
      <c r="E82" s="11" t="s">
        <v>888</v>
      </c>
      <c r="F82" s="7" t="s">
        <v>871</v>
      </c>
      <c r="G82" s="7" t="s">
        <v>891</v>
      </c>
    </row>
    <row r="83" spans="1:7" x14ac:dyDescent="0.35">
      <c r="A83" s="77" t="s">
        <v>104</v>
      </c>
      <c r="B83" s="77" t="s">
        <v>890</v>
      </c>
      <c r="C83" s="77">
        <v>84411</v>
      </c>
      <c r="D83" s="78">
        <v>45451</v>
      </c>
      <c r="E83" s="79" t="s">
        <v>888</v>
      </c>
      <c r="F83" s="77" t="s">
        <v>88</v>
      </c>
      <c r="G83" s="77" t="s">
        <v>22</v>
      </c>
    </row>
    <row r="84" spans="1:7" x14ac:dyDescent="0.35">
      <c r="A84" s="77" t="s">
        <v>103</v>
      </c>
      <c r="B84" s="77" t="s">
        <v>890</v>
      </c>
      <c r="C84" s="77">
        <v>84411</v>
      </c>
      <c r="D84" s="78">
        <v>45451</v>
      </c>
      <c r="E84" s="79" t="s">
        <v>888</v>
      </c>
      <c r="F84" s="77" t="s">
        <v>88</v>
      </c>
      <c r="G84" s="77" t="s">
        <v>22</v>
      </c>
    </row>
    <row r="85" spans="1:7" x14ac:dyDescent="0.35">
      <c r="A85" s="7" t="s">
        <v>89</v>
      </c>
      <c r="B85" s="7" t="s">
        <v>890</v>
      </c>
      <c r="C85" s="7">
        <v>84411</v>
      </c>
      <c r="D85" s="10">
        <v>45452</v>
      </c>
      <c r="E85" s="11" t="s">
        <v>888</v>
      </c>
      <c r="F85" s="7" t="s">
        <v>19</v>
      </c>
      <c r="G85" s="7"/>
    </row>
    <row r="86" spans="1:7" x14ac:dyDescent="0.35">
      <c r="A86" s="7" t="s">
        <v>101</v>
      </c>
      <c r="B86" s="7" t="s">
        <v>890</v>
      </c>
      <c r="C86" s="7">
        <v>84411</v>
      </c>
      <c r="D86" s="10">
        <v>45454</v>
      </c>
      <c r="E86" s="11" t="s">
        <v>888</v>
      </c>
      <c r="F86" s="7" t="s">
        <v>27</v>
      </c>
      <c r="G86" s="7"/>
    </row>
    <row r="87" spans="1:7" x14ac:dyDescent="0.35">
      <c r="A87" s="7" t="s">
        <v>102</v>
      </c>
      <c r="B87" s="7" t="s">
        <v>890</v>
      </c>
      <c r="C87" s="7">
        <v>84411</v>
      </c>
      <c r="D87" s="10">
        <v>45456</v>
      </c>
      <c r="E87" s="11" t="s">
        <v>888</v>
      </c>
      <c r="F87" s="7" t="s">
        <v>27</v>
      </c>
      <c r="G87" s="7"/>
    </row>
    <row r="88" spans="1:7" x14ac:dyDescent="0.35">
      <c r="A88" s="7" t="s">
        <v>97</v>
      </c>
      <c r="B88" s="7" t="s">
        <v>890</v>
      </c>
      <c r="C88" s="7">
        <v>84411</v>
      </c>
      <c r="D88" s="10">
        <v>45456</v>
      </c>
      <c r="E88" s="11" t="s">
        <v>888</v>
      </c>
      <c r="F88" s="7" t="s">
        <v>877</v>
      </c>
      <c r="G88" s="7"/>
    </row>
    <row r="89" spans="1:7" x14ac:dyDescent="0.35">
      <c r="A89" s="7" t="s">
        <v>95</v>
      </c>
      <c r="B89" s="7" t="s">
        <v>890</v>
      </c>
      <c r="C89" s="7">
        <v>84411</v>
      </c>
      <c r="D89" s="10">
        <v>45456</v>
      </c>
      <c r="E89" s="11" t="s">
        <v>888</v>
      </c>
      <c r="F89" s="7" t="s">
        <v>877</v>
      </c>
      <c r="G89" s="7"/>
    </row>
    <row r="90" spans="1:7" x14ac:dyDescent="0.35">
      <c r="A90" s="7" t="s">
        <v>84</v>
      </c>
      <c r="B90" s="7" t="s">
        <v>890</v>
      </c>
      <c r="C90" s="7">
        <v>84411</v>
      </c>
      <c r="D90" s="10">
        <v>45456</v>
      </c>
      <c r="E90" s="11" t="s">
        <v>888</v>
      </c>
      <c r="F90" s="7" t="s">
        <v>871</v>
      </c>
      <c r="G90" s="7" t="s">
        <v>891</v>
      </c>
    </row>
    <row r="91" spans="1:7" x14ac:dyDescent="0.35">
      <c r="A91" s="7" t="s">
        <v>84</v>
      </c>
      <c r="B91" s="7" t="s">
        <v>890</v>
      </c>
      <c r="C91" s="7">
        <v>84411</v>
      </c>
      <c r="D91" s="10">
        <v>45456</v>
      </c>
      <c r="E91" s="11" t="s">
        <v>888</v>
      </c>
      <c r="F91" s="7" t="s">
        <v>19</v>
      </c>
      <c r="G91" s="7"/>
    </row>
    <row r="92" spans="1:7" x14ac:dyDescent="0.35">
      <c r="A92" s="7" t="s">
        <v>96</v>
      </c>
      <c r="B92" s="7" t="s">
        <v>890</v>
      </c>
      <c r="C92" s="7">
        <v>84411</v>
      </c>
      <c r="D92" s="10">
        <v>45462</v>
      </c>
      <c r="E92" s="11" t="s">
        <v>888</v>
      </c>
      <c r="F92" s="7" t="s">
        <v>877</v>
      </c>
      <c r="G92" s="7"/>
    </row>
    <row r="93" spans="1:7" x14ac:dyDescent="0.35">
      <c r="A93" s="7" t="s">
        <v>81</v>
      </c>
      <c r="B93" s="7" t="s">
        <v>890</v>
      </c>
      <c r="C93" s="7">
        <v>84411</v>
      </c>
      <c r="D93" s="10">
        <v>45462</v>
      </c>
      <c r="E93" s="11" t="s">
        <v>888</v>
      </c>
      <c r="F93" s="7" t="s">
        <v>871</v>
      </c>
      <c r="G93" s="7" t="s">
        <v>891</v>
      </c>
    </row>
    <row r="94" spans="1:7" x14ac:dyDescent="0.35">
      <c r="A94" s="7" t="s">
        <v>81</v>
      </c>
      <c r="B94" s="7" t="s">
        <v>890</v>
      </c>
      <c r="C94" s="7">
        <v>84411</v>
      </c>
      <c r="D94" s="10">
        <v>45462</v>
      </c>
      <c r="E94" s="11" t="s">
        <v>888</v>
      </c>
      <c r="F94" s="7" t="s">
        <v>19</v>
      </c>
      <c r="G94" s="7"/>
    </row>
    <row r="95" spans="1:7" x14ac:dyDescent="0.35">
      <c r="A95" s="7" t="s">
        <v>69</v>
      </c>
      <c r="B95" s="7" t="s">
        <v>890</v>
      </c>
      <c r="C95" s="7">
        <v>84411</v>
      </c>
      <c r="D95" s="10">
        <v>45463</v>
      </c>
      <c r="E95" s="11" t="s">
        <v>888</v>
      </c>
      <c r="F95" s="7" t="s">
        <v>27</v>
      </c>
      <c r="G95" s="7"/>
    </row>
    <row r="96" spans="1:7" x14ac:dyDescent="0.35">
      <c r="A96" s="7" t="s">
        <v>56</v>
      </c>
      <c r="B96" s="7" t="s">
        <v>890</v>
      </c>
      <c r="C96" s="7">
        <v>84411</v>
      </c>
      <c r="D96" s="10">
        <v>45469</v>
      </c>
      <c r="E96" s="11" t="s">
        <v>888</v>
      </c>
      <c r="F96" s="7" t="s">
        <v>19</v>
      </c>
      <c r="G96" s="7"/>
    </row>
    <row r="97" spans="1:7" x14ac:dyDescent="0.35">
      <c r="A97" s="77" t="s">
        <v>167</v>
      </c>
      <c r="B97" s="77" t="s">
        <v>896</v>
      </c>
      <c r="C97" s="77" t="s">
        <v>897</v>
      </c>
      <c r="D97" s="78">
        <v>45470</v>
      </c>
      <c r="E97" s="79" t="s">
        <v>888</v>
      </c>
      <c r="F97" s="77" t="s">
        <v>872</v>
      </c>
      <c r="G97" s="77" t="s">
        <v>891</v>
      </c>
    </row>
    <row r="98" spans="1:7" x14ac:dyDescent="0.35">
      <c r="A98" s="7" t="s">
        <v>105</v>
      </c>
      <c r="B98" s="7" t="s">
        <v>890</v>
      </c>
      <c r="C98" s="7">
        <v>84411</v>
      </c>
      <c r="D98" s="10">
        <v>45477</v>
      </c>
      <c r="E98" s="11" t="s">
        <v>888</v>
      </c>
      <c r="F98" s="7" t="s">
        <v>877</v>
      </c>
      <c r="G98" s="7"/>
    </row>
    <row r="99" spans="1:7" x14ac:dyDescent="0.35">
      <c r="A99" s="7" t="s">
        <v>109</v>
      </c>
      <c r="B99" s="7" t="s">
        <v>899</v>
      </c>
      <c r="C99" s="7">
        <v>78881</v>
      </c>
      <c r="D99" s="10">
        <v>45478</v>
      </c>
      <c r="E99" s="11" t="s">
        <v>888</v>
      </c>
      <c r="F99" s="7" t="s">
        <v>27</v>
      </c>
      <c r="G99" s="7"/>
    </row>
    <row r="100" spans="1:7" x14ac:dyDescent="0.35">
      <c r="A100" s="7" t="s">
        <v>108</v>
      </c>
      <c r="B100" s="7" t="s">
        <v>899</v>
      </c>
      <c r="C100" s="7">
        <v>78881</v>
      </c>
      <c r="D100" s="10">
        <v>45478</v>
      </c>
      <c r="E100" s="11" t="s">
        <v>888</v>
      </c>
      <c r="F100" s="7" t="s">
        <v>27</v>
      </c>
      <c r="G100" s="7"/>
    </row>
    <row r="101" spans="1:7" x14ac:dyDescent="0.35">
      <c r="A101" s="7" t="s">
        <v>106</v>
      </c>
      <c r="B101" s="7" t="s">
        <v>899</v>
      </c>
      <c r="C101" s="7">
        <v>78881</v>
      </c>
      <c r="D101" s="10">
        <v>45478</v>
      </c>
      <c r="E101" s="11" t="s">
        <v>888</v>
      </c>
      <c r="F101" s="7" t="s">
        <v>27</v>
      </c>
      <c r="G101" s="7"/>
    </row>
    <row r="102" spans="1:7" x14ac:dyDescent="0.35">
      <c r="A102" s="7" t="s">
        <v>118</v>
      </c>
      <c r="B102" s="7" t="s">
        <v>899</v>
      </c>
      <c r="C102" s="7">
        <v>78881</v>
      </c>
      <c r="D102" s="10">
        <v>45478</v>
      </c>
      <c r="E102" s="11" t="s">
        <v>888</v>
      </c>
      <c r="F102" s="7" t="s">
        <v>877</v>
      </c>
      <c r="G102" s="7"/>
    </row>
    <row r="103" spans="1:7" x14ac:dyDescent="0.35">
      <c r="A103" s="7" t="s">
        <v>115</v>
      </c>
      <c r="B103" s="7" t="s">
        <v>899</v>
      </c>
      <c r="C103" s="7">
        <v>78881</v>
      </c>
      <c r="D103" s="10">
        <v>45481</v>
      </c>
      <c r="E103" s="11" t="s">
        <v>888</v>
      </c>
      <c r="F103" s="7" t="s">
        <v>877</v>
      </c>
      <c r="G103" s="7"/>
    </row>
    <row r="104" spans="1:7" x14ac:dyDescent="0.35">
      <c r="A104" s="7" t="s">
        <v>116</v>
      </c>
      <c r="B104" s="7" t="s">
        <v>899</v>
      </c>
      <c r="C104" s="7">
        <v>78881</v>
      </c>
      <c r="D104" s="10">
        <v>45481</v>
      </c>
      <c r="E104" s="11" t="s">
        <v>888</v>
      </c>
      <c r="F104" s="7" t="s">
        <v>877</v>
      </c>
      <c r="G104" s="7"/>
    </row>
    <row r="105" spans="1:7" x14ac:dyDescent="0.35">
      <c r="A105" s="7" t="s">
        <v>17</v>
      </c>
      <c r="B105" s="7" t="s">
        <v>890</v>
      </c>
      <c r="C105" s="7">
        <v>84411</v>
      </c>
      <c r="D105" s="10">
        <v>45481</v>
      </c>
      <c r="E105" s="11" t="s">
        <v>888</v>
      </c>
      <c r="F105" s="7" t="s">
        <v>871</v>
      </c>
      <c r="G105" s="7" t="s">
        <v>891</v>
      </c>
    </row>
    <row r="106" spans="1:7" x14ac:dyDescent="0.35">
      <c r="A106" s="7" t="s">
        <v>17</v>
      </c>
      <c r="B106" s="7" t="s">
        <v>890</v>
      </c>
      <c r="C106" s="7">
        <v>84411</v>
      </c>
      <c r="D106" s="10">
        <v>45481</v>
      </c>
      <c r="E106" s="11" t="s">
        <v>888</v>
      </c>
      <c r="F106" s="7" t="s">
        <v>894</v>
      </c>
      <c r="G106" s="7" t="s">
        <v>15</v>
      </c>
    </row>
    <row r="107" spans="1:7" x14ac:dyDescent="0.35">
      <c r="A107" s="7" t="s">
        <v>112</v>
      </c>
      <c r="B107" s="7" t="s">
        <v>899</v>
      </c>
      <c r="C107" s="7">
        <v>78881</v>
      </c>
      <c r="D107" s="10">
        <v>45481</v>
      </c>
      <c r="E107" s="11" t="s">
        <v>888</v>
      </c>
      <c r="F107" s="7" t="s">
        <v>27</v>
      </c>
      <c r="G107" s="7"/>
    </row>
    <row r="108" spans="1:7" x14ac:dyDescent="0.35">
      <c r="A108" s="7" t="s">
        <v>107</v>
      </c>
      <c r="B108" s="7" t="s">
        <v>899</v>
      </c>
      <c r="C108" s="7">
        <v>78881</v>
      </c>
      <c r="D108" s="10">
        <v>45481</v>
      </c>
      <c r="E108" s="11" t="s">
        <v>888</v>
      </c>
      <c r="F108" s="7" t="s">
        <v>27</v>
      </c>
      <c r="G108" s="7"/>
    </row>
    <row r="109" spans="1:7" x14ac:dyDescent="0.35">
      <c r="A109" s="7" t="s">
        <v>113</v>
      </c>
      <c r="B109" s="7" t="s">
        <v>899</v>
      </c>
      <c r="C109" s="7">
        <v>78881</v>
      </c>
      <c r="D109" s="10">
        <v>45481</v>
      </c>
      <c r="E109" s="11" t="s">
        <v>888</v>
      </c>
      <c r="F109" s="7" t="s">
        <v>27</v>
      </c>
      <c r="G109" s="7"/>
    </row>
    <row r="110" spans="1:7" x14ac:dyDescent="0.35">
      <c r="A110" s="7" t="s">
        <v>120</v>
      </c>
      <c r="B110" s="7" t="s">
        <v>899</v>
      </c>
      <c r="C110" s="7">
        <v>78881</v>
      </c>
      <c r="D110" s="10">
        <v>45482</v>
      </c>
      <c r="E110" s="11" t="s">
        <v>888</v>
      </c>
      <c r="F110" s="7" t="s">
        <v>877</v>
      </c>
      <c r="G110" s="7"/>
    </row>
    <row r="111" spans="1:7" x14ac:dyDescent="0.35">
      <c r="A111" s="7" t="s">
        <v>114</v>
      </c>
      <c r="B111" s="7" t="s">
        <v>899</v>
      </c>
      <c r="C111" s="7">
        <v>78881</v>
      </c>
      <c r="D111" s="10">
        <v>45482</v>
      </c>
      <c r="E111" s="11" t="s">
        <v>888</v>
      </c>
      <c r="F111" s="7" t="s">
        <v>877</v>
      </c>
      <c r="G111" s="7"/>
    </row>
    <row r="112" spans="1:7" x14ac:dyDescent="0.35">
      <c r="A112" s="7" t="s">
        <v>110</v>
      </c>
      <c r="B112" s="7" t="s">
        <v>899</v>
      </c>
      <c r="C112" s="7">
        <v>78881</v>
      </c>
      <c r="D112" s="10">
        <v>45482</v>
      </c>
      <c r="E112" s="11" t="s">
        <v>888</v>
      </c>
      <c r="F112" s="7" t="s">
        <v>27</v>
      </c>
      <c r="G112" s="7"/>
    </row>
    <row r="113" spans="1:7" x14ac:dyDescent="0.35">
      <c r="A113" s="7" t="s">
        <v>128</v>
      </c>
      <c r="B113" s="7" t="s">
        <v>899</v>
      </c>
      <c r="C113" s="7">
        <v>78881</v>
      </c>
      <c r="D113" s="10">
        <v>45482</v>
      </c>
      <c r="E113" s="11" t="s">
        <v>888</v>
      </c>
      <c r="F113" s="7" t="s">
        <v>877</v>
      </c>
      <c r="G113" s="7"/>
    </row>
    <row r="114" spans="1:7" x14ac:dyDescent="0.35">
      <c r="A114" s="7" t="s">
        <v>124</v>
      </c>
      <c r="B114" s="7" t="s">
        <v>899</v>
      </c>
      <c r="C114" s="7">
        <v>78881</v>
      </c>
      <c r="D114" s="10">
        <v>45482</v>
      </c>
      <c r="E114" s="11" t="s">
        <v>888</v>
      </c>
      <c r="F114" s="7" t="s">
        <v>877</v>
      </c>
      <c r="G114" s="7"/>
    </row>
    <row r="115" spans="1:7" x14ac:dyDescent="0.35">
      <c r="A115" s="7" t="s">
        <v>111</v>
      </c>
      <c r="B115" s="7" t="s">
        <v>899</v>
      </c>
      <c r="C115" s="7">
        <v>78881</v>
      </c>
      <c r="D115" s="10">
        <v>45482</v>
      </c>
      <c r="E115" s="11" t="s">
        <v>888</v>
      </c>
      <c r="F115" s="7" t="s">
        <v>27</v>
      </c>
      <c r="G115" s="7"/>
    </row>
    <row r="116" spans="1:7" x14ac:dyDescent="0.35">
      <c r="A116" s="7" t="s">
        <v>117</v>
      </c>
      <c r="B116" s="7" t="s">
        <v>899</v>
      </c>
      <c r="C116" s="7">
        <v>78881</v>
      </c>
      <c r="D116" s="10">
        <v>45482</v>
      </c>
      <c r="E116" s="11" t="s">
        <v>888</v>
      </c>
      <c r="F116" s="7" t="s">
        <v>877</v>
      </c>
      <c r="G116" s="7"/>
    </row>
    <row r="117" spans="1:7" x14ac:dyDescent="0.35">
      <c r="A117" s="7" t="s">
        <v>123</v>
      </c>
      <c r="B117" s="7" t="s">
        <v>899</v>
      </c>
      <c r="C117" s="7">
        <v>78881</v>
      </c>
      <c r="D117" s="10">
        <v>45482</v>
      </c>
      <c r="E117" s="11" t="s">
        <v>888</v>
      </c>
      <c r="F117" s="7" t="s">
        <v>877</v>
      </c>
      <c r="G117" s="7"/>
    </row>
    <row r="118" spans="1:7" x14ac:dyDescent="0.35">
      <c r="A118" s="7" t="s">
        <v>125</v>
      </c>
      <c r="B118" s="7" t="s">
        <v>899</v>
      </c>
      <c r="C118" s="7">
        <v>78881</v>
      </c>
      <c r="D118" s="10">
        <v>45482</v>
      </c>
      <c r="E118" s="11" t="s">
        <v>888</v>
      </c>
      <c r="F118" s="7" t="s">
        <v>877</v>
      </c>
      <c r="G118" s="7"/>
    </row>
    <row r="119" spans="1:7" x14ac:dyDescent="0.35">
      <c r="A119" s="7" t="s">
        <v>119</v>
      </c>
      <c r="B119" s="7" t="s">
        <v>899</v>
      </c>
      <c r="C119" s="7">
        <v>78881</v>
      </c>
      <c r="D119" s="10">
        <v>45482</v>
      </c>
      <c r="E119" s="11" t="s">
        <v>888</v>
      </c>
      <c r="F119" s="7" t="s">
        <v>877</v>
      </c>
      <c r="G119" s="7"/>
    </row>
    <row r="120" spans="1:7" x14ac:dyDescent="0.35">
      <c r="A120" s="7" t="s">
        <v>121</v>
      </c>
      <c r="B120" s="7" t="s">
        <v>899</v>
      </c>
      <c r="C120" s="7">
        <v>78881</v>
      </c>
      <c r="D120" s="10">
        <v>45483</v>
      </c>
      <c r="E120" s="11" t="s">
        <v>888</v>
      </c>
      <c r="F120" s="7" t="s">
        <v>877</v>
      </c>
      <c r="G120" s="7"/>
    </row>
    <row r="121" spans="1:7" x14ac:dyDescent="0.35">
      <c r="A121" s="7" t="s">
        <v>126</v>
      </c>
      <c r="B121" s="7" t="s">
        <v>899</v>
      </c>
      <c r="C121" s="7">
        <v>78881</v>
      </c>
      <c r="D121" s="10">
        <v>45483</v>
      </c>
      <c r="E121" s="11" t="s">
        <v>888</v>
      </c>
      <c r="F121" s="7" t="s">
        <v>877</v>
      </c>
      <c r="G121" s="7"/>
    </row>
    <row r="122" spans="1:7" x14ac:dyDescent="0.35">
      <c r="A122" s="7" t="s">
        <v>156</v>
      </c>
      <c r="B122" s="7" t="s">
        <v>896</v>
      </c>
      <c r="C122" s="7" t="s">
        <v>897</v>
      </c>
      <c r="D122" s="10">
        <v>45483</v>
      </c>
      <c r="E122" s="11" t="s">
        <v>888</v>
      </c>
      <c r="F122" s="7" t="s">
        <v>877</v>
      </c>
      <c r="G122" s="7"/>
    </row>
    <row r="123" spans="1:7" x14ac:dyDescent="0.35">
      <c r="A123" s="7" t="s">
        <v>153</v>
      </c>
      <c r="B123" s="7" t="s">
        <v>896</v>
      </c>
      <c r="C123" s="7" t="s">
        <v>897</v>
      </c>
      <c r="D123" s="10">
        <v>45483</v>
      </c>
      <c r="E123" s="11" t="s">
        <v>888</v>
      </c>
      <c r="F123" s="7" t="s">
        <v>877</v>
      </c>
      <c r="G123" s="7"/>
    </row>
    <row r="124" spans="1:7" x14ac:dyDescent="0.35">
      <c r="A124" s="7" t="s">
        <v>150</v>
      </c>
      <c r="B124" s="7" t="s">
        <v>896</v>
      </c>
      <c r="C124" s="7" t="s">
        <v>897</v>
      </c>
      <c r="D124" s="10">
        <v>45483</v>
      </c>
      <c r="E124" s="11" t="s">
        <v>888</v>
      </c>
      <c r="F124" s="7" t="s">
        <v>877</v>
      </c>
      <c r="G124" s="7"/>
    </row>
    <row r="125" spans="1:7" x14ac:dyDescent="0.35">
      <c r="A125" s="7" t="s">
        <v>127</v>
      </c>
      <c r="B125" s="7" t="s">
        <v>899</v>
      </c>
      <c r="C125" s="7">
        <v>78881</v>
      </c>
      <c r="D125" s="10">
        <v>45483</v>
      </c>
      <c r="E125" s="11" t="s">
        <v>888</v>
      </c>
      <c r="F125" s="7" t="s">
        <v>877</v>
      </c>
      <c r="G125" s="7"/>
    </row>
    <row r="126" spans="1:7" x14ac:dyDescent="0.35">
      <c r="A126" s="7" t="s">
        <v>151</v>
      </c>
      <c r="B126" s="7" t="s">
        <v>896</v>
      </c>
      <c r="C126" s="7" t="s">
        <v>897</v>
      </c>
      <c r="D126" s="10">
        <v>45483</v>
      </c>
      <c r="E126" s="11" t="s">
        <v>888</v>
      </c>
      <c r="F126" s="7" t="s">
        <v>877</v>
      </c>
      <c r="G126" s="7"/>
    </row>
    <row r="127" spans="1:7" x14ac:dyDescent="0.35">
      <c r="A127" s="7" t="s">
        <v>147</v>
      </c>
      <c r="B127" s="7" t="s">
        <v>896</v>
      </c>
      <c r="C127" s="7" t="s">
        <v>897</v>
      </c>
      <c r="D127" s="10">
        <v>45483</v>
      </c>
      <c r="E127" s="11" t="s">
        <v>888</v>
      </c>
      <c r="F127" s="7" t="s">
        <v>27</v>
      </c>
      <c r="G127" s="7"/>
    </row>
    <row r="128" spans="1:7" x14ac:dyDescent="0.35">
      <c r="A128" s="7" t="s">
        <v>122</v>
      </c>
      <c r="B128" s="7" t="s">
        <v>899</v>
      </c>
      <c r="C128" s="7">
        <v>78881</v>
      </c>
      <c r="D128" s="10">
        <v>45484</v>
      </c>
      <c r="E128" s="11" t="s">
        <v>888</v>
      </c>
      <c r="F128" s="7" t="s">
        <v>877</v>
      </c>
      <c r="G128" s="7"/>
    </row>
    <row r="129" spans="1:7" x14ac:dyDescent="0.35">
      <c r="A129" s="7" t="s">
        <v>158</v>
      </c>
      <c r="B129" s="7" t="s">
        <v>896</v>
      </c>
      <c r="C129" s="7" t="s">
        <v>897</v>
      </c>
      <c r="D129" s="10">
        <v>45484</v>
      </c>
      <c r="E129" s="11" t="s">
        <v>888</v>
      </c>
      <c r="F129" s="7" t="s">
        <v>877</v>
      </c>
      <c r="G129" s="7"/>
    </row>
    <row r="130" spans="1:7" x14ac:dyDescent="0.35">
      <c r="A130" s="7" t="s">
        <v>143</v>
      </c>
      <c r="B130" s="7" t="s">
        <v>896</v>
      </c>
      <c r="C130" s="7" t="s">
        <v>897</v>
      </c>
      <c r="D130" s="10">
        <v>45484</v>
      </c>
      <c r="E130" s="11" t="s">
        <v>888</v>
      </c>
      <c r="F130" s="7" t="s">
        <v>27</v>
      </c>
      <c r="G130" s="7"/>
    </row>
    <row r="131" spans="1:7" x14ac:dyDescent="0.35">
      <c r="A131" s="7" t="s">
        <v>161</v>
      </c>
      <c r="B131" s="7" t="s">
        <v>896</v>
      </c>
      <c r="C131" s="7" t="s">
        <v>897</v>
      </c>
      <c r="D131" s="10">
        <v>45484</v>
      </c>
      <c r="E131" s="11" t="s">
        <v>888</v>
      </c>
      <c r="F131" s="7" t="s">
        <v>877</v>
      </c>
      <c r="G131" s="7"/>
    </row>
    <row r="132" spans="1:7" x14ac:dyDescent="0.35">
      <c r="A132" s="7" t="s">
        <v>141</v>
      </c>
      <c r="B132" s="7" t="s">
        <v>896</v>
      </c>
      <c r="C132" s="7" t="s">
        <v>897</v>
      </c>
      <c r="D132" s="10">
        <v>45484</v>
      </c>
      <c r="E132" s="11" t="s">
        <v>888</v>
      </c>
      <c r="F132" s="7" t="s">
        <v>27</v>
      </c>
      <c r="G132" s="7"/>
    </row>
    <row r="133" spans="1:7" x14ac:dyDescent="0.35">
      <c r="A133" s="7" t="s">
        <v>129</v>
      </c>
      <c r="B133" s="7" t="s">
        <v>890</v>
      </c>
      <c r="C133" s="7">
        <v>84411</v>
      </c>
      <c r="D133" s="10">
        <v>45484</v>
      </c>
      <c r="E133" s="11" t="s">
        <v>888</v>
      </c>
      <c r="F133" s="7" t="s">
        <v>19</v>
      </c>
      <c r="G133" s="7"/>
    </row>
    <row r="134" spans="1:7" x14ac:dyDescent="0.35">
      <c r="A134" s="7" t="s">
        <v>152</v>
      </c>
      <c r="B134" s="7" t="s">
        <v>896</v>
      </c>
      <c r="C134" s="7" t="s">
        <v>897</v>
      </c>
      <c r="D134" s="10">
        <v>45484</v>
      </c>
      <c r="E134" s="11" t="s">
        <v>888</v>
      </c>
      <c r="F134" s="7" t="s">
        <v>877</v>
      </c>
      <c r="G134" s="7"/>
    </row>
    <row r="135" spans="1:7" x14ac:dyDescent="0.35">
      <c r="A135" s="77" t="s">
        <v>154</v>
      </c>
      <c r="B135" s="77" t="s">
        <v>896</v>
      </c>
      <c r="C135" s="77" t="s">
        <v>897</v>
      </c>
      <c r="D135" s="78">
        <v>45484</v>
      </c>
      <c r="E135" s="79" t="s">
        <v>888</v>
      </c>
      <c r="F135" s="77" t="s">
        <v>877</v>
      </c>
      <c r="G135" s="77"/>
    </row>
    <row r="136" spans="1:7" x14ac:dyDescent="0.35">
      <c r="A136" s="7" t="s">
        <v>155</v>
      </c>
      <c r="B136" s="7" t="s">
        <v>896</v>
      </c>
      <c r="C136" s="7" t="s">
        <v>897</v>
      </c>
      <c r="D136" s="10">
        <v>45485</v>
      </c>
      <c r="E136" s="11" t="s">
        <v>888</v>
      </c>
      <c r="F136" s="7" t="s">
        <v>877</v>
      </c>
      <c r="G136" s="7"/>
    </row>
    <row r="137" spans="1:7" x14ac:dyDescent="0.35">
      <c r="A137" s="7" t="s">
        <v>142</v>
      </c>
      <c r="B137" s="7" t="s">
        <v>896</v>
      </c>
      <c r="C137" s="7" t="s">
        <v>897</v>
      </c>
      <c r="D137" s="10">
        <v>45485</v>
      </c>
      <c r="E137" s="11" t="s">
        <v>888</v>
      </c>
      <c r="F137" s="7" t="s">
        <v>27</v>
      </c>
      <c r="G137" s="7"/>
    </row>
    <row r="138" spans="1:7" x14ac:dyDescent="0.35">
      <c r="A138" s="7" t="s">
        <v>160</v>
      </c>
      <c r="B138" s="7" t="s">
        <v>896</v>
      </c>
      <c r="C138" s="7" t="s">
        <v>897</v>
      </c>
      <c r="D138" s="10">
        <v>45485</v>
      </c>
      <c r="E138" s="11" t="s">
        <v>888</v>
      </c>
      <c r="F138" s="7" t="s">
        <v>877</v>
      </c>
      <c r="G138" s="7"/>
    </row>
    <row r="139" spans="1:7" x14ac:dyDescent="0.35">
      <c r="A139" s="7" t="s">
        <v>139</v>
      </c>
      <c r="B139" s="7" t="s">
        <v>896</v>
      </c>
      <c r="C139" s="7" t="s">
        <v>897</v>
      </c>
      <c r="D139" s="10">
        <v>45485</v>
      </c>
      <c r="E139" s="11" t="s">
        <v>888</v>
      </c>
      <c r="F139" s="7" t="s">
        <v>27</v>
      </c>
      <c r="G139" s="7"/>
    </row>
    <row r="140" spans="1:7" x14ac:dyDescent="0.35">
      <c r="A140" s="7" t="s">
        <v>162</v>
      </c>
      <c r="B140" s="7" t="s">
        <v>896</v>
      </c>
      <c r="C140" s="7" t="s">
        <v>897</v>
      </c>
      <c r="D140" s="10">
        <v>45485</v>
      </c>
      <c r="E140" s="11" t="s">
        <v>888</v>
      </c>
      <c r="F140" s="7" t="s">
        <v>877</v>
      </c>
      <c r="G140" s="7"/>
    </row>
    <row r="141" spans="1:7" x14ac:dyDescent="0.35">
      <c r="A141" s="7" t="s">
        <v>159</v>
      </c>
      <c r="B141" s="7" t="s">
        <v>896</v>
      </c>
      <c r="C141" s="7" t="s">
        <v>897</v>
      </c>
      <c r="D141" s="10">
        <v>45485</v>
      </c>
      <c r="E141" s="11" t="s">
        <v>888</v>
      </c>
      <c r="F141" s="7" t="s">
        <v>877</v>
      </c>
      <c r="G141" s="7"/>
    </row>
    <row r="142" spans="1:7" x14ac:dyDescent="0.35">
      <c r="A142" s="7" t="s">
        <v>144</v>
      </c>
      <c r="B142" s="7" t="s">
        <v>896</v>
      </c>
      <c r="C142" s="7" t="s">
        <v>897</v>
      </c>
      <c r="D142" s="10">
        <v>45485</v>
      </c>
      <c r="E142" s="11" t="s">
        <v>888</v>
      </c>
      <c r="F142" s="7" t="s">
        <v>27</v>
      </c>
      <c r="G142" s="7"/>
    </row>
    <row r="143" spans="1:7" x14ac:dyDescent="0.35">
      <c r="A143" s="7" t="s">
        <v>140</v>
      </c>
      <c r="B143" s="7" t="s">
        <v>896</v>
      </c>
      <c r="C143" s="7" t="s">
        <v>897</v>
      </c>
      <c r="D143" s="10">
        <v>45485</v>
      </c>
      <c r="E143" s="11" t="s">
        <v>888</v>
      </c>
      <c r="F143" s="7" t="s">
        <v>27</v>
      </c>
      <c r="G143" s="7"/>
    </row>
    <row r="144" spans="1:7" x14ac:dyDescent="0.35">
      <c r="A144" s="7" t="s">
        <v>157</v>
      </c>
      <c r="B144" s="7" t="s">
        <v>896</v>
      </c>
      <c r="C144" s="7" t="s">
        <v>897</v>
      </c>
      <c r="D144" s="10">
        <v>45485</v>
      </c>
      <c r="E144" s="11" t="s">
        <v>888</v>
      </c>
      <c r="F144" s="7" t="s">
        <v>877</v>
      </c>
      <c r="G144" s="7"/>
    </row>
    <row r="145" spans="1:7" x14ac:dyDescent="0.35">
      <c r="A145" s="77" t="s">
        <v>130</v>
      </c>
      <c r="B145" s="77" t="s">
        <v>890</v>
      </c>
      <c r="C145" s="77">
        <v>84411</v>
      </c>
      <c r="D145" s="78">
        <v>45487</v>
      </c>
      <c r="E145" s="79" t="s">
        <v>888</v>
      </c>
      <c r="F145" s="77" t="s">
        <v>88</v>
      </c>
      <c r="G145" s="77" t="s">
        <v>22</v>
      </c>
    </row>
    <row r="146" spans="1:7" x14ac:dyDescent="0.35">
      <c r="A146" s="7" t="s">
        <v>165</v>
      </c>
      <c r="B146" s="7" t="s">
        <v>896</v>
      </c>
      <c r="C146" s="7" t="s">
        <v>897</v>
      </c>
      <c r="D146" s="10">
        <v>45488</v>
      </c>
      <c r="E146" s="11" t="s">
        <v>888</v>
      </c>
      <c r="F146" s="7" t="s">
        <v>872</v>
      </c>
      <c r="G146" s="7" t="s">
        <v>166</v>
      </c>
    </row>
    <row r="147" spans="1:7" x14ac:dyDescent="0.35">
      <c r="A147" s="7" t="s">
        <v>69</v>
      </c>
      <c r="B147" s="7" t="s">
        <v>896</v>
      </c>
      <c r="C147" s="7" t="s">
        <v>897</v>
      </c>
      <c r="D147" s="10">
        <v>45488</v>
      </c>
      <c r="E147" s="11" t="s">
        <v>888</v>
      </c>
      <c r="F147" s="7" t="s">
        <v>872</v>
      </c>
      <c r="G147" s="7" t="s">
        <v>166</v>
      </c>
    </row>
    <row r="148" spans="1:7" x14ac:dyDescent="0.35">
      <c r="A148" s="7" t="s">
        <v>72</v>
      </c>
      <c r="B148" s="7" t="s">
        <v>896</v>
      </c>
      <c r="C148" s="7" t="s">
        <v>897</v>
      </c>
      <c r="D148" s="10">
        <v>45488</v>
      </c>
      <c r="E148" s="11" t="s">
        <v>888</v>
      </c>
      <c r="F148" s="7" t="s">
        <v>872</v>
      </c>
      <c r="G148" s="7" t="s">
        <v>166</v>
      </c>
    </row>
    <row r="149" spans="1:7" x14ac:dyDescent="0.35">
      <c r="A149" s="7" t="s">
        <v>172</v>
      </c>
      <c r="B149" s="7" t="s">
        <v>890</v>
      </c>
      <c r="C149" s="7">
        <v>84411</v>
      </c>
      <c r="D149" s="10">
        <v>45492</v>
      </c>
      <c r="E149" s="11" t="s">
        <v>888</v>
      </c>
      <c r="F149" s="7" t="s">
        <v>19</v>
      </c>
      <c r="G149" s="7"/>
    </row>
    <row r="150" spans="1:7" x14ac:dyDescent="0.35">
      <c r="A150" s="7" t="s">
        <v>271</v>
      </c>
      <c r="B150" s="7" t="s">
        <v>890</v>
      </c>
      <c r="C150" s="7">
        <v>84411</v>
      </c>
      <c r="D150" s="10">
        <v>45495</v>
      </c>
      <c r="E150" s="11" t="s">
        <v>888</v>
      </c>
      <c r="F150" s="7" t="s">
        <v>19</v>
      </c>
      <c r="G150" s="7"/>
    </row>
    <row r="151" spans="1:7" x14ac:dyDescent="0.35">
      <c r="A151" s="7" t="s">
        <v>168</v>
      </c>
      <c r="B151" s="7" t="s">
        <v>887</v>
      </c>
      <c r="C151" s="7">
        <v>82906</v>
      </c>
      <c r="D151" s="10">
        <v>45496</v>
      </c>
      <c r="E151" s="11" t="s">
        <v>888</v>
      </c>
      <c r="F151" s="7" t="s">
        <v>19</v>
      </c>
      <c r="G151" s="7"/>
    </row>
    <row r="152" spans="1:7" x14ac:dyDescent="0.35">
      <c r="A152" s="77" t="s">
        <v>174</v>
      </c>
      <c r="B152" s="77" t="s">
        <v>890</v>
      </c>
      <c r="C152" s="77">
        <v>84411</v>
      </c>
      <c r="D152" s="78">
        <v>45509</v>
      </c>
      <c r="E152" s="79" t="s">
        <v>888</v>
      </c>
      <c r="F152" s="77" t="s">
        <v>88</v>
      </c>
      <c r="G152" s="77" t="s">
        <v>22</v>
      </c>
    </row>
    <row r="153" spans="1:7" x14ac:dyDescent="0.35">
      <c r="A153" s="7" t="s">
        <v>163</v>
      </c>
      <c r="B153" s="7" t="s">
        <v>896</v>
      </c>
      <c r="C153" s="7" t="s">
        <v>897</v>
      </c>
      <c r="D153" s="10">
        <v>45511</v>
      </c>
      <c r="E153" s="11" t="s">
        <v>888</v>
      </c>
      <c r="F153" s="7" t="s">
        <v>877</v>
      </c>
      <c r="G153" s="7"/>
    </row>
    <row r="154" spans="1:7" x14ac:dyDescent="0.35">
      <c r="A154" s="77" t="s">
        <v>173</v>
      </c>
      <c r="B154" s="77" t="s">
        <v>890</v>
      </c>
      <c r="C154" s="77">
        <v>84411</v>
      </c>
      <c r="D154" s="78">
        <v>45512</v>
      </c>
      <c r="E154" s="79" t="s">
        <v>888</v>
      </c>
      <c r="F154" s="77" t="s">
        <v>19</v>
      </c>
      <c r="G154" s="77"/>
    </row>
    <row r="155" spans="1:7" x14ac:dyDescent="0.35">
      <c r="A155" s="7" t="s">
        <v>175</v>
      </c>
      <c r="B155" s="7" t="s">
        <v>890</v>
      </c>
      <c r="C155" s="7">
        <v>84411</v>
      </c>
      <c r="D155" s="10">
        <v>45514</v>
      </c>
      <c r="E155" s="11" t="s">
        <v>888</v>
      </c>
      <c r="F155" s="7" t="s">
        <v>88</v>
      </c>
      <c r="G155" s="7" t="s">
        <v>88</v>
      </c>
    </row>
    <row r="156" spans="1:7" x14ac:dyDescent="0.35">
      <c r="A156" s="7" t="s">
        <v>169</v>
      </c>
      <c r="B156" s="7" t="s">
        <v>896</v>
      </c>
      <c r="C156" s="7" t="s">
        <v>897</v>
      </c>
      <c r="D156" s="10">
        <v>45516</v>
      </c>
      <c r="E156" s="11" t="s">
        <v>888</v>
      </c>
      <c r="F156" s="7" t="s">
        <v>27</v>
      </c>
      <c r="G156" s="7"/>
    </row>
    <row r="157" spans="1:7" x14ac:dyDescent="0.35">
      <c r="A157" s="7" t="s">
        <v>169</v>
      </c>
      <c r="B157" s="7" t="s">
        <v>896</v>
      </c>
      <c r="C157" s="7" t="s">
        <v>897</v>
      </c>
      <c r="D157" s="10">
        <v>45517</v>
      </c>
      <c r="E157" s="11" t="s">
        <v>888</v>
      </c>
      <c r="F157" s="7" t="s">
        <v>874</v>
      </c>
      <c r="G157" s="7" t="s">
        <v>900</v>
      </c>
    </row>
    <row r="158" spans="1:7" x14ac:dyDescent="0.35">
      <c r="A158" s="7" t="s">
        <v>169</v>
      </c>
      <c r="B158" s="7" t="s">
        <v>896</v>
      </c>
      <c r="C158" s="7" t="s">
        <v>897</v>
      </c>
      <c r="D158" s="10">
        <v>45517</v>
      </c>
      <c r="E158" s="11" t="s">
        <v>888</v>
      </c>
      <c r="F158" s="7" t="s">
        <v>875</v>
      </c>
      <c r="G158" s="7" t="s">
        <v>901</v>
      </c>
    </row>
    <row r="159" spans="1:7" x14ac:dyDescent="0.35">
      <c r="A159" s="7" t="s">
        <v>148</v>
      </c>
      <c r="B159" s="7" t="s">
        <v>896</v>
      </c>
      <c r="C159" s="7" t="s">
        <v>897</v>
      </c>
      <c r="D159" s="10">
        <v>45517</v>
      </c>
      <c r="E159" s="11" t="s">
        <v>888</v>
      </c>
      <c r="F159" s="7" t="s">
        <v>874</v>
      </c>
      <c r="G159" s="7" t="s">
        <v>900</v>
      </c>
    </row>
    <row r="160" spans="1:7" x14ac:dyDescent="0.35">
      <c r="A160" s="7" t="s">
        <v>148</v>
      </c>
      <c r="B160" s="7" t="s">
        <v>896</v>
      </c>
      <c r="C160" s="7" t="s">
        <v>897</v>
      </c>
      <c r="D160" s="10">
        <v>45517</v>
      </c>
      <c r="E160" s="11" t="s">
        <v>888</v>
      </c>
      <c r="F160" s="7" t="s">
        <v>875</v>
      </c>
      <c r="G160" s="7" t="s">
        <v>901</v>
      </c>
    </row>
    <row r="161" spans="1:7" x14ac:dyDescent="0.35">
      <c r="A161" s="7" t="s">
        <v>148</v>
      </c>
      <c r="B161" s="7" t="s">
        <v>896</v>
      </c>
      <c r="C161" s="7" t="s">
        <v>897</v>
      </c>
      <c r="D161" s="10">
        <v>45517</v>
      </c>
      <c r="E161" s="11" t="s">
        <v>888</v>
      </c>
      <c r="F161" s="7" t="s">
        <v>27</v>
      </c>
      <c r="G161" s="7"/>
    </row>
    <row r="162" spans="1:7" x14ac:dyDescent="0.35">
      <c r="A162" s="7" t="s">
        <v>176</v>
      </c>
      <c r="B162" s="7" t="s">
        <v>896</v>
      </c>
      <c r="C162" s="7" t="s">
        <v>897</v>
      </c>
      <c r="D162" s="10">
        <v>45517</v>
      </c>
      <c r="E162" s="11" t="s">
        <v>888</v>
      </c>
      <c r="F162" s="7" t="s">
        <v>874</v>
      </c>
      <c r="G162" s="7" t="s">
        <v>900</v>
      </c>
    </row>
    <row r="163" spans="1:7" x14ac:dyDescent="0.35">
      <c r="A163" s="7" t="s">
        <v>176</v>
      </c>
      <c r="B163" s="7" t="s">
        <v>896</v>
      </c>
      <c r="C163" s="7" t="s">
        <v>897</v>
      </c>
      <c r="D163" s="10">
        <v>45517</v>
      </c>
      <c r="E163" s="11" t="s">
        <v>888</v>
      </c>
      <c r="F163" s="7" t="s">
        <v>875</v>
      </c>
      <c r="G163" s="7" t="s">
        <v>901</v>
      </c>
    </row>
    <row r="164" spans="1:7" x14ac:dyDescent="0.35">
      <c r="A164" s="7" t="s">
        <v>176</v>
      </c>
      <c r="B164" s="7" t="s">
        <v>896</v>
      </c>
      <c r="C164" s="7" t="s">
        <v>897</v>
      </c>
      <c r="D164" s="10">
        <v>45517</v>
      </c>
      <c r="E164" s="11" t="s">
        <v>888</v>
      </c>
      <c r="F164" s="7" t="s">
        <v>27</v>
      </c>
      <c r="G164" s="7"/>
    </row>
    <row r="165" spans="1:7" x14ac:dyDescent="0.35">
      <c r="A165" s="7" t="s">
        <v>138</v>
      </c>
      <c r="B165" s="7" t="s">
        <v>896</v>
      </c>
      <c r="C165" s="7" t="s">
        <v>897</v>
      </c>
      <c r="D165" s="10">
        <v>45519</v>
      </c>
      <c r="E165" s="11" t="s">
        <v>888</v>
      </c>
      <c r="F165" s="7" t="s">
        <v>27</v>
      </c>
      <c r="G165" s="7"/>
    </row>
    <row r="166" spans="1:7" x14ac:dyDescent="0.35">
      <c r="A166" s="7" t="s">
        <v>145</v>
      </c>
      <c r="B166" s="7" t="s">
        <v>896</v>
      </c>
      <c r="C166" s="7" t="s">
        <v>897</v>
      </c>
      <c r="D166" s="10">
        <v>45519</v>
      </c>
      <c r="E166" s="11" t="s">
        <v>888</v>
      </c>
      <c r="F166" s="7" t="s">
        <v>27</v>
      </c>
      <c r="G166" s="7"/>
    </row>
    <row r="167" spans="1:7" x14ac:dyDescent="0.35">
      <c r="A167" s="7" t="s">
        <v>137</v>
      </c>
      <c r="B167" s="7" t="s">
        <v>896</v>
      </c>
      <c r="C167" s="7" t="s">
        <v>897</v>
      </c>
      <c r="D167" s="10">
        <v>45519</v>
      </c>
      <c r="E167" s="11" t="s">
        <v>888</v>
      </c>
      <c r="F167" s="7" t="s">
        <v>27</v>
      </c>
      <c r="G167" s="7"/>
    </row>
    <row r="168" spans="1:7" x14ac:dyDescent="0.35">
      <c r="A168" s="7" t="s">
        <v>146</v>
      </c>
      <c r="B168" s="7" t="s">
        <v>896</v>
      </c>
      <c r="C168" s="7" t="s">
        <v>897</v>
      </c>
      <c r="D168" s="10">
        <v>45519</v>
      </c>
      <c r="E168" s="11" t="s">
        <v>888</v>
      </c>
      <c r="F168" s="7" t="s">
        <v>27</v>
      </c>
      <c r="G168" s="7"/>
    </row>
    <row r="169" spans="1:7" x14ac:dyDescent="0.35">
      <c r="A169" s="7" t="s">
        <v>134</v>
      </c>
      <c r="B169" s="7" t="s">
        <v>896</v>
      </c>
      <c r="C169" s="7" t="s">
        <v>897</v>
      </c>
      <c r="D169" s="10">
        <v>45519</v>
      </c>
      <c r="E169" s="11" t="s">
        <v>888</v>
      </c>
      <c r="F169" s="7" t="s">
        <v>27</v>
      </c>
      <c r="G169" s="7"/>
    </row>
    <row r="170" spans="1:7" x14ac:dyDescent="0.35">
      <c r="A170" s="7" t="s">
        <v>83</v>
      </c>
      <c r="B170" s="7" t="s">
        <v>896</v>
      </c>
      <c r="C170" s="7" t="s">
        <v>897</v>
      </c>
      <c r="D170" s="10">
        <v>45519</v>
      </c>
      <c r="E170" s="11" t="s">
        <v>888</v>
      </c>
      <c r="F170" s="7" t="s">
        <v>27</v>
      </c>
      <c r="G170" s="7"/>
    </row>
    <row r="171" spans="1:7" x14ac:dyDescent="0.35">
      <c r="A171" s="7" t="s">
        <v>135</v>
      </c>
      <c r="B171" s="7" t="s">
        <v>896</v>
      </c>
      <c r="C171" s="7" t="s">
        <v>897</v>
      </c>
      <c r="D171" s="10">
        <v>45519</v>
      </c>
      <c r="E171" s="11" t="s">
        <v>888</v>
      </c>
      <c r="F171" s="7" t="s">
        <v>27</v>
      </c>
      <c r="G171" s="7"/>
    </row>
    <row r="172" spans="1:7" x14ac:dyDescent="0.35">
      <c r="A172" s="77" t="s">
        <v>131</v>
      </c>
      <c r="B172" s="77" t="s">
        <v>896</v>
      </c>
      <c r="C172" s="77" t="s">
        <v>897</v>
      </c>
      <c r="D172" s="78">
        <v>45519</v>
      </c>
      <c r="E172" s="79" t="s">
        <v>888</v>
      </c>
      <c r="F172" s="7" t="s">
        <v>27</v>
      </c>
      <c r="G172" s="77"/>
    </row>
    <row r="173" spans="1:7" x14ac:dyDescent="0.35">
      <c r="A173" s="7" t="s">
        <v>185</v>
      </c>
      <c r="B173" s="7" t="s">
        <v>896</v>
      </c>
      <c r="C173" s="7" t="s">
        <v>897</v>
      </c>
      <c r="D173" s="10">
        <v>45520</v>
      </c>
      <c r="E173" s="11" t="s">
        <v>888</v>
      </c>
      <c r="F173" s="7" t="s">
        <v>877</v>
      </c>
      <c r="G173" s="7"/>
    </row>
    <row r="174" spans="1:7" x14ac:dyDescent="0.35">
      <c r="A174" s="7" t="s">
        <v>197</v>
      </c>
      <c r="B174" s="7" t="s">
        <v>896</v>
      </c>
      <c r="C174" s="7" t="s">
        <v>897</v>
      </c>
      <c r="D174" s="10">
        <v>45520</v>
      </c>
      <c r="E174" s="11" t="s">
        <v>888</v>
      </c>
      <c r="F174" s="7" t="s">
        <v>877</v>
      </c>
      <c r="G174" s="7"/>
    </row>
    <row r="175" spans="1:7" x14ac:dyDescent="0.35">
      <c r="A175" s="7" t="s">
        <v>192</v>
      </c>
      <c r="B175" s="7" t="s">
        <v>896</v>
      </c>
      <c r="C175" s="7" t="s">
        <v>897</v>
      </c>
      <c r="D175" s="10">
        <v>45520</v>
      </c>
      <c r="E175" s="11" t="s">
        <v>888</v>
      </c>
      <c r="F175" s="7" t="s">
        <v>877</v>
      </c>
      <c r="G175" s="7"/>
    </row>
    <row r="176" spans="1:7" x14ac:dyDescent="0.35">
      <c r="A176" s="7" t="s">
        <v>90</v>
      </c>
      <c r="B176" s="7" t="s">
        <v>890</v>
      </c>
      <c r="C176" s="7">
        <v>84411</v>
      </c>
      <c r="D176" s="10">
        <v>45520</v>
      </c>
      <c r="E176" s="11" t="s">
        <v>888</v>
      </c>
      <c r="F176" s="7" t="s">
        <v>871</v>
      </c>
      <c r="G176" s="7" t="s">
        <v>891</v>
      </c>
    </row>
    <row r="177" spans="1:7" x14ac:dyDescent="0.35">
      <c r="A177" s="7" t="s">
        <v>193</v>
      </c>
      <c r="B177" s="7" t="s">
        <v>896</v>
      </c>
      <c r="C177" s="7" t="s">
        <v>897</v>
      </c>
      <c r="D177" s="10">
        <v>45520</v>
      </c>
      <c r="E177" s="11" t="s">
        <v>888</v>
      </c>
      <c r="F177" s="7" t="s">
        <v>877</v>
      </c>
      <c r="G177" s="7"/>
    </row>
    <row r="178" spans="1:7" x14ac:dyDescent="0.35">
      <c r="A178" s="7" t="s">
        <v>133</v>
      </c>
      <c r="B178" s="7" t="s">
        <v>896</v>
      </c>
      <c r="C178" s="7" t="s">
        <v>897</v>
      </c>
      <c r="D178" s="10">
        <v>45520</v>
      </c>
      <c r="E178" s="11" t="s">
        <v>888</v>
      </c>
      <c r="F178" s="7" t="s">
        <v>27</v>
      </c>
      <c r="G178" s="7"/>
    </row>
    <row r="179" spans="1:7" x14ac:dyDescent="0.35">
      <c r="A179" s="7" t="s">
        <v>136</v>
      </c>
      <c r="B179" s="7" t="s">
        <v>896</v>
      </c>
      <c r="C179" s="7" t="s">
        <v>897</v>
      </c>
      <c r="D179" s="10">
        <v>45520</v>
      </c>
      <c r="E179" s="11" t="s">
        <v>888</v>
      </c>
      <c r="F179" s="7" t="s">
        <v>27</v>
      </c>
      <c r="G179" s="7"/>
    </row>
    <row r="180" spans="1:7" x14ac:dyDescent="0.35">
      <c r="A180" s="7" t="s">
        <v>34</v>
      </c>
      <c r="B180" s="7" t="s">
        <v>896</v>
      </c>
      <c r="C180" s="7" t="s">
        <v>897</v>
      </c>
      <c r="D180" s="10">
        <v>45520</v>
      </c>
      <c r="E180" s="11" t="s">
        <v>888</v>
      </c>
      <c r="F180" s="7" t="s">
        <v>877</v>
      </c>
      <c r="G180" s="7"/>
    </row>
    <row r="181" spans="1:7" x14ac:dyDescent="0.35">
      <c r="A181" s="77" t="s">
        <v>132</v>
      </c>
      <c r="B181" s="77" t="s">
        <v>896</v>
      </c>
      <c r="C181" s="77" t="s">
        <v>897</v>
      </c>
      <c r="D181" s="78">
        <v>45520</v>
      </c>
      <c r="E181" s="79" t="s">
        <v>888</v>
      </c>
      <c r="F181" s="7" t="s">
        <v>27</v>
      </c>
      <c r="G181" s="77"/>
    </row>
    <row r="182" spans="1:7" x14ac:dyDescent="0.35">
      <c r="A182" s="7" t="s">
        <v>199</v>
      </c>
      <c r="B182" s="7" t="s">
        <v>896</v>
      </c>
      <c r="C182" s="7" t="s">
        <v>897</v>
      </c>
      <c r="D182" s="10">
        <v>45523</v>
      </c>
      <c r="E182" s="11" t="s">
        <v>888</v>
      </c>
      <c r="F182" s="7" t="s">
        <v>877</v>
      </c>
      <c r="G182" s="7"/>
    </row>
    <row r="183" spans="1:7" x14ac:dyDescent="0.35">
      <c r="A183" s="7" t="s">
        <v>196</v>
      </c>
      <c r="B183" s="7" t="s">
        <v>896</v>
      </c>
      <c r="C183" s="7" t="s">
        <v>897</v>
      </c>
      <c r="D183" s="10">
        <v>45523</v>
      </c>
      <c r="E183" s="11" t="s">
        <v>888</v>
      </c>
      <c r="F183" s="7" t="s">
        <v>877</v>
      </c>
      <c r="G183" s="7"/>
    </row>
    <row r="184" spans="1:7" x14ac:dyDescent="0.35">
      <c r="A184" s="7" t="s">
        <v>188</v>
      </c>
      <c r="B184" s="7" t="s">
        <v>896</v>
      </c>
      <c r="C184" s="7" t="s">
        <v>897</v>
      </c>
      <c r="D184" s="10">
        <v>45523</v>
      </c>
      <c r="E184" s="11" t="s">
        <v>888</v>
      </c>
      <c r="F184" s="7" t="s">
        <v>877</v>
      </c>
      <c r="G184" s="7"/>
    </row>
    <row r="185" spans="1:7" x14ac:dyDescent="0.35">
      <c r="A185" s="7" t="s">
        <v>191</v>
      </c>
      <c r="B185" s="7" t="s">
        <v>896</v>
      </c>
      <c r="C185" s="7" t="s">
        <v>897</v>
      </c>
      <c r="D185" s="10">
        <v>45523</v>
      </c>
      <c r="E185" s="11" t="s">
        <v>888</v>
      </c>
      <c r="F185" s="7" t="s">
        <v>877</v>
      </c>
      <c r="G185" s="7"/>
    </row>
    <row r="186" spans="1:7" x14ac:dyDescent="0.35">
      <c r="A186" s="7" t="s">
        <v>149</v>
      </c>
      <c r="B186" s="7" t="s">
        <v>896</v>
      </c>
      <c r="C186" s="7" t="s">
        <v>897</v>
      </c>
      <c r="D186" s="10">
        <v>45523</v>
      </c>
      <c r="E186" s="11" t="s">
        <v>888</v>
      </c>
      <c r="F186" s="7" t="s">
        <v>877</v>
      </c>
      <c r="G186" s="7"/>
    </row>
    <row r="187" spans="1:7" x14ac:dyDescent="0.35">
      <c r="A187" s="7" t="s">
        <v>187</v>
      </c>
      <c r="B187" s="7" t="s">
        <v>896</v>
      </c>
      <c r="C187" s="7" t="s">
        <v>897</v>
      </c>
      <c r="D187" s="10">
        <v>45524</v>
      </c>
      <c r="E187" s="11" t="s">
        <v>888</v>
      </c>
      <c r="F187" s="7" t="s">
        <v>877</v>
      </c>
      <c r="G187" s="7"/>
    </row>
    <row r="188" spans="1:7" x14ac:dyDescent="0.35">
      <c r="A188" s="7" t="s">
        <v>178</v>
      </c>
      <c r="B188" s="7" t="s">
        <v>896</v>
      </c>
      <c r="C188" s="7" t="s">
        <v>897</v>
      </c>
      <c r="D188" s="10">
        <v>45524</v>
      </c>
      <c r="E188" s="11" t="s">
        <v>888</v>
      </c>
      <c r="F188" s="7" t="s">
        <v>27</v>
      </c>
      <c r="G188" s="7"/>
    </row>
    <row r="189" spans="1:7" x14ac:dyDescent="0.35">
      <c r="A189" s="7" t="s">
        <v>189</v>
      </c>
      <c r="B189" s="7" t="s">
        <v>896</v>
      </c>
      <c r="C189" s="7" t="s">
        <v>897</v>
      </c>
      <c r="D189" s="10">
        <v>45524</v>
      </c>
      <c r="E189" s="11" t="s">
        <v>888</v>
      </c>
      <c r="F189" s="7" t="s">
        <v>877</v>
      </c>
      <c r="G189" s="7"/>
    </row>
    <row r="190" spans="1:7" x14ac:dyDescent="0.35">
      <c r="A190" s="7" t="s">
        <v>177</v>
      </c>
      <c r="B190" s="7" t="s">
        <v>896</v>
      </c>
      <c r="C190" s="7" t="s">
        <v>897</v>
      </c>
      <c r="D190" s="10">
        <v>45524</v>
      </c>
      <c r="E190" s="11" t="s">
        <v>888</v>
      </c>
      <c r="F190" s="7" t="s">
        <v>27</v>
      </c>
      <c r="G190" s="7"/>
    </row>
    <row r="191" spans="1:7" x14ac:dyDescent="0.35">
      <c r="A191" s="7" t="s">
        <v>202</v>
      </c>
      <c r="B191" s="7" t="s">
        <v>896</v>
      </c>
      <c r="C191" s="7" t="s">
        <v>897</v>
      </c>
      <c r="D191" s="10">
        <v>45524</v>
      </c>
      <c r="E191" s="11" t="s">
        <v>888</v>
      </c>
      <c r="F191" s="7" t="s">
        <v>877</v>
      </c>
      <c r="G191" s="7"/>
    </row>
    <row r="192" spans="1:7" x14ac:dyDescent="0.35">
      <c r="A192" s="7" t="s">
        <v>164</v>
      </c>
      <c r="B192" s="7" t="s">
        <v>896</v>
      </c>
      <c r="C192" s="7" t="s">
        <v>897</v>
      </c>
      <c r="D192" s="10">
        <v>45524</v>
      </c>
      <c r="E192" s="11" t="s">
        <v>888</v>
      </c>
      <c r="F192" s="7" t="s">
        <v>877</v>
      </c>
      <c r="G192" s="7"/>
    </row>
    <row r="193" spans="1:7" x14ac:dyDescent="0.35">
      <c r="A193" s="77" t="s">
        <v>204</v>
      </c>
      <c r="B193" s="77" t="s">
        <v>896</v>
      </c>
      <c r="C193" s="77" t="s">
        <v>897</v>
      </c>
      <c r="D193" s="78">
        <v>45524</v>
      </c>
      <c r="E193" s="79" t="s">
        <v>888</v>
      </c>
      <c r="F193" s="77" t="s">
        <v>877</v>
      </c>
      <c r="G193" s="77"/>
    </row>
    <row r="194" spans="1:7" x14ac:dyDescent="0.35">
      <c r="A194" s="7" t="s">
        <v>186</v>
      </c>
      <c r="B194" s="7" t="s">
        <v>896</v>
      </c>
      <c r="C194" s="7" t="s">
        <v>897</v>
      </c>
      <c r="D194" s="10">
        <v>45525</v>
      </c>
      <c r="E194" s="11" t="s">
        <v>888</v>
      </c>
      <c r="F194" s="7" t="s">
        <v>877</v>
      </c>
      <c r="G194" s="7"/>
    </row>
    <row r="195" spans="1:7" x14ac:dyDescent="0.35">
      <c r="A195" s="7" t="s">
        <v>194</v>
      </c>
      <c r="B195" s="7" t="s">
        <v>896</v>
      </c>
      <c r="C195" s="7" t="s">
        <v>897</v>
      </c>
      <c r="D195" s="10">
        <v>45525</v>
      </c>
      <c r="E195" s="11" t="s">
        <v>888</v>
      </c>
      <c r="F195" s="7" t="s">
        <v>877</v>
      </c>
      <c r="G195" s="7"/>
    </row>
    <row r="196" spans="1:7" x14ac:dyDescent="0.35">
      <c r="A196" s="7" t="s">
        <v>205</v>
      </c>
      <c r="B196" s="7" t="s">
        <v>896</v>
      </c>
      <c r="C196" s="7" t="s">
        <v>897</v>
      </c>
      <c r="D196" s="10">
        <v>45525</v>
      </c>
      <c r="E196" s="11" t="s">
        <v>888</v>
      </c>
      <c r="F196" s="7" t="s">
        <v>877</v>
      </c>
      <c r="G196" s="7"/>
    </row>
    <row r="197" spans="1:7" x14ac:dyDescent="0.35">
      <c r="A197" s="7" t="s">
        <v>200</v>
      </c>
      <c r="B197" s="7" t="s">
        <v>896</v>
      </c>
      <c r="C197" s="7" t="s">
        <v>897</v>
      </c>
      <c r="D197" s="10">
        <v>45525</v>
      </c>
      <c r="E197" s="11" t="s">
        <v>888</v>
      </c>
      <c r="F197" s="7" t="s">
        <v>877</v>
      </c>
      <c r="G197" s="7"/>
    </row>
    <row r="198" spans="1:7" x14ac:dyDescent="0.35">
      <c r="A198" s="7" t="s">
        <v>190</v>
      </c>
      <c r="B198" s="7" t="s">
        <v>896</v>
      </c>
      <c r="C198" s="7" t="s">
        <v>897</v>
      </c>
      <c r="D198" s="10">
        <v>45525</v>
      </c>
      <c r="E198" s="11" t="s">
        <v>888</v>
      </c>
      <c r="F198" s="7" t="s">
        <v>877</v>
      </c>
      <c r="G198" s="7"/>
    </row>
    <row r="199" spans="1:7" x14ac:dyDescent="0.35">
      <c r="A199" s="7" t="s">
        <v>180</v>
      </c>
      <c r="B199" s="7" t="s">
        <v>896</v>
      </c>
      <c r="C199" s="7" t="s">
        <v>897</v>
      </c>
      <c r="D199" s="10">
        <v>45525</v>
      </c>
      <c r="E199" s="11" t="s">
        <v>888</v>
      </c>
      <c r="F199" s="7" t="s">
        <v>27</v>
      </c>
      <c r="G199" s="7"/>
    </row>
    <row r="200" spans="1:7" x14ac:dyDescent="0.35">
      <c r="A200" s="7" t="s">
        <v>184</v>
      </c>
      <c r="B200" s="7" t="s">
        <v>896</v>
      </c>
      <c r="C200" s="7" t="s">
        <v>897</v>
      </c>
      <c r="D200" s="10">
        <v>45526</v>
      </c>
      <c r="E200" s="11" t="s">
        <v>888</v>
      </c>
      <c r="F200" s="7" t="s">
        <v>877</v>
      </c>
      <c r="G200" s="7"/>
    </row>
    <row r="201" spans="1:7" x14ac:dyDescent="0.35">
      <c r="A201" s="7" t="s">
        <v>179</v>
      </c>
      <c r="B201" s="7" t="s">
        <v>896</v>
      </c>
      <c r="C201" s="7" t="s">
        <v>897</v>
      </c>
      <c r="D201" s="10">
        <v>45526</v>
      </c>
      <c r="E201" s="11" t="s">
        <v>888</v>
      </c>
      <c r="F201" s="7" t="s">
        <v>27</v>
      </c>
      <c r="G201" s="7"/>
    </row>
    <row r="202" spans="1:7" x14ac:dyDescent="0.35">
      <c r="A202" s="7" t="s">
        <v>206</v>
      </c>
      <c r="B202" s="7" t="s">
        <v>896</v>
      </c>
      <c r="C202" s="7" t="s">
        <v>897</v>
      </c>
      <c r="D202" s="10">
        <v>45526</v>
      </c>
      <c r="E202" s="11" t="s">
        <v>888</v>
      </c>
      <c r="F202" s="7" t="s">
        <v>877</v>
      </c>
      <c r="G202" s="7"/>
    </row>
    <row r="203" spans="1:7" x14ac:dyDescent="0.35">
      <c r="A203" s="7" t="s">
        <v>207</v>
      </c>
      <c r="B203" s="7" t="s">
        <v>896</v>
      </c>
      <c r="C203" s="7" t="s">
        <v>897</v>
      </c>
      <c r="D203" s="10">
        <v>45526</v>
      </c>
      <c r="E203" s="11" t="s">
        <v>888</v>
      </c>
      <c r="F203" s="7" t="s">
        <v>877</v>
      </c>
      <c r="G203" s="7"/>
    </row>
    <row r="204" spans="1:7" x14ac:dyDescent="0.35">
      <c r="A204" s="7" t="s">
        <v>195</v>
      </c>
      <c r="B204" s="7" t="s">
        <v>896</v>
      </c>
      <c r="C204" s="7" t="s">
        <v>897</v>
      </c>
      <c r="D204" s="10">
        <v>45526</v>
      </c>
      <c r="E204" s="11" t="s">
        <v>888</v>
      </c>
      <c r="F204" s="7" t="s">
        <v>877</v>
      </c>
      <c r="G204" s="7"/>
    </row>
    <row r="205" spans="1:7" x14ac:dyDescent="0.35">
      <c r="A205" s="7" t="s">
        <v>201</v>
      </c>
      <c r="B205" s="7" t="s">
        <v>896</v>
      </c>
      <c r="C205" s="7" t="s">
        <v>897</v>
      </c>
      <c r="D205" s="10">
        <v>45526</v>
      </c>
      <c r="E205" s="11" t="s">
        <v>888</v>
      </c>
      <c r="F205" s="7" t="s">
        <v>877</v>
      </c>
      <c r="G205" s="7"/>
    </row>
    <row r="206" spans="1:7" x14ac:dyDescent="0.35">
      <c r="A206" s="77" t="s">
        <v>212</v>
      </c>
      <c r="B206" s="77" t="s">
        <v>896</v>
      </c>
      <c r="C206" s="77" t="s">
        <v>897</v>
      </c>
      <c r="D206" s="78">
        <v>45526</v>
      </c>
      <c r="E206" s="79" t="s">
        <v>888</v>
      </c>
      <c r="F206" s="77" t="s">
        <v>88</v>
      </c>
      <c r="G206" s="77" t="s">
        <v>22</v>
      </c>
    </row>
    <row r="207" spans="1:7" x14ac:dyDescent="0.35">
      <c r="A207" s="7" t="s">
        <v>183</v>
      </c>
      <c r="B207" s="7" t="s">
        <v>896</v>
      </c>
      <c r="C207" s="7" t="s">
        <v>897</v>
      </c>
      <c r="D207" s="10">
        <v>45527</v>
      </c>
      <c r="E207" s="11" t="s">
        <v>888</v>
      </c>
      <c r="F207" s="7" t="s">
        <v>877</v>
      </c>
      <c r="G207" s="7"/>
    </row>
    <row r="208" spans="1:7" x14ac:dyDescent="0.35">
      <c r="A208" s="7" t="s">
        <v>208</v>
      </c>
      <c r="B208" s="7" t="s">
        <v>896</v>
      </c>
      <c r="C208" s="7" t="s">
        <v>897</v>
      </c>
      <c r="D208" s="10">
        <v>45527</v>
      </c>
      <c r="E208" s="11" t="s">
        <v>888</v>
      </c>
      <c r="F208" s="7" t="s">
        <v>877</v>
      </c>
      <c r="G208" s="7"/>
    </row>
    <row r="209" spans="1:7" x14ac:dyDescent="0.35">
      <c r="A209" s="7" t="s">
        <v>209</v>
      </c>
      <c r="B209" s="7" t="s">
        <v>896</v>
      </c>
      <c r="C209" s="7" t="s">
        <v>897</v>
      </c>
      <c r="D209" s="10">
        <v>45527</v>
      </c>
      <c r="E209" s="11" t="s">
        <v>888</v>
      </c>
      <c r="F209" s="7" t="s">
        <v>877</v>
      </c>
      <c r="G209" s="7"/>
    </row>
    <row r="210" spans="1:7" x14ac:dyDescent="0.35">
      <c r="A210" s="77" t="s">
        <v>210</v>
      </c>
      <c r="B210" s="77" t="s">
        <v>896</v>
      </c>
      <c r="C210" s="77" t="s">
        <v>897</v>
      </c>
      <c r="D210" s="78">
        <v>45527</v>
      </c>
      <c r="E210" s="79" t="s">
        <v>888</v>
      </c>
      <c r="F210" s="77" t="s">
        <v>877</v>
      </c>
      <c r="G210" s="77"/>
    </row>
    <row r="211" spans="1:7" x14ac:dyDescent="0.35">
      <c r="A211" s="7" t="s">
        <v>215</v>
      </c>
      <c r="B211" s="7" t="s">
        <v>890</v>
      </c>
      <c r="C211" s="7">
        <v>84411</v>
      </c>
      <c r="D211" s="10">
        <v>45534</v>
      </c>
      <c r="E211" s="11" t="s">
        <v>888</v>
      </c>
      <c r="F211" s="7" t="s">
        <v>19</v>
      </c>
      <c r="G211" s="7"/>
    </row>
    <row r="212" spans="1:7" x14ac:dyDescent="0.35">
      <c r="A212" s="7" t="s">
        <v>172</v>
      </c>
      <c r="B212" s="7" t="s">
        <v>896</v>
      </c>
      <c r="C212" s="7" t="s">
        <v>897</v>
      </c>
      <c r="D212" s="10">
        <v>45534</v>
      </c>
      <c r="E212" s="11" t="s">
        <v>888</v>
      </c>
      <c r="F212" s="7" t="s">
        <v>872</v>
      </c>
      <c r="G212" s="7" t="s">
        <v>891</v>
      </c>
    </row>
    <row r="213" spans="1:7" x14ac:dyDescent="0.35">
      <c r="A213" s="7" t="s">
        <v>216</v>
      </c>
      <c r="B213" s="7" t="s">
        <v>890</v>
      </c>
      <c r="C213" s="7">
        <v>84411</v>
      </c>
      <c r="D213" s="10">
        <v>45534</v>
      </c>
      <c r="E213" s="11" t="s">
        <v>888</v>
      </c>
      <c r="F213" s="7" t="s">
        <v>88</v>
      </c>
      <c r="G213" s="7" t="s">
        <v>88</v>
      </c>
    </row>
    <row r="214" spans="1:7" x14ac:dyDescent="0.35">
      <c r="A214" s="77" t="s">
        <v>214</v>
      </c>
      <c r="B214" s="77" t="s">
        <v>890</v>
      </c>
      <c r="C214" s="77">
        <v>84411</v>
      </c>
      <c r="D214" s="78">
        <v>45534</v>
      </c>
      <c r="E214" s="79" t="s">
        <v>888</v>
      </c>
      <c r="F214" s="77" t="s">
        <v>19</v>
      </c>
      <c r="G214" s="77"/>
    </row>
    <row r="215" spans="1:7" x14ac:dyDescent="0.35">
      <c r="A215" s="7" t="s">
        <v>227</v>
      </c>
      <c r="B215" s="7" t="s">
        <v>896</v>
      </c>
      <c r="C215" s="7" t="s">
        <v>897</v>
      </c>
      <c r="D215" s="10">
        <v>45540</v>
      </c>
      <c r="E215" s="11" t="s">
        <v>888</v>
      </c>
      <c r="F215" s="7" t="s">
        <v>872</v>
      </c>
      <c r="G215" s="7" t="s">
        <v>891</v>
      </c>
    </row>
    <row r="216" spans="1:7" x14ac:dyDescent="0.35">
      <c r="A216" s="7" t="s">
        <v>229</v>
      </c>
      <c r="B216" s="7" t="s">
        <v>896</v>
      </c>
      <c r="C216" s="7" t="s">
        <v>897</v>
      </c>
      <c r="D216" s="10">
        <v>45540</v>
      </c>
      <c r="E216" s="11" t="s">
        <v>888</v>
      </c>
      <c r="F216" s="7" t="s">
        <v>872</v>
      </c>
      <c r="G216" s="7" t="s">
        <v>891</v>
      </c>
    </row>
    <row r="217" spans="1:7" x14ac:dyDescent="0.35">
      <c r="A217" s="7" t="s">
        <v>228</v>
      </c>
      <c r="B217" s="7" t="s">
        <v>896</v>
      </c>
      <c r="C217" s="7" t="s">
        <v>897</v>
      </c>
      <c r="D217" s="10">
        <v>45540</v>
      </c>
      <c r="E217" s="11" t="s">
        <v>888</v>
      </c>
      <c r="F217" s="7" t="s">
        <v>872</v>
      </c>
      <c r="G217" s="7" t="s">
        <v>891</v>
      </c>
    </row>
    <row r="218" spans="1:7" x14ac:dyDescent="0.35">
      <c r="A218" s="7" t="s">
        <v>226</v>
      </c>
      <c r="B218" s="7" t="s">
        <v>896</v>
      </c>
      <c r="C218" s="7" t="s">
        <v>897</v>
      </c>
      <c r="D218" s="10">
        <v>45540</v>
      </c>
      <c r="E218" s="11" t="s">
        <v>888</v>
      </c>
      <c r="F218" s="7" t="s">
        <v>872</v>
      </c>
      <c r="G218" s="7" t="s">
        <v>891</v>
      </c>
    </row>
    <row r="219" spans="1:7" x14ac:dyDescent="0.35">
      <c r="A219" s="7" t="s">
        <v>231</v>
      </c>
      <c r="B219" s="7" t="s">
        <v>896</v>
      </c>
      <c r="C219" s="7" t="s">
        <v>897</v>
      </c>
      <c r="D219" s="10">
        <v>45540</v>
      </c>
      <c r="E219" s="11" t="s">
        <v>888</v>
      </c>
      <c r="F219" s="7" t="s">
        <v>872</v>
      </c>
      <c r="G219" s="7" t="s">
        <v>891</v>
      </c>
    </row>
    <row r="220" spans="1:7" x14ac:dyDescent="0.35">
      <c r="A220" s="77" t="s">
        <v>223</v>
      </c>
      <c r="B220" s="77" t="s">
        <v>896</v>
      </c>
      <c r="C220" s="77" t="s">
        <v>897</v>
      </c>
      <c r="D220" s="78">
        <v>45540</v>
      </c>
      <c r="E220" s="79" t="s">
        <v>888</v>
      </c>
      <c r="F220" s="77" t="s">
        <v>872</v>
      </c>
      <c r="G220" s="77" t="s">
        <v>891</v>
      </c>
    </row>
    <row r="221" spans="1:7" x14ac:dyDescent="0.35">
      <c r="A221" s="7" t="s">
        <v>220</v>
      </c>
      <c r="B221" s="7" t="s">
        <v>896</v>
      </c>
      <c r="C221" s="7" t="s">
        <v>897</v>
      </c>
      <c r="D221" s="10">
        <v>45541</v>
      </c>
      <c r="E221" s="11" t="s">
        <v>888</v>
      </c>
      <c r="F221" s="7" t="s">
        <v>877</v>
      </c>
      <c r="G221" s="7"/>
    </row>
    <row r="222" spans="1:7" x14ac:dyDescent="0.35">
      <c r="A222" s="7" t="s">
        <v>198</v>
      </c>
      <c r="B222" s="7" t="s">
        <v>896</v>
      </c>
      <c r="C222" s="7" t="s">
        <v>897</v>
      </c>
      <c r="D222" s="10">
        <v>45541</v>
      </c>
      <c r="E222" s="11" t="s">
        <v>888</v>
      </c>
      <c r="F222" s="7" t="s">
        <v>877</v>
      </c>
      <c r="G222" s="7"/>
    </row>
    <row r="223" spans="1:7" x14ac:dyDescent="0.35">
      <c r="A223" s="7" t="s">
        <v>219</v>
      </c>
      <c r="B223" s="7" t="s">
        <v>896</v>
      </c>
      <c r="C223" s="7" t="s">
        <v>897</v>
      </c>
      <c r="D223" s="10">
        <v>45541</v>
      </c>
      <c r="E223" s="11" t="s">
        <v>888</v>
      </c>
      <c r="F223" s="7" t="s">
        <v>877</v>
      </c>
      <c r="G223" s="7"/>
    </row>
    <row r="224" spans="1:7" x14ac:dyDescent="0.35">
      <c r="A224" s="7" t="s">
        <v>182</v>
      </c>
      <c r="B224" s="7" t="s">
        <v>896</v>
      </c>
      <c r="C224" s="7" t="s">
        <v>897</v>
      </c>
      <c r="D224" s="10">
        <v>45544</v>
      </c>
      <c r="E224" s="11" t="s">
        <v>888</v>
      </c>
      <c r="F224" s="7" t="s">
        <v>27</v>
      </c>
      <c r="G224" s="7"/>
    </row>
    <row r="225" spans="1:7" x14ac:dyDescent="0.35">
      <c r="A225" s="7" t="s">
        <v>218</v>
      </c>
      <c r="B225" s="7" t="s">
        <v>896</v>
      </c>
      <c r="C225" s="7" t="s">
        <v>897</v>
      </c>
      <c r="D225" s="10">
        <v>45544</v>
      </c>
      <c r="E225" s="11" t="s">
        <v>888</v>
      </c>
      <c r="F225" s="7" t="s">
        <v>877</v>
      </c>
      <c r="G225" s="7"/>
    </row>
    <row r="226" spans="1:7" x14ac:dyDescent="0.35">
      <c r="A226" s="7" t="s">
        <v>203</v>
      </c>
      <c r="B226" s="7" t="s">
        <v>896</v>
      </c>
      <c r="C226" s="7" t="s">
        <v>897</v>
      </c>
      <c r="D226" s="10">
        <v>45544</v>
      </c>
      <c r="E226" s="11" t="s">
        <v>888</v>
      </c>
      <c r="F226" s="7" t="s">
        <v>877</v>
      </c>
      <c r="G226" s="7"/>
    </row>
    <row r="227" spans="1:7" x14ac:dyDescent="0.35">
      <c r="A227" s="77" t="s">
        <v>221</v>
      </c>
      <c r="B227" s="77" t="s">
        <v>896</v>
      </c>
      <c r="C227" s="77" t="s">
        <v>897</v>
      </c>
      <c r="D227" s="78">
        <v>45546</v>
      </c>
      <c r="E227" s="79" t="s">
        <v>888</v>
      </c>
      <c r="F227" s="77" t="s">
        <v>877</v>
      </c>
      <c r="G227" s="77"/>
    </row>
    <row r="228" spans="1:7" x14ac:dyDescent="0.35">
      <c r="A228" s="7" t="s">
        <v>232</v>
      </c>
      <c r="B228" s="7" t="s">
        <v>896</v>
      </c>
      <c r="C228" s="7" t="s">
        <v>897</v>
      </c>
      <c r="D228" s="10">
        <v>45547</v>
      </c>
      <c r="E228" s="11" t="s">
        <v>888</v>
      </c>
      <c r="F228" s="7" t="s">
        <v>877</v>
      </c>
      <c r="G228" s="7"/>
    </row>
    <row r="229" spans="1:7" x14ac:dyDescent="0.35">
      <c r="A229" s="7" t="s">
        <v>234</v>
      </c>
      <c r="B229" s="7" t="s">
        <v>896</v>
      </c>
      <c r="C229" s="7" t="s">
        <v>897</v>
      </c>
      <c r="D229" s="10">
        <v>45547</v>
      </c>
      <c r="E229" s="11" t="s">
        <v>888</v>
      </c>
      <c r="F229" s="7" t="s">
        <v>877</v>
      </c>
      <c r="G229" s="7"/>
    </row>
    <row r="230" spans="1:7" x14ac:dyDescent="0.35">
      <c r="A230" s="77" t="s">
        <v>235</v>
      </c>
      <c r="B230" s="77" t="s">
        <v>896</v>
      </c>
      <c r="C230" s="77" t="s">
        <v>897</v>
      </c>
      <c r="D230" s="78">
        <v>45547</v>
      </c>
      <c r="E230" s="79" t="s">
        <v>888</v>
      </c>
      <c r="F230" s="77" t="s">
        <v>877</v>
      </c>
      <c r="G230" s="77"/>
    </row>
    <row r="231" spans="1:7" x14ac:dyDescent="0.35">
      <c r="A231" s="7" t="s">
        <v>222</v>
      </c>
      <c r="B231" s="7" t="s">
        <v>896</v>
      </c>
      <c r="C231" s="7" t="s">
        <v>897</v>
      </c>
      <c r="D231" s="10">
        <v>45548</v>
      </c>
      <c r="E231" s="11" t="s">
        <v>888</v>
      </c>
      <c r="F231" s="7" t="s">
        <v>872</v>
      </c>
      <c r="G231" s="7" t="s">
        <v>891</v>
      </c>
    </row>
    <row r="232" spans="1:7" x14ac:dyDescent="0.35">
      <c r="A232" s="7" t="s">
        <v>224</v>
      </c>
      <c r="B232" s="7" t="s">
        <v>896</v>
      </c>
      <c r="C232" s="7" t="s">
        <v>897</v>
      </c>
      <c r="D232" s="10">
        <v>45548</v>
      </c>
      <c r="E232" s="11" t="s">
        <v>888</v>
      </c>
      <c r="F232" s="7" t="s">
        <v>872</v>
      </c>
      <c r="G232" s="7" t="s">
        <v>891</v>
      </c>
    </row>
    <row r="233" spans="1:7" x14ac:dyDescent="0.35">
      <c r="A233" s="7" t="s">
        <v>230</v>
      </c>
      <c r="B233" s="7" t="s">
        <v>896</v>
      </c>
      <c r="C233" s="7" t="s">
        <v>897</v>
      </c>
      <c r="D233" s="10">
        <v>45548</v>
      </c>
      <c r="E233" s="11" t="s">
        <v>888</v>
      </c>
      <c r="F233" s="7" t="s">
        <v>872</v>
      </c>
      <c r="G233" s="7" t="s">
        <v>891</v>
      </c>
    </row>
    <row r="234" spans="1:7" x14ac:dyDescent="0.35">
      <c r="A234" s="7" t="s">
        <v>225</v>
      </c>
      <c r="B234" s="7" t="s">
        <v>896</v>
      </c>
      <c r="C234" s="7" t="s">
        <v>897</v>
      </c>
      <c r="D234" s="10">
        <v>45548</v>
      </c>
      <c r="E234" s="11" t="s">
        <v>888</v>
      </c>
      <c r="F234" s="7" t="s">
        <v>872</v>
      </c>
      <c r="G234" s="7" t="s">
        <v>891</v>
      </c>
    </row>
    <row r="235" spans="1:7" x14ac:dyDescent="0.35">
      <c r="A235" s="7" t="s">
        <v>233</v>
      </c>
      <c r="B235" s="7" t="s">
        <v>896</v>
      </c>
      <c r="C235" s="7" t="s">
        <v>897</v>
      </c>
      <c r="D235" s="10">
        <v>45548</v>
      </c>
      <c r="E235" s="11" t="s">
        <v>888</v>
      </c>
      <c r="F235" s="7" t="s">
        <v>877</v>
      </c>
      <c r="G235" s="7"/>
    </row>
    <row r="236" spans="1:7" x14ac:dyDescent="0.35">
      <c r="A236" s="7" t="s">
        <v>236</v>
      </c>
      <c r="B236" s="7" t="s">
        <v>896</v>
      </c>
      <c r="C236" s="7" t="s">
        <v>897</v>
      </c>
      <c r="D236" s="10">
        <v>45549</v>
      </c>
      <c r="E236" s="11" t="s">
        <v>888</v>
      </c>
      <c r="F236" s="7" t="s">
        <v>872</v>
      </c>
      <c r="G236" s="7" t="s">
        <v>891</v>
      </c>
    </row>
    <row r="237" spans="1:7" x14ac:dyDescent="0.35">
      <c r="A237" s="77" t="s">
        <v>214</v>
      </c>
      <c r="B237" s="77" t="s">
        <v>890</v>
      </c>
      <c r="C237" s="77">
        <v>84411</v>
      </c>
      <c r="D237" s="78">
        <v>45549</v>
      </c>
      <c r="E237" s="79" t="s">
        <v>888</v>
      </c>
      <c r="F237" s="77" t="s">
        <v>871</v>
      </c>
      <c r="G237" s="77" t="s">
        <v>891</v>
      </c>
    </row>
    <row r="238" spans="1:7" x14ac:dyDescent="0.35">
      <c r="A238" s="7" t="s">
        <v>243</v>
      </c>
      <c r="B238" s="7" t="s">
        <v>896</v>
      </c>
      <c r="C238" s="7" t="s">
        <v>897</v>
      </c>
      <c r="D238" s="10">
        <v>45555</v>
      </c>
      <c r="E238" s="11" t="s">
        <v>888</v>
      </c>
      <c r="F238" s="7" t="s">
        <v>872</v>
      </c>
      <c r="G238" s="7" t="s">
        <v>891</v>
      </c>
    </row>
    <row r="239" spans="1:7" x14ac:dyDescent="0.35">
      <c r="A239" s="77" t="s">
        <v>244</v>
      </c>
      <c r="B239" s="77" t="s">
        <v>896</v>
      </c>
      <c r="C239" s="77" t="s">
        <v>897</v>
      </c>
      <c r="D239" s="78">
        <v>45555</v>
      </c>
      <c r="E239" s="79" t="s">
        <v>888</v>
      </c>
      <c r="F239" s="77" t="s">
        <v>872</v>
      </c>
      <c r="G239" s="77" t="s">
        <v>891</v>
      </c>
    </row>
    <row r="240" spans="1:7" x14ac:dyDescent="0.35">
      <c r="A240" s="7" t="s">
        <v>242</v>
      </c>
      <c r="B240" s="7" t="s">
        <v>896</v>
      </c>
      <c r="C240" s="7" t="s">
        <v>897</v>
      </c>
      <c r="D240" s="10">
        <v>45559</v>
      </c>
      <c r="E240" s="11" t="s">
        <v>888</v>
      </c>
      <c r="F240" s="7" t="s">
        <v>872</v>
      </c>
      <c r="G240" s="7" t="s">
        <v>891</v>
      </c>
    </row>
    <row r="241" spans="1:7" x14ac:dyDescent="0.35">
      <c r="A241" s="7" t="s">
        <v>241</v>
      </c>
      <c r="B241" s="7" t="s">
        <v>896</v>
      </c>
      <c r="C241" s="7" t="s">
        <v>897</v>
      </c>
      <c r="D241" s="10">
        <v>45559</v>
      </c>
      <c r="E241" s="11" t="s">
        <v>888</v>
      </c>
      <c r="F241" s="7" t="s">
        <v>872</v>
      </c>
      <c r="G241" s="7" t="s">
        <v>891</v>
      </c>
    </row>
    <row r="242" spans="1:7" x14ac:dyDescent="0.35">
      <c r="A242" s="7" t="s">
        <v>251</v>
      </c>
      <c r="B242" s="7" t="s">
        <v>896</v>
      </c>
      <c r="C242" s="7" t="s">
        <v>897</v>
      </c>
      <c r="D242" s="10">
        <v>45561</v>
      </c>
      <c r="E242" s="11" t="s">
        <v>888</v>
      </c>
      <c r="F242" s="7" t="s">
        <v>19</v>
      </c>
      <c r="G242" s="7"/>
    </row>
    <row r="243" spans="1:7" x14ac:dyDescent="0.35">
      <c r="A243" s="7" t="s">
        <v>77</v>
      </c>
      <c r="B243" s="7" t="s">
        <v>890</v>
      </c>
      <c r="C243" s="7">
        <v>84411</v>
      </c>
      <c r="D243" s="10">
        <v>45561</v>
      </c>
      <c r="E243" s="11" t="s">
        <v>888</v>
      </c>
      <c r="F243" s="7" t="s">
        <v>19</v>
      </c>
      <c r="G243" s="7"/>
    </row>
    <row r="244" spans="1:7" x14ac:dyDescent="0.35">
      <c r="A244" s="7" t="s">
        <v>246</v>
      </c>
      <c r="B244" s="7" t="s">
        <v>896</v>
      </c>
      <c r="C244" s="7" t="s">
        <v>897</v>
      </c>
      <c r="D244" s="10">
        <v>45561</v>
      </c>
      <c r="E244" s="11" t="s">
        <v>888</v>
      </c>
      <c r="F244" s="7" t="s">
        <v>872</v>
      </c>
      <c r="G244" s="7" t="s">
        <v>891</v>
      </c>
    </row>
    <row r="245" spans="1:7" x14ac:dyDescent="0.35">
      <c r="A245" s="7" t="s">
        <v>247</v>
      </c>
      <c r="B245" s="7" t="s">
        <v>896</v>
      </c>
      <c r="C245" s="7" t="s">
        <v>897</v>
      </c>
      <c r="D245" s="10">
        <v>45561</v>
      </c>
      <c r="E245" s="11" t="s">
        <v>888</v>
      </c>
      <c r="F245" s="7" t="s">
        <v>872</v>
      </c>
      <c r="G245" s="7" t="s">
        <v>891</v>
      </c>
    </row>
    <row r="246" spans="1:7" x14ac:dyDescent="0.35">
      <c r="A246" s="7" t="s">
        <v>240</v>
      </c>
      <c r="B246" s="7" t="s">
        <v>896</v>
      </c>
      <c r="C246" s="7" t="s">
        <v>897</v>
      </c>
      <c r="D246" s="10">
        <v>45561</v>
      </c>
      <c r="E246" s="11" t="s">
        <v>888</v>
      </c>
      <c r="F246" s="7" t="s">
        <v>872</v>
      </c>
      <c r="G246" s="7" t="s">
        <v>891</v>
      </c>
    </row>
    <row r="247" spans="1:7" x14ac:dyDescent="0.35">
      <c r="A247" s="7" t="s">
        <v>637</v>
      </c>
      <c r="B247" s="7" t="s">
        <v>896</v>
      </c>
      <c r="C247" s="7" t="s">
        <v>897</v>
      </c>
      <c r="D247" s="10">
        <v>45562</v>
      </c>
      <c r="E247" s="11" t="s">
        <v>888</v>
      </c>
      <c r="F247" s="7" t="s">
        <v>872</v>
      </c>
      <c r="G247" s="7" t="s">
        <v>891</v>
      </c>
    </row>
    <row r="248" spans="1:7" x14ac:dyDescent="0.35">
      <c r="A248" s="7" t="s">
        <v>638</v>
      </c>
      <c r="B248" s="7" t="s">
        <v>896</v>
      </c>
      <c r="C248" s="7" t="s">
        <v>897</v>
      </c>
      <c r="D248" s="10">
        <v>45562</v>
      </c>
      <c r="E248" s="11" t="s">
        <v>888</v>
      </c>
      <c r="F248" s="7" t="s">
        <v>872</v>
      </c>
      <c r="G248" s="7" t="s">
        <v>891</v>
      </c>
    </row>
    <row r="249" spans="1:7" x14ac:dyDescent="0.35">
      <c r="A249" s="7" t="s">
        <v>217</v>
      </c>
      <c r="B249" s="7" t="s">
        <v>896</v>
      </c>
      <c r="C249" s="7" t="s">
        <v>897</v>
      </c>
      <c r="D249" s="10">
        <v>45565</v>
      </c>
      <c r="E249" s="11" t="s">
        <v>888</v>
      </c>
      <c r="F249" s="7" t="s">
        <v>872</v>
      </c>
      <c r="G249" s="7" t="s">
        <v>891</v>
      </c>
    </row>
    <row r="250" spans="1:7" x14ac:dyDescent="0.35">
      <c r="A250" s="7" t="s">
        <v>168</v>
      </c>
      <c r="B250" s="7" t="s">
        <v>896</v>
      </c>
      <c r="C250" s="7" t="s">
        <v>897</v>
      </c>
      <c r="D250" s="10">
        <v>45566</v>
      </c>
      <c r="E250" s="11" t="s">
        <v>888</v>
      </c>
      <c r="F250" s="7" t="s">
        <v>872</v>
      </c>
      <c r="G250" s="7" t="s">
        <v>891</v>
      </c>
    </row>
    <row r="251" spans="1:7" x14ac:dyDescent="0.35">
      <c r="A251" s="7" t="s">
        <v>171</v>
      </c>
      <c r="B251" s="7" t="s">
        <v>890</v>
      </c>
      <c r="C251" s="7">
        <v>84411</v>
      </c>
      <c r="D251" s="10">
        <v>45567</v>
      </c>
      <c r="E251" s="11" t="s">
        <v>888</v>
      </c>
      <c r="F251" s="7" t="s">
        <v>19</v>
      </c>
      <c r="G251" s="7"/>
    </row>
    <row r="252" spans="1:7" x14ac:dyDescent="0.35">
      <c r="A252" s="7" t="s">
        <v>171</v>
      </c>
      <c r="B252" s="7" t="s">
        <v>890</v>
      </c>
      <c r="C252" s="7">
        <v>84411</v>
      </c>
      <c r="D252" s="10">
        <v>45568</v>
      </c>
      <c r="E252" s="11" t="s">
        <v>888</v>
      </c>
      <c r="F252" s="7" t="s">
        <v>871</v>
      </c>
      <c r="G252" s="7" t="s">
        <v>891</v>
      </c>
    </row>
    <row r="253" spans="1:7" x14ac:dyDescent="0.35">
      <c r="A253" s="7" t="s">
        <v>171</v>
      </c>
      <c r="B253" s="7" t="s">
        <v>890</v>
      </c>
      <c r="C253" s="7">
        <v>84411</v>
      </c>
      <c r="D253" s="10">
        <v>45568</v>
      </c>
      <c r="E253" s="11" t="s">
        <v>888</v>
      </c>
      <c r="F253" s="7" t="s">
        <v>894</v>
      </c>
      <c r="G253" s="7" t="s">
        <v>15</v>
      </c>
    </row>
    <row r="254" spans="1:7" x14ac:dyDescent="0.35">
      <c r="A254" s="7" t="s">
        <v>100</v>
      </c>
      <c r="B254" s="7" t="s">
        <v>890</v>
      </c>
      <c r="C254" s="7">
        <v>84411</v>
      </c>
      <c r="D254" s="10">
        <v>45575</v>
      </c>
      <c r="E254" s="11" t="s">
        <v>888</v>
      </c>
      <c r="F254" s="7" t="s">
        <v>871</v>
      </c>
      <c r="G254" s="7" t="s">
        <v>891</v>
      </c>
    </row>
    <row r="255" spans="1:7" x14ac:dyDescent="0.35">
      <c r="A255" s="7" t="s">
        <v>100</v>
      </c>
      <c r="B255" s="7" t="s">
        <v>887</v>
      </c>
      <c r="C255" s="7">
        <v>82906</v>
      </c>
      <c r="D255" s="10">
        <v>45575</v>
      </c>
      <c r="E255" s="11" t="s">
        <v>888</v>
      </c>
      <c r="F255" s="7" t="s">
        <v>19</v>
      </c>
      <c r="G255" s="7"/>
    </row>
    <row r="256" spans="1:7" x14ac:dyDescent="0.35">
      <c r="A256" s="7" t="s">
        <v>249</v>
      </c>
      <c r="B256" s="7" t="s">
        <v>896</v>
      </c>
      <c r="C256" s="7" t="s">
        <v>897</v>
      </c>
      <c r="D256" s="10">
        <v>45575</v>
      </c>
      <c r="E256" s="11" t="s">
        <v>888</v>
      </c>
      <c r="F256" s="7" t="s">
        <v>872</v>
      </c>
      <c r="G256" s="7" t="s">
        <v>891</v>
      </c>
    </row>
    <row r="257" spans="1:7" x14ac:dyDescent="0.35">
      <c r="A257" s="7" t="s">
        <v>261</v>
      </c>
      <c r="B257" s="7" t="s">
        <v>896</v>
      </c>
      <c r="C257" s="7" t="s">
        <v>897</v>
      </c>
      <c r="D257" s="10">
        <v>45575</v>
      </c>
      <c r="E257" s="11" t="s">
        <v>888</v>
      </c>
      <c r="F257" s="7" t="s">
        <v>872</v>
      </c>
      <c r="G257" s="7" t="s">
        <v>891</v>
      </c>
    </row>
    <row r="258" spans="1:7" x14ac:dyDescent="0.35">
      <c r="A258" s="7" t="s">
        <v>260</v>
      </c>
      <c r="B258" s="7" t="s">
        <v>896</v>
      </c>
      <c r="C258" s="7" t="s">
        <v>897</v>
      </c>
      <c r="D258" s="10">
        <v>45575</v>
      </c>
      <c r="E258" s="11" t="s">
        <v>888</v>
      </c>
      <c r="F258" s="7" t="s">
        <v>872</v>
      </c>
      <c r="G258" s="7" t="s">
        <v>891</v>
      </c>
    </row>
    <row r="259" spans="1:7" x14ac:dyDescent="0.35">
      <c r="A259" s="7" t="s">
        <v>252</v>
      </c>
      <c r="B259" s="7" t="s">
        <v>896</v>
      </c>
      <c r="C259" s="7" t="s">
        <v>897</v>
      </c>
      <c r="D259" s="10">
        <v>45576</v>
      </c>
      <c r="E259" s="11" t="s">
        <v>888</v>
      </c>
      <c r="F259" s="7" t="s">
        <v>872</v>
      </c>
      <c r="G259" s="7" t="s">
        <v>891</v>
      </c>
    </row>
    <row r="260" spans="1:7" x14ac:dyDescent="0.35">
      <c r="A260" s="7" t="s">
        <v>273</v>
      </c>
      <c r="B260" s="7" t="s">
        <v>896</v>
      </c>
      <c r="C260" s="7" t="s">
        <v>897</v>
      </c>
      <c r="D260" s="10">
        <v>45579</v>
      </c>
      <c r="E260" s="11" t="s">
        <v>888</v>
      </c>
      <c r="F260" s="7" t="s">
        <v>19</v>
      </c>
      <c r="G260" s="7"/>
    </row>
    <row r="261" spans="1:7" x14ac:dyDescent="0.35">
      <c r="A261" s="7" t="s">
        <v>91</v>
      </c>
      <c r="B261" s="7" t="s">
        <v>890</v>
      </c>
      <c r="C261" s="7">
        <v>84411</v>
      </c>
      <c r="D261" s="10">
        <v>45585</v>
      </c>
      <c r="E261" s="11" t="s">
        <v>888</v>
      </c>
      <c r="F261" s="7" t="s">
        <v>19</v>
      </c>
      <c r="G261" s="7"/>
    </row>
    <row r="262" spans="1:7" x14ac:dyDescent="0.35">
      <c r="A262" s="7" t="s">
        <v>91</v>
      </c>
      <c r="B262" s="7" t="s">
        <v>890</v>
      </c>
      <c r="C262" s="7">
        <v>84411</v>
      </c>
      <c r="D262" s="10">
        <v>45585</v>
      </c>
      <c r="E262" s="11" t="s">
        <v>888</v>
      </c>
      <c r="F262" s="7" t="s">
        <v>871</v>
      </c>
      <c r="G262" s="7" t="s">
        <v>891</v>
      </c>
    </row>
    <row r="263" spans="1:7" x14ac:dyDescent="0.35">
      <c r="A263" s="7" t="s">
        <v>92</v>
      </c>
      <c r="B263" s="7" t="s">
        <v>890</v>
      </c>
      <c r="C263" s="7">
        <v>84411</v>
      </c>
      <c r="D263" s="10">
        <v>45585</v>
      </c>
      <c r="E263" s="11" t="s">
        <v>888</v>
      </c>
      <c r="F263" s="7" t="s">
        <v>19</v>
      </c>
      <c r="G263" s="7"/>
    </row>
    <row r="264" spans="1:7" x14ac:dyDescent="0.35">
      <c r="A264" s="7" t="s">
        <v>92</v>
      </c>
      <c r="B264" s="7" t="s">
        <v>890</v>
      </c>
      <c r="C264" s="7">
        <v>84411</v>
      </c>
      <c r="D264" s="10">
        <v>45585</v>
      </c>
      <c r="E264" s="11" t="s">
        <v>888</v>
      </c>
      <c r="F264" s="7" t="s">
        <v>871</v>
      </c>
      <c r="G264" s="7" t="s">
        <v>891</v>
      </c>
    </row>
    <row r="265" spans="1:7" x14ac:dyDescent="0.35">
      <c r="A265" s="7" t="s">
        <v>77</v>
      </c>
      <c r="B265" s="7" t="s">
        <v>896</v>
      </c>
      <c r="C265" s="7" t="s">
        <v>897</v>
      </c>
      <c r="D265" s="10">
        <v>45585</v>
      </c>
      <c r="E265" s="11" t="s">
        <v>888</v>
      </c>
      <c r="F265" s="7" t="s">
        <v>871</v>
      </c>
      <c r="G265" s="7" t="s">
        <v>891</v>
      </c>
    </row>
    <row r="266" spans="1:7" x14ac:dyDescent="0.35">
      <c r="A266" s="7" t="s">
        <v>255</v>
      </c>
      <c r="B266" s="7" t="s">
        <v>896</v>
      </c>
      <c r="C266" s="7" t="s">
        <v>897</v>
      </c>
      <c r="D266" s="10">
        <v>45585</v>
      </c>
      <c r="E266" s="11" t="s">
        <v>888</v>
      </c>
      <c r="F266" s="7" t="s">
        <v>872</v>
      </c>
      <c r="G266" s="7" t="s">
        <v>891</v>
      </c>
    </row>
    <row r="267" spans="1:7" x14ac:dyDescent="0.35">
      <c r="A267" s="77" t="s">
        <v>173</v>
      </c>
      <c r="B267" s="77" t="s">
        <v>896</v>
      </c>
      <c r="C267" s="77" t="s">
        <v>897</v>
      </c>
      <c r="D267" s="78">
        <v>45585</v>
      </c>
      <c r="E267" s="79" t="s">
        <v>888</v>
      </c>
      <c r="F267" s="77" t="s">
        <v>259</v>
      </c>
      <c r="G267" s="77" t="s">
        <v>902</v>
      </c>
    </row>
    <row r="268" spans="1:7" x14ac:dyDescent="0.35">
      <c r="A268" s="7" t="s">
        <v>271</v>
      </c>
      <c r="B268" s="7" t="s">
        <v>896</v>
      </c>
      <c r="C268" s="7" t="s">
        <v>897</v>
      </c>
      <c r="D268" s="10">
        <v>45586</v>
      </c>
      <c r="E268" s="11" t="s">
        <v>888</v>
      </c>
      <c r="F268" s="7" t="s">
        <v>872</v>
      </c>
      <c r="G268" s="7" t="s">
        <v>891</v>
      </c>
    </row>
    <row r="269" spans="1:7" x14ac:dyDescent="0.35">
      <c r="A269" s="7" t="s">
        <v>237</v>
      </c>
      <c r="B269" s="7" t="s">
        <v>896</v>
      </c>
      <c r="C269" s="7" t="s">
        <v>897</v>
      </c>
      <c r="D269" s="10">
        <v>45586</v>
      </c>
      <c r="E269" s="11" t="s">
        <v>888</v>
      </c>
      <c r="F269" s="7" t="s">
        <v>19</v>
      </c>
      <c r="G269" s="7"/>
    </row>
    <row r="270" spans="1:7" x14ac:dyDescent="0.35">
      <c r="A270" s="7" t="s">
        <v>238</v>
      </c>
      <c r="B270" s="7" t="s">
        <v>896</v>
      </c>
      <c r="C270" s="7" t="s">
        <v>897</v>
      </c>
      <c r="D270" s="10">
        <v>45586</v>
      </c>
      <c r="E270" s="11" t="s">
        <v>888</v>
      </c>
      <c r="F270" s="7" t="s">
        <v>871</v>
      </c>
      <c r="G270" s="7" t="s">
        <v>891</v>
      </c>
    </row>
    <row r="271" spans="1:7" x14ac:dyDescent="0.35">
      <c r="A271" s="7" t="s">
        <v>238</v>
      </c>
      <c r="B271" s="7" t="s">
        <v>896</v>
      </c>
      <c r="C271" s="7" t="s">
        <v>897</v>
      </c>
      <c r="D271" s="10">
        <v>45586</v>
      </c>
      <c r="E271" s="11" t="s">
        <v>888</v>
      </c>
      <c r="F271" s="7" t="s">
        <v>19</v>
      </c>
      <c r="G271" s="7"/>
    </row>
    <row r="272" spans="1:7" x14ac:dyDescent="0.35">
      <c r="A272" s="7" t="s">
        <v>253</v>
      </c>
      <c r="B272" s="7" t="s">
        <v>896</v>
      </c>
      <c r="C272" s="7" t="s">
        <v>897</v>
      </c>
      <c r="D272" s="10">
        <v>45586</v>
      </c>
      <c r="E272" s="11" t="s">
        <v>888</v>
      </c>
      <c r="F272" s="7" t="s">
        <v>872</v>
      </c>
      <c r="G272" s="7" t="s">
        <v>891</v>
      </c>
    </row>
    <row r="273" spans="1:7" x14ac:dyDescent="0.35">
      <c r="A273" s="7" t="s">
        <v>262</v>
      </c>
      <c r="B273" s="7" t="s">
        <v>896</v>
      </c>
      <c r="C273" s="7" t="s">
        <v>897</v>
      </c>
      <c r="D273" s="10">
        <v>45588</v>
      </c>
      <c r="E273" s="11" t="s">
        <v>888</v>
      </c>
      <c r="F273" s="7" t="s">
        <v>871</v>
      </c>
      <c r="G273" s="7" t="s">
        <v>891</v>
      </c>
    </row>
    <row r="274" spans="1:7" x14ac:dyDescent="0.35">
      <c r="A274" s="7" t="s">
        <v>284</v>
      </c>
      <c r="B274" s="7" t="s">
        <v>896</v>
      </c>
      <c r="C274" s="7" t="s">
        <v>897</v>
      </c>
      <c r="D274" s="10">
        <v>45593</v>
      </c>
      <c r="E274" s="11" t="s">
        <v>888</v>
      </c>
      <c r="F274" s="7" t="s">
        <v>877</v>
      </c>
      <c r="G274" s="7"/>
    </row>
    <row r="275" spans="1:7" x14ac:dyDescent="0.35">
      <c r="A275" s="7" t="s">
        <v>287</v>
      </c>
      <c r="B275" s="7" t="s">
        <v>896</v>
      </c>
      <c r="C275" s="7" t="s">
        <v>897</v>
      </c>
      <c r="D275" s="10">
        <v>45593</v>
      </c>
      <c r="E275" s="11" t="s">
        <v>888</v>
      </c>
      <c r="F275" s="7" t="s">
        <v>877</v>
      </c>
      <c r="G275" s="7"/>
    </row>
    <row r="276" spans="1:7" x14ac:dyDescent="0.35">
      <c r="A276" s="7" t="s">
        <v>285</v>
      </c>
      <c r="B276" s="7" t="s">
        <v>896</v>
      </c>
      <c r="C276" s="7" t="s">
        <v>897</v>
      </c>
      <c r="D276" s="10">
        <v>45593</v>
      </c>
      <c r="E276" s="11" t="s">
        <v>888</v>
      </c>
      <c r="F276" s="7" t="s">
        <v>877</v>
      </c>
      <c r="G276" s="7"/>
    </row>
    <row r="277" spans="1:7" x14ac:dyDescent="0.35">
      <c r="A277" s="7" t="s">
        <v>286</v>
      </c>
      <c r="B277" s="7" t="s">
        <v>896</v>
      </c>
      <c r="C277" s="7" t="s">
        <v>897</v>
      </c>
      <c r="D277" s="10">
        <v>45593</v>
      </c>
      <c r="E277" s="11" t="s">
        <v>888</v>
      </c>
      <c r="F277" s="7" t="s">
        <v>877</v>
      </c>
      <c r="G277" s="7"/>
    </row>
    <row r="278" spans="1:7" x14ac:dyDescent="0.35">
      <c r="A278" s="7" t="s">
        <v>257</v>
      </c>
      <c r="B278" s="7" t="s">
        <v>896</v>
      </c>
      <c r="C278" s="7" t="s">
        <v>897</v>
      </c>
      <c r="D278" s="10">
        <v>45593</v>
      </c>
      <c r="E278" s="11" t="s">
        <v>888</v>
      </c>
      <c r="F278" s="7" t="s">
        <v>872</v>
      </c>
      <c r="G278" s="7" t="s">
        <v>891</v>
      </c>
    </row>
    <row r="279" spans="1:7" x14ac:dyDescent="0.35">
      <c r="A279" s="7" t="s">
        <v>269</v>
      </c>
      <c r="B279" s="7" t="s">
        <v>896</v>
      </c>
      <c r="C279" s="7" t="s">
        <v>897</v>
      </c>
      <c r="D279" s="10">
        <v>45593</v>
      </c>
      <c r="E279" s="11" t="s">
        <v>888</v>
      </c>
      <c r="F279" s="7" t="s">
        <v>877</v>
      </c>
      <c r="G279" s="7"/>
    </row>
    <row r="280" spans="1:7" x14ac:dyDescent="0.35">
      <c r="A280" s="77" t="s">
        <v>288</v>
      </c>
      <c r="B280" s="77" t="s">
        <v>896</v>
      </c>
      <c r="C280" s="77" t="s">
        <v>897</v>
      </c>
      <c r="D280" s="78">
        <v>45593</v>
      </c>
      <c r="E280" s="79" t="s">
        <v>888</v>
      </c>
      <c r="F280" s="77" t="s">
        <v>877</v>
      </c>
      <c r="G280" s="77"/>
    </row>
    <row r="281" spans="1:7" x14ac:dyDescent="0.35">
      <c r="A281" s="77" t="s">
        <v>258</v>
      </c>
      <c r="B281" s="77" t="s">
        <v>896</v>
      </c>
      <c r="C281" s="77" t="s">
        <v>897</v>
      </c>
      <c r="D281" s="78">
        <v>45593</v>
      </c>
      <c r="E281" s="79" t="s">
        <v>888</v>
      </c>
      <c r="F281" s="77" t="s">
        <v>19</v>
      </c>
      <c r="G281" s="77"/>
    </row>
    <row r="282" spans="1:7" x14ac:dyDescent="0.35">
      <c r="A282" s="77" t="s">
        <v>258</v>
      </c>
      <c r="B282" s="77" t="s">
        <v>896</v>
      </c>
      <c r="C282" s="77" t="s">
        <v>897</v>
      </c>
      <c r="D282" s="78">
        <v>45593</v>
      </c>
      <c r="E282" s="79" t="s">
        <v>888</v>
      </c>
      <c r="F282" s="77" t="s">
        <v>259</v>
      </c>
      <c r="G282" s="77" t="s">
        <v>902</v>
      </c>
    </row>
    <row r="283" spans="1:7" x14ac:dyDescent="0.35">
      <c r="A283" s="7" t="s">
        <v>254</v>
      </c>
      <c r="B283" s="7" t="s">
        <v>896</v>
      </c>
      <c r="C283" s="7" t="s">
        <v>897</v>
      </c>
      <c r="D283" s="10">
        <v>45594</v>
      </c>
      <c r="E283" s="11" t="s">
        <v>888</v>
      </c>
      <c r="F283" s="7" t="s">
        <v>872</v>
      </c>
      <c r="G283" s="7" t="s">
        <v>891</v>
      </c>
    </row>
    <row r="284" spans="1:7" x14ac:dyDescent="0.35">
      <c r="A284" s="7" t="s">
        <v>250</v>
      </c>
      <c r="B284" s="7" t="s">
        <v>896</v>
      </c>
      <c r="C284" s="7" t="s">
        <v>897</v>
      </c>
      <c r="D284" s="10">
        <v>45597</v>
      </c>
      <c r="E284" s="11" t="s">
        <v>888</v>
      </c>
      <c r="F284" s="7" t="s">
        <v>894</v>
      </c>
      <c r="G284" s="7" t="s">
        <v>15</v>
      </c>
    </row>
    <row r="285" spans="1:7" x14ac:dyDescent="0.35">
      <c r="A285" s="7" t="s">
        <v>250</v>
      </c>
      <c r="B285" s="7" t="s">
        <v>896</v>
      </c>
      <c r="C285" s="7" t="s">
        <v>897</v>
      </c>
      <c r="D285" s="10">
        <v>45597</v>
      </c>
      <c r="E285" s="11" t="s">
        <v>888</v>
      </c>
      <c r="F285" s="7" t="s">
        <v>27</v>
      </c>
      <c r="G285" s="7"/>
    </row>
    <row r="286" spans="1:7" x14ac:dyDescent="0.35">
      <c r="A286" s="7" t="s">
        <v>248</v>
      </c>
      <c r="B286" s="7" t="s">
        <v>896</v>
      </c>
      <c r="C286" s="7" t="s">
        <v>897</v>
      </c>
      <c r="D286" s="10">
        <v>45597</v>
      </c>
      <c r="E286" s="11" t="s">
        <v>888</v>
      </c>
      <c r="F286" s="7" t="s">
        <v>894</v>
      </c>
      <c r="G286" s="7" t="s">
        <v>15</v>
      </c>
    </row>
    <row r="287" spans="1:7" x14ac:dyDescent="0.35">
      <c r="A287" s="7" t="s">
        <v>248</v>
      </c>
      <c r="B287" s="7" t="s">
        <v>896</v>
      </c>
      <c r="C287" s="7" t="s">
        <v>897</v>
      </c>
      <c r="D287" s="10">
        <v>45597</v>
      </c>
      <c r="E287" s="11" t="s">
        <v>888</v>
      </c>
      <c r="F287" s="7" t="s">
        <v>27</v>
      </c>
      <c r="G287" s="7"/>
    </row>
    <row r="288" spans="1:7" x14ac:dyDescent="0.35">
      <c r="A288" s="7" t="s">
        <v>42</v>
      </c>
      <c r="B288" s="7" t="s">
        <v>896</v>
      </c>
      <c r="C288" s="7" t="s">
        <v>897</v>
      </c>
      <c r="D288" s="10">
        <v>45597</v>
      </c>
      <c r="E288" s="11" t="s">
        <v>888</v>
      </c>
      <c r="F288" s="7" t="s">
        <v>894</v>
      </c>
      <c r="G288" s="7" t="s">
        <v>15</v>
      </c>
    </row>
    <row r="289" spans="1:7" x14ac:dyDescent="0.35">
      <c r="A289" s="7" t="s">
        <v>265</v>
      </c>
      <c r="B289" s="7" t="s">
        <v>896</v>
      </c>
      <c r="C289" s="7" t="s">
        <v>897</v>
      </c>
      <c r="D289" s="10">
        <v>45597</v>
      </c>
      <c r="E289" s="11" t="s">
        <v>888</v>
      </c>
      <c r="F289" s="7" t="s">
        <v>19</v>
      </c>
      <c r="G289" s="7"/>
    </row>
    <row r="290" spans="1:7" x14ac:dyDescent="0.35">
      <c r="A290" s="7" t="s">
        <v>256</v>
      </c>
      <c r="B290" s="7" t="s">
        <v>896</v>
      </c>
      <c r="C290" s="7" t="s">
        <v>897</v>
      </c>
      <c r="D290" s="10">
        <v>45597</v>
      </c>
      <c r="E290" s="11" t="s">
        <v>888</v>
      </c>
      <c r="F290" s="7" t="s">
        <v>872</v>
      </c>
      <c r="G290" s="7" t="s">
        <v>891</v>
      </c>
    </row>
    <row r="291" spans="1:7" x14ac:dyDescent="0.35">
      <c r="A291" s="77" t="s">
        <v>303</v>
      </c>
      <c r="B291" s="77" t="s">
        <v>896</v>
      </c>
      <c r="C291" s="77" t="s">
        <v>897</v>
      </c>
      <c r="D291" s="78">
        <v>45597</v>
      </c>
      <c r="E291" s="79" t="s">
        <v>888</v>
      </c>
      <c r="F291" s="77" t="s">
        <v>88</v>
      </c>
      <c r="G291" s="77" t="s">
        <v>22</v>
      </c>
    </row>
    <row r="292" spans="1:7" x14ac:dyDescent="0.35">
      <c r="A292" s="77" t="s">
        <v>289</v>
      </c>
      <c r="B292" s="77" t="s">
        <v>896</v>
      </c>
      <c r="C292" s="77" t="s">
        <v>897</v>
      </c>
      <c r="D292" s="78">
        <v>45597</v>
      </c>
      <c r="E292" s="79" t="s">
        <v>888</v>
      </c>
      <c r="F292" s="77" t="s">
        <v>88</v>
      </c>
      <c r="G292" s="77" t="s">
        <v>22</v>
      </c>
    </row>
    <row r="293" spans="1:7" x14ac:dyDescent="0.35">
      <c r="A293" s="7" t="s">
        <v>311</v>
      </c>
      <c r="B293" s="7" t="s">
        <v>896</v>
      </c>
      <c r="C293" s="7" t="s">
        <v>897</v>
      </c>
      <c r="D293" s="10">
        <v>45600</v>
      </c>
      <c r="E293" s="11" t="s">
        <v>888</v>
      </c>
      <c r="F293" s="7" t="s">
        <v>877</v>
      </c>
      <c r="G293" s="7"/>
    </row>
    <row r="294" spans="1:7" x14ac:dyDescent="0.35">
      <c r="A294" s="7" t="s">
        <v>310</v>
      </c>
      <c r="B294" s="7" t="s">
        <v>896</v>
      </c>
      <c r="C294" s="7" t="s">
        <v>897</v>
      </c>
      <c r="D294" s="10">
        <v>45600</v>
      </c>
      <c r="E294" s="11" t="s">
        <v>888</v>
      </c>
      <c r="F294" s="7" t="s">
        <v>877</v>
      </c>
      <c r="G294" s="7"/>
    </row>
    <row r="295" spans="1:7" x14ac:dyDescent="0.35">
      <c r="A295" s="7" t="s">
        <v>305</v>
      </c>
      <c r="B295" s="7" t="s">
        <v>896</v>
      </c>
      <c r="C295" s="7" t="s">
        <v>897</v>
      </c>
      <c r="D295" s="10">
        <v>45600</v>
      </c>
      <c r="E295" s="11" t="s">
        <v>888</v>
      </c>
      <c r="F295" s="7" t="s">
        <v>27</v>
      </c>
      <c r="G295" s="7"/>
    </row>
    <row r="296" spans="1:7" x14ac:dyDescent="0.35">
      <c r="A296" s="7" t="s">
        <v>278</v>
      </c>
      <c r="B296" s="7" t="s">
        <v>896</v>
      </c>
      <c r="C296" s="7" t="s">
        <v>897</v>
      </c>
      <c r="D296" s="10">
        <v>45601</v>
      </c>
      <c r="E296" s="11" t="s">
        <v>888</v>
      </c>
      <c r="F296" s="7" t="s">
        <v>19</v>
      </c>
      <c r="G296" s="7"/>
    </row>
    <row r="297" spans="1:7" x14ac:dyDescent="0.35">
      <c r="A297" s="7" t="s">
        <v>272</v>
      </c>
      <c r="B297" s="7" t="s">
        <v>896</v>
      </c>
      <c r="C297" s="7" t="s">
        <v>897</v>
      </c>
      <c r="D297" s="10">
        <v>45601</v>
      </c>
      <c r="E297" s="11" t="s">
        <v>888</v>
      </c>
      <c r="F297" s="7" t="s">
        <v>19</v>
      </c>
      <c r="G297" s="7"/>
    </row>
    <row r="298" spans="1:7" x14ac:dyDescent="0.35">
      <c r="A298" s="7" t="s">
        <v>307</v>
      </c>
      <c r="B298" s="7" t="s">
        <v>896</v>
      </c>
      <c r="C298" s="7" t="s">
        <v>897</v>
      </c>
      <c r="D298" s="10">
        <v>45601</v>
      </c>
      <c r="E298" s="11" t="s">
        <v>888</v>
      </c>
      <c r="F298" s="7" t="s">
        <v>27</v>
      </c>
      <c r="G298" s="7"/>
    </row>
    <row r="299" spans="1:7" x14ac:dyDescent="0.35">
      <c r="A299" s="7" t="s">
        <v>293</v>
      </c>
      <c r="B299" s="7" t="s">
        <v>896</v>
      </c>
      <c r="C299" s="7" t="s">
        <v>897</v>
      </c>
      <c r="D299" s="10">
        <v>45601</v>
      </c>
      <c r="E299" s="11" t="s">
        <v>888</v>
      </c>
      <c r="F299" s="7" t="s">
        <v>27</v>
      </c>
      <c r="G299" s="7"/>
    </row>
    <row r="300" spans="1:7" x14ac:dyDescent="0.35">
      <c r="A300" s="7" t="s">
        <v>292</v>
      </c>
      <c r="B300" s="7" t="s">
        <v>896</v>
      </c>
      <c r="C300" s="7" t="s">
        <v>897</v>
      </c>
      <c r="D300" s="10">
        <v>45601</v>
      </c>
      <c r="E300" s="11" t="s">
        <v>888</v>
      </c>
      <c r="F300" s="7" t="s">
        <v>27</v>
      </c>
      <c r="G300" s="7"/>
    </row>
    <row r="301" spans="1:7" x14ac:dyDescent="0.35">
      <c r="A301" s="7" t="s">
        <v>292</v>
      </c>
      <c r="B301" s="7" t="s">
        <v>896</v>
      </c>
      <c r="C301" s="7" t="s">
        <v>897</v>
      </c>
      <c r="D301" s="10">
        <v>45601</v>
      </c>
      <c r="E301" s="11" t="s">
        <v>888</v>
      </c>
      <c r="F301" s="7" t="s">
        <v>894</v>
      </c>
      <c r="G301" s="7" t="s">
        <v>15</v>
      </c>
    </row>
    <row r="302" spans="1:7" x14ac:dyDescent="0.35">
      <c r="A302" s="7" t="s">
        <v>211</v>
      </c>
      <c r="B302" s="7" t="s">
        <v>896</v>
      </c>
      <c r="C302" s="7" t="s">
        <v>897</v>
      </c>
      <c r="D302" s="10">
        <v>45601</v>
      </c>
      <c r="E302" s="11" t="s">
        <v>888</v>
      </c>
      <c r="F302" s="7" t="s">
        <v>27</v>
      </c>
      <c r="G302" s="7"/>
    </row>
    <row r="303" spans="1:7" x14ac:dyDescent="0.35">
      <c r="A303" s="7" t="s">
        <v>308</v>
      </c>
      <c r="B303" s="7" t="s">
        <v>896</v>
      </c>
      <c r="C303" s="7" t="s">
        <v>897</v>
      </c>
      <c r="D303" s="10">
        <v>45601</v>
      </c>
      <c r="E303" s="11" t="s">
        <v>888</v>
      </c>
      <c r="F303" s="7" t="s">
        <v>27</v>
      </c>
      <c r="G303" s="7"/>
    </row>
    <row r="304" spans="1:7" x14ac:dyDescent="0.35">
      <c r="A304" s="77" t="s">
        <v>291</v>
      </c>
      <c r="B304" s="77" t="s">
        <v>896</v>
      </c>
      <c r="C304" s="77" t="s">
        <v>897</v>
      </c>
      <c r="D304" s="78">
        <v>45601</v>
      </c>
      <c r="E304" s="79" t="s">
        <v>888</v>
      </c>
      <c r="F304" s="7" t="s">
        <v>27</v>
      </c>
      <c r="G304" s="77"/>
    </row>
    <row r="305" spans="1:7" x14ac:dyDescent="0.35">
      <c r="A305" s="77" t="s">
        <v>291</v>
      </c>
      <c r="B305" s="77" t="s">
        <v>896</v>
      </c>
      <c r="C305" s="77" t="s">
        <v>897</v>
      </c>
      <c r="D305" s="78">
        <v>45601</v>
      </c>
      <c r="E305" s="79" t="s">
        <v>888</v>
      </c>
      <c r="F305" s="77" t="s">
        <v>894</v>
      </c>
      <c r="G305" s="77" t="s">
        <v>15</v>
      </c>
    </row>
    <row r="306" spans="1:7" x14ac:dyDescent="0.35">
      <c r="A306" s="7" t="s">
        <v>278</v>
      </c>
      <c r="B306" s="7" t="s">
        <v>896</v>
      </c>
      <c r="C306" s="7" t="s">
        <v>897</v>
      </c>
      <c r="D306" s="10">
        <v>45604</v>
      </c>
      <c r="E306" s="11" t="s">
        <v>888</v>
      </c>
      <c r="F306" s="7" t="s">
        <v>871</v>
      </c>
      <c r="G306" s="7" t="s">
        <v>891</v>
      </c>
    </row>
    <row r="307" spans="1:7" x14ac:dyDescent="0.35">
      <c r="A307" s="7" t="s">
        <v>272</v>
      </c>
      <c r="B307" s="7" t="s">
        <v>896</v>
      </c>
      <c r="C307" s="7" t="s">
        <v>897</v>
      </c>
      <c r="D307" s="10">
        <v>45604</v>
      </c>
      <c r="E307" s="11" t="s">
        <v>888</v>
      </c>
      <c r="F307" s="7" t="s">
        <v>871</v>
      </c>
      <c r="G307" s="7" t="s">
        <v>891</v>
      </c>
    </row>
    <row r="308" spans="1:7" x14ac:dyDescent="0.35">
      <c r="A308" s="7" t="s">
        <v>294</v>
      </c>
      <c r="B308" s="7" t="s">
        <v>896</v>
      </c>
      <c r="C308" s="7" t="s">
        <v>897</v>
      </c>
      <c r="D308" s="10">
        <v>45604</v>
      </c>
      <c r="E308" s="11" t="s">
        <v>888</v>
      </c>
      <c r="F308" s="7" t="s">
        <v>871</v>
      </c>
      <c r="G308" s="7" t="s">
        <v>1090</v>
      </c>
    </row>
    <row r="309" spans="1:7" x14ac:dyDescent="0.35">
      <c r="A309" s="7" t="s">
        <v>294</v>
      </c>
      <c r="B309" s="7" t="s">
        <v>896</v>
      </c>
      <c r="C309" s="7" t="s">
        <v>897</v>
      </c>
      <c r="D309" s="10">
        <v>45604</v>
      </c>
      <c r="E309" s="11" t="s">
        <v>888</v>
      </c>
      <c r="F309" s="7" t="s">
        <v>894</v>
      </c>
      <c r="G309" s="7" t="s">
        <v>15</v>
      </c>
    </row>
    <row r="310" spans="1:7" x14ac:dyDescent="0.35">
      <c r="A310" s="7" t="s">
        <v>315</v>
      </c>
      <c r="B310" s="7" t="s">
        <v>896</v>
      </c>
      <c r="C310" s="7" t="s">
        <v>897</v>
      </c>
      <c r="D310" s="10">
        <v>45604</v>
      </c>
      <c r="E310" s="11" t="s">
        <v>888</v>
      </c>
      <c r="F310" s="7" t="s">
        <v>871</v>
      </c>
      <c r="G310" s="7" t="s">
        <v>891</v>
      </c>
    </row>
    <row r="311" spans="1:7" x14ac:dyDescent="0.35">
      <c r="A311" s="7" t="s">
        <v>281</v>
      </c>
      <c r="B311" s="7" t="s">
        <v>896</v>
      </c>
      <c r="C311" s="7" t="s">
        <v>897</v>
      </c>
      <c r="D311" s="10">
        <v>45604</v>
      </c>
      <c r="E311" s="11" t="s">
        <v>888</v>
      </c>
      <c r="F311" s="7" t="s">
        <v>871</v>
      </c>
      <c r="G311" s="7" t="s">
        <v>891</v>
      </c>
    </row>
    <row r="312" spans="1:7" x14ac:dyDescent="0.35">
      <c r="A312" s="7" t="s">
        <v>281</v>
      </c>
      <c r="B312" s="7" t="s">
        <v>896</v>
      </c>
      <c r="C312" s="7" t="s">
        <v>897</v>
      </c>
      <c r="D312" s="10">
        <v>45604</v>
      </c>
      <c r="E312" s="11" t="s">
        <v>888</v>
      </c>
      <c r="F312" s="7" t="s">
        <v>19</v>
      </c>
      <c r="G312" s="7"/>
    </row>
    <row r="313" spans="1:7" x14ac:dyDescent="0.35">
      <c r="A313" s="7" t="s">
        <v>295</v>
      </c>
      <c r="B313" s="7" t="s">
        <v>896</v>
      </c>
      <c r="C313" s="7" t="s">
        <v>897</v>
      </c>
      <c r="D313" s="10">
        <v>45604</v>
      </c>
      <c r="E313" s="11" t="s">
        <v>888</v>
      </c>
      <c r="F313" s="7" t="s">
        <v>871</v>
      </c>
      <c r="G313" s="7" t="s">
        <v>1090</v>
      </c>
    </row>
    <row r="314" spans="1:7" x14ac:dyDescent="0.35">
      <c r="A314" s="7" t="s">
        <v>295</v>
      </c>
      <c r="B314" s="7" t="s">
        <v>896</v>
      </c>
      <c r="C314" s="7" t="s">
        <v>897</v>
      </c>
      <c r="D314" s="10">
        <v>45604</v>
      </c>
      <c r="E314" s="11" t="s">
        <v>888</v>
      </c>
      <c r="F314" s="7" t="s">
        <v>894</v>
      </c>
      <c r="G314" s="7" t="s">
        <v>15</v>
      </c>
    </row>
    <row r="315" spans="1:7" x14ac:dyDescent="0.35">
      <c r="A315" s="7" t="s">
        <v>319</v>
      </c>
      <c r="B315" s="7" t="s">
        <v>896</v>
      </c>
      <c r="C315" s="7" t="s">
        <v>897</v>
      </c>
      <c r="D315" s="10">
        <v>45605</v>
      </c>
      <c r="E315" s="11" t="s">
        <v>888</v>
      </c>
      <c r="F315" s="7" t="s">
        <v>871</v>
      </c>
      <c r="G315" s="7" t="s">
        <v>891</v>
      </c>
    </row>
    <row r="316" spans="1:7" x14ac:dyDescent="0.35">
      <c r="A316" s="7" t="s">
        <v>319</v>
      </c>
      <c r="B316" s="7" t="s">
        <v>896</v>
      </c>
      <c r="C316" s="7" t="s">
        <v>897</v>
      </c>
      <c r="D316" s="10">
        <v>45605</v>
      </c>
      <c r="E316" s="11" t="s">
        <v>888</v>
      </c>
      <c r="F316" s="7" t="s">
        <v>19</v>
      </c>
      <c r="G316" s="7"/>
    </row>
    <row r="317" spans="1:7" x14ac:dyDescent="0.35">
      <c r="A317" s="7" t="s">
        <v>306</v>
      </c>
      <c r="B317" s="7" t="s">
        <v>896</v>
      </c>
      <c r="C317" s="7" t="s">
        <v>897</v>
      </c>
      <c r="D317" s="10">
        <v>45605</v>
      </c>
      <c r="E317" s="11" t="s">
        <v>888</v>
      </c>
      <c r="F317" s="7" t="s">
        <v>27</v>
      </c>
      <c r="G317" s="7"/>
    </row>
    <row r="318" spans="1:7" x14ac:dyDescent="0.35">
      <c r="A318" s="7" t="s">
        <v>300</v>
      </c>
      <c r="B318" s="7" t="s">
        <v>896</v>
      </c>
      <c r="C318" s="7" t="s">
        <v>897</v>
      </c>
      <c r="D318" s="10">
        <v>45607</v>
      </c>
      <c r="E318" s="11" t="s">
        <v>888</v>
      </c>
      <c r="F318" s="7" t="s">
        <v>19</v>
      </c>
      <c r="G318" s="7"/>
    </row>
    <row r="319" spans="1:7" x14ac:dyDescent="0.35">
      <c r="A319" s="7" t="s">
        <v>264</v>
      </c>
      <c r="B319" s="7" t="s">
        <v>896</v>
      </c>
      <c r="C319" s="7" t="s">
        <v>897</v>
      </c>
      <c r="D319" s="10">
        <v>45607</v>
      </c>
      <c r="E319" s="11" t="s">
        <v>888</v>
      </c>
      <c r="F319" s="7" t="s">
        <v>19</v>
      </c>
      <c r="G319" s="7"/>
    </row>
    <row r="320" spans="1:7" x14ac:dyDescent="0.35">
      <c r="A320" s="7" t="s">
        <v>346</v>
      </c>
      <c r="B320" s="7" t="s">
        <v>896</v>
      </c>
      <c r="C320" s="7" t="s">
        <v>897</v>
      </c>
      <c r="D320" s="10">
        <v>45607</v>
      </c>
      <c r="E320" s="11" t="s">
        <v>888</v>
      </c>
      <c r="F320" s="7" t="s">
        <v>871</v>
      </c>
      <c r="G320" s="7" t="s">
        <v>891</v>
      </c>
    </row>
    <row r="321" spans="1:7" x14ac:dyDescent="0.35">
      <c r="A321" s="7" t="s">
        <v>266</v>
      </c>
      <c r="B321" s="7" t="s">
        <v>896</v>
      </c>
      <c r="C321" s="7" t="s">
        <v>897</v>
      </c>
      <c r="D321" s="10">
        <v>45608</v>
      </c>
      <c r="E321" s="11" t="s">
        <v>888</v>
      </c>
      <c r="F321" s="7" t="s">
        <v>19</v>
      </c>
      <c r="G321" s="7"/>
    </row>
    <row r="322" spans="1:7" x14ac:dyDescent="0.35">
      <c r="A322" s="7" t="s">
        <v>325</v>
      </c>
      <c r="B322" s="7" t="s">
        <v>896</v>
      </c>
      <c r="C322" s="7" t="s">
        <v>897</v>
      </c>
      <c r="D322" s="10">
        <v>45608</v>
      </c>
      <c r="E322" s="11" t="s">
        <v>888</v>
      </c>
      <c r="F322" s="7" t="s">
        <v>19</v>
      </c>
      <c r="G322" s="7"/>
    </row>
    <row r="323" spans="1:7" x14ac:dyDescent="0.35">
      <c r="A323" s="77" t="s">
        <v>274</v>
      </c>
      <c r="B323" s="77" t="s">
        <v>896</v>
      </c>
      <c r="C323" s="77" t="s">
        <v>897</v>
      </c>
      <c r="D323" s="78">
        <v>45608</v>
      </c>
      <c r="E323" s="79" t="s">
        <v>888</v>
      </c>
      <c r="F323" s="77" t="s">
        <v>19</v>
      </c>
      <c r="G323" s="77"/>
    </row>
    <row r="324" spans="1:7" x14ac:dyDescent="0.35">
      <c r="A324" s="77" t="s">
        <v>342</v>
      </c>
      <c r="B324" s="77" t="s">
        <v>896</v>
      </c>
      <c r="C324" s="77" t="s">
        <v>897</v>
      </c>
      <c r="D324" s="78">
        <v>45608</v>
      </c>
      <c r="E324" s="79" t="s">
        <v>888</v>
      </c>
      <c r="F324" s="77" t="s">
        <v>88</v>
      </c>
      <c r="G324" s="77" t="s">
        <v>22</v>
      </c>
    </row>
    <row r="325" spans="1:7" x14ac:dyDescent="0.35">
      <c r="A325" s="77" t="s">
        <v>348</v>
      </c>
      <c r="B325" s="77" t="s">
        <v>896</v>
      </c>
      <c r="C325" s="77" t="s">
        <v>897</v>
      </c>
      <c r="D325" s="78">
        <v>45608</v>
      </c>
      <c r="E325" s="79" t="s">
        <v>888</v>
      </c>
      <c r="F325" s="77" t="s">
        <v>88</v>
      </c>
      <c r="G325" s="77" t="s">
        <v>22</v>
      </c>
    </row>
    <row r="326" spans="1:7" x14ac:dyDescent="0.35">
      <c r="A326" s="7" t="s">
        <v>338</v>
      </c>
      <c r="B326" s="7" t="s">
        <v>896</v>
      </c>
      <c r="C326" s="7" t="s">
        <v>897</v>
      </c>
      <c r="D326" s="10">
        <v>45611</v>
      </c>
      <c r="E326" s="11" t="s">
        <v>888</v>
      </c>
      <c r="F326" s="7" t="s">
        <v>259</v>
      </c>
      <c r="G326" s="7" t="s">
        <v>902</v>
      </c>
    </row>
    <row r="327" spans="1:7" x14ac:dyDescent="0.35">
      <c r="A327" s="7" t="s">
        <v>338</v>
      </c>
      <c r="B327" s="7" t="s">
        <v>896</v>
      </c>
      <c r="C327" s="7" t="s">
        <v>897</v>
      </c>
      <c r="D327" s="10">
        <v>45611</v>
      </c>
      <c r="E327" s="11" t="s">
        <v>888</v>
      </c>
      <c r="F327" s="7" t="s">
        <v>19</v>
      </c>
      <c r="G327" s="7"/>
    </row>
    <row r="328" spans="1:7" x14ac:dyDescent="0.35">
      <c r="A328" s="7" t="s">
        <v>345</v>
      </c>
      <c r="B328" s="7" t="s">
        <v>896</v>
      </c>
      <c r="C328" s="7" t="s">
        <v>897</v>
      </c>
      <c r="D328" s="10">
        <v>45611</v>
      </c>
      <c r="E328" s="11" t="s">
        <v>888</v>
      </c>
      <c r="F328" s="7" t="s">
        <v>19</v>
      </c>
      <c r="G328" s="7"/>
    </row>
    <row r="329" spans="1:7" x14ac:dyDescent="0.35">
      <c r="A329" s="7" t="s">
        <v>345</v>
      </c>
      <c r="B329" s="7" t="s">
        <v>896</v>
      </c>
      <c r="C329" s="7" t="s">
        <v>897</v>
      </c>
      <c r="D329" s="10">
        <v>45611</v>
      </c>
      <c r="E329" s="11" t="s">
        <v>888</v>
      </c>
      <c r="F329" s="7" t="s">
        <v>259</v>
      </c>
      <c r="G329" s="7" t="s">
        <v>902</v>
      </c>
    </row>
    <row r="330" spans="1:7" x14ac:dyDescent="0.35">
      <c r="A330" s="7" t="s">
        <v>316</v>
      </c>
      <c r="B330" s="7" t="s">
        <v>896</v>
      </c>
      <c r="C330" s="7" t="s">
        <v>897</v>
      </c>
      <c r="D330" s="10">
        <v>45611</v>
      </c>
      <c r="E330" s="11" t="s">
        <v>888</v>
      </c>
      <c r="F330" s="7" t="s">
        <v>872</v>
      </c>
      <c r="G330" s="7" t="s">
        <v>317</v>
      </c>
    </row>
    <row r="331" spans="1:7" x14ac:dyDescent="0.35">
      <c r="A331" s="7" t="s">
        <v>316</v>
      </c>
      <c r="B331" s="7" t="s">
        <v>896</v>
      </c>
      <c r="C331" s="7" t="s">
        <v>897</v>
      </c>
      <c r="D331" s="10">
        <v>45611</v>
      </c>
      <c r="E331" s="11" t="s">
        <v>888</v>
      </c>
      <c r="F331" s="7" t="s">
        <v>19</v>
      </c>
      <c r="G331" s="7"/>
    </row>
    <row r="332" spans="1:7" x14ac:dyDescent="0.35">
      <c r="A332" s="7" t="s">
        <v>316</v>
      </c>
      <c r="B332" s="7" t="s">
        <v>896</v>
      </c>
      <c r="C332" s="7" t="s">
        <v>897</v>
      </c>
      <c r="D332" s="10">
        <v>45611</v>
      </c>
      <c r="E332" s="11" t="s">
        <v>888</v>
      </c>
      <c r="F332" s="7" t="s">
        <v>871</v>
      </c>
      <c r="G332" s="7" t="s">
        <v>891</v>
      </c>
    </row>
    <row r="333" spans="1:7" x14ac:dyDescent="0.35">
      <c r="A333" s="7" t="s">
        <v>290</v>
      </c>
      <c r="B333" s="7" t="s">
        <v>896</v>
      </c>
      <c r="C333" s="7" t="s">
        <v>897</v>
      </c>
      <c r="D333" s="10">
        <v>45611</v>
      </c>
      <c r="E333" s="11" t="s">
        <v>888</v>
      </c>
      <c r="F333" s="7" t="s">
        <v>19</v>
      </c>
      <c r="G333" s="7"/>
    </row>
    <row r="334" spans="1:7" x14ac:dyDescent="0.35">
      <c r="A334" s="7" t="s">
        <v>290</v>
      </c>
      <c r="B334" s="7" t="s">
        <v>896</v>
      </c>
      <c r="C334" s="7" t="s">
        <v>897</v>
      </c>
      <c r="D334" s="10">
        <v>45611</v>
      </c>
      <c r="E334" s="11" t="s">
        <v>888</v>
      </c>
      <c r="F334" s="7" t="s">
        <v>259</v>
      </c>
      <c r="G334" s="7" t="s">
        <v>902</v>
      </c>
    </row>
    <row r="335" spans="1:7" x14ac:dyDescent="0.35">
      <c r="A335" s="7" t="s">
        <v>349</v>
      </c>
      <c r="B335" s="7" t="s">
        <v>896</v>
      </c>
      <c r="C335" s="7" t="s">
        <v>897</v>
      </c>
      <c r="D335" s="10">
        <v>45611</v>
      </c>
      <c r="E335" s="11" t="s">
        <v>888</v>
      </c>
      <c r="F335" s="7" t="s">
        <v>871</v>
      </c>
      <c r="G335" s="7" t="s">
        <v>891</v>
      </c>
    </row>
    <row r="336" spans="1:7" x14ac:dyDescent="0.35">
      <c r="A336" s="7" t="s">
        <v>326</v>
      </c>
      <c r="B336" s="7" t="s">
        <v>896</v>
      </c>
      <c r="C336" s="7" t="s">
        <v>897</v>
      </c>
      <c r="D336" s="10">
        <v>45611</v>
      </c>
      <c r="E336" s="11" t="s">
        <v>888</v>
      </c>
      <c r="F336" s="7" t="s">
        <v>872</v>
      </c>
      <c r="G336" s="7" t="s">
        <v>891</v>
      </c>
    </row>
    <row r="337" spans="1:7" x14ac:dyDescent="0.35">
      <c r="A337" s="7" t="s">
        <v>350</v>
      </c>
      <c r="B337" s="7" t="s">
        <v>896</v>
      </c>
      <c r="C337" s="7" t="s">
        <v>897</v>
      </c>
      <c r="D337" s="10">
        <v>45611</v>
      </c>
      <c r="E337" s="11" t="s">
        <v>888</v>
      </c>
      <c r="F337" s="7" t="s">
        <v>259</v>
      </c>
      <c r="G337" s="7" t="s">
        <v>902</v>
      </c>
    </row>
    <row r="338" spans="1:7" x14ac:dyDescent="0.35">
      <c r="A338" s="7" t="s">
        <v>279</v>
      </c>
      <c r="B338" s="7" t="s">
        <v>896</v>
      </c>
      <c r="C338" s="7" t="s">
        <v>897</v>
      </c>
      <c r="D338" s="10">
        <v>45611</v>
      </c>
      <c r="E338" s="11" t="s">
        <v>888</v>
      </c>
      <c r="F338" s="7" t="s">
        <v>19</v>
      </c>
      <c r="G338" s="7"/>
    </row>
    <row r="339" spans="1:7" x14ac:dyDescent="0.35">
      <c r="A339" s="77" t="s">
        <v>335</v>
      </c>
      <c r="B339" s="77" t="s">
        <v>896</v>
      </c>
      <c r="C339" s="77" t="s">
        <v>897</v>
      </c>
      <c r="D339" s="78">
        <v>45611</v>
      </c>
      <c r="E339" s="79" t="s">
        <v>888</v>
      </c>
      <c r="F339" s="77" t="s">
        <v>88</v>
      </c>
      <c r="G339" s="77" t="s">
        <v>22</v>
      </c>
    </row>
    <row r="340" spans="1:7" x14ac:dyDescent="0.35">
      <c r="A340" s="77" t="s">
        <v>343</v>
      </c>
      <c r="B340" s="77" t="s">
        <v>896</v>
      </c>
      <c r="C340" s="77" t="s">
        <v>897</v>
      </c>
      <c r="D340" s="78">
        <v>45611</v>
      </c>
      <c r="E340" s="79" t="s">
        <v>888</v>
      </c>
      <c r="F340" s="77" t="s">
        <v>88</v>
      </c>
      <c r="G340" s="77" t="s">
        <v>22</v>
      </c>
    </row>
    <row r="341" spans="1:7" x14ac:dyDescent="0.35">
      <c r="A341" s="77" t="s">
        <v>344</v>
      </c>
      <c r="B341" s="77" t="s">
        <v>896</v>
      </c>
      <c r="C341" s="77" t="s">
        <v>897</v>
      </c>
      <c r="D341" s="78">
        <v>45611</v>
      </c>
      <c r="E341" s="79" t="s">
        <v>888</v>
      </c>
      <c r="F341" s="77" t="s">
        <v>88</v>
      </c>
      <c r="G341" s="77" t="s">
        <v>22</v>
      </c>
    </row>
    <row r="342" spans="1:7" x14ac:dyDescent="0.35">
      <c r="A342" s="7" t="s">
        <v>347</v>
      </c>
      <c r="B342" s="7" t="s">
        <v>896</v>
      </c>
      <c r="C342" s="7" t="s">
        <v>897</v>
      </c>
      <c r="D342" s="10">
        <v>45614</v>
      </c>
      <c r="E342" s="11" t="s">
        <v>888</v>
      </c>
      <c r="F342" s="7" t="s">
        <v>871</v>
      </c>
      <c r="G342" s="7" t="s">
        <v>891</v>
      </c>
    </row>
    <row r="343" spans="1:7" x14ac:dyDescent="0.35">
      <c r="A343" s="7" t="s">
        <v>347</v>
      </c>
      <c r="B343" s="7" t="s">
        <v>896</v>
      </c>
      <c r="C343" s="7" t="s">
        <v>897</v>
      </c>
      <c r="D343" s="10">
        <v>45614</v>
      </c>
      <c r="E343" s="11" t="s">
        <v>888</v>
      </c>
      <c r="F343" s="7" t="s">
        <v>19</v>
      </c>
      <c r="G343" s="7"/>
    </row>
    <row r="344" spans="1:7" x14ac:dyDescent="0.35">
      <c r="A344" s="7" t="s">
        <v>388</v>
      </c>
      <c r="B344" s="7" t="s">
        <v>896</v>
      </c>
      <c r="C344" s="7" t="s">
        <v>897</v>
      </c>
      <c r="D344" s="10">
        <v>45614</v>
      </c>
      <c r="E344" s="11" t="s">
        <v>888</v>
      </c>
      <c r="F344" s="7" t="s">
        <v>872</v>
      </c>
      <c r="G344" s="7" t="s">
        <v>891</v>
      </c>
    </row>
    <row r="345" spans="1:7" x14ac:dyDescent="0.35">
      <c r="A345" s="7" t="s">
        <v>11</v>
      </c>
      <c r="B345" s="7" t="s">
        <v>896</v>
      </c>
      <c r="C345" s="7" t="s">
        <v>897</v>
      </c>
      <c r="D345" s="10">
        <v>45615</v>
      </c>
      <c r="E345" s="11" t="s">
        <v>888</v>
      </c>
      <c r="F345" s="7" t="s">
        <v>88</v>
      </c>
      <c r="G345" s="7" t="s">
        <v>406</v>
      </c>
    </row>
    <row r="346" spans="1:7" x14ac:dyDescent="0.35">
      <c r="A346" s="7" t="s">
        <v>309</v>
      </c>
      <c r="B346" s="7" t="s">
        <v>896</v>
      </c>
      <c r="C346" s="7" t="s">
        <v>897</v>
      </c>
      <c r="D346" s="10">
        <v>45615</v>
      </c>
      <c r="E346" s="11" t="s">
        <v>888</v>
      </c>
      <c r="F346" s="7" t="s">
        <v>27</v>
      </c>
      <c r="G346" s="7"/>
    </row>
    <row r="347" spans="1:7" x14ac:dyDescent="0.35">
      <c r="A347" s="7" t="s">
        <v>255</v>
      </c>
      <c r="B347" s="7" t="s">
        <v>896</v>
      </c>
      <c r="C347" s="7" t="s">
        <v>897</v>
      </c>
      <c r="D347" s="10">
        <v>45615</v>
      </c>
      <c r="E347" s="11" t="s">
        <v>888</v>
      </c>
      <c r="F347" s="7" t="s">
        <v>88</v>
      </c>
      <c r="G347" s="7" t="s">
        <v>406</v>
      </c>
    </row>
    <row r="348" spans="1:7" x14ac:dyDescent="0.35">
      <c r="A348" s="7" t="s">
        <v>296</v>
      </c>
      <c r="B348" s="7" t="s">
        <v>896</v>
      </c>
      <c r="C348" s="7" t="s">
        <v>897</v>
      </c>
      <c r="D348" s="10">
        <v>45616</v>
      </c>
      <c r="E348" s="11" t="s">
        <v>888</v>
      </c>
      <c r="F348" s="7" t="s">
        <v>19</v>
      </c>
      <c r="G348" s="7"/>
    </row>
    <row r="349" spans="1:7" x14ac:dyDescent="0.35">
      <c r="A349" s="7" t="s">
        <v>296</v>
      </c>
      <c r="B349" s="7" t="s">
        <v>896</v>
      </c>
      <c r="C349" s="7" t="s">
        <v>897</v>
      </c>
      <c r="D349" s="10">
        <v>45616</v>
      </c>
      <c r="E349" s="11" t="s">
        <v>888</v>
      </c>
      <c r="F349" s="7" t="s">
        <v>871</v>
      </c>
      <c r="G349" s="7" t="s">
        <v>891</v>
      </c>
    </row>
    <row r="350" spans="1:7" x14ac:dyDescent="0.35">
      <c r="A350" s="7" t="s">
        <v>363</v>
      </c>
      <c r="B350" s="7" t="s">
        <v>896</v>
      </c>
      <c r="C350" s="7" t="s">
        <v>897</v>
      </c>
      <c r="D350" s="10">
        <v>45616</v>
      </c>
      <c r="E350" s="11" t="s">
        <v>888</v>
      </c>
      <c r="F350" s="7" t="s">
        <v>894</v>
      </c>
      <c r="G350" s="7" t="s">
        <v>15</v>
      </c>
    </row>
    <row r="351" spans="1:7" x14ac:dyDescent="0.35">
      <c r="A351" s="7" t="s">
        <v>363</v>
      </c>
      <c r="B351" s="7" t="s">
        <v>896</v>
      </c>
      <c r="C351" s="7" t="s">
        <v>897</v>
      </c>
      <c r="D351" s="10">
        <v>45616</v>
      </c>
      <c r="E351" s="11" t="s">
        <v>888</v>
      </c>
      <c r="F351" s="7" t="s">
        <v>877</v>
      </c>
      <c r="G351" s="7"/>
    </row>
    <row r="352" spans="1:7" x14ac:dyDescent="0.35">
      <c r="A352" s="7" t="s">
        <v>375</v>
      </c>
      <c r="B352" s="7" t="s">
        <v>896</v>
      </c>
      <c r="C352" s="7" t="s">
        <v>897</v>
      </c>
      <c r="D352" s="10">
        <v>45616</v>
      </c>
      <c r="E352" s="11" t="s">
        <v>888</v>
      </c>
      <c r="F352" s="7" t="s">
        <v>877</v>
      </c>
      <c r="G352" s="7"/>
    </row>
    <row r="353" spans="1:7" x14ac:dyDescent="0.35">
      <c r="A353" s="7" t="s">
        <v>394</v>
      </c>
      <c r="B353" s="7" t="s">
        <v>896</v>
      </c>
      <c r="C353" s="7" t="s">
        <v>897</v>
      </c>
      <c r="D353" s="10">
        <v>45616</v>
      </c>
      <c r="E353" s="11" t="s">
        <v>888</v>
      </c>
      <c r="F353" s="7" t="s">
        <v>872</v>
      </c>
      <c r="G353" s="7" t="s">
        <v>891</v>
      </c>
    </row>
    <row r="354" spans="1:7" x14ac:dyDescent="0.35">
      <c r="A354" s="7" t="s">
        <v>371</v>
      </c>
      <c r="B354" s="7" t="s">
        <v>896</v>
      </c>
      <c r="C354" s="7" t="s">
        <v>897</v>
      </c>
      <c r="D354" s="10">
        <v>45616</v>
      </c>
      <c r="E354" s="11" t="s">
        <v>888</v>
      </c>
      <c r="F354" s="7" t="s">
        <v>877</v>
      </c>
      <c r="G354" s="7"/>
    </row>
    <row r="355" spans="1:7" x14ac:dyDescent="0.35">
      <c r="A355" s="77" t="s">
        <v>364</v>
      </c>
      <c r="B355" s="77" t="s">
        <v>896</v>
      </c>
      <c r="C355" s="77" t="s">
        <v>897</v>
      </c>
      <c r="D355" s="78">
        <v>45616</v>
      </c>
      <c r="E355" s="79" t="s">
        <v>888</v>
      </c>
      <c r="F355" s="77" t="s">
        <v>877</v>
      </c>
      <c r="G355" s="77"/>
    </row>
    <row r="356" spans="1:7" x14ac:dyDescent="0.35">
      <c r="A356" s="77" t="s">
        <v>365</v>
      </c>
      <c r="B356" s="77" t="s">
        <v>896</v>
      </c>
      <c r="C356" s="77" t="s">
        <v>897</v>
      </c>
      <c r="D356" s="78">
        <v>45616</v>
      </c>
      <c r="E356" s="79" t="s">
        <v>888</v>
      </c>
      <c r="F356" s="77" t="s">
        <v>877</v>
      </c>
      <c r="G356" s="77"/>
    </row>
    <row r="357" spans="1:7" x14ac:dyDescent="0.35">
      <c r="A357" s="7" t="s">
        <v>337</v>
      </c>
      <c r="B357" s="7" t="s">
        <v>896</v>
      </c>
      <c r="C357" s="7" t="s">
        <v>897</v>
      </c>
      <c r="D357" s="10">
        <v>45617</v>
      </c>
      <c r="E357" s="11" t="s">
        <v>888</v>
      </c>
      <c r="F357" s="7" t="s">
        <v>259</v>
      </c>
      <c r="G357" s="7" t="s">
        <v>902</v>
      </c>
    </row>
    <row r="358" spans="1:7" x14ac:dyDescent="0.35">
      <c r="A358" s="7" t="s">
        <v>337</v>
      </c>
      <c r="B358" s="7" t="s">
        <v>896</v>
      </c>
      <c r="C358" s="7" t="s">
        <v>897</v>
      </c>
      <c r="D358" s="10">
        <v>45617</v>
      </c>
      <c r="E358" s="11" t="s">
        <v>888</v>
      </c>
      <c r="F358" s="7" t="s">
        <v>19</v>
      </c>
      <c r="G358" s="7"/>
    </row>
    <row r="359" spans="1:7" x14ac:dyDescent="0.35">
      <c r="A359" s="7" t="s">
        <v>382</v>
      </c>
      <c r="B359" s="7" t="s">
        <v>896</v>
      </c>
      <c r="C359" s="7" t="s">
        <v>897</v>
      </c>
      <c r="D359" s="10">
        <v>45617</v>
      </c>
      <c r="E359" s="11" t="s">
        <v>888</v>
      </c>
      <c r="F359" s="7" t="s">
        <v>877</v>
      </c>
      <c r="G359" s="7"/>
    </row>
    <row r="360" spans="1:7" x14ac:dyDescent="0.35">
      <c r="A360" s="7" t="s">
        <v>381</v>
      </c>
      <c r="B360" s="7" t="s">
        <v>896</v>
      </c>
      <c r="C360" s="7" t="s">
        <v>897</v>
      </c>
      <c r="D360" s="10">
        <v>45617</v>
      </c>
      <c r="E360" s="11" t="s">
        <v>888</v>
      </c>
      <c r="F360" s="7" t="s">
        <v>877</v>
      </c>
      <c r="G360" s="7"/>
    </row>
    <row r="361" spans="1:7" x14ac:dyDescent="0.35">
      <c r="A361" s="7" t="s">
        <v>366</v>
      </c>
      <c r="B361" s="7" t="s">
        <v>896</v>
      </c>
      <c r="C361" s="7" t="s">
        <v>897</v>
      </c>
      <c r="D361" s="10">
        <v>45617</v>
      </c>
      <c r="E361" s="11" t="s">
        <v>888</v>
      </c>
      <c r="F361" s="7" t="s">
        <v>877</v>
      </c>
      <c r="G361" s="7"/>
    </row>
    <row r="362" spans="1:7" x14ac:dyDescent="0.35">
      <c r="A362" s="7" t="s">
        <v>367</v>
      </c>
      <c r="B362" s="7" t="s">
        <v>896</v>
      </c>
      <c r="C362" s="7" t="s">
        <v>897</v>
      </c>
      <c r="D362" s="10">
        <v>45617</v>
      </c>
      <c r="E362" s="11" t="s">
        <v>888</v>
      </c>
      <c r="F362" s="7" t="s">
        <v>877</v>
      </c>
      <c r="G362" s="7"/>
    </row>
    <row r="363" spans="1:7" x14ac:dyDescent="0.35">
      <c r="A363" s="77" t="s">
        <v>370</v>
      </c>
      <c r="B363" s="77" t="s">
        <v>896</v>
      </c>
      <c r="C363" s="77" t="s">
        <v>897</v>
      </c>
      <c r="D363" s="78">
        <v>45617</v>
      </c>
      <c r="E363" s="79" t="s">
        <v>888</v>
      </c>
      <c r="F363" s="77" t="s">
        <v>877</v>
      </c>
      <c r="G363" s="77"/>
    </row>
    <row r="364" spans="1:7" x14ac:dyDescent="0.35">
      <c r="A364" s="7" t="s">
        <v>339</v>
      </c>
      <c r="B364" s="7" t="s">
        <v>896</v>
      </c>
      <c r="C364" s="7" t="s">
        <v>897</v>
      </c>
      <c r="D364" s="10">
        <v>45618</v>
      </c>
      <c r="E364" s="11" t="s">
        <v>888</v>
      </c>
      <c r="F364" s="7" t="s">
        <v>259</v>
      </c>
      <c r="G364" s="7" t="s">
        <v>902</v>
      </c>
    </row>
    <row r="365" spans="1:7" x14ac:dyDescent="0.35">
      <c r="A365" s="7" t="s">
        <v>339</v>
      </c>
      <c r="B365" s="7" t="s">
        <v>896</v>
      </c>
      <c r="C365" s="7" t="s">
        <v>897</v>
      </c>
      <c r="D365" s="10">
        <v>45618</v>
      </c>
      <c r="E365" s="11" t="s">
        <v>888</v>
      </c>
      <c r="F365" s="7" t="s">
        <v>19</v>
      </c>
      <c r="G365" s="7"/>
    </row>
    <row r="366" spans="1:7" x14ac:dyDescent="0.35">
      <c r="A366" s="7" t="s">
        <v>356</v>
      </c>
      <c r="B366" s="7" t="s">
        <v>896</v>
      </c>
      <c r="C366" s="7" t="s">
        <v>897</v>
      </c>
      <c r="D366" s="10">
        <v>45618</v>
      </c>
      <c r="E366" s="11" t="s">
        <v>888</v>
      </c>
      <c r="F366" s="7" t="s">
        <v>877</v>
      </c>
      <c r="G366" s="7"/>
    </row>
    <row r="367" spans="1:7" x14ac:dyDescent="0.35">
      <c r="A367" s="7" t="s">
        <v>380</v>
      </c>
      <c r="B367" s="7" t="s">
        <v>896</v>
      </c>
      <c r="C367" s="7" t="s">
        <v>897</v>
      </c>
      <c r="D367" s="10">
        <v>45618</v>
      </c>
      <c r="E367" s="11" t="s">
        <v>888</v>
      </c>
      <c r="F367" s="7" t="s">
        <v>894</v>
      </c>
      <c r="G367" s="7" t="s">
        <v>15</v>
      </c>
    </row>
    <row r="368" spans="1:7" x14ac:dyDescent="0.35">
      <c r="A368" s="7" t="s">
        <v>380</v>
      </c>
      <c r="B368" s="7" t="s">
        <v>896</v>
      </c>
      <c r="C368" s="7" t="s">
        <v>897</v>
      </c>
      <c r="D368" s="10">
        <v>45618</v>
      </c>
      <c r="E368" s="11" t="s">
        <v>888</v>
      </c>
      <c r="F368" s="7" t="s">
        <v>877</v>
      </c>
      <c r="G368" s="7"/>
    </row>
    <row r="369" spans="1:7" x14ac:dyDescent="0.35">
      <c r="A369" s="7" t="s">
        <v>376</v>
      </c>
      <c r="B369" s="7" t="s">
        <v>896</v>
      </c>
      <c r="C369" s="7" t="s">
        <v>897</v>
      </c>
      <c r="D369" s="10">
        <v>45618</v>
      </c>
      <c r="E369" s="11" t="s">
        <v>888</v>
      </c>
      <c r="F369" s="7" t="s">
        <v>877</v>
      </c>
      <c r="G369" s="7"/>
    </row>
    <row r="370" spans="1:7" x14ac:dyDescent="0.35">
      <c r="A370" s="7" t="s">
        <v>299</v>
      </c>
      <c r="B370" s="7" t="s">
        <v>896</v>
      </c>
      <c r="C370" s="7" t="s">
        <v>897</v>
      </c>
      <c r="D370" s="10">
        <v>45618</v>
      </c>
      <c r="E370" s="11" t="s">
        <v>888</v>
      </c>
      <c r="F370" s="7" t="s">
        <v>19</v>
      </c>
      <c r="G370" s="7"/>
    </row>
    <row r="371" spans="1:7" x14ac:dyDescent="0.35">
      <c r="A371" s="7" t="s">
        <v>405</v>
      </c>
      <c r="B371" s="7" t="s">
        <v>896</v>
      </c>
      <c r="C371" s="7" t="s">
        <v>897</v>
      </c>
      <c r="D371" s="10">
        <v>45619</v>
      </c>
      <c r="E371" s="11" t="s">
        <v>888</v>
      </c>
      <c r="F371" s="7" t="s">
        <v>259</v>
      </c>
      <c r="G371" s="7" t="s">
        <v>902</v>
      </c>
    </row>
    <row r="372" spans="1:7" x14ac:dyDescent="0.35">
      <c r="A372" s="7" t="s">
        <v>405</v>
      </c>
      <c r="B372" s="7" t="s">
        <v>896</v>
      </c>
      <c r="C372" s="7" t="s">
        <v>897</v>
      </c>
      <c r="D372" s="10">
        <v>45619</v>
      </c>
      <c r="E372" s="11" t="s">
        <v>888</v>
      </c>
      <c r="F372" s="7" t="s">
        <v>19</v>
      </c>
      <c r="G372" s="7"/>
    </row>
    <row r="373" spans="1:7" x14ac:dyDescent="0.35">
      <c r="A373" s="7" t="s">
        <v>245</v>
      </c>
      <c r="B373" s="7" t="s">
        <v>890</v>
      </c>
      <c r="C373" s="7">
        <v>84411</v>
      </c>
      <c r="D373" s="10">
        <v>45619</v>
      </c>
      <c r="E373" s="11" t="s">
        <v>888</v>
      </c>
      <c r="F373" s="7" t="s">
        <v>19</v>
      </c>
      <c r="G373" s="7"/>
    </row>
    <row r="374" spans="1:7" x14ac:dyDescent="0.35">
      <c r="A374" s="7" t="s">
        <v>354</v>
      </c>
      <c r="B374" s="7" t="s">
        <v>896</v>
      </c>
      <c r="C374" s="7" t="s">
        <v>897</v>
      </c>
      <c r="D374" s="10">
        <v>45621</v>
      </c>
      <c r="E374" s="11" t="s">
        <v>888</v>
      </c>
      <c r="F374" s="7" t="s">
        <v>877</v>
      </c>
      <c r="G374" s="7"/>
    </row>
    <row r="375" spans="1:7" x14ac:dyDescent="0.35">
      <c r="A375" s="7" t="s">
        <v>355</v>
      </c>
      <c r="B375" s="7" t="s">
        <v>896</v>
      </c>
      <c r="C375" s="7" t="s">
        <v>897</v>
      </c>
      <c r="D375" s="10">
        <v>45621</v>
      </c>
      <c r="E375" s="11" t="s">
        <v>888</v>
      </c>
      <c r="F375" s="7" t="s">
        <v>877</v>
      </c>
      <c r="G375" s="7"/>
    </row>
    <row r="376" spans="1:7" x14ac:dyDescent="0.35">
      <c r="A376" s="7" t="s">
        <v>368</v>
      </c>
      <c r="B376" s="7" t="s">
        <v>896</v>
      </c>
      <c r="C376" s="7" t="s">
        <v>897</v>
      </c>
      <c r="D376" s="10">
        <v>45621</v>
      </c>
      <c r="E376" s="11" t="s">
        <v>888</v>
      </c>
      <c r="F376" s="7" t="s">
        <v>877</v>
      </c>
      <c r="G376" s="7"/>
    </row>
    <row r="377" spans="1:7" x14ac:dyDescent="0.35">
      <c r="A377" s="7" t="s">
        <v>379</v>
      </c>
      <c r="B377" s="7" t="s">
        <v>896</v>
      </c>
      <c r="C377" s="7" t="s">
        <v>897</v>
      </c>
      <c r="D377" s="10">
        <v>45621</v>
      </c>
      <c r="E377" s="11" t="s">
        <v>888</v>
      </c>
      <c r="F377" s="7" t="s">
        <v>894</v>
      </c>
      <c r="G377" s="7" t="s">
        <v>15</v>
      </c>
    </row>
    <row r="378" spans="1:7" x14ac:dyDescent="0.35">
      <c r="A378" s="7" t="s">
        <v>379</v>
      </c>
      <c r="B378" s="7" t="s">
        <v>896</v>
      </c>
      <c r="C378" s="7" t="s">
        <v>897</v>
      </c>
      <c r="D378" s="10">
        <v>45621</v>
      </c>
      <c r="E378" s="11" t="s">
        <v>888</v>
      </c>
      <c r="F378" s="7" t="s">
        <v>877</v>
      </c>
      <c r="G378" s="7"/>
    </row>
    <row r="379" spans="1:7" x14ac:dyDescent="0.35">
      <c r="A379" s="7" t="s">
        <v>378</v>
      </c>
      <c r="B379" s="7" t="s">
        <v>896</v>
      </c>
      <c r="C379" s="7" t="s">
        <v>897</v>
      </c>
      <c r="D379" s="10">
        <v>45621</v>
      </c>
      <c r="E379" s="11" t="s">
        <v>888</v>
      </c>
      <c r="F379" s="7" t="s">
        <v>877</v>
      </c>
      <c r="G379" s="7"/>
    </row>
    <row r="380" spans="1:7" x14ac:dyDescent="0.35">
      <c r="A380" s="7" t="s">
        <v>377</v>
      </c>
      <c r="B380" s="7" t="s">
        <v>896</v>
      </c>
      <c r="C380" s="7" t="s">
        <v>897</v>
      </c>
      <c r="D380" s="10">
        <v>45621</v>
      </c>
      <c r="E380" s="11" t="s">
        <v>888</v>
      </c>
      <c r="F380" s="7" t="s">
        <v>877</v>
      </c>
      <c r="G380" s="7"/>
    </row>
    <row r="381" spans="1:7" x14ac:dyDescent="0.35">
      <c r="A381" s="7" t="s">
        <v>369</v>
      </c>
      <c r="B381" s="7" t="s">
        <v>896</v>
      </c>
      <c r="C381" s="7" t="s">
        <v>897</v>
      </c>
      <c r="D381" s="10">
        <v>45621</v>
      </c>
      <c r="E381" s="11" t="s">
        <v>888</v>
      </c>
      <c r="F381" s="7" t="s">
        <v>877</v>
      </c>
      <c r="G381" s="7"/>
    </row>
    <row r="382" spans="1:7" x14ac:dyDescent="0.35">
      <c r="A382" s="7" t="s">
        <v>277</v>
      </c>
      <c r="B382" s="7" t="s">
        <v>896</v>
      </c>
      <c r="C382" s="7" t="s">
        <v>897</v>
      </c>
      <c r="D382" s="10">
        <v>45622</v>
      </c>
      <c r="E382" s="11" t="s">
        <v>888</v>
      </c>
      <c r="F382" s="7" t="s">
        <v>19</v>
      </c>
      <c r="G382" s="7"/>
    </row>
    <row r="383" spans="1:7" x14ac:dyDescent="0.35">
      <c r="A383" s="77" t="s">
        <v>239</v>
      </c>
      <c r="B383" s="77" t="s">
        <v>896</v>
      </c>
      <c r="C383" s="77" t="s">
        <v>897</v>
      </c>
      <c r="D383" s="78">
        <v>45622</v>
      </c>
      <c r="E383" s="79" t="s">
        <v>888</v>
      </c>
      <c r="F383" s="77" t="s">
        <v>19</v>
      </c>
      <c r="G383" s="77"/>
    </row>
    <row r="384" spans="1:7" x14ac:dyDescent="0.35">
      <c r="A384" s="77" t="s">
        <v>275</v>
      </c>
      <c r="B384" s="77" t="s">
        <v>896</v>
      </c>
      <c r="C384" s="77" t="s">
        <v>897</v>
      </c>
      <c r="D384" s="78">
        <v>45622</v>
      </c>
      <c r="E384" s="79" t="s">
        <v>888</v>
      </c>
      <c r="F384" s="77" t="s">
        <v>19</v>
      </c>
      <c r="G384" s="77"/>
    </row>
    <row r="385" spans="1:7" x14ac:dyDescent="0.35">
      <c r="A385" s="7" t="s">
        <v>301</v>
      </c>
      <c r="B385" s="7" t="s">
        <v>896</v>
      </c>
      <c r="C385" s="7" t="s">
        <v>897</v>
      </c>
      <c r="D385" s="10">
        <v>45623</v>
      </c>
      <c r="E385" s="11" t="s">
        <v>888</v>
      </c>
      <c r="F385" s="7" t="s">
        <v>19</v>
      </c>
      <c r="G385" s="7"/>
    </row>
    <row r="386" spans="1:7" x14ac:dyDescent="0.35">
      <c r="A386" s="7" t="s">
        <v>301</v>
      </c>
      <c r="B386" s="7" t="s">
        <v>896</v>
      </c>
      <c r="C386" s="7" t="s">
        <v>897</v>
      </c>
      <c r="D386" s="10">
        <v>45623</v>
      </c>
      <c r="E386" s="11" t="s">
        <v>888</v>
      </c>
      <c r="F386" s="7" t="s">
        <v>871</v>
      </c>
      <c r="G386" s="7" t="s">
        <v>891</v>
      </c>
    </row>
    <row r="387" spans="1:7" x14ac:dyDescent="0.35">
      <c r="A387" s="7" t="s">
        <v>489</v>
      </c>
      <c r="B387" s="7" t="s">
        <v>896</v>
      </c>
      <c r="C387" s="7" t="s">
        <v>897</v>
      </c>
      <c r="D387" s="10">
        <v>45623</v>
      </c>
      <c r="E387" s="11" t="s">
        <v>888</v>
      </c>
      <c r="F387" s="7" t="s">
        <v>894</v>
      </c>
      <c r="G387" s="7" t="s">
        <v>15</v>
      </c>
    </row>
    <row r="388" spans="1:7" x14ac:dyDescent="0.35">
      <c r="A388" s="7" t="s">
        <v>18</v>
      </c>
      <c r="B388" s="7" t="s">
        <v>896</v>
      </c>
      <c r="C388" s="7" t="s">
        <v>897</v>
      </c>
      <c r="D388" s="10">
        <v>45623</v>
      </c>
      <c r="E388" s="11" t="s">
        <v>888</v>
      </c>
      <c r="F388" s="7" t="s">
        <v>872</v>
      </c>
      <c r="G388" s="7" t="s">
        <v>891</v>
      </c>
    </row>
    <row r="389" spans="1:7" x14ac:dyDescent="0.35">
      <c r="A389" s="7" t="s">
        <v>412</v>
      </c>
      <c r="B389" s="7" t="s">
        <v>896</v>
      </c>
      <c r="C389" s="7" t="s">
        <v>897</v>
      </c>
      <c r="D389" s="10">
        <v>45624</v>
      </c>
      <c r="E389" s="11" t="s">
        <v>888</v>
      </c>
      <c r="F389" s="7" t="s">
        <v>19</v>
      </c>
      <c r="G389" s="7"/>
    </row>
    <row r="390" spans="1:7" x14ac:dyDescent="0.35">
      <c r="A390" s="7" t="s">
        <v>389</v>
      </c>
      <c r="B390" s="7" t="s">
        <v>896</v>
      </c>
      <c r="C390" s="7" t="s">
        <v>897</v>
      </c>
      <c r="D390" s="10">
        <v>45624</v>
      </c>
      <c r="E390" s="11" t="s">
        <v>888</v>
      </c>
      <c r="F390" s="7" t="s">
        <v>19</v>
      </c>
      <c r="G390" s="7"/>
    </row>
    <row r="391" spans="1:7" x14ac:dyDescent="0.35">
      <c r="A391" s="7" t="s">
        <v>424</v>
      </c>
      <c r="B391" s="7" t="s">
        <v>896</v>
      </c>
      <c r="C391" s="7" t="s">
        <v>897</v>
      </c>
      <c r="D391" s="10">
        <v>45624</v>
      </c>
      <c r="E391" s="11" t="s">
        <v>888</v>
      </c>
      <c r="F391" s="7" t="s">
        <v>19</v>
      </c>
      <c r="G391" s="7"/>
    </row>
    <row r="392" spans="1:7" x14ac:dyDescent="0.35">
      <c r="A392" s="7" t="s">
        <v>408</v>
      </c>
      <c r="B392" s="7" t="s">
        <v>896</v>
      </c>
      <c r="C392" s="7" t="s">
        <v>897</v>
      </c>
      <c r="D392" s="10">
        <v>45624</v>
      </c>
      <c r="E392" s="11" t="s">
        <v>888</v>
      </c>
      <c r="F392" s="7" t="s">
        <v>872</v>
      </c>
      <c r="G392" s="7" t="s">
        <v>891</v>
      </c>
    </row>
    <row r="393" spans="1:7" x14ac:dyDescent="0.35">
      <c r="A393" s="7" t="s">
        <v>409</v>
      </c>
      <c r="B393" s="7" t="s">
        <v>896</v>
      </c>
      <c r="C393" s="7" t="s">
        <v>897</v>
      </c>
      <c r="D393" s="10">
        <v>45624</v>
      </c>
      <c r="E393" s="11" t="s">
        <v>888</v>
      </c>
      <c r="F393" s="7" t="s">
        <v>872</v>
      </c>
      <c r="G393" s="7" t="s">
        <v>891</v>
      </c>
    </row>
    <row r="394" spans="1:7" x14ac:dyDescent="0.35">
      <c r="A394" s="7" t="s">
        <v>386</v>
      </c>
      <c r="B394" s="7" t="s">
        <v>896</v>
      </c>
      <c r="C394" s="7" t="s">
        <v>897</v>
      </c>
      <c r="D394" s="10">
        <v>45624</v>
      </c>
      <c r="E394" s="11" t="s">
        <v>888</v>
      </c>
      <c r="F394" s="7" t="s">
        <v>19</v>
      </c>
      <c r="G394" s="7"/>
    </row>
    <row r="395" spans="1:7" x14ac:dyDescent="0.35">
      <c r="A395" s="7" t="s">
        <v>413</v>
      </c>
      <c r="B395" s="7" t="s">
        <v>896</v>
      </c>
      <c r="C395" s="7" t="s">
        <v>897</v>
      </c>
      <c r="D395" s="10">
        <v>45624</v>
      </c>
      <c r="E395" s="11" t="s">
        <v>888</v>
      </c>
      <c r="F395" s="7" t="s">
        <v>19</v>
      </c>
      <c r="G395" s="7"/>
    </row>
    <row r="396" spans="1:7" x14ac:dyDescent="0.35">
      <c r="A396" s="7" t="s">
        <v>340</v>
      </c>
      <c r="B396" s="7" t="s">
        <v>896</v>
      </c>
      <c r="C396" s="7" t="s">
        <v>897</v>
      </c>
      <c r="D396" s="10">
        <v>45624</v>
      </c>
      <c r="E396" s="11" t="s">
        <v>888</v>
      </c>
      <c r="F396" s="7" t="s">
        <v>19</v>
      </c>
      <c r="G396" s="7"/>
    </row>
    <row r="397" spans="1:7" x14ac:dyDescent="0.35">
      <c r="A397" s="7" t="s">
        <v>327</v>
      </c>
      <c r="B397" s="7" t="s">
        <v>896</v>
      </c>
      <c r="C397" s="7" t="s">
        <v>897</v>
      </c>
      <c r="D397" s="10">
        <v>45624</v>
      </c>
      <c r="E397" s="11" t="s">
        <v>888</v>
      </c>
      <c r="F397" s="7" t="s">
        <v>872</v>
      </c>
      <c r="G397" s="7" t="s">
        <v>891</v>
      </c>
    </row>
    <row r="398" spans="1:7" x14ac:dyDescent="0.35">
      <c r="A398" s="77" t="s">
        <v>324</v>
      </c>
      <c r="B398" s="77" t="s">
        <v>896</v>
      </c>
      <c r="C398" s="77" t="s">
        <v>897</v>
      </c>
      <c r="D398" s="78">
        <v>45624</v>
      </c>
      <c r="E398" s="79" t="s">
        <v>888</v>
      </c>
      <c r="F398" s="77" t="s">
        <v>872</v>
      </c>
      <c r="G398" s="77" t="s">
        <v>891</v>
      </c>
    </row>
    <row r="399" spans="1:7" x14ac:dyDescent="0.35">
      <c r="A399" s="7" t="s">
        <v>341</v>
      </c>
      <c r="B399" s="7" t="s">
        <v>896</v>
      </c>
      <c r="C399" s="7" t="s">
        <v>897</v>
      </c>
      <c r="D399" s="10">
        <v>45625</v>
      </c>
      <c r="E399" s="11" t="s">
        <v>888</v>
      </c>
      <c r="F399" s="7" t="s">
        <v>19</v>
      </c>
      <c r="G399" s="7"/>
    </row>
    <row r="400" spans="1:7" x14ac:dyDescent="0.35">
      <c r="A400" s="7" t="s">
        <v>341</v>
      </c>
      <c r="B400" s="7" t="s">
        <v>896</v>
      </c>
      <c r="C400" s="7" t="s">
        <v>897</v>
      </c>
      <c r="D400" s="10">
        <v>45625</v>
      </c>
      <c r="E400" s="11" t="s">
        <v>888</v>
      </c>
      <c r="F400" s="7" t="s">
        <v>871</v>
      </c>
      <c r="G400" s="7" t="s">
        <v>891</v>
      </c>
    </row>
    <row r="401" spans="1:7" x14ac:dyDescent="0.35">
      <c r="A401" s="7" t="s">
        <v>389</v>
      </c>
      <c r="B401" s="7" t="s">
        <v>896</v>
      </c>
      <c r="C401" s="7" t="s">
        <v>897</v>
      </c>
      <c r="D401" s="10">
        <v>45630</v>
      </c>
      <c r="E401" s="11" t="s">
        <v>888</v>
      </c>
      <c r="F401" s="7" t="s">
        <v>871</v>
      </c>
      <c r="G401" s="7" t="s">
        <v>891</v>
      </c>
    </row>
    <row r="402" spans="1:7" x14ac:dyDescent="0.35">
      <c r="A402" s="7" t="s">
        <v>362</v>
      </c>
      <c r="B402" s="7" t="s">
        <v>896</v>
      </c>
      <c r="C402" s="7" t="s">
        <v>897</v>
      </c>
      <c r="D402" s="10">
        <v>45630</v>
      </c>
      <c r="E402" s="11" t="s">
        <v>888</v>
      </c>
      <c r="F402" s="7" t="s">
        <v>894</v>
      </c>
      <c r="G402" s="7" t="s">
        <v>15</v>
      </c>
    </row>
    <row r="403" spans="1:7" x14ac:dyDescent="0.35">
      <c r="A403" s="7" t="s">
        <v>362</v>
      </c>
      <c r="B403" s="7" t="s">
        <v>896</v>
      </c>
      <c r="C403" s="7" t="s">
        <v>897</v>
      </c>
      <c r="D403" s="10">
        <v>45630</v>
      </c>
      <c r="E403" s="11" t="s">
        <v>888</v>
      </c>
      <c r="F403" s="7" t="s">
        <v>877</v>
      </c>
      <c r="G403" s="7"/>
    </row>
    <row r="404" spans="1:7" x14ac:dyDescent="0.35">
      <c r="A404" s="7" t="s">
        <v>357</v>
      </c>
      <c r="B404" s="7" t="s">
        <v>896</v>
      </c>
      <c r="C404" s="7" t="s">
        <v>897</v>
      </c>
      <c r="D404" s="10">
        <v>45630</v>
      </c>
      <c r="E404" s="11" t="s">
        <v>888</v>
      </c>
      <c r="F404" s="7" t="s">
        <v>877</v>
      </c>
      <c r="G404" s="7"/>
    </row>
    <row r="405" spans="1:7" x14ac:dyDescent="0.35">
      <c r="A405" s="7" t="s">
        <v>261</v>
      </c>
      <c r="B405" s="7" t="s">
        <v>896</v>
      </c>
      <c r="C405" s="7" t="s">
        <v>897</v>
      </c>
      <c r="D405" s="10">
        <v>45630</v>
      </c>
      <c r="E405" s="11" t="s">
        <v>888</v>
      </c>
      <c r="F405" s="7" t="s">
        <v>877</v>
      </c>
      <c r="G405" s="7"/>
    </row>
    <row r="406" spans="1:7" x14ac:dyDescent="0.35">
      <c r="A406" s="7" t="s">
        <v>352</v>
      </c>
      <c r="B406" s="7" t="s">
        <v>896</v>
      </c>
      <c r="C406" s="7" t="s">
        <v>897</v>
      </c>
      <c r="D406" s="10">
        <v>45631</v>
      </c>
      <c r="E406" s="11" t="s">
        <v>888</v>
      </c>
      <c r="F406" s="7" t="s">
        <v>877</v>
      </c>
      <c r="G406" s="7"/>
    </row>
    <row r="407" spans="1:7" x14ac:dyDescent="0.35">
      <c r="A407" s="7" t="s">
        <v>412</v>
      </c>
      <c r="B407" s="7" t="s">
        <v>896</v>
      </c>
      <c r="C407" s="7" t="s">
        <v>897</v>
      </c>
      <c r="D407" s="10">
        <v>45631</v>
      </c>
      <c r="E407" s="11" t="s">
        <v>888</v>
      </c>
      <c r="F407" s="7" t="s">
        <v>871</v>
      </c>
      <c r="G407" s="7" t="s">
        <v>891</v>
      </c>
    </row>
    <row r="408" spans="1:7" x14ac:dyDescent="0.35">
      <c r="A408" s="7" t="s">
        <v>277</v>
      </c>
      <c r="B408" s="7" t="s">
        <v>896</v>
      </c>
      <c r="C408" s="7" t="s">
        <v>897</v>
      </c>
      <c r="D408" s="10">
        <v>45631</v>
      </c>
      <c r="E408" s="11" t="s">
        <v>888</v>
      </c>
      <c r="F408" s="7" t="s">
        <v>871</v>
      </c>
      <c r="G408" s="7" t="s">
        <v>891</v>
      </c>
    </row>
    <row r="409" spans="1:7" x14ac:dyDescent="0.35">
      <c r="A409" s="7" t="s">
        <v>383</v>
      </c>
      <c r="B409" s="7" t="s">
        <v>896</v>
      </c>
      <c r="C409" s="7" t="s">
        <v>897</v>
      </c>
      <c r="D409" s="10">
        <v>45631</v>
      </c>
      <c r="E409" s="11" t="s">
        <v>888</v>
      </c>
      <c r="F409" s="7" t="s">
        <v>877</v>
      </c>
      <c r="G409" s="7"/>
    </row>
    <row r="410" spans="1:7" x14ac:dyDescent="0.35">
      <c r="A410" s="7" t="s">
        <v>237</v>
      </c>
      <c r="B410" s="7" t="s">
        <v>896</v>
      </c>
      <c r="C410" s="7" t="s">
        <v>897</v>
      </c>
      <c r="D410" s="10">
        <v>45631</v>
      </c>
      <c r="E410" s="11" t="s">
        <v>888</v>
      </c>
      <c r="F410" s="7" t="s">
        <v>871</v>
      </c>
      <c r="G410" s="7" t="s">
        <v>891</v>
      </c>
    </row>
    <row r="411" spans="1:7" x14ac:dyDescent="0.35">
      <c r="A411" s="77" t="s">
        <v>244</v>
      </c>
      <c r="B411" s="77" t="s">
        <v>896</v>
      </c>
      <c r="C411" s="77" t="s">
        <v>897</v>
      </c>
      <c r="D411" s="78">
        <v>45631</v>
      </c>
      <c r="E411" s="79" t="s">
        <v>888</v>
      </c>
      <c r="F411" s="77" t="s">
        <v>877</v>
      </c>
      <c r="G411" s="77"/>
    </row>
    <row r="412" spans="1:7" x14ac:dyDescent="0.35">
      <c r="A412" s="77" t="s">
        <v>274</v>
      </c>
      <c r="B412" s="77" t="s">
        <v>896</v>
      </c>
      <c r="C412" s="77" t="s">
        <v>897</v>
      </c>
      <c r="D412" s="78">
        <v>45631</v>
      </c>
      <c r="E412" s="79" t="s">
        <v>888</v>
      </c>
      <c r="F412" s="77" t="s">
        <v>871</v>
      </c>
      <c r="G412" s="77" t="s">
        <v>891</v>
      </c>
    </row>
    <row r="413" spans="1:7" x14ac:dyDescent="0.35">
      <c r="A413" s="77" t="s">
        <v>275</v>
      </c>
      <c r="B413" s="77" t="s">
        <v>896</v>
      </c>
      <c r="C413" s="77" t="s">
        <v>897</v>
      </c>
      <c r="D413" s="78">
        <v>45631</v>
      </c>
      <c r="E413" s="79" t="s">
        <v>888</v>
      </c>
      <c r="F413" s="77" t="s">
        <v>871</v>
      </c>
      <c r="G413" s="77" t="s">
        <v>891</v>
      </c>
    </row>
    <row r="414" spans="1:7" x14ac:dyDescent="0.35">
      <c r="A414" s="7" t="s">
        <v>359</v>
      </c>
      <c r="B414" s="7" t="s">
        <v>896</v>
      </c>
      <c r="C414" s="7" t="s">
        <v>897</v>
      </c>
      <c r="D414" s="10">
        <v>45633</v>
      </c>
      <c r="E414" s="11" t="s">
        <v>888</v>
      </c>
      <c r="F414" s="7" t="s">
        <v>877</v>
      </c>
      <c r="G414" s="7"/>
    </row>
    <row r="415" spans="1:7" x14ac:dyDescent="0.35">
      <c r="A415" s="7" t="s">
        <v>55</v>
      </c>
      <c r="B415" s="7" t="s">
        <v>890</v>
      </c>
      <c r="C415" s="7">
        <v>84411</v>
      </c>
      <c r="D415" s="10">
        <v>45633</v>
      </c>
      <c r="E415" s="11" t="s">
        <v>888</v>
      </c>
      <c r="F415" s="7" t="s">
        <v>19</v>
      </c>
      <c r="G415" s="7"/>
    </row>
    <row r="416" spans="1:7" x14ac:dyDescent="0.35">
      <c r="A416" s="7" t="s">
        <v>55</v>
      </c>
      <c r="B416" s="7" t="s">
        <v>890</v>
      </c>
      <c r="C416" s="7">
        <v>84411</v>
      </c>
      <c r="D416" s="10">
        <v>45633</v>
      </c>
      <c r="E416" s="11" t="s">
        <v>888</v>
      </c>
      <c r="F416" s="7" t="s">
        <v>871</v>
      </c>
      <c r="G416" s="7" t="s">
        <v>891</v>
      </c>
    </row>
    <row r="417" spans="1:7" x14ac:dyDescent="0.35">
      <c r="A417" s="7" t="s">
        <v>361</v>
      </c>
      <c r="B417" s="7" t="s">
        <v>896</v>
      </c>
      <c r="C417" s="7" t="s">
        <v>897</v>
      </c>
      <c r="D417" s="10">
        <v>45633</v>
      </c>
      <c r="E417" s="11" t="s">
        <v>888</v>
      </c>
      <c r="F417" s="7" t="s">
        <v>877</v>
      </c>
      <c r="G417" s="7"/>
    </row>
    <row r="418" spans="1:7" x14ac:dyDescent="0.35">
      <c r="A418" s="7" t="s">
        <v>321</v>
      </c>
      <c r="B418" s="7" t="s">
        <v>896</v>
      </c>
      <c r="C418" s="7" t="s">
        <v>897</v>
      </c>
      <c r="D418" s="10">
        <v>45633</v>
      </c>
      <c r="E418" s="11" t="s">
        <v>888</v>
      </c>
      <c r="F418" s="7" t="s">
        <v>871</v>
      </c>
      <c r="G418" s="7" t="s">
        <v>891</v>
      </c>
    </row>
    <row r="419" spans="1:7" x14ac:dyDescent="0.35">
      <c r="A419" s="7" t="s">
        <v>321</v>
      </c>
      <c r="B419" s="7" t="s">
        <v>896</v>
      </c>
      <c r="C419" s="7" t="s">
        <v>897</v>
      </c>
      <c r="D419" s="10">
        <v>45633</v>
      </c>
      <c r="E419" s="11" t="s">
        <v>888</v>
      </c>
      <c r="F419" s="7" t="s">
        <v>19</v>
      </c>
      <c r="G419" s="7"/>
    </row>
    <row r="420" spans="1:7" x14ac:dyDescent="0.35">
      <c r="A420" s="7" t="s">
        <v>397</v>
      </c>
      <c r="B420" s="7" t="s">
        <v>896</v>
      </c>
      <c r="C420" s="7" t="s">
        <v>897</v>
      </c>
      <c r="D420" s="10">
        <v>45633</v>
      </c>
      <c r="E420" s="11" t="s">
        <v>888</v>
      </c>
      <c r="F420" s="7" t="s">
        <v>19</v>
      </c>
      <c r="G420" s="7"/>
    </row>
    <row r="421" spans="1:7" x14ac:dyDescent="0.35">
      <c r="A421" s="7" t="s">
        <v>372</v>
      </c>
      <c r="B421" s="7" t="s">
        <v>896</v>
      </c>
      <c r="C421" s="7" t="s">
        <v>897</v>
      </c>
      <c r="D421" s="10">
        <v>45633</v>
      </c>
      <c r="E421" s="11" t="s">
        <v>888</v>
      </c>
      <c r="F421" s="7" t="s">
        <v>877</v>
      </c>
      <c r="G421" s="7"/>
    </row>
    <row r="422" spans="1:7" x14ac:dyDescent="0.35">
      <c r="A422" s="77" t="s">
        <v>297</v>
      </c>
      <c r="B422" s="77" t="s">
        <v>896</v>
      </c>
      <c r="C422" s="77" t="s">
        <v>897</v>
      </c>
      <c r="D422" s="78">
        <v>45633</v>
      </c>
      <c r="E422" s="79" t="s">
        <v>888</v>
      </c>
      <c r="F422" s="77" t="s">
        <v>871</v>
      </c>
      <c r="G422" s="77" t="s">
        <v>891</v>
      </c>
    </row>
    <row r="423" spans="1:7" x14ac:dyDescent="0.35">
      <c r="A423" s="77" t="s">
        <v>297</v>
      </c>
      <c r="B423" s="77" t="s">
        <v>896</v>
      </c>
      <c r="C423" s="77" t="s">
        <v>897</v>
      </c>
      <c r="D423" s="78">
        <v>45633</v>
      </c>
      <c r="E423" s="79" t="s">
        <v>888</v>
      </c>
      <c r="F423" s="77" t="s">
        <v>19</v>
      </c>
      <c r="G423" s="77"/>
    </row>
    <row r="424" spans="1:7" x14ac:dyDescent="0.35">
      <c r="A424" s="7" t="s">
        <v>492</v>
      </c>
      <c r="B424" s="7" t="s">
        <v>896</v>
      </c>
      <c r="C424" s="7" t="s">
        <v>897</v>
      </c>
      <c r="D424" s="10">
        <v>45633</v>
      </c>
      <c r="E424" s="11" t="s">
        <v>314</v>
      </c>
      <c r="F424" s="7" t="s">
        <v>877</v>
      </c>
      <c r="G424" s="7"/>
    </row>
    <row r="425" spans="1:7" x14ac:dyDescent="0.35">
      <c r="A425" s="77" t="s">
        <v>493</v>
      </c>
      <c r="B425" s="77" t="s">
        <v>896</v>
      </c>
      <c r="C425" s="77" t="s">
        <v>897</v>
      </c>
      <c r="D425" s="78">
        <v>45633</v>
      </c>
      <c r="E425" s="79" t="s">
        <v>314</v>
      </c>
      <c r="F425" s="77" t="s">
        <v>877</v>
      </c>
      <c r="G425" s="77"/>
    </row>
    <row r="426" spans="1:7" x14ac:dyDescent="0.35">
      <c r="A426" s="7" t="s">
        <v>300</v>
      </c>
      <c r="B426" s="7" t="s">
        <v>896</v>
      </c>
      <c r="C426" s="7" t="s">
        <v>897</v>
      </c>
      <c r="D426" s="10">
        <v>45635</v>
      </c>
      <c r="E426" s="11" t="s">
        <v>888</v>
      </c>
      <c r="F426" s="7" t="s">
        <v>871</v>
      </c>
      <c r="G426" s="7" t="s">
        <v>891</v>
      </c>
    </row>
    <row r="427" spans="1:7" x14ac:dyDescent="0.35">
      <c r="A427" s="7" t="s">
        <v>265</v>
      </c>
      <c r="B427" s="7" t="s">
        <v>896</v>
      </c>
      <c r="C427" s="7" t="s">
        <v>897</v>
      </c>
      <c r="D427" s="10">
        <v>45635</v>
      </c>
      <c r="E427" s="11" t="s">
        <v>888</v>
      </c>
      <c r="F427" s="7" t="s">
        <v>871</v>
      </c>
      <c r="G427" s="7" t="s">
        <v>891</v>
      </c>
    </row>
    <row r="428" spans="1:7" x14ac:dyDescent="0.35">
      <c r="A428" s="7" t="s">
        <v>353</v>
      </c>
      <c r="B428" s="7" t="s">
        <v>896</v>
      </c>
      <c r="C428" s="7" t="s">
        <v>897</v>
      </c>
      <c r="D428" s="10">
        <v>45635</v>
      </c>
      <c r="E428" s="11" t="s">
        <v>888</v>
      </c>
      <c r="F428" s="7" t="s">
        <v>877</v>
      </c>
      <c r="G428" s="7"/>
    </row>
    <row r="429" spans="1:7" x14ac:dyDescent="0.35">
      <c r="A429" s="7" t="s">
        <v>385</v>
      </c>
      <c r="B429" s="7" t="s">
        <v>896</v>
      </c>
      <c r="C429" s="7" t="s">
        <v>897</v>
      </c>
      <c r="D429" s="10">
        <v>45635</v>
      </c>
      <c r="E429" s="11" t="s">
        <v>888</v>
      </c>
      <c r="F429" s="7" t="s">
        <v>877</v>
      </c>
      <c r="G429" s="7"/>
    </row>
    <row r="430" spans="1:7" x14ac:dyDescent="0.35">
      <c r="A430" s="7" t="s">
        <v>279</v>
      </c>
      <c r="B430" s="7" t="s">
        <v>896</v>
      </c>
      <c r="C430" s="7" t="s">
        <v>897</v>
      </c>
      <c r="D430" s="10">
        <v>45635</v>
      </c>
      <c r="E430" s="11" t="s">
        <v>888</v>
      </c>
      <c r="F430" s="7" t="s">
        <v>871</v>
      </c>
      <c r="G430" s="7" t="s">
        <v>891</v>
      </c>
    </row>
    <row r="431" spans="1:7" x14ac:dyDescent="0.35">
      <c r="A431" s="7" t="s">
        <v>413</v>
      </c>
      <c r="B431" s="7" t="s">
        <v>896</v>
      </c>
      <c r="C431" s="7" t="s">
        <v>897</v>
      </c>
      <c r="D431" s="10">
        <v>45635</v>
      </c>
      <c r="E431" s="11" t="s">
        <v>888</v>
      </c>
      <c r="F431" s="7" t="s">
        <v>871</v>
      </c>
      <c r="G431" s="7" t="s">
        <v>891</v>
      </c>
    </row>
    <row r="432" spans="1:7" x14ac:dyDescent="0.35">
      <c r="A432" s="77" t="s">
        <v>360</v>
      </c>
      <c r="B432" s="77" t="s">
        <v>896</v>
      </c>
      <c r="C432" s="77" t="s">
        <v>897</v>
      </c>
      <c r="D432" s="78">
        <v>45635</v>
      </c>
      <c r="E432" s="79" t="s">
        <v>888</v>
      </c>
      <c r="F432" s="77" t="s">
        <v>877</v>
      </c>
      <c r="G432" s="77"/>
    </row>
    <row r="433" spans="1:7" x14ac:dyDescent="0.35">
      <c r="A433" s="7" t="s">
        <v>515</v>
      </c>
      <c r="B433" s="7" t="s">
        <v>896</v>
      </c>
      <c r="C433" s="7" t="s">
        <v>897</v>
      </c>
      <c r="D433" s="10">
        <v>45636</v>
      </c>
      <c r="E433" s="11" t="s">
        <v>888</v>
      </c>
      <c r="F433" s="7" t="s">
        <v>1080</v>
      </c>
      <c r="G433" s="7"/>
    </row>
    <row r="434" spans="1:7" x14ac:dyDescent="0.35">
      <c r="A434" s="7" t="s">
        <v>276</v>
      </c>
      <c r="B434" s="7" t="s">
        <v>896</v>
      </c>
      <c r="C434" s="7" t="s">
        <v>897</v>
      </c>
      <c r="D434" s="10">
        <v>45636</v>
      </c>
      <c r="E434" s="11" t="s">
        <v>888</v>
      </c>
      <c r="F434" s="7" t="s">
        <v>19</v>
      </c>
      <c r="G434" s="7"/>
    </row>
    <row r="435" spans="1:7" x14ac:dyDescent="0.35">
      <c r="A435" s="7" t="s">
        <v>465</v>
      </c>
      <c r="B435" s="7" t="s">
        <v>896</v>
      </c>
      <c r="C435" s="7" t="s">
        <v>897</v>
      </c>
      <c r="D435" s="10">
        <v>45636</v>
      </c>
      <c r="E435" s="11" t="s">
        <v>888</v>
      </c>
      <c r="F435" s="7" t="s">
        <v>877</v>
      </c>
      <c r="G435" s="7"/>
    </row>
    <row r="436" spans="1:7" x14ac:dyDescent="0.35">
      <c r="A436" s="7" t="s">
        <v>474</v>
      </c>
      <c r="B436" s="7" t="s">
        <v>896</v>
      </c>
      <c r="C436" s="7" t="s">
        <v>897</v>
      </c>
      <c r="D436" s="10">
        <v>45636</v>
      </c>
      <c r="E436" s="11" t="s">
        <v>888</v>
      </c>
      <c r="F436" s="7" t="s">
        <v>877</v>
      </c>
      <c r="G436" s="7"/>
    </row>
    <row r="437" spans="1:7" x14ac:dyDescent="0.35">
      <c r="A437" s="7" t="s">
        <v>458</v>
      </c>
      <c r="B437" s="7" t="s">
        <v>896</v>
      </c>
      <c r="C437" s="7" t="s">
        <v>897</v>
      </c>
      <c r="D437" s="10">
        <v>45636</v>
      </c>
      <c r="E437" s="11" t="s">
        <v>888</v>
      </c>
      <c r="F437" s="7" t="s">
        <v>877</v>
      </c>
      <c r="G437" s="7"/>
    </row>
    <row r="438" spans="1:7" x14ac:dyDescent="0.35">
      <c r="A438" s="7" t="s">
        <v>328</v>
      </c>
      <c r="B438" s="7" t="s">
        <v>896</v>
      </c>
      <c r="C438" s="7" t="s">
        <v>897</v>
      </c>
      <c r="D438" s="10">
        <v>45636</v>
      </c>
      <c r="E438" s="11" t="s">
        <v>888</v>
      </c>
      <c r="F438" s="7" t="s">
        <v>872</v>
      </c>
      <c r="G438" s="7" t="s">
        <v>891</v>
      </c>
    </row>
    <row r="439" spans="1:7" x14ac:dyDescent="0.35">
      <c r="A439" s="7" t="s">
        <v>276</v>
      </c>
      <c r="B439" s="7" t="s">
        <v>896</v>
      </c>
      <c r="C439" s="7" t="s">
        <v>897</v>
      </c>
      <c r="D439" s="10">
        <v>45636</v>
      </c>
      <c r="E439" s="11" t="s">
        <v>314</v>
      </c>
      <c r="F439" s="7" t="s">
        <v>871</v>
      </c>
      <c r="G439" s="7" t="s">
        <v>891</v>
      </c>
    </row>
    <row r="440" spans="1:7" x14ac:dyDescent="0.35">
      <c r="A440" s="7" t="s">
        <v>435</v>
      </c>
      <c r="B440" s="7" t="s">
        <v>896</v>
      </c>
      <c r="C440" s="7" t="s">
        <v>897</v>
      </c>
      <c r="D440" s="10">
        <v>45637</v>
      </c>
      <c r="E440" s="11" t="s">
        <v>888</v>
      </c>
      <c r="F440" s="7" t="s">
        <v>877</v>
      </c>
      <c r="G440" s="7"/>
    </row>
    <row r="441" spans="1:7" x14ac:dyDescent="0.35">
      <c r="A441" s="7" t="s">
        <v>436</v>
      </c>
      <c r="B441" s="7" t="s">
        <v>896</v>
      </c>
      <c r="C441" s="7" t="s">
        <v>897</v>
      </c>
      <c r="D441" s="10">
        <v>45637</v>
      </c>
      <c r="E441" s="11" t="s">
        <v>888</v>
      </c>
      <c r="F441" s="7" t="s">
        <v>877</v>
      </c>
      <c r="G441" s="7"/>
    </row>
    <row r="442" spans="1:7" x14ac:dyDescent="0.35">
      <c r="A442" s="7" t="s">
        <v>461</v>
      </c>
      <c r="B442" s="7" t="s">
        <v>896</v>
      </c>
      <c r="C442" s="7" t="s">
        <v>897</v>
      </c>
      <c r="D442" s="10">
        <v>45637</v>
      </c>
      <c r="E442" s="11" t="s">
        <v>888</v>
      </c>
      <c r="F442" s="7" t="s">
        <v>877</v>
      </c>
      <c r="G442" s="7"/>
    </row>
    <row r="443" spans="1:7" x14ac:dyDescent="0.35">
      <c r="A443" s="7" t="s">
        <v>428</v>
      </c>
      <c r="B443" s="7" t="s">
        <v>896</v>
      </c>
      <c r="C443" s="7" t="s">
        <v>897</v>
      </c>
      <c r="D443" s="10">
        <v>45637</v>
      </c>
      <c r="E443" s="11" t="s">
        <v>888</v>
      </c>
      <c r="F443" s="7" t="s">
        <v>27</v>
      </c>
      <c r="G443" s="7"/>
    </row>
    <row r="444" spans="1:7" x14ac:dyDescent="0.35">
      <c r="A444" s="7" t="s">
        <v>477</v>
      </c>
      <c r="B444" s="7" t="s">
        <v>896</v>
      </c>
      <c r="C444" s="7" t="s">
        <v>897</v>
      </c>
      <c r="D444" s="10">
        <v>45637</v>
      </c>
      <c r="E444" s="11" t="s">
        <v>888</v>
      </c>
      <c r="F444" s="7" t="s">
        <v>877</v>
      </c>
      <c r="G444" s="7"/>
    </row>
    <row r="445" spans="1:7" x14ac:dyDescent="0.35">
      <c r="A445" s="7" t="s">
        <v>299</v>
      </c>
      <c r="B445" s="7" t="s">
        <v>896</v>
      </c>
      <c r="C445" s="7" t="s">
        <v>897</v>
      </c>
      <c r="D445" s="10">
        <v>45637</v>
      </c>
      <c r="E445" s="11" t="s">
        <v>888</v>
      </c>
      <c r="F445" s="7" t="s">
        <v>871</v>
      </c>
      <c r="G445" s="7" t="s">
        <v>891</v>
      </c>
    </row>
    <row r="446" spans="1:7" x14ac:dyDescent="0.35">
      <c r="A446" s="7" t="s">
        <v>415</v>
      </c>
      <c r="B446" s="7" t="s">
        <v>896</v>
      </c>
      <c r="C446" s="7" t="s">
        <v>897</v>
      </c>
      <c r="D446" s="10">
        <v>45637</v>
      </c>
      <c r="E446" s="11" t="s">
        <v>888</v>
      </c>
      <c r="F446" s="7" t="s">
        <v>19</v>
      </c>
      <c r="G446" s="7"/>
    </row>
    <row r="447" spans="1:7" x14ac:dyDescent="0.35">
      <c r="A447" s="7" t="s">
        <v>503</v>
      </c>
      <c r="B447" s="7" t="s">
        <v>896</v>
      </c>
      <c r="C447" s="7" t="s">
        <v>897</v>
      </c>
      <c r="D447" s="10">
        <v>45637</v>
      </c>
      <c r="E447" s="11" t="s">
        <v>314</v>
      </c>
      <c r="F447" s="7" t="s">
        <v>871</v>
      </c>
      <c r="G447" s="7" t="s">
        <v>891</v>
      </c>
    </row>
    <row r="448" spans="1:7" x14ac:dyDescent="0.35">
      <c r="A448" s="7" t="s">
        <v>420</v>
      </c>
      <c r="B448" s="7" t="s">
        <v>896</v>
      </c>
      <c r="C448" s="7" t="s">
        <v>897</v>
      </c>
      <c r="D448" s="10">
        <v>45638</v>
      </c>
      <c r="E448" s="11" t="s">
        <v>888</v>
      </c>
      <c r="F448" s="7" t="s">
        <v>19</v>
      </c>
      <c r="G448" s="7"/>
    </row>
    <row r="449" spans="1:7" x14ac:dyDescent="0.35">
      <c r="A449" s="7" t="s">
        <v>426</v>
      </c>
      <c r="B449" s="7" t="s">
        <v>896</v>
      </c>
      <c r="C449" s="7" t="s">
        <v>897</v>
      </c>
      <c r="D449" s="10">
        <v>45638</v>
      </c>
      <c r="E449" s="11" t="s">
        <v>888</v>
      </c>
      <c r="F449" s="7" t="s">
        <v>27</v>
      </c>
      <c r="G449" s="7"/>
    </row>
    <row r="450" spans="1:7" x14ac:dyDescent="0.35">
      <c r="A450" s="7" t="s">
        <v>439</v>
      </c>
      <c r="B450" s="7" t="s">
        <v>896</v>
      </c>
      <c r="C450" s="7" t="s">
        <v>897</v>
      </c>
      <c r="D450" s="10">
        <v>45638</v>
      </c>
      <c r="E450" s="11" t="s">
        <v>888</v>
      </c>
      <c r="F450" s="7" t="s">
        <v>877</v>
      </c>
      <c r="G450" s="7"/>
    </row>
    <row r="451" spans="1:7" x14ac:dyDescent="0.35">
      <c r="A451" s="7" t="s">
        <v>440</v>
      </c>
      <c r="B451" s="7" t="s">
        <v>896</v>
      </c>
      <c r="C451" s="7" t="s">
        <v>897</v>
      </c>
      <c r="D451" s="10">
        <v>45638</v>
      </c>
      <c r="E451" s="11" t="s">
        <v>888</v>
      </c>
      <c r="F451" s="7" t="s">
        <v>877</v>
      </c>
      <c r="G451" s="7"/>
    </row>
    <row r="452" spans="1:7" x14ac:dyDescent="0.35">
      <c r="A452" s="7" t="s">
        <v>475</v>
      </c>
      <c r="B452" s="7" t="s">
        <v>896</v>
      </c>
      <c r="C452" s="7" t="s">
        <v>897</v>
      </c>
      <c r="D452" s="10">
        <v>45638</v>
      </c>
      <c r="E452" s="11" t="s">
        <v>888</v>
      </c>
      <c r="F452" s="7" t="s">
        <v>877</v>
      </c>
      <c r="G452" s="7"/>
    </row>
    <row r="453" spans="1:7" x14ac:dyDescent="0.35">
      <c r="A453" s="7" t="s">
        <v>476</v>
      </c>
      <c r="B453" s="7" t="s">
        <v>896</v>
      </c>
      <c r="C453" s="7" t="s">
        <v>897</v>
      </c>
      <c r="D453" s="10">
        <v>45638</v>
      </c>
      <c r="E453" s="11" t="s">
        <v>888</v>
      </c>
      <c r="F453" s="7" t="s">
        <v>877</v>
      </c>
      <c r="G453" s="7"/>
    </row>
    <row r="454" spans="1:7" x14ac:dyDescent="0.35">
      <c r="A454" s="7" t="s">
        <v>280</v>
      </c>
      <c r="B454" s="7" t="s">
        <v>896</v>
      </c>
      <c r="C454" s="7" t="s">
        <v>897</v>
      </c>
      <c r="D454" s="10">
        <v>45638</v>
      </c>
      <c r="E454" s="11" t="s">
        <v>888</v>
      </c>
      <c r="F454" s="7" t="s">
        <v>19</v>
      </c>
      <c r="G454" s="7"/>
    </row>
    <row r="455" spans="1:7" x14ac:dyDescent="0.35">
      <c r="A455" s="7" t="s">
        <v>384</v>
      </c>
      <c r="B455" s="7" t="s">
        <v>896</v>
      </c>
      <c r="C455" s="7" t="s">
        <v>897</v>
      </c>
      <c r="D455" s="10">
        <v>45638</v>
      </c>
      <c r="E455" s="11" t="s">
        <v>888</v>
      </c>
      <c r="F455" s="7" t="s">
        <v>877</v>
      </c>
      <c r="G455" s="7"/>
    </row>
    <row r="456" spans="1:7" x14ac:dyDescent="0.35">
      <c r="A456" s="7" t="s">
        <v>420</v>
      </c>
      <c r="B456" s="7" t="s">
        <v>896</v>
      </c>
      <c r="C456" s="7" t="s">
        <v>897</v>
      </c>
      <c r="D456" s="10">
        <v>45638</v>
      </c>
      <c r="E456" s="11" t="s">
        <v>314</v>
      </c>
      <c r="F456" s="7" t="s">
        <v>259</v>
      </c>
      <c r="G456" s="7" t="s">
        <v>902</v>
      </c>
    </row>
    <row r="457" spans="1:7" x14ac:dyDescent="0.35">
      <c r="A457" s="7" t="s">
        <v>438</v>
      </c>
      <c r="B457" s="7" t="s">
        <v>896</v>
      </c>
      <c r="C457" s="7" t="s">
        <v>897</v>
      </c>
      <c r="D457" s="10">
        <v>45639</v>
      </c>
      <c r="E457" s="11" t="s">
        <v>888</v>
      </c>
      <c r="F457" s="7" t="s">
        <v>877</v>
      </c>
      <c r="G457" s="7"/>
    </row>
    <row r="458" spans="1:7" x14ac:dyDescent="0.35">
      <c r="A458" s="7" t="s">
        <v>462</v>
      </c>
      <c r="B458" s="7" t="s">
        <v>896</v>
      </c>
      <c r="C458" s="7" t="s">
        <v>897</v>
      </c>
      <c r="D458" s="10">
        <v>45639</v>
      </c>
      <c r="E458" s="11" t="s">
        <v>888</v>
      </c>
      <c r="F458" s="7" t="s">
        <v>877</v>
      </c>
      <c r="G458" s="7"/>
    </row>
    <row r="459" spans="1:7" x14ac:dyDescent="0.35">
      <c r="A459" s="7" t="s">
        <v>463</v>
      </c>
      <c r="B459" s="7" t="s">
        <v>896</v>
      </c>
      <c r="C459" s="7" t="s">
        <v>897</v>
      </c>
      <c r="D459" s="10">
        <v>45639</v>
      </c>
      <c r="E459" s="11" t="s">
        <v>888</v>
      </c>
      <c r="F459" s="7" t="s">
        <v>877</v>
      </c>
      <c r="G459" s="7"/>
    </row>
    <row r="460" spans="1:7" x14ac:dyDescent="0.35">
      <c r="A460" s="7" t="s">
        <v>473</v>
      </c>
      <c r="B460" s="7" t="s">
        <v>896</v>
      </c>
      <c r="C460" s="7" t="s">
        <v>897</v>
      </c>
      <c r="D460" s="10">
        <v>45639</v>
      </c>
      <c r="E460" s="11" t="s">
        <v>888</v>
      </c>
      <c r="F460" s="7" t="s">
        <v>877</v>
      </c>
      <c r="G460" s="7"/>
    </row>
    <row r="461" spans="1:7" x14ac:dyDescent="0.35">
      <c r="A461" s="7" t="s">
        <v>478</v>
      </c>
      <c r="B461" s="7" t="s">
        <v>896</v>
      </c>
      <c r="C461" s="7" t="s">
        <v>897</v>
      </c>
      <c r="D461" s="10">
        <v>45639</v>
      </c>
      <c r="E461" s="11" t="s">
        <v>888</v>
      </c>
      <c r="F461" s="7" t="s">
        <v>877</v>
      </c>
      <c r="G461" s="7"/>
    </row>
    <row r="462" spans="1:7" x14ac:dyDescent="0.35">
      <c r="A462" s="7" t="s">
        <v>495</v>
      </c>
      <c r="B462" s="7" t="s">
        <v>896</v>
      </c>
      <c r="C462" s="7" t="s">
        <v>897</v>
      </c>
      <c r="D462" s="10">
        <v>45639</v>
      </c>
      <c r="E462" s="11" t="s">
        <v>314</v>
      </c>
      <c r="F462" s="7" t="s">
        <v>259</v>
      </c>
      <c r="G462" s="7" t="s">
        <v>902</v>
      </c>
    </row>
    <row r="463" spans="1:7" x14ac:dyDescent="0.35">
      <c r="A463" s="7" t="s">
        <v>302</v>
      </c>
      <c r="B463" s="7" t="s">
        <v>896</v>
      </c>
      <c r="C463" s="7" t="s">
        <v>897</v>
      </c>
      <c r="D463" s="10">
        <v>45640</v>
      </c>
      <c r="E463" s="11" t="s">
        <v>888</v>
      </c>
      <c r="F463" s="7" t="s">
        <v>19</v>
      </c>
      <c r="G463" s="7"/>
    </row>
    <row r="464" spans="1:7" x14ac:dyDescent="0.35">
      <c r="A464" s="7" t="s">
        <v>302</v>
      </c>
      <c r="B464" s="7" t="s">
        <v>896</v>
      </c>
      <c r="C464" s="7" t="s">
        <v>897</v>
      </c>
      <c r="D464" s="10">
        <v>45640</v>
      </c>
      <c r="E464" s="11" t="s">
        <v>888</v>
      </c>
      <c r="F464" s="7" t="s">
        <v>871</v>
      </c>
      <c r="G464" s="7" t="s">
        <v>891</v>
      </c>
    </row>
    <row r="465" spans="1:7" x14ac:dyDescent="0.35">
      <c r="A465" s="7" t="s">
        <v>424</v>
      </c>
      <c r="B465" s="7" t="s">
        <v>896</v>
      </c>
      <c r="C465" s="7" t="s">
        <v>897</v>
      </c>
      <c r="D465" s="10">
        <v>45642</v>
      </c>
      <c r="E465" s="11" t="s">
        <v>888</v>
      </c>
      <c r="F465" s="7" t="s">
        <v>871</v>
      </c>
      <c r="G465" s="7" t="s">
        <v>891</v>
      </c>
    </row>
    <row r="466" spans="1:7" x14ac:dyDescent="0.35">
      <c r="A466" s="7" t="s">
        <v>480</v>
      </c>
      <c r="B466" s="7" t="s">
        <v>896</v>
      </c>
      <c r="C466" s="7" t="s">
        <v>897</v>
      </c>
      <c r="D466" s="10">
        <v>45642</v>
      </c>
      <c r="E466" s="11" t="s">
        <v>888</v>
      </c>
      <c r="F466" s="7" t="s">
        <v>877</v>
      </c>
      <c r="G466" s="7"/>
    </row>
    <row r="467" spans="1:7" x14ac:dyDescent="0.35">
      <c r="A467" s="7" t="s">
        <v>481</v>
      </c>
      <c r="B467" s="7" t="s">
        <v>896</v>
      </c>
      <c r="C467" s="7" t="s">
        <v>897</v>
      </c>
      <c r="D467" s="10">
        <v>45642</v>
      </c>
      <c r="E467" s="11" t="s">
        <v>888</v>
      </c>
      <c r="F467" s="7" t="s">
        <v>877</v>
      </c>
      <c r="G467" s="7"/>
    </row>
    <row r="468" spans="1:7" x14ac:dyDescent="0.35">
      <c r="A468" s="7" t="s">
        <v>416</v>
      </c>
      <c r="B468" s="7" t="s">
        <v>896</v>
      </c>
      <c r="C468" s="7" t="s">
        <v>897</v>
      </c>
      <c r="D468" s="10">
        <v>45642</v>
      </c>
      <c r="E468" s="11" t="s">
        <v>888</v>
      </c>
      <c r="F468" s="7" t="s">
        <v>19</v>
      </c>
      <c r="G468" s="7"/>
    </row>
    <row r="469" spans="1:7" x14ac:dyDescent="0.35">
      <c r="A469" s="7" t="s">
        <v>416</v>
      </c>
      <c r="B469" s="7" t="s">
        <v>896</v>
      </c>
      <c r="C469" s="7" t="s">
        <v>897</v>
      </c>
      <c r="D469" s="10">
        <v>45642</v>
      </c>
      <c r="E469" s="11" t="s">
        <v>888</v>
      </c>
      <c r="F469" s="7" t="s">
        <v>871</v>
      </c>
      <c r="G469" s="7" t="s">
        <v>891</v>
      </c>
    </row>
    <row r="470" spans="1:7" x14ac:dyDescent="0.35">
      <c r="A470" s="7" t="s">
        <v>484</v>
      </c>
      <c r="B470" s="7" t="s">
        <v>896</v>
      </c>
      <c r="C470" s="7" t="s">
        <v>897</v>
      </c>
      <c r="D470" s="10">
        <v>45642</v>
      </c>
      <c r="E470" s="11" t="s">
        <v>888</v>
      </c>
      <c r="F470" s="7" t="s">
        <v>877</v>
      </c>
      <c r="G470" s="7"/>
    </row>
    <row r="471" spans="1:7" x14ac:dyDescent="0.35">
      <c r="A471" s="7" t="s">
        <v>485</v>
      </c>
      <c r="B471" s="7" t="s">
        <v>896</v>
      </c>
      <c r="C471" s="7" t="s">
        <v>897</v>
      </c>
      <c r="D471" s="10">
        <v>45642</v>
      </c>
      <c r="E471" s="11" t="s">
        <v>888</v>
      </c>
      <c r="F471" s="7" t="s">
        <v>877</v>
      </c>
      <c r="G471" s="7"/>
    </row>
    <row r="472" spans="1:7" x14ac:dyDescent="0.35">
      <c r="A472" s="7" t="s">
        <v>455</v>
      </c>
      <c r="B472" s="7" t="s">
        <v>896</v>
      </c>
      <c r="C472" s="7" t="s">
        <v>897</v>
      </c>
      <c r="D472" s="10">
        <v>45642</v>
      </c>
      <c r="E472" s="11" t="s">
        <v>888</v>
      </c>
      <c r="F472" s="7" t="s">
        <v>877</v>
      </c>
      <c r="G472" s="7"/>
    </row>
    <row r="473" spans="1:7" x14ac:dyDescent="0.35">
      <c r="A473" s="7" t="s">
        <v>457</v>
      </c>
      <c r="B473" s="7" t="s">
        <v>896</v>
      </c>
      <c r="C473" s="7" t="s">
        <v>897</v>
      </c>
      <c r="D473" s="10">
        <v>45642</v>
      </c>
      <c r="E473" s="11" t="s">
        <v>888</v>
      </c>
      <c r="F473" s="7" t="s">
        <v>877</v>
      </c>
      <c r="G473" s="7"/>
    </row>
    <row r="474" spans="1:7" x14ac:dyDescent="0.35">
      <c r="A474" s="7" t="s">
        <v>422</v>
      </c>
      <c r="B474" s="7" t="s">
        <v>896</v>
      </c>
      <c r="C474" s="7" t="s">
        <v>897</v>
      </c>
      <c r="D474" s="10">
        <v>45642</v>
      </c>
      <c r="E474" s="11" t="s">
        <v>888</v>
      </c>
      <c r="F474" s="7" t="s">
        <v>871</v>
      </c>
      <c r="G474" s="7" t="s">
        <v>891</v>
      </c>
    </row>
    <row r="475" spans="1:7" x14ac:dyDescent="0.35">
      <c r="A475" s="7" t="s">
        <v>422</v>
      </c>
      <c r="B475" s="7" t="s">
        <v>896</v>
      </c>
      <c r="C475" s="7" t="s">
        <v>897</v>
      </c>
      <c r="D475" s="10">
        <v>45642</v>
      </c>
      <c r="E475" s="11" t="s">
        <v>888</v>
      </c>
      <c r="F475" s="7" t="s">
        <v>19</v>
      </c>
      <c r="G475" s="7"/>
    </row>
    <row r="476" spans="1:7" x14ac:dyDescent="0.35">
      <c r="A476" s="7" t="s">
        <v>425</v>
      </c>
      <c r="B476" s="7" t="s">
        <v>896</v>
      </c>
      <c r="C476" s="7" t="s">
        <v>897</v>
      </c>
      <c r="D476" s="10">
        <v>45642</v>
      </c>
      <c r="E476" s="11" t="s">
        <v>888</v>
      </c>
      <c r="F476" s="7" t="s">
        <v>871</v>
      </c>
      <c r="G476" s="7" t="s">
        <v>891</v>
      </c>
    </row>
    <row r="477" spans="1:7" x14ac:dyDescent="0.35">
      <c r="A477" s="7" t="s">
        <v>425</v>
      </c>
      <c r="B477" s="7" t="s">
        <v>896</v>
      </c>
      <c r="C477" s="7" t="s">
        <v>897</v>
      </c>
      <c r="D477" s="10">
        <v>45642</v>
      </c>
      <c r="E477" s="11" t="s">
        <v>888</v>
      </c>
      <c r="F477" s="7" t="s">
        <v>19</v>
      </c>
      <c r="G477" s="7"/>
    </row>
    <row r="478" spans="1:7" x14ac:dyDescent="0.35">
      <c r="A478" s="7" t="s">
        <v>407</v>
      </c>
      <c r="B478" s="7" t="s">
        <v>896</v>
      </c>
      <c r="C478" s="7" t="s">
        <v>897</v>
      </c>
      <c r="D478" s="10">
        <v>45643</v>
      </c>
      <c r="E478" s="11" t="s">
        <v>888</v>
      </c>
      <c r="F478" s="7" t="s">
        <v>872</v>
      </c>
      <c r="G478" s="7" t="s">
        <v>891</v>
      </c>
    </row>
    <row r="479" spans="1:7" x14ac:dyDescent="0.35">
      <c r="A479" s="7" t="s">
        <v>437</v>
      </c>
      <c r="B479" s="7" t="s">
        <v>896</v>
      </c>
      <c r="C479" s="7" t="s">
        <v>897</v>
      </c>
      <c r="D479" s="10">
        <v>45643</v>
      </c>
      <c r="E479" s="11" t="s">
        <v>888</v>
      </c>
      <c r="F479" s="7" t="s">
        <v>877</v>
      </c>
      <c r="G479" s="7"/>
    </row>
    <row r="480" spans="1:7" x14ac:dyDescent="0.35">
      <c r="A480" s="7" t="s">
        <v>471</v>
      </c>
      <c r="B480" s="7" t="s">
        <v>896</v>
      </c>
      <c r="C480" s="7" t="s">
        <v>897</v>
      </c>
      <c r="D480" s="10">
        <v>45643</v>
      </c>
      <c r="E480" s="11" t="s">
        <v>888</v>
      </c>
      <c r="F480" s="7" t="s">
        <v>877</v>
      </c>
      <c r="G480" s="7"/>
    </row>
    <row r="481" spans="1:7" x14ac:dyDescent="0.35">
      <c r="A481" s="7" t="s">
        <v>479</v>
      </c>
      <c r="B481" s="7" t="s">
        <v>896</v>
      </c>
      <c r="C481" s="7" t="s">
        <v>897</v>
      </c>
      <c r="D481" s="10">
        <v>45643</v>
      </c>
      <c r="E481" s="11" t="s">
        <v>888</v>
      </c>
      <c r="F481" s="7" t="s">
        <v>877</v>
      </c>
      <c r="G481" s="7"/>
    </row>
    <row r="482" spans="1:7" x14ac:dyDescent="0.35">
      <c r="A482" s="7" t="s">
        <v>482</v>
      </c>
      <c r="B482" s="7" t="s">
        <v>896</v>
      </c>
      <c r="C482" s="7" t="s">
        <v>897</v>
      </c>
      <c r="D482" s="10">
        <v>45643</v>
      </c>
      <c r="E482" s="11" t="s">
        <v>888</v>
      </c>
      <c r="F482" s="7" t="s">
        <v>877</v>
      </c>
      <c r="G482" s="7"/>
    </row>
    <row r="483" spans="1:7" x14ac:dyDescent="0.35">
      <c r="A483" s="7" t="s">
        <v>483</v>
      </c>
      <c r="B483" s="7" t="s">
        <v>896</v>
      </c>
      <c r="C483" s="7" t="s">
        <v>897</v>
      </c>
      <c r="D483" s="10">
        <v>45643</v>
      </c>
      <c r="E483" s="11" t="s">
        <v>888</v>
      </c>
      <c r="F483" s="7" t="s">
        <v>877</v>
      </c>
      <c r="G483" s="7"/>
    </row>
    <row r="484" spans="1:7" x14ac:dyDescent="0.35">
      <c r="A484" s="7" t="s">
        <v>414</v>
      </c>
      <c r="B484" s="7" t="s">
        <v>896</v>
      </c>
      <c r="C484" s="7" t="s">
        <v>897</v>
      </c>
      <c r="D484" s="10">
        <v>45643</v>
      </c>
      <c r="E484" s="11" t="s">
        <v>888</v>
      </c>
      <c r="F484" s="7" t="s">
        <v>871</v>
      </c>
      <c r="G484" s="7" t="s">
        <v>891</v>
      </c>
    </row>
    <row r="485" spans="1:7" x14ac:dyDescent="0.35">
      <c r="A485" s="7" t="s">
        <v>496</v>
      </c>
      <c r="B485" s="7" t="s">
        <v>896</v>
      </c>
      <c r="C485" s="7" t="s">
        <v>897</v>
      </c>
      <c r="D485" s="10">
        <v>45644</v>
      </c>
      <c r="E485" s="11" t="s">
        <v>888</v>
      </c>
      <c r="F485" s="7" t="s">
        <v>19</v>
      </c>
      <c r="G485" s="7"/>
    </row>
    <row r="486" spans="1:7" x14ac:dyDescent="0.35">
      <c r="A486" s="7" t="s">
        <v>494</v>
      </c>
      <c r="B486" s="7" t="s">
        <v>896</v>
      </c>
      <c r="C486" s="7" t="s">
        <v>897</v>
      </c>
      <c r="D486" s="10">
        <v>45644</v>
      </c>
      <c r="E486" s="11" t="s">
        <v>888</v>
      </c>
      <c r="F486" s="7" t="s">
        <v>19</v>
      </c>
      <c r="G486" s="7"/>
    </row>
    <row r="487" spans="1:7" x14ac:dyDescent="0.35">
      <c r="A487" s="7" t="s">
        <v>429</v>
      </c>
      <c r="B487" s="7" t="s">
        <v>896</v>
      </c>
      <c r="C487" s="7" t="s">
        <v>897</v>
      </c>
      <c r="D487" s="10">
        <v>45644</v>
      </c>
      <c r="E487" s="11" t="s">
        <v>888</v>
      </c>
      <c r="F487" s="7" t="s">
        <v>894</v>
      </c>
      <c r="G487" s="7" t="s">
        <v>15</v>
      </c>
    </row>
    <row r="488" spans="1:7" x14ac:dyDescent="0.35">
      <c r="A488" s="7" t="s">
        <v>429</v>
      </c>
      <c r="B488" s="7" t="s">
        <v>896</v>
      </c>
      <c r="C488" s="7" t="s">
        <v>897</v>
      </c>
      <c r="D488" s="10">
        <v>45644</v>
      </c>
      <c r="E488" s="11" t="s">
        <v>888</v>
      </c>
      <c r="F488" s="7" t="s">
        <v>27</v>
      </c>
      <c r="G488" s="7"/>
    </row>
    <row r="489" spans="1:7" x14ac:dyDescent="0.35">
      <c r="A489" s="7" t="s">
        <v>466</v>
      </c>
      <c r="B489" s="7" t="s">
        <v>896</v>
      </c>
      <c r="C489" s="7" t="s">
        <v>897</v>
      </c>
      <c r="D489" s="10">
        <v>45644</v>
      </c>
      <c r="E489" s="11" t="s">
        <v>888</v>
      </c>
      <c r="F489" s="7" t="s">
        <v>877</v>
      </c>
      <c r="G489" s="7"/>
    </row>
    <row r="490" spans="1:7" x14ac:dyDescent="0.35">
      <c r="A490" s="7" t="s">
        <v>467</v>
      </c>
      <c r="B490" s="7" t="s">
        <v>896</v>
      </c>
      <c r="C490" s="7" t="s">
        <v>897</v>
      </c>
      <c r="D490" s="10">
        <v>45644</v>
      </c>
      <c r="E490" s="11" t="s">
        <v>888</v>
      </c>
      <c r="F490" s="7" t="s">
        <v>877</v>
      </c>
      <c r="G490" s="7"/>
    </row>
    <row r="491" spans="1:7" x14ac:dyDescent="0.35">
      <c r="A491" s="7" t="s">
        <v>520</v>
      </c>
      <c r="B491" s="7" t="s">
        <v>896</v>
      </c>
      <c r="C491" s="7" t="s">
        <v>897</v>
      </c>
      <c r="D491" s="10">
        <v>45644</v>
      </c>
      <c r="E491" s="11" t="s">
        <v>888</v>
      </c>
      <c r="F491" s="7" t="s">
        <v>1080</v>
      </c>
      <c r="G491" s="7"/>
    </row>
    <row r="492" spans="1:7" x14ac:dyDescent="0.35">
      <c r="A492" s="7" t="s">
        <v>524</v>
      </c>
      <c r="B492" s="7" t="s">
        <v>896</v>
      </c>
      <c r="C492" s="7" t="s">
        <v>897</v>
      </c>
      <c r="D492" s="10">
        <v>45644</v>
      </c>
      <c r="E492" s="11" t="s">
        <v>888</v>
      </c>
      <c r="F492" s="7" t="s">
        <v>1080</v>
      </c>
      <c r="G492" s="7"/>
    </row>
    <row r="493" spans="1:7" x14ac:dyDescent="0.35">
      <c r="A493" s="7" t="s">
        <v>519</v>
      </c>
      <c r="B493" s="7" t="s">
        <v>896</v>
      </c>
      <c r="C493" s="7" t="s">
        <v>897</v>
      </c>
      <c r="D493" s="10">
        <v>45644</v>
      </c>
      <c r="E493" s="11" t="s">
        <v>888</v>
      </c>
      <c r="F493" s="7" t="s">
        <v>1080</v>
      </c>
      <c r="G493" s="7"/>
    </row>
    <row r="494" spans="1:7" x14ac:dyDescent="0.35">
      <c r="A494" s="7" t="s">
        <v>523</v>
      </c>
      <c r="B494" s="7" t="s">
        <v>896</v>
      </c>
      <c r="C494" s="7" t="s">
        <v>897</v>
      </c>
      <c r="D494" s="10">
        <v>45644</v>
      </c>
      <c r="E494" s="11" t="s">
        <v>888</v>
      </c>
      <c r="F494" s="7" t="s">
        <v>1080</v>
      </c>
      <c r="G494" s="7"/>
    </row>
    <row r="495" spans="1:7" x14ac:dyDescent="0.35">
      <c r="A495" s="7" t="s">
        <v>386</v>
      </c>
      <c r="B495" s="7" t="s">
        <v>896</v>
      </c>
      <c r="C495" s="7" t="s">
        <v>897</v>
      </c>
      <c r="D495" s="10">
        <v>45644</v>
      </c>
      <c r="E495" s="11" t="s">
        <v>888</v>
      </c>
      <c r="F495" s="7" t="s">
        <v>871</v>
      </c>
      <c r="G495" s="7" t="s">
        <v>891</v>
      </c>
    </row>
    <row r="496" spans="1:7" x14ac:dyDescent="0.35">
      <c r="A496" s="77" t="s">
        <v>486</v>
      </c>
      <c r="B496" s="77" t="s">
        <v>896</v>
      </c>
      <c r="C496" s="77" t="s">
        <v>897</v>
      </c>
      <c r="D496" s="78">
        <v>45644</v>
      </c>
      <c r="E496" s="79" t="s">
        <v>888</v>
      </c>
      <c r="F496" s="77" t="s">
        <v>877</v>
      </c>
      <c r="G496" s="77"/>
    </row>
    <row r="497" spans="1:7" x14ac:dyDescent="0.35">
      <c r="A497" s="7" t="s">
        <v>496</v>
      </c>
      <c r="B497" s="7" t="s">
        <v>896</v>
      </c>
      <c r="C497" s="7" t="s">
        <v>897</v>
      </c>
      <c r="D497" s="10">
        <v>45644</v>
      </c>
      <c r="E497" s="11" t="s">
        <v>314</v>
      </c>
      <c r="F497" s="7" t="s">
        <v>872</v>
      </c>
      <c r="G497" s="7" t="s">
        <v>891</v>
      </c>
    </row>
    <row r="498" spans="1:7" x14ac:dyDescent="0.35">
      <c r="A498" s="7" t="s">
        <v>494</v>
      </c>
      <c r="B498" s="7" t="s">
        <v>896</v>
      </c>
      <c r="C498" s="7" t="s">
        <v>897</v>
      </c>
      <c r="D498" s="10">
        <v>45644</v>
      </c>
      <c r="E498" s="11" t="s">
        <v>314</v>
      </c>
      <c r="F498" s="7" t="s">
        <v>259</v>
      </c>
      <c r="G498" s="7" t="s">
        <v>902</v>
      </c>
    </row>
    <row r="499" spans="1:7" x14ac:dyDescent="0.35">
      <c r="A499" s="7" t="s">
        <v>464</v>
      </c>
      <c r="B499" s="7" t="s">
        <v>896</v>
      </c>
      <c r="C499" s="7" t="s">
        <v>897</v>
      </c>
      <c r="D499" s="10">
        <v>45645</v>
      </c>
      <c r="E499" s="11" t="s">
        <v>888</v>
      </c>
      <c r="F499" s="7" t="s">
        <v>877</v>
      </c>
      <c r="G499" s="7"/>
    </row>
    <row r="500" spans="1:7" x14ac:dyDescent="0.35">
      <c r="A500" s="7" t="s">
        <v>469</v>
      </c>
      <c r="B500" s="7" t="s">
        <v>896</v>
      </c>
      <c r="C500" s="7" t="s">
        <v>897</v>
      </c>
      <c r="D500" s="10">
        <v>45645</v>
      </c>
      <c r="E500" s="11" t="s">
        <v>888</v>
      </c>
      <c r="F500" s="7" t="s">
        <v>877</v>
      </c>
      <c r="G500" s="7"/>
    </row>
    <row r="501" spans="1:7" x14ac:dyDescent="0.35">
      <c r="A501" s="7" t="s">
        <v>470</v>
      </c>
      <c r="B501" s="7" t="s">
        <v>896</v>
      </c>
      <c r="C501" s="7" t="s">
        <v>897</v>
      </c>
      <c r="D501" s="10">
        <v>45645</v>
      </c>
      <c r="E501" s="11" t="s">
        <v>888</v>
      </c>
      <c r="F501" s="7" t="s">
        <v>877</v>
      </c>
      <c r="G501" s="7"/>
    </row>
    <row r="502" spans="1:7" x14ac:dyDescent="0.35">
      <c r="A502" s="7" t="s">
        <v>320</v>
      </c>
      <c r="B502" s="7" t="s">
        <v>896</v>
      </c>
      <c r="C502" s="7" t="s">
        <v>897</v>
      </c>
      <c r="D502" s="10">
        <v>45645</v>
      </c>
      <c r="E502" s="11" t="s">
        <v>888</v>
      </c>
      <c r="F502" s="7" t="s">
        <v>19</v>
      </c>
      <c r="G502" s="7"/>
    </row>
    <row r="503" spans="1:7" x14ac:dyDescent="0.35">
      <c r="A503" s="7" t="s">
        <v>418</v>
      </c>
      <c r="B503" s="7" t="s">
        <v>896</v>
      </c>
      <c r="C503" s="7" t="s">
        <v>897</v>
      </c>
      <c r="D503" s="10">
        <v>45645</v>
      </c>
      <c r="E503" s="11" t="s">
        <v>888</v>
      </c>
      <c r="F503" s="7" t="s">
        <v>871</v>
      </c>
      <c r="G503" s="7" t="s">
        <v>891</v>
      </c>
    </row>
    <row r="504" spans="1:7" x14ac:dyDescent="0.35">
      <c r="A504" s="7" t="s">
        <v>418</v>
      </c>
      <c r="B504" s="7" t="s">
        <v>896</v>
      </c>
      <c r="C504" s="7" t="s">
        <v>897</v>
      </c>
      <c r="D504" s="10">
        <v>45645</v>
      </c>
      <c r="E504" s="11" t="s">
        <v>888</v>
      </c>
      <c r="F504" s="7" t="s">
        <v>19</v>
      </c>
      <c r="G504" s="7"/>
    </row>
    <row r="505" spans="1:7" x14ac:dyDescent="0.35">
      <c r="A505" s="7" t="s">
        <v>516</v>
      </c>
      <c r="B505" s="7" t="s">
        <v>896</v>
      </c>
      <c r="C505" s="7" t="s">
        <v>897</v>
      </c>
      <c r="D505" s="10">
        <v>45646</v>
      </c>
      <c r="E505" s="11" t="s">
        <v>888</v>
      </c>
      <c r="F505" s="7" t="s">
        <v>1080</v>
      </c>
      <c r="G505" s="7"/>
    </row>
    <row r="506" spans="1:7" x14ac:dyDescent="0.35">
      <c r="A506" s="7" t="s">
        <v>518</v>
      </c>
      <c r="B506" s="7" t="s">
        <v>896</v>
      </c>
      <c r="C506" s="7" t="s">
        <v>897</v>
      </c>
      <c r="D506" s="10">
        <v>45646</v>
      </c>
      <c r="E506" s="11" t="s">
        <v>888</v>
      </c>
      <c r="F506" s="7" t="s">
        <v>1080</v>
      </c>
      <c r="G506" s="7"/>
    </row>
    <row r="507" spans="1:7" x14ac:dyDescent="0.35">
      <c r="A507" s="7" t="s">
        <v>423</v>
      </c>
      <c r="B507" s="7" t="s">
        <v>896</v>
      </c>
      <c r="C507" s="7" t="s">
        <v>897</v>
      </c>
      <c r="D507" s="10">
        <v>45647</v>
      </c>
      <c r="E507" s="11" t="s">
        <v>888</v>
      </c>
      <c r="F507" s="7" t="s">
        <v>19</v>
      </c>
      <c r="G507" s="7"/>
    </row>
    <row r="508" spans="1:7" x14ac:dyDescent="0.35">
      <c r="A508" s="7" t="s">
        <v>312</v>
      </c>
      <c r="B508" s="7" t="s">
        <v>896</v>
      </c>
      <c r="C508" s="7" t="s">
        <v>897</v>
      </c>
      <c r="D508" s="10">
        <v>45647</v>
      </c>
      <c r="E508" s="11" t="s">
        <v>888</v>
      </c>
      <c r="F508" s="7" t="s">
        <v>27</v>
      </c>
      <c r="G508" s="7"/>
    </row>
    <row r="509" spans="1:7" x14ac:dyDescent="0.35">
      <c r="A509" s="7" t="s">
        <v>472</v>
      </c>
      <c r="B509" s="7" t="s">
        <v>896</v>
      </c>
      <c r="C509" s="7" t="s">
        <v>897</v>
      </c>
      <c r="D509" s="10">
        <v>45647</v>
      </c>
      <c r="E509" s="11" t="s">
        <v>888</v>
      </c>
      <c r="F509" s="7" t="s">
        <v>877</v>
      </c>
      <c r="G509" s="7"/>
    </row>
    <row r="510" spans="1:7" x14ac:dyDescent="0.35">
      <c r="A510" s="7" t="s">
        <v>325</v>
      </c>
      <c r="B510" s="7" t="s">
        <v>896</v>
      </c>
      <c r="C510" s="7" t="s">
        <v>897</v>
      </c>
      <c r="D510" s="10">
        <v>45647</v>
      </c>
      <c r="E510" s="11" t="s">
        <v>888</v>
      </c>
      <c r="F510" s="7" t="s">
        <v>872</v>
      </c>
      <c r="G510" s="7" t="s">
        <v>891</v>
      </c>
    </row>
    <row r="511" spans="1:7" x14ac:dyDescent="0.35">
      <c r="A511" s="7" t="s">
        <v>298</v>
      </c>
      <c r="B511" s="7" t="s">
        <v>896</v>
      </c>
      <c r="C511" s="7" t="s">
        <v>897</v>
      </c>
      <c r="D511" s="10">
        <v>45647</v>
      </c>
      <c r="E511" s="11" t="s">
        <v>888</v>
      </c>
      <c r="F511" s="7" t="s">
        <v>19</v>
      </c>
      <c r="G511" s="7"/>
    </row>
    <row r="512" spans="1:7" x14ac:dyDescent="0.35">
      <c r="A512" s="7" t="s">
        <v>298</v>
      </c>
      <c r="B512" s="7" t="s">
        <v>896</v>
      </c>
      <c r="C512" s="7" t="s">
        <v>897</v>
      </c>
      <c r="D512" s="10">
        <v>45647</v>
      </c>
      <c r="E512" s="11" t="s">
        <v>888</v>
      </c>
      <c r="F512" s="7" t="s">
        <v>871</v>
      </c>
      <c r="G512" s="7" t="s">
        <v>891</v>
      </c>
    </row>
    <row r="513" spans="1:7" x14ac:dyDescent="0.35">
      <c r="A513" s="7" t="s">
        <v>421</v>
      </c>
      <c r="B513" s="7" t="s">
        <v>896</v>
      </c>
      <c r="C513" s="7" t="s">
        <v>897</v>
      </c>
      <c r="D513" s="10">
        <v>45647</v>
      </c>
      <c r="E513" s="11" t="s">
        <v>888</v>
      </c>
      <c r="F513" s="7" t="s">
        <v>872</v>
      </c>
      <c r="G513" s="7" t="s">
        <v>891</v>
      </c>
    </row>
    <row r="514" spans="1:7" x14ac:dyDescent="0.35">
      <c r="A514" s="7" t="s">
        <v>487</v>
      </c>
      <c r="B514" s="7" t="s">
        <v>896</v>
      </c>
      <c r="C514" s="7" t="s">
        <v>897</v>
      </c>
      <c r="D514" s="10">
        <v>45647</v>
      </c>
      <c r="E514" s="11" t="s">
        <v>888</v>
      </c>
      <c r="F514" s="7" t="s">
        <v>877</v>
      </c>
      <c r="G514" s="7"/>
    </row>
    <row r="515" spans="1:7" x14ac:dyDescent="0.35">
      <c r="A515" s="7" t="s">
        <v>419</v>
      </c>
      <c r="B515" s="7" t="s">
        <v>896</v>
      </c>
      <c r="C515" s="7" t="s">
        <v>897</v>
      </c>
      <c r="D515" s="10">
        <v>45647</v>
      </c>
      <c r="E515" s="11" t="s">
        <v>888</v>
      </c>
      <c r="F515" s="7" t="s">
        <v>19</v>
      </c>
      <c r="G515" s="7"/>
    </row>
    <row r="516" spans="1:7" x14ac:dyDescent="0.35">
      <c r="A516" s="7" t="s">
        <v>417</v>
      </c>
      <c r="B516" s="7" t="s">
        <v>896</v>
      </c>
      <c r="C516" s="7" t="s">
        <v>897</v>
      </c>
      <c r="D516" s="10">
        <v>45647</v>
      </c>
      <c r="E516" s="11" t="s">
        <v>888</v>
      </c>
      <c r="F516" s="7" t="s">
        <v>871</v>
      </c>
      <c r="G516" s="7" t="s">
        <v>891</v>
      </c>
    </row>
    <row r="517" spans="1:7" x14ac:dyDescent="0.35">
      <c r="A517" s="7" t="s">
        <v>417</v>
      </c>
      <c r="B517" s="7" t="s">
        <v>896</v>
      </c>
      <c r="C517" s="7" t="s">
        <v>897</v>
      </c>
      <c r="D517" s="10">
        <v>45647</v>
      </c>
      <c r="E517" s="11" t="s">
        <v>888</v>
      </c>
      <c r="F517" s="7" t="s">
        <v>19</v>
      </c>
      <c r="G517" s="7"/>
    </row>
    <row r="518" spans="1:7" x14ac:dyDescent="0.35">
      <c r="A518" s="77" t="s">
        <v>514</v>
      </c>
      <c r="B518" s="77" t="s">
        <v>896</v>
      </c>
      <c r="C518" s="77" t="s">
        <v>897</v>
      </c>
      <c r="D518" s="78">
        <v>45647</v>
      </c>
      <c r="E518" s="79" t="s">
        <v>888</v>
      </c>
      <c r="F518" s="77" t="s">
        <v>88</v>
      </c>
      <c r="G518" s="77" t="s">
        <v>22</v>
      </c>
    </row>
    <row r="519" spans="1:7" x14ac:dyDescent="0.35">
      <c r="A519" s="77" t="s">
        <v>527</v>
      </c>
      <c r="B519" s="77" t="s">
        <v>896</v>
      </c>
      <c r="C519" s="77" t="s">
        <v>897</v>
      </c>
      <c r="D519" s="78">
        <v>45647</v>
      </c>
      <c r="E519" s="79" t="s">
        <v>888</v>
      </c>
      <c r="F519" s="77" t="s">
        <v>88</v>
      </c>
      <c r="G519" s="77" t="s">
        <v>22</v>
      </c>
    </row>
    <row r="520" spans="1:7" x14ac:dyDescent="0.35">
      <c r="A520" s="7" t="s">
        <v>454</v>
      </c>
      <c r="B520" s="7" t="s">
        <v>896</v>
      </c>
      <c r="C520" s="7" t="s">
        <v>897</v>
      </c>
      <c r="D520" s="10">
        <v>45647</v>
      </c>
      <c r="E520" s="11" t="s">
        <v>314</v>
      </c>
      <c r="F520" s="7" t="s">
        <v>877</v>
      </c>
      <c r="G520" s="7"/>
    </row>
    <row r="521" spans="1:7" x14ac:dyDescent="0.35">
      <c r="A521" s="7" t="s">
        <v>320</v>
      </c>
      <c r="B521" s="7" t="s">
        <v>896</v>
      </c>
      <c r="C521" s="7" t="s">
        <v>897</v>
      </c>
      <c r="D521" s="10">
        <v>45647</v>
      </c>
      <c r="E521" s="11" t="s">
        <v>314</v>
      </c>
      <c r="F521" s="7" t="s">
        <v>872</v>
      </c>
      <c r="G521" s="7" t="s">
        <v>891</v>
      </c>
    </row>
    <row r="522" spans="1:7" x14ac:dyDescent="0.35">
      <c r="A522" s="7" t="s">
        <v>396</v>
      </c>
      <c r="B522" s="7" t="s">
        <v>896</v>
      </c>
      <c r="C522" s="7" t="s">
        <v>897</v>
      </c>
      <c r="D522" s="10">
        <v>45649</v>
      </c>
      <c r="E522" s="11" t="s">
        <v>888</v>
      </c>
      <c r="F522" s="7" t="s">
        <v>19</v>
      </c>
      <c r="G522" s="7"/>
    </row>
    <row r="523" spans="1:7" x14ac:dyDescent="0.35">
      <c r="A523" s="7" t="s">
        <v>500</v>
      </c>
      <c r="B523" s="7" t="s">
        <v>896</v>
      </c>
      <c r="C523" s="7" t="s">
        <v>897</v>
      </c>
      <c r="D523" s="10">
        <v>45649</v>
      </c>
      <c r="E523" s="11" t="s">
        <v>888</v>
      </c>
      <c r="F523" s="7" t="s">
        <v>19</v>
      </c>
      <c r="G523" s="7"/>
    </row>
    <row r="524" spans="1:7" x14ac:dyDescent="0.35">
      <c r="A524" s="7" t="s">
        <v>442</v>
      </c>
      <c r="B524" s="7" t="s">
        <v>896</v>
      </c>
      <c r="C524" s="7" t="s">
        <v>897</v>
      </c>
      <c r="D524" s="10">
        <v>45649</v>
      </c>
      <c r="E524" s="11" t="s">
        <v>888</v>
      </c>
      <c r="F524" s="7" t="s">
        <v>877</v>
      </c>
      <c r="G524" s="7"/>
    </row>
    <row r="525" spans="1:7" x14ac:dyDescent="0.35">
      <c r="A525" s="7" t="s">
        <v>497</v>
      </c>
      <c r="B525" s="7" t="s">
        <v>896</v>
      </c>
      <c r="C525" s="7" t="s">
        <v>897</v>
      </c>
      <c r="D525" s="10">
        <v>45649</v>
      </c>
      <c r="E525" s="11" t="s">
        <v>888</v>
      </c>
      <c r="F525" s="7" t="s">
        <v>19</v>
      </c>
      <c r="G525" s="7"/>
    </row>
    <row r="526" spans="1:7" x14ac:dyDescent="0.35">
      <c r="A526" s="7" t="s">
        <v>387</v>
      </c>
      <c r="B526" s="7" t="s">
        <v>896</v>
      </c>
      <c r="C526" s="7" t="s">
        <v>897</v>
      </c>
      <c r="D526" s="10">
        <v>45649</v>
      </c>
      <c r="E526" s="11" t="s">
        <v>888</v>
      </c>
      <c r="F526" s="7" t="s">
        <v>19</v>
      </c>
      <c r="G526" s="7"/>
    </row>
    <row r="527" spans="1:7" x14ac:dyDescent="0.35">
      <c r="A527" s="7" t="s">
        <v>387</v>
      </c>
      <c r="B527" s="7" t="s">
        <v>896</v>
      </c>
      <c r="C527" s="7" t="s">
        <v>897</v>
      </c>
      <c r="D527" s="10">
        <v>45649</v>
      </c>
      <c r="E527" s="11" t="s">
        <v>888</v>
      </c>
      <c r="F527" s="7" t="s">
        <v>871</v>
      </c>
      <c r="G527" s="7" t="s">
        <v>891</v>
      </c>
    </row>
    <row r="528" spans="1:7" x14ac:dyDescent="0.35">
      <c r="A528" s="7" t="s">
        <v>517</v>
      </c>
      <c r="B528" s="7" t="s">
        <v>896</v>
      </c>
      <c r="C528" s="7" t="s">
        <v>897</v>
      </c>
      <c r="D528" s="10">
        <v>45649</v>
      </c>
      <c r="E528" s="11" t="s">
        <v>888</v>
      </c>
      <c r="F528" s="7" t="s">
        <v>1080</v>
      </c>
      <c r="G528" s="7"/>
    </row>
    <row r="529" spans="1:7" x14ac:dyDescent="0.35">
      <c r="A529" s="7" t="s">
        <v>521</v>
      </c>
      <c r="B529" s="7" t="s">
        <v>896</v>
      </c>
      <c r="C529" s="7" t="s">
        <v>897</v>
      </c>
      <c r="D529" s="10">
        <v>45649</v>
      </c>
      <c r="E529" s="11" t="s">
        <v>888</v>
      </c>
      <c r="F529" s="7" t="s">
        <v>1080</v>
      </c>
      <c r="G529" s="7"/>
    </row>
    <row r="530" spans="1:7" x14ac:dyDescent="0.35">
      <c r="A530" s="7" t="s">
        <v>522</v>
      </c>
      <c r="B530" s="7" t="s">
        <v>896</v>
      </c>
      <c r="C530" s="7" t="s">
        <v>897</v>
      </c>
      <c r="D530" s="10">
        <v>45649</v>
      </c>
      <c r="E530" s="11" t="s">
        <v>888</v>
      </c>
      <c r="F530" s="7" t="s">
        <v>1080</v>
      </c>
      <c r="G530" s="7"/>
    </row>
    <row r="531" spans="1:7" x14ac:dyDescent="0.35">
      <c r="A531" s="7" t="s">
        <v>329</v>
      </c>
      <c r="B531" s="7" t="s">
        <v>896</v>
      </c>
      <c r="C531" s="7" t="s">
        <v>897</v>
      </c>
      <c r="D531" s="10">
        <v>45649</v>
      </c>
      <c r="E531" s="11" t="s">
        <v>888</v>
      </c>
      <c r="F531" s="7" t="s">
        <v>872</v>
      </c>
      <c r="G531" s="7" t="s">
        <v>891</v>
      </c>
    </row>
    <row r="532" spans="1:7" x14ac:dyDescent="0.35">
      <c r="A532" s="7" t="s">
        <v>443</v>
      </c>
      <c r="B532" s="7" t="s">
        <v>896</v>
      </c>
      <c r="C532" s="7" t="s">
        <v>897</v>
      </c>
      <c r="D532" s="10">
        <v>45649</v>
      </c>
      <c r="E532" s="11" t="s">
        <v>888</v>
      </c>
      <c r="F532" s="7" t="s">
        <v>877</v>
      </c>
      <c r="G532" s="7"/>
    </row>
    <row r="533" spans="1:7" x14ac:dyDescent="0.35">
      <c r="A533" s="7" t="s">
        <v>392</v>
      </c>
      <c r="B533" s="7" t="s">
        <v>896</v>
      </c>
      <c r="C533" s="7" t="s">
        <v>897</v>
      </c>
      <c r="D533" s="10">
        <v>45649</v>
      </c>
      <c r="E533" s="11" t="s">
        <v>888</v>
      </c>
      <c r="F533" s="7" t="s">
        <v>27</v>
      </c>
      <c r="G533" s="7"/>
    </row>
    <row r="534" spans="1:7" x14ac:dyDescent="0.35">
      <c r="A534" s="7" t="s">
        <v>499</v>
      </c>
      <c r="B534" s="7" t="s">
        <v>896</v>
      </c>
      <c r="C534" s="7" t="s">
        <v>897</v>
      </c>
      <c r="D534" s="10">
        <v>45649</v>
      </c>
      <c r="E534" s="11" t="s">
        <v>888</v>
      </c>
      <c r="F534" s="7" t="s">
        <v>19</v>
      </c>
      <c r="G534" s="7"/>
    </row>
    <row r="535" spans="1:7" x14ac:dyDescent="0.35">
      <c r="A535" s="7" t="s">
        <v>393</v>
      </c>
      <c r="B535" s="7" t="s">
        <v>896</v>
      </c>
      <c r="C535" s="7" t="s">
        <v>897</v>
      </c>
      <c r="D535" s="10">
        <v>45649</v>
      </c>
      <c r="E535" s="11" t="s">
        <v>888</v>
      </c>
      <c r="F535" s="7" t="s">
        <v>27</v>
      </c>
      <c r="G535" s="7"/>
    </row>
    <row r="536" spans="1:7" x14ac:dyDescent="0.35">
      <c r="A536" s="7" t="s">
        <v>510</v>
      </c>
      <c r="B536" s="7" t="s">
        <v>896</v>
      </c>
      <c r="C536" s="7" t="s">
        <v>897</v>
      </c>
      <c r="D536" s="10">
        <v>45649</v>
      </c>
      <c r="E536" s="11" t="s">
        <v>888</v>
      </c>
      <c r="F536" s="7" t="s">
        <v>259</v>
      </c>
      <c r="G536" s="7" t="s">
        <v>902</v>
      </c>
    </row>
    <row r="537" spans="1:7" x14ac:dyDescent="0.35">
      <c r="A537" s="7" t="s">
        <v>510</v>
      </c>
      <c r="B537" s="7" t="s">
        <v>896</v>
      </c>
      <c r="C537" s="7" t="s">
        <v>897</v>
      </c>
      <c r="D537" s="10">
        <v>45649</v>
      </c>
      <c r="E537" s="11" t="s">
        <v>888</v>
      </c>
      <c r="F537" s="7" t="s">
        <v>19</v>
      </c>
      <c r="G537" s="7"/>
    </row>
    <row r="538" spans="1:7" x14ac:dyDescent="0.35">
      <c r="A538" s="77" t="s">
        <v>528</v>
      </c>
      <c r="B538" s="77" t="s">
        <v>896</v>
      </c>
      <c r="C538" s="77" t="s">
        <v>897</v>
      </c>
      <c r="D538" s="78">
        <v>45649</v>
      </c>
      <c r="E538" s="79" t="s">
        <v>888</v>
      </c>
      <c r="F538" s="77" t="s">
        <v>88</v>
      </c>
      <c r="G538" s="77" t="s">
        <v>22</v>
      </c>
    </row>
    <row r="539" spans="1:7" x14ac:dyDescent="0.35">
      <c r="A539" s="7" t="s">
        <v>500</v>
      </c>
      <c r="B539" s="7" t="s">
        <v>896</v>
      </c>
      <c r="C539" s="7" t="s">
        <v>897</v>
      </c>
      <c r="D539" s="10">
        <v>45649</v>
      </c>
      <c r="E539" s="11" t="s">
        <v>314</v>
      </c>
      <c r="F539" s="7" t="s">
        <v>871</v>
      </c>
      <c r="G539" s="7" t="s">
        <v>891</v>
      </c>
    </row>
    <row r="540" spans="1:7" x14ac:dyDescent="0.35">
      <c r="A540" s="7" t="s">
        <v>497</v>
      </c>
      <c r="B540" s="7" t="s">
        <v>896</v>
      </c>
      <c r="C540" s="7" t="s">
        <v>897</v>
      </c>
      <c r="D540" s="10">
        <v>45649</v>
      </c>
      <c r="E540" s="11" t="s">
        <v>314</v>
      </c>
      <c r="F540" s="7" t="s">
        <v>872</v>
      </c>
      <c r="G540" s="7" t="s">
        <v>891</v>
      </c>
    </row>
    <row r="541" spans="1:7" x14ac:dyDescent="0.35">
      <c r="A541" s="7" t="s">
        <v>499</v>
      </c>
      <c r="B541" s="7" t="s">
        <v>896</v>
      </c>
      <c r="C541" s="7" t="s">
        <v>897</v>
      </c>
      <c r="D541" s="10">
        <v>45649</v>
      </c>
      <c r="E541" s="11" t="s">
        <v>314</v>
      </c>
      <c r="F541" s="7" t="s">
        <v>871</v>
      </c>
      <c r="G541" s="7" t="s">
        <v>891</v>
      </c>
    </row>
    <row r="542" spans="1:7" x14ac:dyDescent="0.35">
      <c r="A542" s="7" t="s">
        <v>391</v>
      </c>
      <c r="B542" s="7" t="s">
        <v>896</v>
      </c>
      <c r="C542" s="7" t="s">
        <v>897</v>
      </c>
      <c r="D542" s="10">
        <v>45650</v>
      </c>
      <c r="E542" s="11" t="s">
        <v>888</v>
      </c>
      <c r="F542" s="7" t="s">
        <v>27</v>
      </c>
      <c r="G542" s="7"/>
    </row>
    <row r="543" spans="1:7" x14ac:dyDescent="0.35">
      <c r="A543" s="7" t="s">
        <v>358</v>
      </c>
      <c r="B543" s="7" t="s">
        <v>896</v>
      </c>
      <c r="C543" s="7" t="s">
        <v>897</v>
      </c>
      <c r="D543" s="10">
        <v>45650</v>
      </c>
      <c r="E543" s="11" t="s">
        <v>888</v>
      </c>
      <c r="F543" s="7" t="s">
        <v>877</v>
      </c>
      <c r="G543" s="7"/>
    </row>
    <row r="544" spans="1:7" x14ac:dyDescent="0.35">
      <c r="A544" s="7" t="s">
        <v>530</v>
      </c>
      <c r="B544" s="7" t="s">
        <v>896</v>
      </c>
      <c r="C544" s="7" t="s">
        <v>897</v>
      </c>
      <c r="D544" s="10">
        <v>45650</v>
      </c>
      <c r="E544" s="11" t="s">
        <v>888</v>
      </c>
      <c r="F544" s="7" t="s">
        <v>1080</v>
      </c>
      <c r="G544" s="7"/>
    </row>
    <row r="545" spans="1:7" x14ac:dyDescent="0.35">
      <c r="A545" s="7" t="s">
        <v>538</v>
      </c>
      <c r="B545" s="7" t="s">
        <v>896</v>
      </c>
      <c r="C545" s="7" t="s">
        <v>897</v>
      </c>
      <c r="D545" s="10">
        <v>45650</v>
      </c>
      <c r="E545" s="11" t="s">
        <v>888</v>
      </c>
      <c r="F545" s="7" t="s">
        <v>1080</v>
      </c>
      <c r="G545" s="7"/>
    </row>
    <row r="546" spans="1:7" x14ac:dyDescent="0.35">
      <c r="A546" s="7" t="s">
        <v>444</v>
      </c>
      <c r="B546" s="7" t="s">
        <v>896</v>
      </c>
      <c r="C546" s="7" t="s">
        <v>897</v>
      </c>
      <c r="D546" s="10">
        <v>45650</v>
      </c>
      <c r="E546" s="11" t="s">
        <v>888</v>
      </c>
      <c r="F546" s="7" t="s">
        <v>877</v>
      </c>
      <c r="G546" s="7"/>
    </row>
    <row r="547" spans="1:7" x14ac:dyDescent="0.35">
      <c r="A547" s="7" t="s">
        <v>390</v>
      </c>
      <c r="B547" s="7" t="s">
        <v>896</v>
      </c>
      <c r="C547" s="7" t="s">
        <v>897</v>
      </c>
      <c r="D547" s="10">
        <v>45651</v>
      </c>
      <c r="E547" s="11" t="s">
        <v>888</v>
      </c>
      <c r="F547" s="7" t="s">
        <v>19</v>
      </c>
      <c r="G547" s="7"/>
    </row>
    <row r="548" spans="1:7" x14ac:dyDescent="0.35">
      <c r="A548" s="7" t="s">
        <v>390</v>
      </c>
      <c r="B548" s="7" t="s">
        <v>896</v>
      </c>
      <c r="C548" s="7" t="s">
        <v>897</v>
      </c>
      <c r="D548" s="10">
        <v>45651</v>
      </c>
      <c r="E548" s="11" t="s">
        <v>888</v>
      </c>
      <c r="F548" s="7" t="s">
        <v>871</v>
      </c>
      <c r="G548" s="7" t="s">
        <v>891</v>
      </c>
    </row>
    <row r="549" spans="1:7" x14ac:dyDescent="0.35">
      <c r="A549" s="7" t="s">
        <v>449</v>
      </c>
      <c r="B549" s="7" t="s">
        <v>896</v>
      </c>
      <c r="C549" s="7" t="s">
        <v>897</v>
      </c>
      <c r="D549" s="10">
        <v>45651</v>
      </c>
      <c r="E549" s="11" t="s">
        <v>888</v>
      </c>
      <c r="F549" s="7" t="s">
        <v>877</v>
      </c>
      <c r="G549" s="7"/>
    </row>
    <row r="550" spans="1:7" x14ac:dyDescent="0.35">
      <c r="A550" s="7" t="s">
        <v>332</v>
      </c>
      <c r="B550" s="7" t="s">
        <v>896</v>
      </c>
      <c r="C550" s="7" t="s">
        <v>897</v>
      </c>
      <c r="D550" s="10">
        <v>45651</v>
      </c>
      <c r="E550" s="11" t="s">
        <v>888</v>
      </c>
      <c r="F550" s="7" t="s">
        <v>872</v>
      </c>
      <c r="G550" s="7" t="s">
        <v>891</v>
      </c>
    </row>
    <row r="551" spans="1:7" x14ac:dyDescent="0.35">
      <c r="A551" s="7" t="s">
        <v>450</v>
      </c>
      <c r="B551" s="7" t="s">
        <v>896</v>
      </c>
      <c r="C551" s="7" t="s">
        <v>897</v>
      </c>
      <c r="D551" s="10">
        <v>45651</v>
      </c>
      <c r="E551" s="11" t="s">
        <v>888</v>
      </c>
      <c r="F551" s="7" t="s">
        <v>877</v>
      </c>
      <c r="G551" s="7"/>
    </row>
    <row r="552" spans="1:7" x14ac:dyDescent="0.35">
      <c r="A552" s="7" t="s">
        <v>401</v>
      </c>
      <c r="B552" s="7" t="s">
        <v>896</v>
      </c>
      <c r="C552" s="7" t="s">
        <v>897</v>
      </c>
      <c r="D552" s="10">
        <v>45651</v>
      </c>
      <c r="E552" s="11" t="s">
        <v>888</v>
      </c>
      <c r="F552" s="7" t="s">
        <v>27</v>
      </c>
      <c r="G552" s="7"/>
    </row>
    <row r="553" spans="1:7" x14ac:dyDescent="0.35">
      <c r="A553" s="7" t="s">
        <v>245</v>
      </c>
      <c r="B553" s="7" t="s">
        <v>896</v>
      </c>
      <c r="C553" s="7" t="s">
        <v>897</v>
      </c>
      <c r="D553" s="10">
        <v>45651</v>
      </c>
      <c r="E553" s="11" t="s">
        <v>888</v>
      </c>
      <c r="F553" s="7" t="s">
        <v>872</v>
      </c>
      <c r="G553" s="7" t="s">
        <v>891</v>
      </c>
    </row>
    <row r="554" spans="1:7" x14ac:dyDescent="0.35">
      <c r="A554" s="7" t="s">
        <v>452</v>
      </c>
      <c r="B554" s="7" t="s">
        <v>896</v>
      </c>
      <c r="C554" s="7" t="s">
        <v>897</v>
      </c>
      <c r="D554" s="10">
        <v>45651</v>
      </c>
      <c r="E554" s="11" t="s">
        <v>888</v>
      </c>
      <c r="F554" s="7" t="s">
        <v>877</v>
      </c>
      <c r="G554" s="7"/>
    </row>
    <row r="555" spans="1:7" x14ac:dyDescent="0.35">
      <c r="A555" s="7" t="s">
        <v>532</v>
      </c>
      <c r="B555" s="7" t="s">
        <v>896</v>
      </c>
      <c r="C555" s="7" t="s">
        <v>897</v>
      </c>
      <c r="D555" s="10">
        <v>45651</v>
      </c>
      <c r="E555" s="11" t="s">
        <v>888</v>
      </c>
      <c r="F555" s="7" t="s">
        <v>1080</v>
      </c>
      <c r="G555" s="7"/>
    </row>
    <row r="556" spans="1:7" x14ac:dyDescent="0.35">
      <c r="A556" s="7" t="s">
        <v>533</v>
      </c>
      <c r="B556" s="7" t="s">
        <v>896</v>
      </c>
      <c r="C556" s="7" t="s">
        <v>897</v>
      </c>
      <c r="D556" s="10">
        <v>45651</v>
      </c>
      <c r="E556" s="11" t="s">
        <v>888</v>
      </c>
      <c r="F556" s="7" t="s">
        <v>1080</v>
      </c>
      <c r="G556" s="7"/>
    </row>
    <row r="557" spans="1:7" x14ac:dyDescent="0.35">
      <c r="A557" s="7" t="s">
        <v>535</v>
      </c>
      <c r="B557" s="7" t="s">
        <v>896</v>
      </c>
      <c r="C557" s="7" t="s">
        <v>897</v>
      </c>
      <c r="D557" s="10">
        <v>45651</v>
      </c>
      <c r="E557" s="11" t="s">
        <v>888</v>
      </c>
      <c r="F557" s="7" t="s">
        <v>1080</v>
      </c>
      <c r="G557" s="7"/>
    </row>
    <row r="558" spans="1:7" x14ac:dyDescent="0.35">
      <c r="A558" s="7" t="s">
        <v>537</v>
      </c>
      <c r="B558" s="7" t="s">
        <v>896</v>
      </c>
      <c r="C558" s="7" t="s">
        <v>897</v>
      </c>
      <c r="D558" s="10">
        <v>45651</v>
      </c>
      <c r="E558" s="11" t="s">
        <v>888</v>
      </c>
      <c r="F558" s="7" t="s">
        <v>1080</v>
      </c>
      <c r="G558" s="7"/>
    </row>
    <row r="559" spans="1:7" x14ac:dyDescent="0.35">
      <c r="A559" s="7" t="s">
        <v>456</v>
      </c>
      <c r="B559" s="7" t="s">
        <v>896</v>
      </c>
      <c r="C559" s="7" t="s">
        <v>897</v>
      </c>
      <c r="D559" s="10">
        <v>45651</v>
      </c>
      <c r="E559" s="11" t="s">
        <v>888</v>
      </c>
      <c r="F559" s="7" t="s">
        <v>877</v>
      </c>
      <c r="G559" s="7"/>
    </row>
    <row r="560" spans="1:7" x14ac:dyDescent="0.35">
      <c r="A560" s="7" t="s">
        <v>267</v>
      </c>
      <c r="B560" s="7" t="s">
        <v>890</v>
      </c>
      <c r="C560" s="7">
        <v>84411</v>
      </c>
      <c r="D560" s="10">
        <v>45651</v>
      </c>
      <c r="E560" s="11" t="s">
        <v>888</v>
      </c>
      <c r="F560" s="7" t="s">
        <v>19</v>
      </c>
      <c r="G560" s="7"/>
    </row>
    <row r="561" spans="1:7" x14ac:dyDescent="0.35">
      <c r="A561" s="7" t="s">
        <v>415</v>
      </c>
      <c r="B561" s="7" t="s">
        <v>896</v>
      </c>
      <c r="C561" s="7" t="s">
        <v>897</v>
      </c>
      <c r="D561" s="10">
        <v>45651</v>
      </c>
      <c r="E561" s="11" t="s">
        <v>888</v>
      </c>
      <c r="F561" s="7" t="s">
        <v>871</v>
      </c>
      <c r="G561" s="7" t="s">
        <v>891</v>
      </c>
    </row>
    <row r="562" spans="1:7" x14ac:dyDescent="0.35">
      <c r="A562" s="7" t="s">
        <v>318</v>
      </c>
      <c r="B562" s="7" t="s">
        <v>896</v>
      </c>
      <c r="C562" s="7" t="s">
        <v>897</v>
      </c>
      <c r="D562" s="10">
        <v>45651</v>
      </c>
      <c r="E562" s="11" t="s">
        <v>888</v>
      </c>
      <c r="F562" s="7" t="s">
        <v>872</v>
      </c>
      <c r="G562" s="7" t="s">
        <v>891</v>
      </c>
    </row>
    <row r="563" spans="1:7" x14ac:dyDescent="0.35">
      <c r="A563" s="7" t="s">
        <v>318</v>
      </c>
      <c r="B563" s="7" t="s">
        <v>896</v>
      </c>
      <c r="C563" s="7" t="s">
        <v>897</v>
      </c>
      <c r="D563" s="10">
        <v>45651</v>
      </c>
      <c r="E563" s="11" t="s">
        <v>888</v>
      </c>
      <c r="F563" s="7" t="s">
        <v>19</v>
      </c>
      <c r="G563" s="7"/>
    </row>
    <row r="564" spans="1:7" x14ac:dyDescent="0.35">
      <c r="A564" s="7" t="s">
        <v>334</v>
      </c>
      <c r="B564" s="7" t="s">
        <v>896</v>
      </c>
      <c r="C564" s="7" t="s">
        <v>897</v>
      </c>
      <c r="D564" s="10">
        <v>45651</v>
      </c>
      <c r="E564" s="11" t="s">
        <v>314</v>
      </c>
      <c r="F564" s="7" t="s">
        <v>27</v>
      </c>
      <c r="G564" s="7"/>
    </row>
    <row r="565" spans="1:7" x14ac:dyDescent="0.35">
      <c r="A565" s="7" t="s">
        <v>511</v>
      </c>
      <c r="B565" s="7" t="s">
        <v>896</v>
      </c>
      <c r="C565" s="7" t="s">
        <v>897</v>
      </c>
      <c r="D565" s="10">
        <v>45651</v>
      </c>
      <c r="E565" s="11" t="s">
        <v>314</v>
      </c>
      <c r="F565" s="7" t="s">
        <v>894</v>
      </c>
      <c r="G565" s="7" t="s">
        <v>15</v>
      </c>
    </row>
    <row r="566" spans="1:7" x14ac:dyDescent="0.35">
      <c r="A566" s="7" t="s">
        <v>511</v>
      </c>
      <c r="B566" s="7" t="s">
        <v>896</v>
      </c>
      <c r="C566" s="7" t="s">
        <v>897</v>
      </c>
      <c r="D566" s="10">
        <v>45651</v>
      </c>
      <c r="E566" s="11" t="s">
        <v>314</v>
      </c>
      <c r="F566" s="7" t="s">
        <v>877</v>
      </c>
      <c r="G566" s="7"/>
    </row>
    <row r="567" spans="1:7" x14ac:dyDescent="0.35">
      <c r="A567" s="7" t="s">
        <v>267</v>
      </c>
      <c r="B567" s="7" t="s">
        <v>896</v>
      </c>
      <c r="C567" s="7" t="s">
        <v>897</v>
      </c>
      <c r="D567" s="10">
        <v>45651</v>
      </c>
      <c r="E567" s="11" t="s">
        <v>314</v>
      </c>
      <c r="F567" s="7" t="s">
        <v>872</v>
      </c>
      <c r="G567" s="7" t="s">
        <v>891</v>
      </c>
    </row>
    <row r="568" spans="1:7" x14ac:dyDescent="0.35">
      <c r="A568" s="7" t="s">
        <v>502</v>
      </c>
      <c r="B568" s="7" t="s">
        <v>896</v>
      </c>
      <c r="C568" s="7" t="s">
        <v>897</v>
      </c>
      <c r="D568" s="10">
        <v>45652</v>
      </c>
      <c r="E568" s="11" t="s">
        <v>888</v>
      </c>
      <c r="F568" s="7" t="s">
        <v>19</v>
      </c>
      <c r="G568" s="7"/>
    </row>
    <row r="569" spans="1:7" x14ac:dyDescent="0.35">
      <c r="A569" s="7" t="s">
        <v>506</v>
      </c>
      <c r="B569" s="7" t="s">
        <v>896</v>
      </c>
      <c r="C569" s="7" t="s">
        <v>897</v>
      </c>
      <c r="D569" s="10">
        <v>45652</v>
      </c>
      <c r="E569" s="11" t="s">
        <v>888</v>
      </c>
      <c r="F569" s="7" t="s">
        <v>19</v>
      </c>
      <c r="G569" s="7"/>
    </row>
    <row r="570" spans="1:7" x14ac:dyDescent="0.35">
      <c r="A570" s="7" t="s">
        <v>447</v>
      </c>
      <c r="B570" s="7" t="s">
        <v>896</v>
      </c>
      <c r="C570" s="7" t="s">
        <v>897</v>
      </c>
      <c r="D570" s="10">
        <v>45652</v>
      </c>
      <c r="E570" s="11" t="s">
        <v>888</v>
      </c>
      <c r="F570" s="7" t="s">
        <v>877</v>
      </c>
      <c r="G570" s="7"/>
    </row>
    <row r="571" spans="1:7" x14ac:dyDescent="0.35">
      <c r="A571" s="7" t="s">
        <v>529</v>
      </c>
      <c r="B571" s="7" t="s">
        <v>896</v>
      </c>
      <c r="C571" s="7" t="s">
        <v>897</v>
      </c>
      <c r="D571" s="10">
        <v>45652</v>
      </c>
      <c r="E571" s="11" t="s">
        <v>888</v>
      </c>
      <c r="F571" s="7" t="s">
        <v>1080</v>
      </c>
      <c r="G571" s="7"/>
    </row>
    <row r="572" spans="1:7" x14ac:dyDescent="0.35">
      <c r="A572" s="7" t="s">
        <v>531</v>
      </c>
      <c r="B572" s="7" t="s">
        <v>896</v>
      </c>
      <c r="C572" s="7" t="s">
        <v>897</v>
      </c>
      <c r="D572" s="10">
        <v>45652</v>
      </c>
      <c r="E572" s="11" t="s">
        <v>888</v>
      </c>
      <c r="F572" s="7" t="s">
        <v>1080</v>
      </c>
      <c r="G572" s="7"/>
    </row>
    <row r="573" spans="1:7" x14ac:dyDescent="0.35">
      <c r="A573" s="7" t="s">
        <v>534</v>
      </c>
      <c r="B573" s="7" t="s">
        <v>896</v>
      </c>
      <c r="C573" s="7" t="s">
        <v>897</v>
      </c>
      <c r="D573" s="10">
        <v>45652</v>
      </c>
      <c r="E573" s="11" t="s">
        <v>888</v>
      </c>
      <c r="F573" s="7" t="s">
        <v>1080</v>
      </c>
      <c r="G573" s="7"/>
    </row>
    <row r="574" spans="1:7" x14ac:dyDescent="0.35">
      <c r="A574" s="7" t="s">
        <v>536</v>
      </c>
      <c r="B574" s="7" t="s">
        <v>896</v>
      </c>
      <c r="C574" s="7" t="s">
        <v>897</v>
      </c>
      <c r="D574" s="10">
        <v>45652</v>
      </c>
      <c r="E574" s="11" t="s">
        <v>888</v>
      </c>
      <c r="F574" s="7" t="s">
        <v>1080</v>
      </c>
      <c r="G574" s="7"/>
    </row>
    <row r="575" spans="1:7" x14ac:dyDescent="0.35">
      <c r="A575" s="7" t="s">
        <v>9</v>
      </c>
      <c r="B575" s="7" t="s">
        <v>896</v>
      </c>
      <c r="C575" s="7" t="s">
        <v>897</v>
      </c>
      <c r="D575" s="10">
        <v>45652</v>
      </c>
      <c r="E575" s="11" t="s">
        <v>888</v>
      </c>
      <c r="F575" s="7" t="s">
        <v>1080</v>
      </c>
      <c r="G575" s="7"/>
    </row>
    <row r="576" spans="1:7" x14ac:dyDescent="0.35">
      <c r="A576" s="7" t="s">
        <v>540</v>
      </c>
      <c r="B576" s="7" t="s">
        <v>896</v>
      </c>
      <c r="C576" s="7" t="s">
        <v>897</v>
      </c>
      <c r="D576" s="10">
        <v>45652</v>
      </c>
      <c r="E576" s="11" t="s">
        <v>888</v>
      </c>
      <c r="F576" s="7" t="s">
        <v>1080</v>
      </c>
      <c r="G576" s="7"/>
    </row>
    <row r="577" spans="1:7" x14ac:dyDescent="0.35">
      <c r="A577" s="7" t="s">
        <v>330</v>
      </c>
      <c r="B577" s="7" t="s">
        <v>896</v>
      </c>
      <c r="C577" s="7" t="s">
        <v>897</v>
      </c>
      <c r="D577" s="10">
        <v>45652</v>
      </c>
      <c r="E577" s="11" t="s">
        <v>888</v>
      </c>
      <c r="F577" s="7" t="s">
        <v>872</v>
      </c>
      <c r="G577" s="7" t="s">
        <v>891</v>
      </c>
    </row>
    <row r="578" spans="1:7" x14ac:dyDescent="0.35">
      <c r="A578" s="7" t="s">
        <v>445</v>
      </c>
      <c r="B578" s="7" t="s">
        <v>896</v>
      </c>
      <c r="C578" s="7" t="s">
        <v>897</v>
      </c>
      <c r="D578" s="10">
        <v>45652</v>
      </c>
      <c r="E578" s="11" t="s">
        <v>314</v>
      </c>
      <c r="F578" s="7" t="s">
        <v>877</v>
      </c>
      <c r="G578" s="7"/>
    </row>
    <row r="579" spans="1:7" x14ac:dyDescent="0.35">
      <c r="A579" s="7" t="s">
        <v>502</v>
      </c>
      <c r="B579" s="7" t="s">
        <v>896</v>
      </c>
      <c r="C579" s="7" t="s">
        <v>897</v>
      </c>
      <c r="D579" s="10">
        <v>45652</v>
      </c>
      <c r="E579" s="11" t="s">
        <v>314</v>
      </c>
      <c r="F579" s="7" t="s">
        <v>259</v>
      </c>
      <c r="G579" s="7" t="s">
        <v>902</v>
      </c>
    </row>
    <row r="580" spans="1:7" x14ac:dyDescent="0.35">
      <c r="A580" s="7" t="s">
        <v>446</v>
      </c>
      <c r="B580" s="7" t="s">
        <v>896</v>
      </c>
      <c r="C580" s="7" t="s">
        <v>897</v>
      </c>
      <c r="D580" s="10">
        <v>45652</v>
      </c>
      <c r="E580" s="11" t="s">
        <v>314</v>
      </c>
      <c r="F580" s="7" t="s">
        <v>877</v>
      </c>
      <c r="G580" s="7"/>
    </row>
    <row r="581" spans="1:7" x14ac:dyDescent="0.35">
      <c r="A581" s="7" t="s">
        <v>506</v>
      </c>
      <c r="B581" s="7" t="s">
        <v>896</v>
      </c>
      <c r="C581" s="7" t="s">
        <v>897</v>
      </c>
      <c r="D581" s="10">
        <v>45652</v>
      </c>
      <c r="E581" s="11" t="s">
        <v>314</v>
      </c>
      <c r="F581" s="7" t="s">
        <v>871</v>
      </c>
      <c r="G581" s="7" t="s">
        <v>891</v>
      </c>
    </row>
    <row r="582" spans="1:7" x14ac:dyDescent="0.35">
      <c r="A582" s="7" t="s">
        <v>448</v>
      </c>
      <c r="B582" s="7" t="s">
        <v>896</v>
      </c>
      <c r="C582" s="7" t="s">
        <v>897</v>
      </c>
      <c r="D582" s="10">
        <v>45652</v>
      </c>
      <c r="E582" s="11" t="s">
        <v>314</v>
      </c>
      <c r="F582" s="7" t="s">
        <v>877</v>
      </c>
      <c r="G582" s="7"/>
    </row>
    <row r="583" spans="1:7" x14ac:dyDescent="0.35">
      <c r="A583" s="7" t="s">
        <v>460</v>
      </c>
      <c r="B583" s="7" t="s">
        <v>896</v>
      </c>
      <c r="C583" s="7" t="s">
        <v>897</v>
      </c>
      <c r="D583" s="10">
        <v>45652</v>
      </c>
      <c r="E583" s="11" t="s">
        <v>314</v>
      </c>
      <c r="F583" s="7" t="s">
        <v>877</v>
      </c>
      <c r="G583" s="7"/>
    </row>
    <row r="584" spans="1:7" x14ac:dyDescent="0.35">
      <c r="A584" s="7" t="s">
        <v>313</v>
      </c>
      <c r="B584" s="7" t="s">
        <v>896</v>
      </c>
      <c r="C584" s="7" t="s">
        <v>897</v>
      </c>
      <c r="D584" s="10">
        <v>45652</v>
      </c>
      <c r="E584" s="11" t="s">
        <v>314</v>
      </c>
      <c r="F584" s="7" t="s">
        <v>27</v>
      </c>
      <c r="G584" s="7"/>
    </row>
    <row r="585" spans="1:7" x14ac:dyDescent="0.35">
      <c r="A585" s="7" t="s">
        <v>541</v>
      </c>
      <c r="B585" s="7" t="s">
        <v>896</v>
      </c>
      <c r="C585" s="7" t="s">
        <v>897</v>
      </c>
      <c r="D585" s="10">
        <v>45653</v>
      </c>
      <c r="E585" s="11" t="s">
        <v>888</v>
      </c>
      <c r="F585" s="7" t="s">
        <v>1080</v>
      </c>
      <c r="G585" s="7"/>
    </row>
    <row r="586" spans="1:7" x14ac:dyDescent="0.35">
      <c r="A586" s="7" t="s">
        <v>262</v>
      </c>
      <c r="B586" s="7" t="s">
        <v>896</v>
      </c>
      <c r="C586" s="7" t="s">
        <v>897</v>
      </c>
      <c r="D586" s="10">
        <v>45653</v>
      </c>
      <c r="E586" s="11" t="s">
        <v>888</v>
      </c>
      <c r="F586" s="7" t="s">
        <v>1080</v>
      </c>
      <c r="G586" s="7"/>
    </row>
    <row r="587" spans="1:7" x14ac:dyDescent="0.35">
      <c r="A587" s="7" t="s">
        <v>501</v>
      </c>
      <c r="B587" s="7" t="s">
        <v>896</v>
      </c>
      <c r="C587" s="7" t="s">
        <v>897</v>
      </c>
      <c r="D587" s="10">
        <v>45653</v>
      </c>
      <c r="E587" s="11" t="s">
        <v>888</v>
      </c>
      <c r="F587" s="7" t="s">
        <v>19</v>
      </c>
      <c r="G587" s="7"/>
    </row>
    <row r="588" spans="1:7" x14ac:dyDescent="0.35">
      <c r="A588" s="7" t="s">
        <v>504</v>
      </c>
      <c r="B588" s="7" t="s">
        <v>896</v>
      </c>
      <c r="C588" s="7" t="s">
        <v>897</v>
      </c>
      <c r="D588" s="10">
        <v>45653</v>
      </c>
      <c r="E588" s="11" t="s">
        <v>888</v>
      </c>
      <c r="F588" s="7" t="s">
        <v>19</v>
      </c>
      <c r="G588" s="7"/>
    </row>
    <row r="589" spans="1:7" x14ac:dyDescent="0.35">
      <c r="A589" s="7" t="s">
        <v>544</v>
      </c>
      <c r="B589" s="7" t="s">
        <v>896</v>
      </c>
      <c r="C589" s="7" t="s">
        <v>897</v>
      </c>
      <c r="D589" s="10">
        <v>45653</v>
      </c>
      <c r="E589" s="11" t="s">
        <v>888</v>
      </c>
      <c r="F589" s="7" t="s">
        <v>19</v>
      </c>
      <c r="G589" s="7"/>
    </row>
    <row r="590" spans="1:7" x14ac:dyDescent="0.35">
      <c r="A590" s="7" t="s">
        <v>331</v>
      </c>
      <c r="B590" s="7" t="s">
        <v>896</v>
      </c>
      <c r="C590" s="7" t="s">
        <v>897</v>
      </c>
      <c r="D590" s="10">
        <v>45653</v>
      </c>
      <c r="E590" s="11" t="s">
        <v>888</v>
      </c>
      <c r="F590" s="7" t="s">
        <v>872</v>
      </c>
      <c r="G590" s="7" t="s">
        <v>891</v>
      </c>
    </row>
    <row r="591" spans="1:7" x14ac:dyDescent="0.35">
      <c r="A591" s="7" t="s">
        <v>543</v>
      </c>
      <c r="B591" s="7" t="s">
        <v>896</v>
      </c>
      <c r="C591" s="7" t="s">
        <v>897</v>
      </c>
      <c r="D591" s="10">
        <v>45653</v>
      </c>
      <c r="E591" s="11" t="s">
        <v>888</v>
      </c>
      <c r="F591" s="7" t="s">
        <v>1080</v>
      </c>
      <c r="G591" s="7"/>
    </row>
    <row r="592" spans="1:7" x14ac:dyDescent="0.35">
      <c r="A592" s="7" t="s">
        <v>542</v>
      </c>
      <c r="B592" s="7" t="s">
        <v>896</v>
      </c>
      <c r="C592" s="7" t="s">
        <v>897</v>
      </c>
      <c r="D592" s="10">
        <v>45653</v>
      </c>
      <c r="E592" s="11" t="s">
        <v>888</v>
      </c>
      <c r="F592" s="7" t="s">
        <v>1080</v>
      </c>
      <c r="G592" s="7"/>
    </row>
    <row r="593" spans="1:7" x14ac:dyDescent="0.35">
      <c r="A593" s="7" t="s">
        <v>539</v>
      </c>
      <c r="B593" s="7" t="s">
        <v>896</v>
      </c>
      <c r="C593" s="7" t="s">
        <v>897</v>
      </c>
      <c r="D593" s="10">
        <v>45653</v>
      </c>
      <c r="E593" s="11" t="s">
        <v>888</v>
      </c>
      <c r="F593" s="7" t="s">
        <v>1080</v>
      </c>
      <c r="G593" s="7"/>
    </row>
    <row r="594" spans="1:7" x14ac:dyDescent="0.35">
      <c r="A594" s="7" t="s">
        <v>508</v>
      </c>
      <c r="B594" s="7" t="s">
        <v>896</v>
      </c>
      <c r="C594" s="7" t="s">
        <v>897</v>
      </c>
      <c r="D594" s="10">
        <v>45653</v>
      </c>
      <c r="E594" s="11" t="s">
        <v>888</v>
      </c>
      <c r="F594" s="7" t="s">
        <v>19</v>
      </c>
      <c r="G594" s="7"/>
    </row>
    <row r="595" spans="1:7" x14ac:dyDescent="0.35">
      <c r="A595" s="7" t="s">
        <v>340</v>
      </c>
      <c r="B595" s="7" t="s">
        <v>896</v>
      </c>
      <c r="C595" s="7" t="s">
        <v>897</v>
      </c>
      <c r="D595" s="10">
        <v>45653</v>
      </c>
      <c r="E595" s="11" t="s">
        <v>888</v>
      </c>
      <c r="F595" s="7" t="s">
        <v>872</v>
      </c>
      <c r="G595" s="7" t="s">
        <v>891</v>
      </c>
    </row>
    <row r="596" spans="1:7" x14ac:dyDescent="0.35">
      <c r="A596" s="77" t="s">
        <v>239</v>
      </c>
      <c r="B596" s="77" t="s">
        <v>896</v>
      </c>
      <c r="C596" s="77" t="s">
        <v>897</v>
      </c>
      <c r="D596" s="78">
        <v>45653</v>
      </c>
      <c r="E596" s="79" t="s">
        <v>888</v>
      </c>
      <c r="F596" s="77" t="s">
        <v>871</v>
      </c>
      <c r="G596" s="77" t="s">
        <v>891</v>
      </c>
    </row>
    <row r="597" spans="1:7" x14ac:dyDescent="0.35">
      <c r="A597" s="7" t="s">
        <v>501</v>
      </c>
      <c r="B597" s="7" t="s">
        <v>896</v>
      </c>
      <c r="C597" s="7" t="s">
        <v>897</v>
      </c>
      <c r="D597" s="10">
        <v>45653</v>
      </c>
      <c r="E597" s="11" t="s">
        <v>314</v>
      </c>
      <c r="F597" s="7" t="s">
        <v>871</v>
      </c>
      <c r="G597" s="7" t="s">
        <v>891</v>
      </c>
    </row>
    <row r="598" spans="1:7" x14ac:dyDescent="0.35">
      <c r="A598" s="7" t="s">
        <v>504</v>
      </c>
      <c r="B598" s="7" t="s">
        <v>896</v>
      </c>
      <c r="C598" s="7" t="s">
        <v>897</v>
      </c>
      <c r="D598" s="10">
        <v>45653</v>
      </c>
      <c r="E598" s="11" t="s">
        <v>314</v>
      </c>
      <c r="F598" s="7" t="s">
        <v>871</v>
      </c>
      <c r="G598" s="7" t="s">
        <v>891</v>
      </c>
    </row>
    <row r="599" spans="1:7" x14ac:dyDescent="0.35">
      <c r="A599" s="7" t="s">
        <v>451</v>
      </c>
      <c r="B599" s="7" t="s">
        <v>896</v>
      </c>
      <c r="C599" s="7" t="s">
        <v>897</v>
      </c>
      <c r="D599" s="10">
        <v>45653</v>
      </c>
      <c r="E599" s="11" t="s">
        <v>314</v>
      </c>
      <c r="F599" s="7" t="s">
        <v>877</v>
      </c>
      <c r="G599" s="7"/>
    </row>
    <row r="600" spans="1:7" x14ac:dyDescent="0.35">
      <c r="A600" s="7" t="s">
        <v>459</v>
      </c>
      <c r="B600" s="7" t="s">
        <v>896</v>
      </c>
      <c r="C600" s="7" t="s">
        <v>897</v>
      </c>
      <c r="D600" s="10">
        <v>45653</v>
      </c>
      <c r="E600" s="11" t="s">
        <v>314</v>
      </c>
      <c r="F600" s="7" t="s">
        <v>877</v>
      </c>
      <c r="G600" s="7"/>
    </row>
    <row r="601" spans="1:7" x14ac:dyDescent="0.35">
      <c r="A601" s="7" t="s">
        <v>468</v>
      </c>
      <c r="B601" s="7" t="s">
        <v>896</v>
      </c>
      <c r="C601" s="7" t="s">
        <v>897</v>
      </c>
      <c r="D601" s="10">
        <v>45653</v>
      </c>
      <c r="E601" s="11" t="s">
        <v>314</v>
      </c>
      <c r="F601" s="7" t="s">
        <v>877</v>
      </c>
      <c r="G601" s="7"/>
    </row>
    <row r="602" spans="1:7" x14ac:dyDescent="0.35">
      <c r="A602" s="7" t="s">
        <v>508</v>
      </c>
      <c r="B602" s="7" t="s">
        <v>896</v>
      </c>
      <c r="C602" s="7" t="s">
        <v>897</v>
      </c>
      <c r="D602" s="10">
        <v>45653</v>
      </c>
      <c r="E602" s="11" t="s">
        <v>314</v>
      </c>
      <c r="F602" s="7" t="s">
        <v>871</v>
      </c>
      <c r="G602" s="7" t="s">
        <v>891</v>
      </c>
    </row>
    <row r="603" spans="1:7" x14ac:dyDescent="0.35">
      <c r="A603" s="7" t="s">
        <v>505</v>
      </c>
      <c r="B603" s="7" t="s">
        <v>896</v>
      </c>
      <c r="C603" s="7" t="s">
        <v>897</v>
      </c>
      <c r="D603" s="10">
        <v>45657</v>
      </c>
      <c r="E603" s="11" t="s">
        <v>888</v>
      </c>
      <c r="F603" s="7" t="s">
        <v>19</v>
      </c>
      <c r="G603" s="7"/>
    </row>
    <row r="604" spans="1:7" x14ac:dyDescent="0.35">
      <c r="A604" s="7" t="s">
        <v>637</v>
      </c>
      <c r="B604" s="7" t="s">
        <v>896</v>
      </c>
      <c r="C604" s="7" t="s">
        <v>897</v>
      </c>
      <c r="D604" s="10">
        <v>45657</v>
      </c>
      <c r="E604" s="11" t="s">
        <v>888</v>
      </c>
      <c r="F604" s="7" t="s">
        <v>872</v>
      </c>
      <c r="G604" s="7" t="s">
        <v>317</v>
      </c>
    </row>
    <row r="605" spans="1:7" x14ac:dyDescent="0.35">
      <c r="A605" s="77" t="s">
        <v>547</v>
      </c>
      <c r="B605" s="77" t="s">
        <v>896</v>
      </c>
      <c r="C605" s="77" t="s">
        <v>897</v>
      </c>
      <c r="D605" s="78">
        <v>45657</v>
      </c>
      <c r="E605" s="79" t="s">
        <v>888</v>
      </c>
      <c r="F605" s="77" t="s">
        <v>88</v>
      </c>
      <c r="G605" s="77" t="s">
        <v>22</v>
      </c>
    </row>
    <row r="606" spans="1:7" x14ac:dyDescent="0.35">
      <c r="A606" s="77" t="s">
        <v>545</v>
      </c>
      <c r="B606" s="77" t="s">
        <v>896</v>
      </c>
      <c r="C606" s="77" t="s">
        <v>897</v>
      </c>
      <c r="D606" s="78">
        <v>45657</v>
      </c>
      <c r="E606" s="79" t="s">
        <v>888</v>
      </c>
      <c r="F606" s="77" t="s">
        <v>88</v>
      </c>
      <c r="G606" s="77" t="s">
        <v>22</v>
      </c>
    </row>
    <row r="607" spans="1:7" x14ac:dyDescent="0.35">
      <c r="A607" s="7" t="s">
        <v>505</v>
      </c>
      <c r="B607" s="7" t="s">
        <v>896</v>
      </c>
      <c r="C607" s="7" t="s">
        <v>897</v>
      </c>
      <c r="D607" s="10">
        <v>45657</v>
      </c>
      <c r="E607" s="11" t="s">
        <v>314</v>
      </c>
      <c r="F607" s="7" t="s">
        <v>871</v>
      </c>
      <c r="G607" s="7" t="s">
        <v>891</v>
      </c>
    </row>
    <row r="608" spans="1:7" x14ac:dyDescent="0.35">
      <c r="A608" s="7" t="s">
        <v>509</v>
      </c>
      <c r="B608" s="7" t="s">
        <v>896</v>
      </c>
      <c r="C608" s="7" t="s">
        <v>897</v>
      </c>
      <c r="D608" s="10">
        <v>45657</v>
      </c>
      <c r="E608" s="11" t="s">
        <v>314</v>
      </c>
      <c r="F608" s="7" t="s">
        <v>871</v>
      </c>
      <c r="G608" s="7" t="s">
        <v>891</v>
      </c>
    </row>
    <row r="609" spans="1:7" x14ac:dyDescent="0.35">
      <c r="A609" s="7" t="s">
        <v>513</v>
      </c>
      <c r="B609" s="7" t="s">
        <v>896</v>
      </c>
      <c r="C609" s="7" t="s">
        <v>897</v>
      </c>
      <c r="D609" s="10">
        <v>45657</v>
      </c>
      <c r="E609" s="11" t="s">
        <v>314</v>
      </c>
      <c r="F609" s="7" t="s">
        <v>877</v>
      </c>
      <c r="G609" s="7"/>
    </row>
    <row r="610" spans="1:7" x14ac:dyDescent="0.35">
      <c r="A610" s="7" t="s">
        <v>453</v>
      </c>
      <c r="B610" s="7" t="s">
        <v>896</v>
      </c>
      <c r="C610" s="7" t="s">
        <v>897</v>
      </c>
      <c r="D610" s="10">
        <v>45657</v>
      </c>
      <c r="E610" s="11" t="s">
        <v>314</v>
      </c>
      <c r="F610" s="7" t="s">
        <v>877</v>
      </c>
      <c r="G610" s="7"/>
    </row>
    <row r="611" spans="1:7" x14ac:dyDescent="0.35">
      <c r="A611" s="7" t="s">
        <v>430</v>
      </c>
      <c r="B611" s="7" t="s">
        <v>896</v>
      </c>
      <c r="C611" s="7" t="s">
        <v>897</v>
      </c>
      <c r="D611" s="10">
        <v>45657</v>
      </c>
      <c r="E611" s="11" t="s">
        <v>314</v>
      </c>
      <c r="F611" s="7" t="s">
        <v>894</v>
      </c>
      <c r="G611" s="7" t="s">
        <v>15</v>
      </c>
    </row>
    <row r="612" spans="1:7" x14ac:dyDescent="0.35">
      <c r="A612" s="7" t="s">
        <v>430</v>
      </c>
      <c r="B612" s="7" t="s">
        <v>896</v>
      </c>
      <c r="C612" s="7" t="s">
        <v>897</v>
      </c>
      <c r="D612" s="10">
        <v>45657</v>
      </c>
      <c r="E612" s="11" t="s">
        <v>314</v>
      </c>
      <c r="F612" s="7" t="s">
        <v>27</v>
      </c>
      <c r="G612" s="7"/>
    </row>
    <row r="613" spans="1:7" x14ac:dyDescent="0.35">
      <c r="A613" s="7" t="s">
        <v>240</v>
      </c>
      <c r="B613" s="7" t="s">
        <v>896</v>
      </c>
      <c r="C613" s="7" t="s">
        <v>897</v>
      </c>
      <c r="D613" s="10">
        <v>45657</v>
      </c>
      <c r="E613" s="11" t="s">
        <v>314</v>
      </c>
      <c r="F613" s="7" t="s">
        <v>877</v>
      </c>
      <c r="G613" s="7"/>
    </row>
    <row r="614" spans="1:7" x14ac:dyDescent="0.35">
      <c r="A614" s="7" t="s">
        <v>509</v>
      </c>
      <c r="B614" s="7" t="s">
        <v>896</v>
      </c>
      <c r="C614" s="7" t="s">
        <v>897</v>
      </c>
      <c r="D614" s="10">
        <v>45658</v>
      </c>
      <c r="E614" s="11" t="s">
        <v>314</v>
      </c>
      <c r="F614" s="7" t="s">
        <v>19</v>
      </c>
      <c r="G614" s="7"/>
    </row>
    <row r="615" spans="1:7" x14ac:dyDescent="0.35">
      <c r="A615" s="7" t="s">
        <v>57</v>
      </c>
      <c r="B615" s="7" t="s">
        <v>890</v>
      </c>
      <c r="C615" s="7">
        <v>84411</v>
      </c>
      <c r="D615" s="10">
        <v>45658</v>
      </c>
      <c r="E615" s="11" t="s">
        <v>314</v>
      </c>
      <c r="F615" s="7" t="s">
        <v>19</v>
      </c>
      <c r="G615" s="7"/>
    </row>
    <row r="616" spans="1:7" x14ac:dyDescent="0.35">
      <c r="A616" s="77" t="s">
        <v>525</v>
      </c>
      <c r="B616" s="77" t="s">
        <v>896</v>
      </c>
      <c r="C616" s="77" t="s">
        <v>897</v>
      </c>
      <c r="D616" s="78">
        <v>45658</v>
      </c>
      <c r="E616" s="79" t="s">
        <v>314</v>
      </c>
      <c r="F616" s="77" t="s">
        <v>19</v>
      </c>
      <c r="G616" s="77"/>
    </row>
    <row r="617" spans="1:7" x14ac:dyDescent="0.35">
      <c r="A617" s="7" t="s">
        <v>264</v>
      </c>
      <c r="B617" s="7" t="s">
        <v>896</v>
      </c>
      <c r="C617" s="7" t="s">
        <v>897</v>
      </c>
      <c r="D617" s="10">
        <v>45664</v>
      </c>
      <c r="E617" s="11" t="s">
        <v>314</v>
      </c>
      <c r="F617" s="7" t="s">
        <v>872</v>
      </c>
      <c r="G617" s="7" t="s">
        <v>891</v>
      </c>
    </row>
    <row r="618" spans="1:7" x14ac:dyDescent="0.35">
      <c r="A618" s="7" t="s">
        <v>57</v>
      </c>
      <c r="B618" s="7" t="s">
        <v>896</v>
      </c>
      <c r="C618" s="7" t="s">
        <v>897</v>
      </c>
      <c r="D618" s="10">
        <v>45664</v>
      </c>
      <c r="E618" s="11" t="s">
        <v>314</v>
      </c>
      <c r="F618" s="7" t="s">
        <v>872</v>
      </c>
      <c r="G618" s="7" t="s">
        <v>891</v>
      </c>
    </row>
    <row r="619" spans="1:7" x14ac:dyDescent="0.35">
      <c r="A619" s="7" t="s">
        <v>333</v>
      </c>
      <c r="B619" s="7" t="s">
        <v>896</v>
      </c>
      <c r="C619" s="7" t="s">
        <v>897</v>
      </c>
      <c r="D619" s="10">
        <v>45676</v>
      </c>
      <c r="E619" s="11" t="s">
        <v>314</v>
      </c>
      <c r="F619" s="7" t="s">
        <v>872</v>
      </c>
      <c r="G619" s="7" t="s">
        <v>891</v>
      </c>
    </row>
    <row r="620" spans="1:7" x14ac:dyDescent="0.35">
      <c r="A620" s="7" t="s">
        <v>490</v>
      </c>
      <c r="B620" s="7" t="s">
        <v>896</v>
      </c>
      <c r="C620" s="7" t="s">
        <v>897</v>
      </c>
      <c r="D620" s="10">
        <v>45676</v>
      </c>
      <c r="E620" s="11" t="s">
        <v>314</v>
      </c>
      <c r="F620" s="7" t="s">
        <v>872</v>
      </c>
      <c r="G620" s="7" t="s">
        <v>891</v>
      </c>
    </row>
    <row r="621" spans="1:7" x14ac:dyDescent="0.35">
      <c r="A621" s="7" t="s">
        <v>129</v>
      </c>
      <c r="B621" s="7" t="s">
        <v>896</v>
      </c>
      <c r="C621" s="7" t="s">
        <v>897</v>
      </c>
      <c r="D621" s="10">
        <v>45693</v>
      </c>
      <c r="E621" s="11" t="s">
        <v>314</v>
      </c>
      <c r="F621" s="7" t="s">
        <v>871</v>
      </c>
      <c r="G621" s="7" t="s">
        <v>891</v>
      </c>
    </row>
    <row r="622" spans="1:7" x14ac:dyDescent="0.35">
      <c r="A622" s="77" t="s">
        <v>525</v>
      </c>
      <c r="B622" s="77" t="s">
        <v>896</v>
      </c>
      <c r="C622" s="77" t="s">
        <v>897</v>
      </c>
      <c r="D622" s="78">
        <v>45695</v>
      </c>
      <c r="E622" s="79" t="s">
        <v>314</v>
      </c>
      <c r="F622" s="77" t="s">
        <v>871</v>
      </c>
      <c r="G622" s="77" t="s">
        <v>891</v>
      </c>
    </row>
    <row r="623" spans="1:7" x14ac:dyDescent="0.35">
      <c r="A623" s="7" t="s">
        <v>398</v>
      </c>
      <c r="B623" s="7" t="s">
        <v>896</v>
      </c>
      <c r="C623" s="7" t="s">
        <v>897</v>
      </c>
      <c r="D623" s="10">
        <v>45696</v>
      </c>
      <c r="E623" s="11" t="s">
        <v>314</v>
      </c>
      <c r="F623" s="7" t="s">
        <v>19</v>
      </c>
      <c r="G623" s="7"/>
    </row>
    <row r="624" spans="1:7" x14ac:dyDescent="0.35">
      <c r="A624" s="7" t="s">
        <v>399</v>
      </c>
      <c r="B624" s="7" t="s">
        <v>896</v>
      </c>
      <c r="C624" s="7" t="s">
        <v>897</v>
      </c>
      <c r="D624" s="10">
        <v>45696</v>
      </c>
      <c r="E624" s="11" t="s">
        <v>314</v>
      </c>
      <c r="F624" s="7" t="s">
        <v>19</v>
      </c>
      <c r="G624" s="7"/>
    </row>
    <row r="625" spans="1:7" x14ac:dyDescent="0.35">
      <c r="A625" s="7" t="s">
        <v>550</v>
      </c>
      <c r="B625" s="7" t="s">
        <v>896</v>
      </c>
      <c r="C625" s="7" t="s">
        <v>897</v>
      </c>
      <c r="D625" s="10">
        <v>45699</v>
      </c>
      <c r="E625" s="11" t="s">
        <v>314</v>
      </c>
      <c r="F625" s="7" t="s">
        <v>19</v>
      </c>
      <c r="G625" s="7"/>
    </row>
    <row r="626" spans="1:7" x14ac:dyDescent="0.35">
      <c r="A626" s="77" t="s">
        <v>555</v>
      </c>
      <c r="B626" s="77" t="s">
        <v>896</v>
      </c>
      <c r="C626" s="77" t="s">
        <v>897</v>
      </c>
      <c r="D626" s="78">
        <v>45699</v>
      </c>
      <c r="E626" s="79" t="s">
        <v>314</v>
      </c>
      <c r="F626" s="77" t="s">
        <v>88</v>
      </c>
      <c r="G626" s="77" t="s">
        <v>22</v>
      </c>
    </row>
    <row r="627" spans="1:7" x14ac:dyDescent="0.35">
      <c r="A627" s="77" t="s">
        <v>556</v>
      </c>
      <c r="B627" s="77" t="s">
        <v>896</v>
      </c>
      <c r="C627" s="77" t="s">
        <v>897</v>
      </c>
      <c r="D627" s="78">
        <v>45699</v>
      </c>
      <c r="E627" s="79" t="s">
        <v>314</v>
      </c>
      <c r="F627" s="77" t="s">
        <v>88</v>
      </c>
      <c r="G627" s="77" t="s">
        <v>22</v>
      </c>
    </row>
    <row r="628" spans="1:7" x14ac:dyDescent="0.35">
      <c r="A628" s="77" t="s">
        <v>556</v>
      </c>
      <c r="B628" s="77" t="s">
        <v>896</v>
      </c>
      <c r="C628" s="77" t="s">
        <v>897</v>
      </c>
      <c r="D628" s="78">
        <v>45699</v>
      </c>
      <c r="E628" s="79" t="s">
        <v>314</v>
      </c>
      <c r="F628" s="77" t="s">
        <v>88</v>
      </c>
      <c r="G628" s="77" t="s">
        <v>22</v>
      </c>
    </row>
    <row r="629" spans="1:7" x14ac:dyDescent="0.35">
      <c r="A629" s="77" t="s">
        <v>556</v>
      </c>
      <c r="B629" s="77" t="s">
        <v>896</v>
      </c>
      <c r="C629" s="77" t="s">
        <v>897</v>
      </c>
      <c r="D629" s="78">
        <v>45699</v>
      </c>
      <c r="E629" s="79" t="s">
        <v>314</v>
      </c>
      <c r="F629" s="77" t="s">
        <v>88</v>
      </c>
      <c r="G629" s="77" t="s">
        <v>22</v>
      </c>
    </row>
    <row r="630" spans="1:7" x14ac:dyDescent="0.35">
      <c r="A630" s="7" t="s">
        <v>549</v>
      </c>
      <c r="B630" s="7" t="s">
        <v>896</v>
      </c>
      <c r="C630" s="7" t="s">
        <v>897</v>
      </c>
      <c r="D630" s="10">
        <v>45702</v>
      </c>
      <c r="E630" s="11" t="s">
        <v>314</v>
      </c>
      <c r="F630" s="7" t="s">
        <v>872</v>
      </c>
      <c r="G630" s="7" t="s">
        <v>891</v>
      </c>
    </row>
    <row r="631" spans="1:7" x14ac:dyDescent="0.35">
      <c r="A631" s="7" t="s">
        <v>549</v>
      </c>
      <c r="B631" s="7" t="s">
        <v>896</v>
      </c>
      <c r="C631" s="7" t="s">
        <v>897</v>
      </c>
      <c r="D631" s="10">
        <v>45702</v>
      </c>
      <c r="E631" s="11" t="s">
        <v>314</v>
      </c>
      <c r="F631" s="7" t="s">
        <v>19</v>
      </c>
      <c r="G631" s="7"/>
    </row>
    <row r="632" spans="1:7" x14ac:dyDescent="0.35">
      <c r="A632" s="7" t="s">
        <v>282</v>
      </c>
      <c r="B632" s="7" t="s">
        <v>896</v>
      </c>
      <c r="C632" s="7" t="s">
        <v>897</v>
      </c>
      <c r="D632" s="10">
        <v>45702</v>
      </c>
      <c r="E632" s="11" t="s">
        <v>314</v>
      </c>
      <c r="F632" s="7" t="s">
        <v>19</v>
      </c>
      <c r="G632" s="7"/>
    </row>
    <row r="633" spans="1:7" x14ac:dyDescent="0.35">
      <c r="A633" s="7" t="s">
        <v>282</v>
      </c>
      <c r="B633" s="7" t="s">
        <v>896</v>
      </c>
      <c r="C633" s="7" t="s">
        <v>897</v>
      </c>
      <c r="D633" s="10">
        <v>45702</v>
      </c>
      <c r="E633" s="11" t="s">
        <v>314</v>
      </c>
      <c r="F633" s="7" t="s">
        <v>871</v>
      </c>
      <c r="G633" s="7" t="s">
        <v>891</v>
      </c>
    </row>
    <row r="634" spans="1:7" x14ac:dyDescent="0.35">
      <c r="A634" s="7" t="s">
        <v>491</v>
      </c>
      <c r="B634" s="7" t="s">
        <v>896</v>
      </c>
      <c r="C634" s="7" t="s">
        <v>897</v>
      </c>
      <c r="D634" s="10">
        <v>45708</v>
      </c>
      <c r="E634" s="11" t="s">
        <v>314</v>
      </c>
      <c r="F634" s="7" t="s">
        <v>872</v>
      </c>
      <c r="G634" s="7" t="s">
        <v>891</v>
      </c>
    </row>
    <row r="635" spans="1:7" x14ac:dyDescent="0.35">
      <c r="A635" s="7" t="s">
        <v>563</v>
      </c>
      <c r="B635" s="7" t="s">
        <v>896</v>
      </c>
      <c r="C635" s="7" t="s">
        <v>897</v>
      </c>
      <c r="D635" s="10">
        <v>45715</v>
      </c>
      <c r="E635" s="11" t="s">
        <v>314</v>
      </c>
      <c r="F635" s="7" t="s">
        <v>19</v>
      </c>
      <c r="G635" s="7"/>
    </row>
    <row r="636" spans="1:7" x14ac:dyDescent="0.35">
      <c r="A636" s="7" t="s">
        <v>568</v>
      </c>
      <c r="B636" s="7" t="s">
        <v>896</v>
      </c>
      <c r="C636" s="7" t="s">
        <v>897</v>
      </c>
      <c r="D636" s="10">
        <v>45715</v>
      </c>
      <c r="E636" s="11" t="s">
        <v>314</v>
      </c>
      <c r="F636" s="7" t="s">
        <v>19</v>
      </c>
      <c r="G636" s="7"/>
    </row>
    <row r="637" spans="1:7" x14ac:dyDescent="0.35">
      <c r="A637" s="7" t="s">
        <v>561</v>
      </c>
      <c r="B637" s="7" t="s">
        <v>896</v>
      </c>
      <c r="C637" s="7" t="s">
        <v>897</v>
      </c>
      <c r="D637" s="10">
        <v>45715</v>
      </c>
      <c r="E637" s="11" t="s">
        <v>314</v>
      </c>
      <c r="F637" s="7" t="s">
        <v>19</v>
      </c>
      <c r="G637" s="7"/>
    </row>
    <row r="638" spans="1:7" x14ac:dyDescent="0.35">
      <c r="A638" s="7" t="s">
        <v>564</v>
      </c>
      <c r="B638" s="7" t="s">
        <v>896</v>
      </c>
      <c r="C638" s="7" t="s">
        <v>897</v>
      </c>
      <c r="D638" s="10">
        <v>45715</v>
      </c>
      <c r="E638" s="11" t="s">
        <v>314</v>
      </c>
      <c r="F638" s="7" t="s">
        <v>19</v>
      </c>
      <c r="G638" s="7"/>
    </row>
    <row r="639" spans="1:7" x14ac:dyDescent="0.35">
      <c r="A639" s="7" t="s">
        <v>512</v>
      </c>
      <c r="B639" s="7" t="s">
        <v>896</v>
      </c>
      <c r="C639" s="7" t="s">
        <v>897</v>
      </c>
      <c r="D639" s="10">
        <v>45715</v>
      </c>
      <c r="E639" s="11" t="s">
        <v>314</v>
      </c>
      <c r="F639" s="7" t="s">
        <v>877</v>
      </c>
      <c r="G639" s="7"/>
    </row>
    <row r="640" spans="1:7" x14ac:dyDescent="0.35">
      <c r="A640" s="7" t="s">
        <v>512</v>
      </c>
      <c r="B640" s="7" t="s">
        <v>896</v>
      </c>
      <c r="C640" s="7" t="s">
        <v>897</v>
      </c>
      <c r="D640" s="10">
        <v>45715</v>
      </c>
      <c r="E640" s="11" t="s">
        <v>314</v>
      </c>
      <c r="F640" s="7" t="s">
        <v>894</v>
      </c>
      <c r="G640" s="7" t="s">
        <v>15</v>
      </c>
    </row>
    <row r="641" spans="1:7" x14ac:dyDescent="0.35">
      <c r="A641" s="7" t="s">
        <v>171</v>
      </c>
      <c r="B641" s="7" t="s">
        <v>896</v>
      </c>
      <c r="C641" s="7" t="s">
        <v>897</v>
      </c>
      <c r="D641" s="10">
        <v>45715</v>
      </c>
      <c r="E641" s="11" t="s">
        <v>314</v>
      </c>
      <c r="F641" s="7" t="s">
        <v>1080</v>
      </c>
      <c r="G641" s="7"/>
    </row>
    <row r="642" spans="1:7" x14ac:dyDescent="0.35">
      <c r="A642" s="7" t="s">
        <v>552</v>
      </c>
      <c r="B642" s="7" t="s">
        <v>896</v>
      </c>
      <c r="C642" s="7" t="s">
        <v>897</v>
      </c>
      <c r="D642" s="10">
        <v>45715</v>
      </c>
      <c r="E642" s="11" t="s">
        <v>314</v>
      </c>
      <c r="F642" s="7" t="s">
        <v>1080</v>
      </c>
      <c r="G642" s="7"/>
    </row>
    <row r="643" spans="1:7" x14ac:dyDescent="0.35">
      <c r="A643" s="7" t="s">
        <v>553</v>
      </c>
      <c r="B643" s="7" t="s">
        <v>896</v>
      </c>
      <c r="C643" s="7" t="s">
        <v>897</v>
      </c>
      <c r="D643" s="10">
        <v>45715</v>
      </c>
      <c r="E643" s="11" t="s">
        <v>314</v>
      </c>
      <c r="F643" s="7" t="s">
        <v>1080</v>
      </c>
      <c r="G643" s="7"/>
    </row>
    <row r="644" spans="1:7" x14ac:dyDescent="0.35">
      <c r="A644" s="7" t="s">
        <v>554</v>
      </c>
      <c r="B644" s="7" t="s">
        <v>896</v>
      </c>
      <c r="C644" s="7" t="s">
        <v>897</v>
      </c>
      <c r="D644" s="10">
        <v>45715</v>
      </c>
      <c r="E644" s="11" t="s">
        <v>314</v>
      </c>
      <c r="F644" s="7" t="s">
        <v>1080</v>
      </c>
      <c r="G644" s="7"/>
    </row>
    <row r="645" spans="1:7" x14ac:dyDescent="0.35">
      <c r="A645" s="7" t="s">
        <v>322</v>
      </c>
      <c r="B645" s="7" t="s">
        <v>896</v>
      </c>
      <c r="C645" s="7" t="s">
        <v>897</v>
      </c>
      <c r="D645" s="10">
        <v>45715</v>
      </c>
      <c r="E645" s="11" t="s">
        <v>314</v>
      </c>
      <c r="F645" s="7" t="s">
        <v>19</v>
      </c>
      <c r="G645" s="7"/>
    </row>
    <row r="646" spans="1:7" x14ac:dyDescent="0.35">
      <c r="A646" s="7" t="s">
        <v>551</v>
      </c>
      <c r="B646" s="7" t="s">
        <v>896</v>
      </c>
      <c r="C646" s="7" t="s">
        <v>897</v>
      </c>
      <c r="D646" s="10">
        <v>45715</v>
      </c>
      <c r="E646" s="11" t="s">
        <v>314</v>
      </c>
      <c r="F646" s="7" t="s">
        <v>1080</v>
      </c>
      <c r="G646" s="7"/>
    </row>
    <row r="647" spans="1:7" x14ac:dyDescent="0.35">
      <c r="A647" s="77" t="s">
        <v>903</v>
      </c>
      <c r="B647" s="77" t="s">
        <v>896</v>
      </c>
      <c r="C647" s="77" t="s">
        <v>897</v>
      </c>
      <c r="D647" s="78">
        <v>45720</v>
      </c>
      <c r="E647" s="79" t="s">
        <v>314</v>
      </c>
      <c r="F647" s="77" t="s">
        <v>867</v>
      </c>
      <c r="G647" s="77"/>
    </row>
    <row r="648" spans="1:7" x14ac:dyDescent="0.35">
      <c r="A648" s="77" t="s">
        <v>904</v>
      </c>
      <c r="B648" s="77" t="s">
        <v>896</v>
      </c>
      <c r="C648" s="77" t="s">
        <v>897</v>
      </c>
      <c r="D648" s="78">
        <v>45720</v>
      </c>
      <c r="E648" s="79" t="s">
        <v>314</v>
      </c>
      <c r="F648" s="77" t="s">
        <v>867</v>
      </c>
      <c r="G648" s="77"/>
    </row>
    <row r="649" spans="1:7" x14ac:dyDescent="0.35">
      <c r="A649" s="77" t="s">
        <v>905</v>
      </c>
      <c r="B649" s="77" t="s">
        <v>896</v>
      </c>
      <c r="C649" s="77" t="s">
        <v>897</v>
      </c>
      <c r="D649" s="78">
        <v>45720</v>
      </c>
      <c r="E649" s="79" t="s">
        <v>314</v>
      </c>
      <c r="F649" s="77" t="s">
        <v>867</v>
      </c>
      <c r="G649" s="77"/>
    </row>
    <row r="650" spans="1:7" x14ac:dyDescent="0.35">
      <c r="A650" s="77" t="s">
        <v>906</v>
      </c>
      <c r="B650" s="77" t="s">
        <v>896</v>
      </c>
      <c r="C650" s="77" t="s">
        <v>897</v>
      </c>
      <c r="D650" s="78">
        <v>45720</v>
      </c>
      <c r="E650" s="79" t="s">
        <v>314</v>
      </c>
      <c r="F650" s="77" t="s">
        <v>867</v>
      </c>
      <c r="G650" s="77"/>
    </row>
    <row r="651" spans="1:7" x14ac:dyDescent="0.35">
      <c r="A651" s="77" t="s">
        <v>907</v>
      </c>
      <c r="B651" s="77" t="s">
        <v>896</v>
      </c>
      <c r="C651" s="77" t="s">
        <v>897</v>
      </c>
      <c r="D651" s="78">
        <v>45720</v>
      </c>
      <c r="E651" s="79" t="s">
        <v>314</v>
      </c>
      <c r="F651" s="77" t="s">
        <v>867</v>
      </c>
      <c r="G651" s="77"/>
    </row>
    <row r="652" spans="1:7" x14ac:dyDescent="0.35">
      <c r="A652" s="7" t="s">
        <v>582</v>
      </c>
      <c r="B652" s="7" t="s">
        <v>908</v>
      </c>
      <c r="C652" s="7" t="s">
        <v>374</v>
      </c>
      <c r="D652" s="10">
        <v>45721</v>
      </c>
      <c r="E652" s="11" t="s">
        <v>314</v>
      </c>
      <c r="F652" s="7" t="s">
        <v>877</v>
      </c>
      <c r="G652" s="7"/>
    </row>
    <row r="653" spans="1:7" x14ac:dyDescent="0.35">
      <c r="A653" s="7" t="s">
        <v>224</v>
      </c>
      <c r="B653" s="7" t="s">
        <v>908</v>
      </c>
      <c r="C653" s="7" t="s">
        <v>374</v>
      </c>
      <c r="D653" s="10">
        <v>45721</v>
      </c>
      <c r="E653" s="11" t="s">
        <v>314</v>
      </c>
      <c r="F653" s="7" t="s">
        <v>877</v>
      </c>
      <c r="G653" s="7"/>
    </row>
    <row r="654" spans="1:7" x14ac:dyDescent="0.35">
      <c r="A654" s="7" t="s">
        <v>432</v>
      </c>
      <c r="B654" s="7" t="s">
        <v>896</v>
      </c>
      <c r="C654" s="7" t="s">
        <v>897</v>
      </c>
      <c r="D654" s="10">
        <v>45721</v>
      </c>
      <c r="E654" s="11" t="s">
        <v>314</v>
      </c>
      <c r="F654" s="7" t="s">
        <v>19</v>
      </c>
      <c r="G654" s="7"/>
    </row>
    <row r="655" spans="1:7" x14ac:dyDescent="0.35">
      <c r="A655" s="7" t="s">
        <v>225</v>
      </c>
      <c r="B655" s="7" t="s">
        <v>908</v>
      </c>
      <c r="C655" s="7" t="s">
        <v>374</v>
      </c>
      <c r="D655" s="10">
        <v>45721</v>
      </c>
      <c r="E655" s="11" t="s">
        <v>314</v>
      </c>
      <c r="F655" s="7" t="s">
        <v>877</v>
      </c>
      <c r="G655" s="7"/>
    </row>
    <row r="656" spans="1:7" x14ac:dyDescent="0.35">
      <c r="A656" s="7" t="s">
        <v>81</v>
      </c>
      <c r="B656" s="7" t="s">
        <v>896</v>
      </c>
      <c r="C656" s="7" t="s">
        <v>897</v>
      </c>
      <c r="D656" s="10">
        <v>45721</v>
      </c>
      <c r="E656" s="11" t="s">
        <v>314</v>
      </c>
      <c r="F656" s="7" t="s">
        <v>1080</v>
      </c>
      <c r="G656" s="7"/>
    </row>
    <row r="657" spans="1:7" x14ac:dyDescent="0.35">
      <c r="A657" s="7" t="s">
        <v>89</v>
      </c>
      <c r="B657" s="7" t="s">
        <v>896</v>
      </c>
      <c r="C657" s="7" t="s">
        <v>897</v>
      </c>
      <c r="D657" s="10">
        <v>45721</v>
      </c>
      <c r="E657" s="11" t="s">
        <v>314</v>
      </c>
      <c r="F657" s="7" t="s">
        <v>1080</v>
      </c>
      <c r="G657" s="7"/>
    </row>
    <row r="658" spans="1:7" x14ac:dyDescent="0.35">
      <c r="A658" s="7" t="s">
        <v>397</v>
      </c>
      <c r="B658" s="7" t="s">
        <v>896</v>
      </c>
      <c r="C658" s="7" t="s">
        <v>897</v>
      </c>
      <c r="D658" s="10">
        <v>45721</v>
      </c>
      <c r="E658" s="11" t="s">
        <v>314</v>
      </c>
      <c r="F658" s="7" t="s">
        <v>871</v>
      </c>
      <c r="G658" s="7" t="s">
        <v>891</v>
      </c>
    </row>
    <row r="659" spans="1:7" x14ac:dyDescent="0.35">
      <c r="A659" s="77" t="s">
        <v>546</v>
      </c>
      <c r="B659" s="77" t="s">
        <v>896</v>
      </c>
      <c r="C659" s="77" t="s">
        <v>897</v>
      </c>
      <c r="D659" s="78">
        <v>45721</v>
      </c>
      <c r="E659" s="79" t="s">
        <v>314</v>
      </c>
      <c r="F659" s="77" t="s">
        <v>871</v>
      </c>
      <c r="G659" s="77" t="s">
        <v>891</v>
      </c>
    </row>
    <row r="660" spans="1:7" x14ac:dyDescent="0.35">
      <c r="A660" s="7" t="s">
        <v>326</v>
      </c>
      <c r="B660" s="7" t="s">
        <v>908</v>
      </c>
      <c r="C660" s="7" t="s">
        <v>374</v>
      </c>
      <c r="D660" s="10">
        <v>45722</v>
      </c>
      <c r="E660" s="11" t="s">
        <v>314</v>
      </c>
      <c r="F660" s="7" t="s">
        <v>877</v>
      </c>
      <c r="G660" s="7"/>
    </row>
    <row r="661" spans="1:7" x14ac:dyDescent="0.35">
      <c r="A661" s="7" t="s">
        <v>249</v>
      </c>
      <c r="B661" s="7" t="s">
        <v>908</v>
      </c>
      <c r="C661" s="7" t="s">
        <v>374</v>
      </c>
      <c r="D661" s="10">
        <v>45722</v>
      </c>
      <c r="E661" s="11" t="s">
        <v>314</v>
      </c>
      <c r="F661" s="7" t="s">
        <v>877</v>
      </c>
      <c r="G661" s="7"/>
    </row>
    <row r="662" spans="1:7" x14ac:dyDescent="0.35">
      <c r="A662" s="7" t="s">
        <v>411</v>
      </c>
      <c r="B662" s="7" t="s">
        <v>896</v>
      </c>
      <c r="C662" s="7" t="s">
        <v>897</v>
      </c>
      <c r="D662" s="10">
        <v>45722</v>
      </c>
      <c r="E662" s="11" t="s">
        <v>314</v>
      </c>
      <c r="F662" s="7" t="s">
        <v>872</v>
      </c>
      <c r="G662" s="7" t="s">
        <v>891</v>
      </c>
    </row>
    <row r="663" spans="1:7" x14ac:dyDescent="0.35">
      <c r="A663" s="7" t="s">
        <v>255</v>
      </c>
      <c r="B663" s="7" t="s">
        <v>908</v>
      </c>
      <c r="C663" s="7" t="s">
        <v>374</v>
      </c>
      <c r="D663" s="10">
        <v>45722</v>
      </c>
      <c r="E663" s="11" t="s">
        <v>314</v>
      </c>
      <c r="F663" s="7" t="s">
        <v>877</v>
      </c>
      <c r="G663" s="7"/>
    </row>
    <row r="664" spans="1:7" x14ac:dyDescent="0.35">
      <c r="A664" s="7" t="s">
        <v>322</v>
      </c>
      <c r="B664" s="7" t="s">
        <v>896</v>
      </c>
      <c r="C664" s="7" t="s">
        <v>897</v>
      </c>
      <c r="D664" s="10">
        <v>45722</v>
      </c>
      <c r="E664" s="11" t="s">
        <v>314</v>
      </c>
      <c r="F664" s="7" t="s">
        <v>872</v>
      </c>
      <c r="G664" s="7" t="s">
        <v>891</v>
      </c>
    </row>
    <row r="665" spans="1:7" x14ac:dyDescent="0.35">
      <c r="A665" s="7" t="s">
        <v>567</v>
      </c>
      <c r="B665" s="7" t="s">
        <v>896</v>
      </c>
      <c r="C665" s="7" t="s">
        <v>897</v>
      </c>
      <c r="D665" s="10">
        <v>45722</v>
      </c>
      <c r="E665" s="11" t="s">
        <v>314</v>
      </c>
      <c r="F665" s="7" t="s">
        <v>19</v>
      </c>
      <c r="G665" s="7"/>
    </row>
    <row r="666" spans="1:7" x14ac:dyDescent="0.35">
      <c r="A666" s="7" t="s">
        <v>597</v>
      </c>
      <c r="B666" s="7" t="s">
        <v>896</v>
      </c>
      <c r="C666" s="7" t="s">
        <v>897</v>
      </c>
      <c r="D666" s="10">
        <v>45722</v>
      </c>
      <c r="E666" s="11" t="s">
        <v>314</v>
      </c>
      <c r="F666" s="7" t="s">
        <v>867</v>
      </c>
      <c r="G666" s="7"/>
    </row>
    <row r="667" spans="1:7" x14ac:dyDescent="0.35">
      <c r="A667" s="77" t="s">
        <v>580</v>
      </c>
      <c r="B667" s="77" t="s">
        <v>896</v>
      </c>
      <c r="C667" s="77" t="s">
        <v>897</v>
      </c>
      <c r="D667" s="78">
        <v>45722</v>
      </c>
      <c r="E667" s="79" t="s">
        <v>314</v>
      </c>
      <c r="F667" s="77" t="s">
        <v>88</v>
      </c>
      <c r="G667" s="77" t="s">
        <v>22</v>
      </c>
    </row>
    <row r="668" spans="1:7" x14ac:dyDescent="0.35">
      <c r="A668" s="7" t="s">
        <v>407</v>
      </c>
      <c r="B668" s="7" t="s">
        <v>908</v>
      </c>
      <c r="C668" s="7" t="s">
        <v>374</v>
      </c>
      <c r="D668" s="10">
        <v>45724</v>
      </c>
      <c r="E668" s="11" t="s">
        <v>314</v>
      </c>
      <c r="F668" s="7" t="s">
        <v>877</v>
      </c>
      <c r="G668" s="7"/>
    </row>
    <row r="669" spans="1:7" x14ac:dyDescent="0.35">
      <c r="A669" s="7" t="s">
        <v>566</v>
      </c>
      <c r="B669" s="7" t="s">
        <v>896</v>
      </c>
      <c r="C669" s="7" t="s">
        <v>897</v>
      </c>
      <c r="D669" s="10">
        <v>45724</v>
      </c>
      <c r="E669" s="11" t="s">
        <v>314</v>
      </c>
      <c r="F669" s="7" t="s">
        <v>19</v>
      </c>
      <c r="G669" s="7"/>
    </row>
    <row r="670" spans="1:7" x14ac:dyDescent="0.35">
      <c r="A670" s="7" t="s">
        <v>181</v>
      </c>
      <c r="B670" s="7" t="s">
        <v>896</v>
      </c>
      <c r="C670" s="7" t="s">
        <v>897</v>
      </c>
      <c r="D670" s="10">
        <v>45724</v>
      </c>
      <c r="E670" s="11" t="s">
        <v>314</v>
      </c>
      <c r="F670" s="7" t="s">
        <v>27</v>
      </c>
      <c r="G670" s="7"/>
    </row>
    <row r="671" spans="1:7" x14ac:dyDescent="0.35">
      <c r="A671" s="7" t="s">
        <v>181</v>
      </c>
      <c r="B671" s="7" t="s">
        <v>896</v>
      </c>
      <c r="C671" s="7" t="s">
        <v>897</v>
      </c>
      <c r="D671" s="10">
        <v>45724</v>
      </c>
      <c r="E671" s="11" t="s">
        <v>314</v>
      </c>
      <c r="F671" s="7" t="s">
        <v>874</v>
      </c>
      <c r="G671" s="7" t="s">
        <v>900</v>
      </c>
    </row>
    <row r="672" spans="1:7" x14ac:dyDescent="0.35">
      <c r="A672" s="7" t="s">
        <v>181</v>
      </c>
      <c r="B672" s="7" t="s">
        <v>896</v>
      </c>
      <c r="C672" s="7" t="s">
        <v>897</v>
      </c>
      <c r="D672" s="10">
        <v>45724</v>
      </c>
      <c r="E672" s="11" t="s">
        <v>314</v>
      </c>
      <c r="F672" s="7" t="s">
        <v>875</v>
      </c>
      <c r="G672" s="7" t="s">
        <v>901</v>
      </c>
    </row>
    <row r="673" spans="1:7" x14ac:dyDescent="0.35">
      <c r="A673" s="7" t="s">
        <v>583</v>
      </c>
      <c r="B673" s="7" t="s">
        <v>908</v>
      </c>
      <c r="C673" s="7" t="s">
        <v>374</v>
      </c>
      <c r="D673" s="10">
        <v>45724</v>
      </c>
      <c r="E673" s="11" t="s">
        <v>314</v>
      </c>
      <c r="F673" s="7" t="s">
        <v>877</v>
      </c>
      <c r="G673" s="7"/>
    </row>
    <row r="674" spans="1:7" x14ac:dyDescent="0.35">
      <c r="A674" s="7" t="s">
        <v>394</v>
      </c>
      <c r="B674" s="7" t="s">
        <v>908</v>
      </c>
      <c r="C674" s="7" t="s">
        <v>374</v>
      </c>
      <c r="D674" s="10">
        <v>45724</v>
      </c>
      <c r="E674" s="11" t="s">
        <v>314</v>
      </c>
      <c r="F674" s="7" t="s">
        <v>877</v>
      </c>
      <c r="G674" s="7"/>
    </row>
    <row r="675" spans="1:7" x14ac:dyDescent="0.35">
      <c r="A675" s="7" t="s">
        <v>584</v>
      </c>
      <c r="B675" s="7" t="s">
        <v>908</v>
      </c>
      <c r="C675" s="7" t="s">
        <v>374</v>
      </c>
      <c r="D675" s="10">
        <v>45724</v>
      </c>
      <c r="E675" s="11" t="s">
        <v>314</v>
      </c>
      <c r="F675" s="7" t="s">
        <v>877</v>
      </c>
      <c r="G675" s="7"/>
    </row>
    <row r="676" spans="1:7" x14ac:dyDescent="0.35">
      <c r="A676" s="7" t="s">
        <v>595</v>
      </c>
      <c r="B676" s="7" t="s">
        <v>896</v>
      </c>
      <c r="C676" s="7" t="s">
        <v>897</v>
      </c>
      <c r="D676" s="10">
        <v>45724</v>
      </c>
      <c r="E676" s="11" t="s">
        <v>314</v>
      </c>
      <c r="F676" s="7" t="s">
        <v>867</v>
      </c>
      <c r="G676" s="7"/>
    </row>
    <row r="677" spans="1:7" x14ac:dyDescent="0.35">
      <c r="A677" s="77" t="s">
        <v>546</v>
      </c>
      <c r="B677" s="77" t="s">
        <v>896</v>
      </c>
      <c r="C677" s="77" t="s">
        <v>897</v>
      </c>
      <c r="D677" s="78">
        <v>45724</v>
      </c>
      <c r="E677" s="79" t="s">
        <v>314</v>
      </c>
      <c r="F677" s="77" t="s">
        <v>19</v>
      </c>
      <c r="G677" s="77"/>
    </row>
    <row r="678" spans="1:7" x14ac:dyDescent="0.35">
      <c r="A678" s="77" t="s">
        <v>579</v>
      </c>
      <c r="B678" s="77" t="s">
        <v>896</v>
      </c>
      <c r="C678" s="77" t="s">
        <v>897</v>
      </c>
      <c r="D678" s="78">
        <v>45724</v>
      </c>
      <c r="E678" s="79" t="s">
        <v>314</v>
      </c>
      <c r="F678" s="77" t="s">
        <v>88</v>
      </c>
      <c r="G678" s="77" t="s">
        <v>22</v>
      </c>
    </row>
    <row r="679" spans="1:7" x14ac:dyDescent="0.35">
      <c r="A679" s="7" t="s">
        <v>252</v>
      </c>
      <c r="B679" s="7" t="s">
        <v>908</v>
      </c>
      <c r="C679" s="7" t="s">
        <v>374</v>
      </c>
      <c r="D679" s="10">
        <v>45727</v>
      </c>
      <c r="E679" s="11" t="s">
        <v>314</v>
      </c>
      <c r="F679" s="7" t="s">
        <v>877</v>
      </c>
      <c r="G679" s="7"/>
    </row>
    <row r="680" spans="1:7" x14ac:dyDescent="0.35">
      <c r="A680" s="7" t="s">
        <v>581</v>
      </c>
      <c r="B680" s="7" t="s">
        <v>908</v>
      </c>
      <c r="C680" s="7" t="s">
        <v>374</v>
      </c>
      <c r="D680" s="10">
        <v>45727</v>
      </c>
      <c r="E680" s="11" t="s">
        <v>314</v>
      </c>
      <c r="F680" s="7" t="s">
        <v>877</v>
      </c>
      <c r="G680" s="7"/>
    </row>
    <row r="681" spans="1:7" x14ac:dyDescent="0.35">
      <c r="A681" s="7" t="s">
        <v>578</v>
      </c>
      <c r="B681" s="7" t="s">
        <v>908</v>
      </c>
      <c r="C681" s="7" t="s">
        <v>374</v>
      </c>
      <c r="D681" s="10">
        <v>45727</v>
      </c>
      <c r="E681" s="11" t="s">
        <v>314</v>
      </c>
      <c r="F681" s="7" t="s">
        <v>877</v>
      </c>
      <c r="G681" s="7"/>
    </row>
    <row r="682" spans="1:7" x14ac:dyDescent="0.35">
      <c r="A682" s="7" t="s">
        <v>79</v>
      </c>
      <c r="B682" s="7" t="s">
        <v>890</v>
      </c>
      <c r="C682" s="7">
        <v>84411</v>
      </c>
      <c r="D682" s="10">
        <v>45727</v>
      </c>
      <c r="E682" s="11" t="s">
        <v>314</v>
      </c>
      <c r="F682" s="7" t="s">
        <v>19</v>
      </c>
      <c r="G682" s="7"/>
    </row>
    <row r="683" spans="1:7" x14ac:dyDescent="0.35">
      <c r="A683" s="7" t="s">
        <v>79</v>
      </c>
      <c r="B683" s="7" t="s">
        <v>896</v>
      </c>
      <c r="C683" s="7" t="s">
        <v>897</v>
      </c>
      <c r="D683" s="10">
        <v>45727</v>
      </c>
      <c r="E683" s="11" t="s">
        <v>314</v>
      </c>
      <c r="F683" s="7" t="s">
        <v>871</v>
      </c>
      <c r="G683" s="7" t="s">
        <v>891</v>
      </c>
    </row>
    <row r="684" spans="1:7" x14ac:dyDescent="0.35">
      <c r="A684" s="7" t="s">
        <v>325</v>
      </c>
      <c r="B684" s="7" t="s">
        <v>896</v>
      </c>
      <c r="C684" s="7" t="s">
        <v>897</v>
      </c>
      <c r="D684" s="10">
        <v>45727</v>
      </c>
      <c r="E684" s="11" t="s">
        <v>314</v>
      </c>
      <c r="F684" s="7" t="s">
        <v>867</v>
      </c>
      <c r="G684" s="7"/>
    </row>
    <row r="685" spans="1:7" x14ac:dyDescent="0.35">
      <c r="A685" s="7" t="s">
        <v>388</v>
      </c>
      <c r="B685" s="7" t="s">
        <v>908</v>
      </c>
      <c r="C685" s="7" t="s">
        <v>374</v>
      </c>
      <c r="D685" s="10">
        <v>45727</v>
      </c>
      <c r="E685" s="11" t="s">
        <v>314</v>
      </c>
      <c r="F685" s="7" t="s">
        <v>877</v>
      </c>
      <c r="G685" s="7"/>
    </row>
    <row r="686" spans="1:7" x14ac:dyDescent="0.35">
      <c r="A686" s="7" t="s">
        <v>605</v>
      </c>
      <c r="B686" s="7" t="s">
        <v>896</v>
      </c>
      <c r="C686" s="7" t="s">
        <v>897</v>
      </c>
      <c r="D686" s="10">
        <v>45727</v>
      </c>
      <c r="E686" s="11" t="s">
        <v>314</v>
      </c>
      <c r="F686" s="7" t="s">
        <v>867</v>
      </c>
      <c r="G686" s="7"/>
    </row>
    <row r="687" spans="1:7" x14ac:dyDescent="0.35">
      <c r="A687" s="7" t="s">
        <v>596</v>
      </c>
      <c r="B687" s="7" t="s">
        <v>896</v>
      </c>
      <c r="C687" s="7" t="s">
        <v>897</v>
      </c>
      <c r="D687" s="10">
        <v>45727</v>
      </c>
      <c r="E687" s="11" t="s">
        <v>314</v>
      </c>
      <c r="F687" s="7" t="s">
        <v>867</v>
      </c>
      <c r="G687" s="7"/>
    </row>
    <row r="688" spans="1:7" x14ac:dyDescent="0.35">
      <c r="A688" s="7" t="s">
        <v>599</v>
      </c>
      <c r="B688" s="7" t="s">
        <v>896</v>
      </c>
      <c r="C688" s="7" t="s">
        <v>897</v>
      </c>
      <c r="D688" s="10">
        <v>45727</v>
      </c>
      <c r="E688" s="11" t="s">
        <v>314</v>
      </c>
      <c r="F688" s="7" t="s">
        <v>867</v>
      </c>
      <c r="G688" s="7"/>
    </row>
    <row r="689" spans="1:7" x14ac:dyDescent="0.35">
      <c r="A689" s="77" t="s">
        <v>592</v>
      </c>
      <c r="B689" s="77" t="s">
        <v>1025</v>
      </c>
      <c r="C689" s="77" t="s">
        <v>1026</v>
      </c>
      <c r="D689" s="78">
        <v>45728</v>
      </c>
      <c r="E689" s="79" t="s">
        <v>314</v>
      </c>
      <c r="F689" s="77" t="s">
        <v>1080</v>
      </c>
      <c r="G689" s="77"/>
    </row>
    <row r="690" spans="1:7" x14ac:dyDescent="0.35">
      <c r="A690" s="7" t="s">
        <v>601</v>
      </c>
      <c r="B690" s="7" t="s">
        <v>896</v>
      </c>
      <c r="C690" s="7" t="s">
        <v>897</v>
      </c>
      <c r="D690" s="10">
        <v>45729</v>
      </c>
      <c r="E690" s="11" t="s">
        <v>314</v>
      </c>
      <c r="F690" s="7" t="s">
        <v>867</v>
      </c>
      <c r="G690" s="7"/>
    </row>
    <row r="691" spans="1:7" x14ac:dyDescent="0.35">
      <c r="A691" s="7" t="s">
        <v>586</v>
      </c>
      <c r="B691" s="7" t="s">
        <v>908</v>
      </c>
      <c r="C691" s="7" t="s">
        <v>374</v>
      </c>
      <c r="D691" s="10">
        <v>45729</v>
      </c>
      <c r="E691" s="11" t="s">
        <v>314</v>
      </c>
      <c r="F691" s="7" t="s">
        <v>877</v>
      </c>
      <c r="G691" s="7"/>
    </row>
    <row r="692" spans="1:7" x14ac:dyDescent="0.35">
      <c r="A692" s="7" t="s">
        <v>592</v>
      </c>
      <c r="B692" s="7" t="s">
        <v>896</v>
      </c>
      <c r="C692" s="7" t="s">
        <v>897</v>
      </c>
      <c r="D692" s="10">
        <v>45729</v>
      </c>
      <c r="E692" s="11" t="s">
        <v>314</v>
      </c>
      <c r="F692" s="7" t="s">
        <v>867</v>
      </c>
      <c r="G692" s="7"/>
    </row>
    <row r="693" spans="1:7" x14ac:dyDescent="0.35">
      <c r="A693" s="7" t="s">
        <v>267</v>
      </c>
      <c r="B693" s="7" t="s">
        <v>908</v>
      </c>
      <c r="C693" s="7" t="s">
        <v>374</v>
      </c>
      <c r="D693" s="10">
        <v>45729</v>
      </c>
      <c r="E693" s="11" t="s">
        <v>314</v>
      </c>
      <c r="F693" s="7" t="s">
        <v>877</v>
      </c>
      <c r="G693" s="7"/>
    </row>
    <row r="694" spans="1:7" x14ac:dyDescent="0.35">
      <c r="A694" s="7" t="s">
        <v>172</v>
      </c>
      <c r="B694" s="7" t="s">
        <v>908</v>
      </c>
      <c r="C694" s="7" t="s">
        <v>374</v>
      </c>
      <c r="D694" s="10">
        <v>45729</v>
      </c>
      <c r="E694" s="11" t="s">
        <v>314</v>
      </c>
      <c r="F694" s="7" t="s">
        <v>877</v>
      </c>
      <c r="G694" s="7"/>
    </row>
    <row r="695" spans="1:7" x14ac:dyDescent="0.35">
      <c r="A695" s="7" t="s">
        <v>569</v>
      </c>
      <c r="B695" s="7" t="s">
        <v>896</v>
      </c>
      <c r="C695" s="7" t="s">
        <v>897</v>
      </c>
      <c r="D695" s="10">
        <v>45729</v>
      </c>
      <c r="E695" s="11" t="s">
        <v>314</v>
      </c>
      <c r="F695" s="7" t="s">
        <v>19</v>
      </c>
      <c r="G695" s="7"/>
    </row>
    <row r="696" spans="1:7" x14ac:dyDescent="0.35">
      <c r="A696" s="7" t="s">
        <v>909</v>
      </c>
      <c r="B696" s="7" t="s">
        <v>896</v>
      </c>
      <c r="C696" s="7" t="s">
        <v>897</v>
      </c>
      <c r="D696" s="10">
        <v>45729</v>
      </c>
      <c r="E696" s="11" t="s">
        <v>314</v>
      </c>
      <c r="F696" s="7" t="s">
        <v>871</v>
      </c>
      <c r="G696" s="7" t="s">
        <v>891</v>
      </c>
    </row>
    <row r="697" spans="1:7" x14ac:dyDescent="0.35">
      <c r="A697" s="7" t="s">
        <v>283</v>
      </c>
      <c r="B697" s="7" t="s">
        <v>896</v>
      </c>
      <c r="C697" s="7" t="s">
        <v>897</v>
      </c>
      <c r="D697" s="10">
        <v>45729</v>
      </c>
      <c r="E697" s="11" t="s">
        <v>314</v>
      </c>
      <c r="F697" s="7" t="s">
        <v>19</v>
      </c>
      <c r="G697" s="7"/>
    </row>
    <row r="698" spans="1:7" x14ac:dyDescent="0.35">
      <c r="A698" s="7" t="s">
        <v>253</v>
      </c>
      <c r="B698" s="7" t="s">
        <v>896</v>
      </c>
      <c r="C698" s="7" t="s">
        <v>897</v>
      </c>
      <c r="D698" s="10">
        <v>45731</v>
      </c>
      <c r="E698" s="11" t="s">
        <v>314</v>
      </c>
      <c r="F698" s="7" t="s">
        <v>867</v>
      </c>
      <c r="G698" s="7"/>
    </row>
    <row r="699" spans="1:7" x14ac:dyDescent="0.35">
      <c r="A699" s="77" t="s">
        <v>577</v>
      </c>
      <c r="B699" s="77" t="s">
        <v>896</v>
      </c>
      <c r="C699" s="77" t="s">
        <v>897</v>
      </c>
      <c r="D699" s="78">
        <v>45731</v>
      </c>
      <c r="E699" s="79" t="s">
        <v>314</v>
      </c>
      <c r="F699" s="77" t="s">
        <v>19</v>
      </c>
      <c r="G699" s="77"/>
    </row>
    <row r="700" spans="1:7" x14ac:dyDescent="0.35">
      <c r="A700" s="7" t="s">
        <v>526</v>
      </c>
      <c r="B700" s="7" t="s">
        <v>896</v>
      </c>
      <c r="C700" s="7" t="s">
        <v>897</v>
      </c>
      <c r="D700" s="10">
        <v>45735</v>
      </c>
      <c r="E700" s="11" t="s">
        <v>314</v>
      </c>
      <c r="F700" s="7" t="s">
        <v>19</v>
      </c>
      <c r="G700" s="7"/>
    </row>
    <row r="701" spans="1:7" x14ac:dyDescent="0.35">
      <c r="A701" s="7" t="s">
        <v>526</v>
      </c>
      <c r="B701" s="7" t="s">
        <v>896</v>
      </c>
      <c r="C701" s="7" t="s">
        <v>897</v>
      </c>
      <c r="D701" s="10">
        <v>45735</v>
      </c>
      <c r="E701" s="11" t="s">
        <v>314</v>
      </c>
      <c r="F701" s="7" t="s">
        <v>871</v>
      </c>
      <c r="G701" s="7" t="s">
        <v>891</v>
      </c>
    </row>
    <row r="702" spans="1:7" x14ac:dyDescent="0.35">
      <c r="A702" s="7" t="s">
        <v>615</v>
      </c>
      <c r="B702" s="7" t="s">
        <v>908</v>
      </c>
      <c r="C702" s="7" t="s">
        <v>374</v>
      </c>
      <c r="D702" s="10">
        <v>45735</v>
      </c>
      <c r="E702" s="11" t="s">
        <v>314</v>
      </c>
      <c r="F702" s="7" t="s">
        <v>877</v>
      </c>
      <c r="G702" s="7"/>
    </row>
    <row r="703" spans="1:7" x14ac:dyDescent="0.35">
      <c r="A703" s="7" t="s">
        <v>432</v>
      </c>
      <c r="B703" s="7" t="s">
        <v>896</v>
      </c>
      <c r="C703" s="7" t="s">
        <v>897</v>
      </c>
      <c r="D703" s="10">
        <v>45735</v>
      </c>
      <c r="E703" s="11" t="s">
        <v>314</v>
      </c>
      <c r="F703" s="7" t="s">
        <v>872</v>
      </c>
      <c r="G703" s="7" t="s">
        <v>891</v>
      </c>
    </row>
    <row r="704" spans="1:7" x14ac:dyDescent="0.35">
      <c r="A704" s="7" t="s">
        <v>611</v>
      </c>
      <c r="B704" s="7" t="s">
        <v>896</v>
      </c>
      <c r="C704" s="7" t="s">
        <v>897</v>
      </c>
      <c r="D704" s="10">
        <v>45735</v>
      </c>
      <c r="E704" s="11" t="s">
        <v>314</v>
      </c>
      <c r="F704" s="7" t="s">
        <v>867</v>
      </c>
      <c r="G704" s="7"/>
    </row>
    <row r="705" spans="1:7" x14ac:dyDescent="0.35">
      <c r="A705" s="7" t="s">
        <v>614</v>
      </c>
      <c r="B705" s="7" t="s">
        <v>896</v>
      </c>
      <c r="C705" s="7" t="s">
        <v>897</v>
      </c>
      <c r="D705" s="10">
        <v>45735</v>
      </c>
      <c r="E705" s="11" t="s">
        <v>314</v>
      </c>
      <c r="F705" s="7" t="s">
        <v>867</v>
      </c>
      <c r="G705" s="7"/>
    </row>
    <row r="706" spans="1:7" s="62" customFormat="1" x14ac:dyDescent="0.35">
      <c r="A706" s="7" t="s">
        <v>600</v>
      </c>
      <c r="B706" s="7" t="s">
        <v>908</v>
      </c>
      <c r="C706" s="7" t="s">
        <v>374</v>
      </c>
      <c r="D706" s="10">
        <v>45735</v>
      </c>
      <c r="E706" s="11" t="s">
        <v>314</v>
      </c>
      <c r="F706" s="7" t="s">
        <v>877</v>
      </c>
      <c r="G706" s="7"/>
    </row>
    <row r="707" spans="1:7" x14ac:dyDescent="0.35">
      <c r="A707" s="7" t="s">
        <v>591</v>
      </c>
      <c r="B707" s="7" t="s">
        <v>896</v>
      </c>
      <c r="C707" s="7" t="s">
        <v>897</v>
      </c>
      <c r="D707" s="10">
        <v>45735</v>
      </c>
      <c r="E707" s="11" t="s">
        <v>314</v>
      </c>
      <c r="F707" s="7" t="s">
        <v>867</v>
      </c>
      <c r="G707" s="7"/>
    </row>
    <row r="708" spans="1:7" x14ac:dyDescent="0.35">
      <c r="A708" s="7" t="s">
        <v>588</v>
      </c>
      <c r="B708" s="7" t="s">
        <v>908</v>
      </c>
      <c r="C708" s="7" t="s">
        <v>374</v>
      </c>
      <c r="D708" s="10">
        <v>45735</v>
      </c>
      <c r="E708" s="11" t="s">
        <v>314</v>
      </c>
      <c r="F708" s="7" t="s">
        <v>877</v>
      </c>
      <c r="G708" s="7"/>
    </row>
    <row r="709" spans="1:7" x14ac:dyDescent="0.35">
      <c r="A709" s="7" t="s">
        <v>603</v>
      </c>
      <c r="B709" s="7" t="s">
        <v>896</v>
      </c>
      <c r="C709" s="7" t="s">
        <v>897</v>
      </c>
      <c r="D709" s="10">
        <v>45735</v>
      </c>
      <c r="E709" s="11" t="s">
        <v>314</v>
      </c>
      <c r="F709" s="7" t="s">
        <v>867</v>
      </c>
      <c r="G709" s="7"/>
    </row>
    <row r="710" spans="1:7" x14ac:dyDescent="0.35">
      <c r="A710" s="65" t="s">
        <v>593</v>
      </c>
      <c r="B710" s="65" t="s">
        <v>896</v>
      </c>
      <c r="C710" s="65" t="s">
        <v>897</v>
      </c>
      <c r="D710" s="64">
        <v>45735</v>
      </c>
      <c r="E710" s="63" t="s">
        <v>314</v>
      </c>
      <c r="F710" s="65" t="s">
        <v>867</v>
      </c>
      <c r="G710" s="65"/>
    </row>
    <row r="711" spans="1:7" x14ac:dyDescent="0.35">
      <c r="A711" s="7" t="s">
        <v>598</v>
      </c>
      <c r="B711" s="7" t="s">
        <v>896</v>
      </c>
      <c r="C711" s="7" t="s">
        <v>897</v>
      </c>
      <c r="D711" s="10">
        <v>45735</v>
      </c>
      <c r="E711" s="11" t="s">
        <v>314</v>
      </c>
      <c r="F711" s="7" t="s">
        <v>867</v>
      </c>
      <c r="G711" s="7"/>
    </row>
    <row r="712" spans="1:7" x14ac:dyDescent="0.35">
      <c r="A712" s="7" t="s">
        <v>589</v>
      </c>
      <c r="B712" s="7" t="s">
        <v>908</v>
      </c>
      <c r="C712" s="7" t="s">
        <v>374</v>
      </c>
      <c r="D712" s="10">
        <v>45735</v>
      </c>
      <c r="E712" s="11" t="s">
        <v>314</v>
      </c>
      <c r="F712" s="7" t="s">
        <v>877</v>
      </c>
      <c r="G712" s="7"/>
    </row>
    <row r="713" spans="1:7" x14ac:dyDescent="0.35">
      <c r="A713" s="7" t="s">
        <v>574</v>
      </c>
      <c r="B713" s="7" t="s">
        <v>896</v>
      </c>
      <c r="C713" s="7" t="s">
        <v>897</v>
      </c>
      <c r="D713" s="10">
        <v>45735</v>
      </c>
      <c r="E713" s="11" t="s">
        <v>314</v>
      </c>
      <c r="F713" s="7" t="s">
        <v>19</v>
      </c>
      <c r="G713" s="7"/>
    </row>
    <row r="714" spans="1:7" x14ac:dyDescent="0.35">
      <c r="A714" s="7" t="s">
        <v>574</v>
      </c>
      <c r="B714" s="7" t="s">
        <v>896</v>
      </c>
      <c r="C714" s="7" t="s">
        <v>897</v>
      </c>
      <c r="D714" s="10">
        <v>45735</v>
      </c>
      <c r="E714" s="11" t="s">
        <v>314</v>
      </c>
      <c r="F714" s="7" t="s">
        <v>871</v>
      </c>
      <c r="G714" s="7" t="s">
        <v>891</v>
      </c>
    </row>
    <row r="715" spans="1:7" x14ac:dyDescent="0.35">
      <c r="A715" s="7" t="s">
        <v>558</v>
      </c>
      <c r="B715" s="7" t="s">
        <v>896</v>
      </c>
      <c r="C715" s="7" t="s">
        <v>897</v>
      </c>
      <c r="D715" s="10">
        <v>45736</v>
      </c>
      <c r="E715" s="11" t="s">
        <v>314</v>
      </c>
      <c r="F715" s="7" t="s">
        <v>19</v>
      </c>
      <c r="G715" s="7"/>
    </row>
    <row r="716" spans="1:7" x14ac:dyDescent="0.35">
      <c r="A716" s="7" t="s">
        <v>558</v>
      </c>
      <c r="B716" s="7" t="s">
        <v>908</v>
      </c>
      <c r="C716" s="7" t="s">
        <v>374</v>
      </c>
      <c r="D716" s="10">
        <v>45736</v>
      </c>
      <c r="E716" s="11" t="s">
        <v>314</v>
      </c>
      <c r="F716" s="7" t="s">
        <v>872</v>
      </c>
      <c r="G716" s="7" t="s">
        <v>891</v>
      </c>
    </row>
    <row r="717" spans="1:7" x14ac:dyDescent="0.35">
      <c r="A717" s="7" t="s">
        <v>585</v>
      </c>
      <c r="B717" s="7" t="s">
        <v>908</v>
      </c>
      <c r="C717" s="7" t="s">
        <v>374</v>
      </c>
      <c r="D717" s="10">
        <v>45736</v>
      </c>
      <c r="E717" s="11" t="s">
        <v>314</v>
      </c>
      <c r="F717" s="7" t="s">
        <v>877</v>
      </c>
      <c r="G717" s="7"/>
    </row>
    <row r="718" spans="1:7" x14ac:dyDescent="0.35">
      <c r="A718" s="7" t="s">
        <v>616</v>
      </c>
      <c r="B718" s="7" t="s">
        <v>908</v>
      </c>
      <c r="C718" s="7" t="s">
        <v>374</v>
      </c>
      <c r="D718" s="10">
        <v>45736</v>
      </c>
      <c r="E718" s="11" t="s">
        <v>314</v>
      </c>
      <c r="F718" s="7" t="s">
        <v>877</v>
      </c>
      <c r="G718" s="7"/>
    </row>
    <row r="719" spans="1:7" x14ac:dyDescent="0.35">
      <c r="A719" s="7" t="s">
        <v>602</v>
      </c>
      <c r="B719" s="7" t="s">
        <v>896</v>
      </c>
      <c r="C719" s="7" t="s">
        <v>897</v>
      </c>
      <c r="D719" s="10">
        <v>45736</v>
      </c>
      <c r="E719" s="11" t="s">
        <v>314</v>
      </c>
      <c r="F719" s="7" t="s">
        <v>867</v>
      </c>
      <c r="G719" s="7"/>
    </row>
    <row r="720" spans="1:7" x14ac:dyDescent="0.35">
      <c r="A720" s="7" t="s">
        <v>612</v>
      </c>
      <c r="B720" s="7" t="s">
        <v>896</v>
      </c>
      <c r="C720" s="7" t="s">
        <v>897</v>
      </c>
      <c r="D720" s="10">
        <v>45736</v>
      </c>
      <c r="E720" s="11" t="s">
        <v>314</v>
      </c>
      <c r="F720" s="7" t="s">
        <v>867</v>
      </c>
      <c r="G720" s="7"/>
    </row>
    <row r="721" spans="1:7" x14ac:dyDescent="0.35">
      <c r="A721" s="7" t="s">
        <v>135</v>
      </c>
      <c r="B721" s="7" t="s">
        <v>896</v>
      </c>
      <c r="C721" s="7" t="s">
        <v>897</v>
      </c>
      <c r="D721" s="10">
        <v>45736</v>
      </c>
      <c r="E721" s="11" t="s">
        <v>314</v>
      </c>
      <c r="F721" s="7" t="s">
        <v>867</v>
      </c>
      <c r="G721" s="7"/>
    </row>
    <row r="722" spans="1:7" x14ac:dyDescent="0.35">
      <c r="A722" s="7" t="s">
        <v>226</v>
      </c>
      <c r="B722" s="7" t="s">
        <v>896</v>
      </c>
      <c r="C722" s="7" t="s">
        <v>897</v>
      </c>
      <c r="D722" s="10">
        <v>45736</v>
      </c>
      <c r="E722" s="11" t="s">
        <v>314</v>
      </c>
      <c r="F722" s="7" t="s">
        <v>867</v>
      </c>
      <c r="G722" s="7"/>
    </row>
    <row r="723" spans="1:7" x14ac:dyDescent="0.35">
      <c r="A723" s="7" t="s">
        <v>560</v>
      </c>
      <c r="B723" s="7" t="s">
        <v>896</v>
      </c>
      <c r="C723" s="7" t="s">
        <v>897</v>
      </c>
      <c r="D723" s="10">
        <v>45737</v>
      </c>
      <c r="E723" s="11" t="s">
        <v>314</v>
      </c>
      <c r="F723" s="7" t="s">
        <v>19</v>
      </c>
      <c r="G723" s="7"/>
    </row>
    <row r="724" spans="1:7" x14ac:dyDescent="0.35">
      <c r="A724" s="7" t="s">
        <v>264</v>
      </c>
      <c r="B724" s="7" t="s">
        <v>908</v>
      </c>
      <c r="C724" s="7" t="s">
        <v>374</v>
      </c>
      <c r="D724" s="10">
        <v>45737</v>
      </c>
      <c r="E724" s="11" t="s">
        <v>314</v>
      </c>
      <c r="F724" s="7" t="s">
        <v>877</v>
      </c>
      <c r="G724" s="7"/>
    </row>
    <row r="725" spans="1:7" x14ac:dyDescent="0.35">
      <c r="A725" s="7" t="s">
        <v>497</v>
      </c>
      <c r="B725" s="7" t="s">
        <v>908</v>
      </c>
      <c r="C725" s="7" t="s">
        <v>374</v>
      </c>
      <c r="D725" s="10">
        <v>45737</v>
      </c>
      <c r="E725" s="11" t="s">
        <v>314</v>
      </c>
      <c r="F725" s="7" t="s">
        <v>877</v>
      </c>
      <c r="G725" s="7"/>
    </row>
    <row r="726" spans="1:7" x14ac:dyDescent="0.35">
      <c r="A726" s="7" t="s">
        <v>619</v>
      </c>
      <c r="B726" s="7" t="s">
        <v>908</v>
      </c>
      <c r="C726" s="7" t="s">
        <v>374</v>
      </c>
      <c r="D726" s="10">
        <v>45737</v>
      </c>
      <c r="E726" s="11" t="s">
        <v>314</v>
      </c>
      <c r="F726" s="7" t="s">
        <v>877</v>
      </c>
      <c r="G726" s="7"/>
    </row>
    <row r="727" spans="1:7" x14ac:dyDescent="0.35">
      <c r="A727" s="7" t="s">
        <v>594</v>
      </c>
      <c r="B727" s="7" t="s">
        <v>896</v>
      </c>
      <c r="C727" s="7" t="s">
        <v>897</v>
      </c>
      <c r="D727" s="10">
        <v>45737</v>
      </c>
      <c r="E727" s="11" t="s">
        <v>314</v>
      </c>
      <c r="F727" s="7" t="s">
        <v>867</v>
      </c>
      <c r="G727" s="7"/>
    </row>
    <row r="728" spans="1:7" x14ac:dyDescent="0.35">
      <c r="A728" s="7" t="s">
        <v>58</v>
      </c>
      <c r="B728" s="7" t="s">
        <v>890</v>
      </c>
      <c r="C728" s="7">
        <v>84411</v>
      </c>
      <c r="D728" s="10">
        <v>45740</v>
      </c>
      <c r="E728" s="11" t="s">
        <v>314</v>
      </c>
      <c r="F728" s="7" t="s">
        <v>19</v>
      </c>
      <c r="G728" s="7"/>
    </row>
    <row r="729" spans="1:7" x14ac:dyDescent="0.35">
      <c r="A729" s="7" t="s">
        <v>58</v>
      </c>
      <c r="B729" s="7" t="s">
        <v>896</v>
      </c>
      <c r="C729" s="7" t="s">
        <v>897</v>
      </c>
      <c r="D729" s="10">
        <v>45740</v>
      </c>
      <c r="E729" s="11" t="s">
        <v>314</v>
      </c>
      <c r="F729" s="7" t="s">
        <v>872</v>
      </c>
      <c r="G729" s="7" t="s">
        <v>891</v>
      </c>
    </row>
    <row r="730" spans="1:7" x14ac:dyDescent="0.35">
      <c r="A730" s="7" t="s">
        <v>613</v>
      </c>
      <c r="B730" s="7" t="s">
        <v>896</v>
      </c>
      <c r="C730" s="7" t="s">
        <v>897</v>
      </c>
      <c r="D730" s="10">
        <v>45741</v>
      </c>
      <c r="E730" s="11" t="s">
        <v>314</v>
      </c>
      <c r="F730" s="7" t="s">
        <v>867</v>
      </c>
      <c r="G730" s="7"/>
    </row>
    <row r="731" spans="1:7" x14ac:dyDescent="0.35">
      <c r="A731" s="77" t="s">
        <v>548</v>
      </c>
      <c r="B731" s="77" t="s">
        <v>896</v>
      </c>
      <c r="C731" s="77" t="s">
        <v>897</v>
      </c>
      <c r="D731" s="78">
        <v>45741</v>
      </c>
      <c r="E731" s="79" t="s">
        <v>314</v>
      </c>
      <c r="F731" s="77" t="s">
        <v>19</v>
      </c>
      <c r="G731" s="77"/>
    </row>
    <row r="732" spans="1:7" x14ac:dyDescent="0.35">
      <c r="A732" s="77" t="s">
        <v>548</v>
      </c>
      <c r="B732" s="77" t="s">
        <v>896</v>
      </c>
      <c r="C732" s="77" t="s">
        <v>897</v>
      </c>
      <c r="D732" s="78">
        <v>45741</v>
      </c>
      <c r="E732" s="79" t="s">
        <v>314</v>
      </c>
      <c r="F732" s="77" t="s">
        <v>871</v>
      </c>
      <c r="G732" s="77" t="s">
        <v>891</v>
      </c>
    </row>
    <row r="733" spans="1:7" x14ac:dyDescent="0.35">
      <c r="A733" s="77" t="s">
        <v>226</v>
      </c>
      <c r="B733" s="77" t="s">
        <v>1025</v>
      </c>
      <c r="C733" s="77" t="s">
        <v>1026</v>
      </c>
      <c r="D733" s="78">
        <v>45741</v>
      </c>
      <c r="E733" s="79" t="s">
        <v>314</v>
      </c>
      <c r="F733" s="77" t="s">
        <v>1080</v>
      </c>
      <c r="G733" s="77"/>
    </row>
    <row r="734" spans="1:7" x14ac:dyDescent="0.35">
      <c r="A734" s="7" t="s">
        <v>29</v>
      </c>
      <c r="B734" s="7" t="s">
        <v>908</v>
      </c>
      <c r="C734" s="7" t="s">
        <v>374</v>
      </c>
      <c r="D734" s="10">
        <v>45744</v>
      </c>
      <c r="E734" s="11" t="s">
        <v>314</v>
      </c>
      <c r="F734" s="7" t="s">
        <v>894</v>
      </c>
      <c r="G734" s="7" t="s">
        <v>15</v>
      </c>
    </row>
    <row r="735" spans="1:7" x14ac:dyDescent="0.35">
      <c r="A735" s="7" t="s">
        <v>431</v>
      </c>
      <c r="B735" s="7" t="s">
        <v>896</v>
      </c>
      <c r="C735" s="7" t="s">
        <v>897</v>
      </c>
      <c r="D735" s="10">
        <v>45747</v>
      </c>
      <c r="E735" s="11" t="s">
        <v>314</v>
      </c>
      <c r="F735" s="7" t="s">
        <v>872</v>
      </c>
      <c r="G735" s="7" t="s">
        <v>891</v>
      </c>
    </row>
    <row r="736" spans="1:7" x14ac:dyDescent="0.35">
      <c r="A736" s="7" t="s">
        <v>431</v>
      </c>
      <c r="B736" s="7" t="s">
        <v>896</v>
      </c>
      <c r="C736" s="7" t="s">
        <v>897</v>
      </c>
      <c r="D736" s="10">
        <v>45747</v>
      </c>
      <c r="E736" s="11" t="s">
        <v>314</v>
      </c>
      <c r="F736" s="7" t="s">
        <v>19</v>
      </c>
      <c r="G736" s="7"/>
    </row>
    <row r="737" spans="1:7" x14ac:dyDescent="0.35">
      <c r="A737" s="7" t="s">
        <v>570</v>
      </c>
      <c r="B737" s="7" t="s">
        <v>896</v>
      </c>
      <c r="C737" s="7" t="s">
        <v>897</v>
      </c>
      <c r="D737" s="10">
        <v>45747</v>
      </c>
      <c r="E737" s="11" t="s">
        <v>314</v>
      </c>
      <c r="F737" s="7" t="s">
        <v>872</v>
      </c>
      <c r="G737" s="7" t="s">
        <v>891</v>
      </c>
    </row>
    <row r="738" spans="1:7" x14ac:dyDescent="0.35">
      <c r="A738" s="7" t="s">
        <v>570</v>
      </c>
      <c r="B738" s="7" t="s">
        <v>896</v>
      </c>
      <c r="C738" s="7" t="s">
        <v>897</v>
      </c>
      <c r="D738" s="10">
        <v>45747</v>
      </c>
      <c r="E738" s="11" t="s">
        <v>314</v>
      </c>
      <c r="F738" s="7" t="s">
        <v>19</v>
      </c>
      <c r="G738" s="7"/>
    </row>
    <row r="739" spans="1:7" x14ac:dyDescent="0.35">
      <c r="A739" s="7" t="s">
        <v>617</v>
      </c>
      <c r="B739" s="7" t="s">
        <v>896</v>
      </c>
      <c r="C739" s="7" t="s">
        <v>897</v>
      </c>
      <c r="D739" s="10">
        <v>45747</v>
      </c>
      <c r="E739" s="11" t="s">
        <v>314</v>
      </c>
      <c r="F739" s="7" t="s">
        <v>19</v>
      </c>
      <c r="G739" s="7"/>
    </row>
    <row r="740" spans="1:7" x14ac:dyDescent="0.35">
      <c r="A740" s="7" t="s">
        <v>617</v>
      </c>
      <c r="B740" s="7" t="s">
        <v>908</v>
      </c>
      <c r="C740" s="7" t="s">
        <v>374</v>
      </c>
      <c r="D740" s="10">
        <v>45747</v>
      </c>
      <c r="E740" s="11" t="s">
        <v>314</v>
      </c>
      <c r="F740" s="7" t="s">
        <v>872</v>
      </c>
      <c r="G740" s="7" t="s">
        <v>891</v>
      </c>
    </row>
    <row r="741" spans="1:7" x14ac:dyDescent="0.35">
      <c r="A741" s="7" t="s">
        <v>643</v>
      </c>
      <c r="B741" s="7" t="s">
        <v>908</v>
      </c>
      <c r="C741" s="7" t="s">
        <v>374</v>
      </c>
      <c r="D741" s="10">
        <v>45747</v>
      </c>
      <c r="E741" s="11" t="s">
        <v>314</v>
      </c>
      <c r="F741" s="7" t="s">
        <v>877</v>
      </c>
      <c r="G741" s="7"/>
    </row>
    <row r="742" spans="1:7" x14ac:dyDescent="0.35">
      <c r="A742" s="7" t="s">
        <v>630</v>
      </c>
      <c r="B742" s="7" t="s">
        <v>908</v>
      </c>
      <c r="C742" s="7" t="s">
        <v>374</v>
      </c>
      <c r="D742" s="10">
        <v>45747</v>
      </c>
      <c r="E742" s="11" t="s">
        <v>314</v>
      </c>
      <c r="F742" s="7" t="s">
        <v>867</v>
      </c>
      <c r="G742" s="7"/>
    </row>
    <row r="743" spans="1:7" x14ac:dyDescent="0.35">
      <c r="A743" s="7" t="s">
        <v>336</v>
      </c>
      <c r="B743" s="7" t="s">
        <v>896</v>
      </c>
      <c r="C743" s="7" t="s">
        <v>897</v>
      </c>
      <c r="D743" s="10">
        <v>45747</v>
      </c>
      <c r="E743" s="11" t="s">
        <v>314</v>
      </c>
      <c r="F743" s="7" t="s">
        <v>872</v>
      </c>
      <c r="G743" s="7" t="s">
        <v>891</v>
      </c>
    </row>
    <row r="744" spans="1:7" x14ac:dyDescent="0.35">
      <c r="A744" s="7" t="s">
        <v>629</v>
      </c>
      <c r="B744" s="7" t="s">
        <v>908</v>
      </c>
      <c r="C744" s="7" t="s">
        <v>374</v>
      </c>
      <c r="D744" s="10">
        <v>45747</v>
      </c>
      <c r="E744" s="11" t="s">
        <v>314</v>
      </c>
      <c r="F744" s="7" t="s">
        <v>867</v>
      </c>
      <c r="G744" s="7"/>
    </row>
    <row r="745" spans="1:7" x14ac:dyDescent="0.35">
      <c r="A745" s="7" t="s">
        <v>576</v>
      </c>
      <c r="B745" s="7" t="s">
        <v>896</v>
      </c>
      <c r="C745" s="7" t="s">
        <v>897</v>
      </c>
      <c r="D745" s="10">
        <v>45747</v>
      </c>
      <c r="E745" s="11" t="s">
        <v>314</v>
      </c>
      <c r="F745" s="7" t="s">
        <v>867</v>
      </c>
      <c r="G745" s="7"/>
    </row>
    <row r="746" spans="1:7" x14ac:dyDescent="0.35">
      <c r="A746" s="7" t="s">
        <v>576</v>
      </c>
      <c r="B746" s="7" t="s">
        <v>896</v>
      </c>
      <c r="C746" s="7" t="s">
        <v>897</v>
      </c>
      <c r="D746" s="10">
        <v>45747</v>
      </c>
      <c r="E746" s="11" t="s">
        <v>314</v>
      </c>
      <c r="F746" s="7" t="s">
        <v>867</v>
      </c>
      <c r="G746" s="7"/>
    </row>
    <row r="747" spans="1:7" x14ac:dyDescent="0.35">
      <c r="A747" s="7" t="s">
        <v>632</v>
      </c>
      <c r="B747" s="7" t="s">
        <v>896</v>
      </c>
      <c r="C747" s="7" t="s">
        <v>897</v>
      </c>
      <c r="D747" s="10">
        <v>45747</v>
      </c>
      <c r="E747" s="11" t="s">
        <v>314</v>
      </c>
      <c r="F747" s="7" t="s">
        <v>877</v>
      </c>
      <c r="G747" s="7"/>
    </row>
    <row r="748" spans="1:7" x14ac:dyDescent="0.35">
      <c r="A748" s="7" t="s">
        <v>631</v>
      </c>
      <c r="B748" s="7" t="s">
        <v>908</v>
      </c>
      <c r="C748" s="7" t="s">
        <v>374</v>
      </c>
      <c r="D748" s="10">
        <v>45747</v>
      </c>
      <c r="E748" s="11" t="s">
        <v>314</v>
      </c>
      <c r="F748" s="7" t="s">
        <v>877</v>
      </c>
      <c r="G748" s="7"/>
    </row>
    <row r="749" spans="1:7" x14ac:dyDescent="0.35">
      <c r="A749" s="7" t="s">
        <v>134</v>
      </c>
      <c r="B749" s="7" t="s">
        <v>896</v>
      </c>
      <c r="C749" s="7" t="s">
        <v>897</v>
      </c>
      <c r="D749" s="10">
        <v>45747</v>
      </c>
      <c r="E749" s="11" t="s">
        <v>314</v>
      </c>
      <c r="F749" s="7" t="s">
        <v>867</v>
      </c>
      <c r="G749" s="7"/>
    </row>
    <row r="750" spans="1:7" x14ac:dyDescent="0.35">
      <c r="A750" s="7" t="s">
        <v>644</v>
      </c>
      <c r="B750" s="7" t="s">
        <v>908</v>
      </c>
      <c r="C750" s="7" t="s">
        <v>374</v>
      </c>
      <c r="D750" s="10">
        <v>45747</v>
      </c>
      <c r="E750" s="11" t="s">
        <v>314</v>
      </c>
      <c r="F750" s="7" t="s">
        <v>877</v>
      </c>
      <c r="G750" s="7"/>
    </row>
    <row r="751" spans="1:7" x14ac:dyDescent="0.35">
      <c r="A751" s="7" t="s">
        <v>642</v>
      </c>
      <c r="B751" s="7" t="s">
        <v>908</v>
      </c>
      <c r="C751" s="7" t="s">
        <v>374</v>
      </c>
      <c r="D751" s="10">
        <v>45747</v>
      </c>
      <c r="E751" s="11" t="s">
        <v>314</v>
      </c>
      <c r="F751" s="7" t="s">
        <v>877</v>
      </c>
      <c r="G751" s="7"/>
    </row>
    <row r="752" spans="1:7" x14ac:dyDescent="0.35">
      <c r="A752" s="7" t="s">
        <v>640</v>
      </c>
      <c r="B752" s="7" t="s">
        <v>908</v>
      </c>
      <c r="C752" s="7" t="s">
        <v>374</v>
      </c>
      <c r="D752" s="10">
        <v>45747</v>
      </c>
      <c r="E752" s="11" t="s">
        <v>314</v>
      </c>
      <c r="F752" s="7" t="s">
        <v>877</v>
      </c>
      <c r="G752" s="7"/>
    </row>
    <row r="753" spans="1:7" x14ac:dyDescent="0.35">
      <c r="A753" s="77" t="s">
        <v>641</v>
      </c>
      <c r="B753" s="77" t="s">
        <v>908</v>
      </c>
      <c r="C753" s="77" t="s">
        <v>374</v>
      </c>
      <c r="D753" s="78">
        <v>45747</v>
      </c>
      <c r="E753" s="79" t="s">
        <v>314</v>
      </c>
      <c r="F753" s="77" t="s">
        <v>877</v>
      </c>
      <c r="G753" s="77"/>
    </row>
    <row r="754" spans="1:7" x14ac:dyDescent="0.35">
      <c r="A754" s="77" t="s">
        <v>507</v>
      </c>
      <c r="B754" s="77" t="s">
        <v>896</v>
      </c>
      <c r="C754" s="77" t="s">
        <v>897</v>
      </c>
      <c r="D754" s="78">
        <v>45747</v>
      </c>
      <c r="E754" s="79" t="s">
        <v>314</v>
      </c>
      <c r="F754" s="77" t="s">
        <v>19</v>
      </c>
      <c r="G754" s="77"/>
    </row>
    <row r="755" spans="1:7" x14ac:dyDescent="0.35">
      <c r="A755" s="77" t="s">
        <v>507</v>
      </c>
      <c r="B755" s="77" t="s">
        <v>896</v>
      </c>
      <c r="C755" s="77" t="s">
        <v>897</v>
      </c>
      <c r="D755" s="78">
        <v>45747</v>
      </c>
      <c r="E755" s="79" t="s">
        <v>314</v>
      </c>
      <c r="F755" s="77" t="s">
        <v>871</v>
      </c>
      <c r="G755" s="77" t="s">
        <v>891</v>
      </c>
    </row>
    <row r="756" spans="1:7" x14ac:dyDescent="0.35">
      <c r="A756" s="7" t="s">
        <v>628</v>
      </c>
      <c r="B756" s="7" t="s">
        <v>908</v>
      </c>
      <c r="C756" s="7" t="s">
        <v>374</v>
      </c>
      <c r="D756" s="10">
        <v>45756</v>
      </c>
      <c r="E756" s="11" t="s">
        <v>314</v>
      </c>
      <c r="F756" s="7" t="s">
        <v>867</v>
      </c>
      <c r="G756" s="7"/>
    </row>
    <row r="757" spans="1:7" x14ac:dyDescent="0.35">
      <c r="A757" s="7" t="s">
        <v>623</v>
      </c>
      <c r="B757" s="7" t="s">
        <v>908</v>
      </c>
      <c r="C757" s="7" t="s">
        <v>374</v>
      </c>
      <c r="D757" s="10">
        <v>45756</v>
      </c>
      <c r="E757" s="11" t="s">
        <v>314</v>
      </c>
      <c r="F757" s="7" t="s">
        <v>867</v>
      </c>
      <c r="G757" s="7"/>
    </row>
    <row r="758" spans="1:7" x14ac:dyDescent="0.35">
      <c r="A758" s="7" t="s">
        <v>648</v>
      </c>
      <c r="B758" s="7" t="s">
        <v>908</v>
      </c>
      <c r="C758" s="7" t="s">
        <v>374</v>
      </c>
      <c r="D758" s="10">
        <v>45756</v>
      </c>
      <c r="E758" s="11" t="s">
        <v>314</v>
      </c>
      <c r="F758" s="7" t="s">
        <v>877</v>
      </c>
      <c r="G758" s="7"/>
    </row>
    <row r="759" spans="1:7" x14ac:dyDescent="0.35">
      <c r="A759" s="7" t="s">
        <v>625</v>
      </c>
      <c r="B759" s="7" t="s">
        <v>908</v>
      </c>
      <c r="C759" s="7" t="s">
        <v>374</v>
      </c>
      <c r="D759" s="10">
        <v>45756</v>
      </c>
      <c r="E759" s="11" t="s">
        <v>314</v>
      </c>
      <c r="F759" s="7" t="s">
        <v>867</v>
      </c>
      <c r="G759" s="7"/>
    </row>
    <row r="760" spans="1:7" x14ac:dyDescent="0.35">
      <c r="A760" s="7" t="s">
        <v>682</v>
      </c>
      <c r="B760" s="7" t="s">
        <v>908</v>
      </c>
      <c r="C760" s="7" t="s">
        <v>374</v>
      </c>
      <c r="D760" s="10">
        <v>45756</v>
      </c>
      <c r="E760" s="11" t="s">
        <v>314</v>
      </c>
      <c r="F760" s="7" t="s">
        <v>867</v>
      </c>
      <c r="G760" s="7"/>
    </row>
    <row r="761" spans="1:7" x14ac:dyDescent="0.35">
      <c r="A761" s="7" t="s">
        <v>682</v>
      </c>
      <c r="B761" s="7" t="s">
        <v>896</v>
      </c>
      <c r="C761" s="7" t="s">
        <v>897</v>
      </c>
      <c r="D761" s="10">
        <v>45756</v>
      </c>
      <c r="E761" s="11" t="s">
        <v>314</v>
      </c>
      <c r="F761" s="7" t="s">
        <v>1084</v>
      </c>
      <c r="G761" s="7"/>
    </row>
    <row r="762" spans="1:7" x14ac:dyDescent="0.35">
      <c r="A762" s="7" t="s">
        <v>626</v>
      </c>
      <c r="B762" s="7" t="s">
        <v>908</v>
      </c>
      <c r="C762" s="7" t="s">
        <v>374</v>
      </c>
      <c r="D762" s="10">
        <v>45756</v>
      </c>
      <c r="E762" s="11" t="s">
        <v>314</v>
      </c>
      <c r="F762" s="7" t="s">
        <v>867</v>
      </c>
      <c r="G762" s="7"/>
    </row>
    <row r="763" spans="1:7" x14ac:dyDescent="0.35">
      <c r="A763" s="7" t="s">
        <v>664</v>
      </c>
      <c r="B763" s="7" t="s">
        <v>908</v>
      </c>
      <c r="C763" s="7" t="s">
        <v>374</v>
      </c>
      <c r="D763" s="10">
        <v>45756</v>
      </c>
      <c r="E763" s="11" t="s">
        <v>314</v>
      </c>
      <c r="F763" s="7" t="s">
        <v>867</v>
      </c>
      <c r="G763" s="7"/>
    </row>
    <row r="764" spans="1:7" x14ac:dyDescent="0.35">
      <c r="A764" s="7" t="s">
        <v>627</v>
      </c>
      <c r="B764" s="7" t="s">
        <v>908</v>
      </c>
      <c r="C764" s="7" t="s">
        <v>374</v>
      </c>
      <c r="D764" s="10">
        <v>45756</v>
      </c>
      <c r="E764" s="11" t="s">
        <v>314</v>
      </c>
      <c r="F764" s="7" t="s">
        <v>867</v>
      </c>
      <c r="G764" s="7"/>
    </row>
    <row r="765" spans="1:7" x14ac:dyDescent="0.35">
      <c r="A765" s="7" t="s">
        <v>669</v>
      </c>
      <c r="B765" s="7" t="s">
        <v>908</v>
      </c>
      <c r="C765" s="7" t="s">
        <v>374</v>
      </c>
      <c r="D765" s="10">
        <v>45756</v>
      </c>
      <c r="E765" s="11" t="s">
        <v>314</v>
      </c>
      <c r="F765" s="7" t="s">
        <v>867</v>
      </c>
      <c r="G765" s="7"/>
    </row>
    <row r="766" spans="1:7" x14ac:dyDescent="0.35">
      <c r="A766" s="7" t="s">
        <v>654</v>
      </c>
      <c r="B766" s="7" t="s">
        <v>908</v>
      </c>
      <c r="C766" s="7" t="s">
        <v>374</v>
      </c>
      <c r="D766" s="10">
        <v>45756</v>
      </c>
      <c r="E766" s="11" t="s">
        <v>314</v>
      </c>
      <c r="F766" s="7" t="s">
        <v>877</v>
      </c>
      <c r="G766" s="7"/>
    </row>
    <row r="767" spans="1:7" x14ac:dyDescent="0.35">
      <c r="A767" s="7" t="s">
        <v>649</v>
      </c>
      <c r="B767" s="7" t="s">
        <v>908</v>
      </c>
      <c r="C767" s="7" t="s">
        <v>374</v>
      </c>
      <c r="D767" s="10">
        <v>45756</v>
      </c>
      <c r="E767" s="11" t="s">
        <v>314</v>
      </c>
      <c r="F767" s="7" t="s">
        <v>877</v>
      </c>
      <c r="G767" s="7"/>
    </row>
    <row r="768" spans="1:7" x14ac:dyDescent="0.35">
      <c r="A768" s="7" t="s">
        <v>653</v>
      </c>
      <c r="B768" s="7" t="s">
        <v>908</v>
      </c>
      <c r="C768" s="7" t="s">
        <v>374</v>
      </c>
      <c r="D768" s="10">
        <v>45756</v>
      </c>
      <c r="E768" s="11" t="s">
        <v>314</v>
      </c>
      <c r="F768" s="7" t="s">
        <v>877</v>
      </c>
      <c r="G768" s="7"/>
    </row>
    <row r="769" spans="1:7" x14ac:dyDescent="0.35">
      <c r="A769" s="7" t="s">
        <v>651</v>
      </c>
      <c r="B769" s="7" t="s">
        <v>908</v>
      </c>
      <c r="C769" s="7" t="s">
        <v>374</v>
      </c>
      <c r="D769" s="10">
        <v>45756</v>
      </c>
      <c r="E769" s="11" t="s">
        <v>314</v>
      </c>
      <c r="F769" s="7" t="s">
        <v>877</v>
      </c>
      <c r="G769" s="7"/>
    </row>
    <row r="770" spans="1:7" x14ac:dyDescent="0.35">
      <c r="A770" s="7" t="s">
        <v>655</v>
      </c>
      <c r="B770" s="7" t="s">
        <v>908</v>
      </c>
      <c r="C770" s="7" t="s">
        <v>374</v>
      </c>
      <c r="D770" s="10">
        <v>45756</v>
      </c>
      <c r="E770" s="11" t="s">
        <v>314</v>
      </c>
      <c r="F770" s="7" t="s">
        <v>877</v>
      </c>
      <c r="G770" s="7"/>
    </row>
    <row r="771" spans="1:7" x14ac:dyDescent="0.35">
      <c r="A771" s="7" t="s">
        <v>635</v>
      </c>
      <c r="B771" s="7" t="s">
        <v>896</v>
      </c>
      <c r="C771" s="7" t="s">
        <v>897</v>
      </c>
      <c r="D771" s="10">
        <v>45756</v>
      </c>
      <c r="E771" s="11" t="s">
        <v>314</v>
      </c>
      <c r="F771" s="7" t="s">
        <v>877</v>
      </c>
      <c r="G771" s="7"/>
    </row>
    <row r="772" spans="1:7" x14ac:dyDescent="0.35">
      <c r="A772" s="7" t="s">
        <v>624</v>
      </c>
      <c r="B772" s="7" t="s">
        <v>908</v>
      </c>
      <c r="C772" s="7" t="s">
        <v>374</v>
      </c>
      <c r="D772" s="10">
        <v>45756</v>
      </c>
      <c r="E772" s="11" t="s">
        <v>314</v>
      </c>
      <c r="F772" s="7" t="s">
        <v>867</v>
      </c>
      <c r="G772" s="7"/>
    </row>
    <row r="773" spans="1:7" x14ac:dyDescent="0.35">
      <c r="A773" s="7" t="s">
        <v>146</v>
      </c>
      <c r="B773" s="7" t="s">
        <v>896</v>
      </c>
      <c r="C773" s="7" t="s">
        <v>897</v>
      </c>
      <c r="D773" s="10">
        <v>45756</v>
      </c>
      <c r="E773" s="11" t="s">
        <v>314</v>
      </c>
      <c r="F773" s="7" t="s">
        <v>867</v>
      </c>
      <c r="G773" s="7"/>
    </row>
    <row r="774" spans="1:7" x14ac:dyDescent="0.35">
      <c r="A774" s="7" t="s">
        <v>646</v>
      </c>
      <c r="B774" s="7" t="s">
        <v>908</v>
      </c>
      <c r="C774" s="7" t="s">
        <v>374</v>
      </c>
      <c r="D774" s="10">
        <v>45756</v>
      </c>
      <c r="E774" s="11" t="s">
        <v>314</v>
      </c>
      <c r="F774" s="7" t="s">
        <v>877</v>
      </c>
      <c r="G774" s="7"/>
    </row>
    <row r="775" spans="1:7" x14ac:dyDescent="0.35">
      <c r="A775" s="7" t="s">
        <v>661</v>
      </c>
      <c r="B775" s="7" t="s">
        <v>908</v>
      </c>
      <c r="C775" s="7" t="s">
        <v>374</v>
      </c>
      <c r="D775" s="10">
        <v>45756</v>
      </c>
      <c r="E775" s="11" t="s">
        <v>314</v>
      </c>
      <c r="F775" s="7" t="s">
        <v>867</v>
      </c>
      <c r="G775" s="7"/>
    </row>
    <row r="776" spans="1:7" x14ac:dyDescent="0.35">
      <c r="A776" s="7" t="s">
        <v>647</v>
      </c>
      <c r="B776" s="7" t="s">
        <v>908</v>
      </c>
      <c r="C776" s="7" t="s">
        <v>374</v>
      </c>
      <c r="D776" s="10">
        <v>45756</v>
      </c>
      <c r="E776" s="11" t="s">
        <v>314</v>
      </c>
      <c r="F776" s="7" t="s">
        <v>877</v>
      </c>
      <c r="G776" s="7"/>
    </row>
    <row r="777" spans="1:7" x14ac:dyDescent="0.35">
      <c r="A777" s="7" t="s">
        <v>610</v>
      </c>
      <c r="B777" s="7" t="s">
        <v>896</v>
      </c>
      <c r="C777" s="7" t="s">
        <v>897</v>
      </c>
      <c r="D777" s="10">
        <v>45756</v>
      </c>
      <c r="E777" s="11" t="s">
        <v>314</v>
      </c>
      <c r="F777" s="7" t="s">
        <v>867</v>
      </c>
      <c r="G777" s="7"/>
    </row>
    <row r="778" spans="1:7" x14ac:dyDescent="0.35">
      <c r="A778" s="7" t="s">
        <v>304</v>
      </c>
      <c r="B778" s="7" t="s">
        <v>896</v>
      </c>
      <c r="C778" s="7" t="s">
        <v>897</v>
      </c>
      <c r="D778" s="10">
        <v>45756</v>
      </c>
      <c r="E778" s="11" t="s">
        <v>314</v>
      </c>
      <c r="F778" s="7" t="s">
        <v>19</v>
      </c>
      <c r="G778" s="7"/>
    </row>
    <row r="779" spans="1:7" x14ac:dyDescent="0.35">
      <c r="A779" s="7" t="s">
        <v>283</v>
      </c>
      <c r="B779" s="7" t="s">
        <v>896</v>
      </c>
      <c r="C779" s="7" t="s">
        <v>897</v>
      </c>
      <c r="D779" s="10">
        <v>45756</v>
      </c>
      <c r="E779" s="11" t="s">
        <v>314</v>
      </c>
      <c r="F779" s="7" t="s">
        <v>872</v>
      </c>
      <c r="G779" s="7" t="s">
        <v>891</v>
      </c>
    </row>
    <row r="780" spans="1:7" x14ac:dyDescent="0.35">
      <c r="A780" s="7" t="s">
        <v>431</v>
      </c>
      <c r="B780" s="7" t="s">
        <v>896</v>
      </c>
      <c r="C780" s="7" t="s">
        <v>897</v>
      </c>
      <c r="D780" s="10">
        <v>45757</v>
      </c>
      <c r="E780" s="11" t="s">
        <v>314</v>
      </c>
      <c r="F780" s="7" t="s">
        <v>27</v>
      </c>
      <c r="G780" s="7"/>
    </row>
    <row r="781" spans="1:7" x14ac:dyDescent="0.35">
      <c r="A781" s="7" t="s">
        <v>351</v>
      </c>
      <c r="B781" s="7" t="s">
        <v>896</v>
      </c>
      <c r="C781" s="7" t="s">
        <v>897</v>
      </c>
      <c r="D781" s="10">
        <v>45757</v>
      </c>
      <c r="E781" s="11" t="s">
        <v>314</v>
      </c>
      <c r="F781" s="7" t="s">
        <v>27</v>
      </c>
      <c r="G781" s="7"/>
    </row>
    <row r="782" spans="1:7" x14ac:dyDescent="0.35">
      <c r="A782" s="7" t="s">
        <v>351</v>
      </c>
      <c r="B782" s="7" t="s">
        <v>908</v>
      </c>
      <c r="C782" s="7" t="s">
        <v>374</v>
      </c>
      <c r="D782" s="10">
        <v>45757</v>
      </c>
      <c r="E782" s="11" t="s">
        <v>314</v>
      </c>
      <c r="F782" s="7" t="s">
        <v>894</v>
      </c>
      <c r="G782" s="7" t="s">
        <v>15</v>
      </c>
    </row>
    <row r="783" spans="1:7" x14ac:dyDescent="0.35">
      <c r="A783" s="7" t="s">
        <v>633</v>
      </c>
      <c r="B783" s="7" t="s">
        <v>896</v>
      </c>
      <c r="C783" s="7" t="s">
        <v>897</v>
      </c>
      <c r="D783" s="10">
        <v>45757</v>
      </c>
      <c r="E783" s="11" t="s">
        <v>314</v>
      </c>
      <c r="F783" s="7" t="s">
        <v>877</v>
      </c>
      <c r="G783" s="7"/>
    </row>
    <row r="784" spans="1:7" x14ac:dyDescent="0.35">
      <c r="A784" s="7" t="s">
        <v>665</v>
      </c>
      <c r="B784" s="7" t="s">
        <v>908</v>
      </c>
      <c r="C784" s="7" t="s">
        <v>374</v>
      </c>
      <c r="D784" s="10">
        <v>45757</v>
      </c>
      <c r="E784" s="11" t="s">
        <v>314</v>
      </c>
      <c r="F784" s="7" t="s">
        <v>867</v>
      </c>
      <c r="G784" s="7"/>
    </row>
    <row r="785" spans="1:7" x14ac:dyDescent="0.35">
      <c r="A785" s="7" t="s">
        <v>652</v>
      </c>
      <c r="B785" s="7" t="s">
        <v>908</v>
      </c>
      <c r="C785" s="7" t="s">
        <v>374</v>
      </c>
      <c r="D785" s="10">
        <v>45757</v>
      </c>
      <c r="E785" s="11" t="s">
        <v>314</v>
      </c>
      <c r="F785" s="7" t="s">
        <v>877</v>
      </c>
      <c r="G785" s="7"/>
    </row>
    <row r="786" spans="1:7" x14ac:dyDescent="0.35">
      <c r="A786" s="7" t="s">
        <v>650</v>
      </c>
      <c r="B786" s="7" t="s">
        <v>908</v>
      </c>
      <c r="C786" s="7" t="s">
        <v>374</v>
      </c>
      <c r="D786" s="10">
        <v>45757</v>
      </c>
      <c r="E786" s="11" t="s">
        <v>314</v>
      </c>
      <c r="F786" s="7" t="s">
        <v>877</v>
      </c>
      <c r="G786" s="7"/>
    </row>
    <row r="787" spans="1:7" x14ac:dyDescent="0.35">
      <c r="A787" s="7" t="s">
        <v>551</v>
      </c>
      <c r="B787" s="7" t="s">
        <v>908</v>
      </c>
      <c r="C787" s="7" t="s">
        <v>374</v>
      </c>
      <c r="D787" s="10">
        <v>45757</v>
      </c>
      <c r="E787" s="11" t="s">
        <v>314</v>
      </c>
      <c r="F787" s="7" t="s">
        <v>867</v>
      </c>
      <c r="G787" s="7"/>
    </row>
    <row r="788" spans="1:7" x14ac:dyDescent="0.35">
      <c r="A788" s="77" t="s">
        <v>578</v>
      </c>
      <c r="B788" s="77" t="s">
        <v>1025</v>
      </c>
      <c r="C788" s="77" t="s">
        <v>1026</v>
      </c>
      <c r="D788" s="78">
        <v>45757</v>
      </c>
      <c r="E788" s="79" t="s">
        <v>314</v>
      </c>
      <c r="F788" s="77" t="s">
        <v>1080</v>
      </c>
      <c r="G788" s="77"/>
    </row>
    <row r="789" spans="1:7" x14ac:dyDescent="0.35">
      <c r="A789" s="7" t="s">
        <v>662</v>
      </c>
      <c r="B789" s="7" t="s">
        <v>908</v>
      </c>
      <c r="C789" s="7" t="s">
        <v>374</v>
      </c>
      <c r="D789" s="10">
        <v>45761</v>
      </c>
      <c r="E789" s="11" t="s">
        <v>314</v>
      </c>
      <c r="F789" s="7" t="s">
        <v>867</v>
      </c>
      <c r="G789" s="7"/>
    </row>
    <row r="790" spans="1:7" x14ac:dyDescent="0.35">
      <c r="A790" s="7" t="s">
        <v>667</v>
      </c>
      <c r="B790" s="7" t="s">
        <v>908</v>
      </c>
      <c r="C790" s="7" t="s">
        <v>374</v>
      </c>
      <c r="D790" s="10">
        <v>45761</v>
      </c>
      <c r="E790" s="11" t="s">
        <v>314</v>
      </c>
      <c r="F790" s="7" t="s">
        <v>867</v>
      </c>
      <c r="G790" s="7"/>
    </row>
    <row r="791" spans="1:7" x14ac:dyDescent="0.35">
      <c r="A791" s="7" t="s">
        <v>263</v>
      </c>
      <c r="B791" s="7" t="s">
        <v>896</v>
      </c>
      <c r="C791" s="7" t="s">
        <v>897</v>
      </c>
      <c r="D791" s="10">
        <v>45761</v>
      </c>
      <c r="E791" s="11" t="s">
        <v>314</v>
      </c>
      <c r="F791" s="7" t="s">
        <v>871</v>
      </c>
      <c r="G791" s="7" t="s">
        <v>891</v>
      </c>
    </row>
    <row r="792" spans="1:7" x14ac:dyDescent="0.35">
      <c r="A792" s="7" t="s">
        <v>559</v>
      </c>
      <c r="B792" s="7" t="s">
        <v>896</v>
      </c>
      <c r="C792" s="7" t="s">
        <v>897</v>
      </c>
      <c r="D792" s="10">
        <v>45761</v>
      </c>
      <c r="E792" s="11" t="s">
        <v>314</v>
      </c>
      <c r="F792" s="7" t="s">
        <v>19</v>
      </c>
      <c r="G792" s="7"/>
    </row>
    <row r="793" spans="1:7" x14ac:dyDescent="0.35">
      <c r="A793" s="77" t="s">
        <v>666</v>
      </c>
      <c r="B793" s="77" t="s">
        <v>908</v>
      </c>
      <c r="C793" s="77" t="s">
        <v>374</v>
      </c>
      <c r="D793" s="78">
        <v>45761</v>
      </c>
      <c r="E793" s="79" t="s">
        <v>314</v>
      </c>
      <c r="F793" s="77" t="s">
        <v>867</v>
      </c>
      <c r="G793" s="77"/>
    </row>
    <row r="794" spans="1:7" x14ac:dyDescent="0.35">
      <c r="A794" s="77" t="s">
        <v>565</v>
      </c>
      <c r="B794" s="77" t="s">
        <v>1025</v>
      </c>
      <c r="C794" s="77" t="s">
        <v>1026</v>
      </c>
      <c r="D794" s="78">
        <v>45761</v>
      </c>
      <c r="E794" s="79" t="s">
        <v>314</v>
      </c>
      <c r="F794" s="77" t="s">
        <v>1080</v>
      </c>
      <c r="G794" s="77"/>
    </row>
    <row r="795" spans="1:7" x14ac:dyDescent="0.35">
      <c r="A795" s="7" t="s">
        <v>699</v>
      </c>
      <c r="B795" s="7" t="s">
        <v>896</v>
      </c>
      <c r="C795" s="7" t="s">
        <v>897</v>
      </c>
      <c r="D795" s="10">
        <v>45762</v>
      </c>
      <c r="E795" s="11" t="s">
        <v>314</v>
      </c>
      <c r="F795" s="7" t="s">
        <v>877</v>
      </c>
      <c r="G795" s="7"/>
    </row>
    <row r="796" spans="1:7" x14ac:dyDescent="0.35">
      <c r="A796" s="7" t="s">
        <v>687</v>
      </c>
      <c r="B796" s="7" t="s">
        <v>908</v>
      </c>
      <c r="C796" s="7" t="s">
        <v>374</v>
      </c>
      <c r="D796" s="10">
        <v>45762</v>
      </c>
      <c r="E796" s="11" t="s">
        <v>314</v>
      </c>
      <c r="F796" s="7" t="s">
        <v>867</v>
      </c>
      <c r="G796" s="7"/>
    </row>
    <row r="797" spans="1:7" x14ac:dyDescent="0.35">
      <c r="A797" s="7" t="s">
        <v>690</v>
      </c>
      <c r="B797" s="7" t="s">
        <v>908</v>
      </c>
      <c r="C797" s="7" t="s">
        <v>374</v>
      </c>
      <c r="D797" s="10">
        <v>45762</v>
      </c>
      <c r="E797" s="11" t="s">
        <v>314</v>
      </c>
      <c r="F797" s="7" t="s">
        <v>867</v>
      </c>
      <c r="G797" s="7"/>
    </row>
    <row r="798" spans="1:7" x14ac:dyDescent="0.35">
      <c r="A798" s="7" t="s">
        <v>395</v>
      </c>
      <c r="B798" s="7" t="s">
        <v>896</v>
      </c>
      <c r="C798" s="7" t="s">
        <v>897</v>
      </c>
      <c r="D798" s="10">
        <v>45762</v>
      </c>
      <c r="E798" s="11" t="s">
        <v>314</v>
      </c>
      <c r="F798" s="7" t="s">
        <v>877</v>
      </c>
      <c r="G798" s="7"/>
    </row>
    <row r="799" spans="1:7" x14ac:dyDescent="0.35">
      <c r="A799" s="7" t="s">
        <v>403</v>
      </c>
      <c r="B799" s="7" t="s">
        <v>908</v>
      </c>
      <c r="C799" s="7" t="s">
        <v>374</v>
      </c>
      <c r="D799" s="10">
        <v>45762</v>
      </c>
      <c r="E799" s="11" t="s">
        <v>314</v>
      </c>
      <c r="F799" s="7" t="s">
        <v>867</v>
      </c>
      <c r="G799" s="7"/>
    </row>
    <row r="800" spans="1:7" x14ac:dyDescent="0.35">
      <c r="A800" s="7" t="s">
        <v>488</v>
      </c>
      <c r="B800" s="7" t="s">
        <v>896</v>
      </c>
      <c r="C800" s="7" t="s">
        <v>897</v>
      </c>
      <c r="D800" s="10">
        <v>45762</v>
      </c>
      <c r="E800" s="11" t="s">
        <v>314</v>
      </c>
      <c r="F800" s="7" t="s">
        <v>877</v>
      </c>
      <c r="G800" s="7"/>
    </row>
    <row r="801" spans="1:7" x14ac:dyDescent="0.35">
      <c r="A801" s="77" t="s">
        <v>590</v>
      </c>
      <c r="B801" s="77" t="s">
        <v>896</v>
      </c>
      <c r="C801" s="77" t="s">
        <v>897</v>
      </c>
      <c r="D801" s="78">
        <v>45762</v>
      </c>
      <c r="E801" s="79" t="s">
        <v>314</v>
      </c>
      <c r="F801" s="77" t="s">
        <v>877</v>
      </c>
      <c r="G801" s="77"/>
    </row>
    <row r="802" spans="1:7" x14ac:dyDescent="0.35">
      <c r="A802" s="7" t="s">
        <v>404</v>
      </c>
      <c r="B802" s="7" t="s">
        <v>908</v>
      </c>
      <c r="C802" s="7" t="s">
        <v>374</v>
      </c>
      <c r="D802" s="10">
        <v>45763</v>
      </c>
      <c r="E802" s="11" t="s">
        <v>314</v>
      </c>
      <c r="F802" s="7" t="s">
        <v>867</v>
      </c>
      <c r="G802" s="7"/>
    </row>
    <row r="803" spans="1:7" x14ac:dyDescent="0.35">
      <c r="A803" s="7" t="s">
        <v>700</v>
      </c>
      <c r="B803" s="7" t="s">
        <v>896</v>
      </c>
      <c r="C803" s="7" t="s">
        <v>897</v>
      </c>
      <c r="D803" s="10">
        <v>45763</v>
      </c>
      <c r="E803" s="11" t="s">
        <v>314</v>
      </c>
      <c r="F803" s="7" t="s">
        <v>877</v>
      </c>
      <c r="G803" s="7"/>
    </row>
    <row r="804" spans="1:7" x14ac:dyDescent="0.35">
      <c r="A804" s="7" t="s">
        <v>400</v>
      </c>
      <c r="B804" s="7" t="s">
        <v>896</v>
      </c>
      <c r="C804" s="7" t="s">
        <v>897</v>
      </c>
      <c r="D804" s="10">
        <v>45763</v>
      </c>
      <c r="E804" s="11" t="s">
        <v>314</v>
      </c>
      <c r="F804" s="7" t="s">
        <v>867</v>
      </c>
      <c r="G804" s="7"/>
    </row>
    <row r="805" spans="1:7" x14ac:dyDescent="0.35">
      <c r="A805" s="7" t="s">
        <v>400</v>
      </c>
      <c r="B805" s="7" t="s">
        <v>896</v>
      </c>
      <c r="C805" s="7" t="s">
        <v>897</v>
      </c>
      <c r="D805" s="10">
        <v>45763</v>
      </c>
      <c r="E805" s="11" t="s">
        <v>314</v>
      </c>
      <c r="F805" s="7" t="s">
        <v>1084</v>
      </c>
      <c r="G805" s="7"/>
    </row>
    <row r="806" spans="1:7" x14ac:dyDescent="0.35">
      <c r="A806" s="7" t="s">
        <v>427</v>
      </c>
      <c r="B806" s="7" t="s">
        <v>896</v>
      </c>
      <c r="C806" s="7" t="s">
        <v>897</v>
      </c>
      <c r="D806" s="10">
        <v>45763</v>
      </c>
      <c r="E806" s="11" t="s">
        <v>314</v>
      </c>
      <c r="F806" s="7" t="s">
        <v>877</v>
      </c>
      <c r="G806" s="7"/>
    </row>
    <row r="807" spans="1:7" x14ac:dyDescent="0.35">
      <c r="A807" s="7" t="s">
        <v>575</v>
      </c>
      <c r="B807" s="7" t="s">
        <v>896</v>
      </c>
      <c r="C807" s="7" t="s">
        <v>897</v>
      </c>
      <c r="D807" s="10">
        <v>45763</v>
      </c>
      <c r="E807" s="11" t="s">
        <v>314</v>
      </c>
      <c r="F807" s="7" t="s">
        <v>877</v>
      </c>
      <c r="G807" s="7"/>
    </row>
    <row r="808" spans="1:7" x14ac:dyDescent="0.35">
      <c r="A808" s="77" t="s">
        <v>557</v>
      </c>
      <c r="B808" s="77" t="s">
        <v>896</v>
      </c>
      <c r="C808" s="77" t="s">
        <v>897</v>
      </c>
      <c r="D808" s="78">
        <v>45763</v>
      </c>
      <c r="E808" s="79" t="s">
        <v>314</v>
      </c>
      <c r="F808" s="77" t="s">
        <v>877</v>
      </c>
      <c r="G808" s="77"/>
    </row>
    <row r="809" spans="1:7" x14ac:dyDescent="0.35">
      <c r="A809" s="77" t="s">
        <v>700</v>
      </c>
      <c r="B809" s="77" t="s">
        <v>1025</v>
      </c>
      <c r="C809" s="77" t="s">
        <v>1026</v>
      </c>
      <c r="D809" s="78">
        <v>45763</v>
      </c>
      <c r="E809" s="79" t="s">
        <v>314</v>
      </c>
      <c r="F809" s="77" t="s">
        <v>1080</v>
      </c>
      <c r="G809" s="77"/>
    </row>
    <row r="810" spans="1:7" x14ac:dyDescent="0.35">
      <c r="A810" s="77" t="s">
        <v>688</v>
      </c>
      <c r="B810" s="77" t="s">
        <v>1025</v>
      </c>
      <c r="C810" s="77" t="s">
        <v>1026</v>
      </c>
      <c r="D810" s="78">
        <v>45764</v>
      </c>
      <c r="E810" s="79" t="s">
        <v>314</v>
      </c>
      <c r="F810" s="77" t="s">
        <v>1080</v>
      </c>
      <c r="G810" s="77"/>
    </row>
    <row r="811" spans="1:7" x14ac:dyDescent="0.35">
      <c r="A811" s="77" t="s">
        <v>692</v>
      </c>
      <c r="B811" s="77" t="s">
        <v>1025</v>
      </c>
      <c r="C811" s="77" t="s">
        <v>1026</v>
      </c>
      <c r="D811" s="78">
        <v>45765</v>
      </c>
      <c r="E811" s="79" t="s">
        <v>314</v>
      </c>
      <c r="F811" s="77" t="s">
        <v>1080</v>
      </c>
      <c r="G811" s="77"/>
    </row>
    <row r="812" spans="1:7" x14ac:dyDescent="0.35">
      <c r="A812" s="77" t="s">
        <v>245</v>
      </c>
      <c r="B812" s="77" t="s">
        <v>1025</v>
      </c>
      <c r="C812" s="77" t="s">
        <v>1026</v>
      </c>
      <c r="D812" s="78">
        <v>45765</v>
      </c>
      <c r="E812" s="79" t="s">
        <v>314</v>
      </c>
      <c r="F812" s="77" t="s">
        <v>1080</v>
      </c>
      <c r="G812" s="77"/>
    </row>
    <row r="813" spans="1:7" x14ac:dyDescent="0.35">
      <c r="A813" s="77" t="s">
        <v>572</v>
      </c>
      <c r="B813" s="77" t="s">
        <v>1025</v>
      </c>
      <c r="C813" s="77" t="s">
        <v>1026</v>
      </c>
      <c r="D813" s="78">
        <v>45765</v>
      </c>
      <c r="E813" s="79" t="s">
        <v>314</v>
      </c>
      <c r="F813" s="77" t="s">
        <v>1080</v>
      </c>
      <c r="G813" s="77"/>
    </row>
    <row r="814" spans="1:7" x14ac:dyDescent="0.35">
      <c r="A814" s="7" t="s">
        <v>697</v>
      </c>
      <c r="B814" s="7" t="s">
        <v>896</v>
      </c>
      <c r="C814" s="7" t="s">
        <v>897</v>
      </c>
      <c r="D814" s="10">
        <v>45768</v>
      </c>
      <c r="E814" s="11" t="s">
        <v>314</v>
      </c>
      <c r="F814" s="7" t="s">
        <v>877</v>
      </c>
      <c r="G814" s="7"/>
    </row>
    <row r="815" spans="1:7" x14ac:dyDescent="0.35">
      <c r="A815" s="7" t="s">
        <v>692</v>
      </c>
      <c r="B815" s="7" t="s">
        <v>896</v>
      </c>
      <c r="C815" s="7" t="s">
        <v>897</v>
      </c>
      <c r="D815" s="10">
        <v>45768</v>
      </c>
      <c r="E815" s="11" t="s">
        <v>314</v>
      </c>
      <c r="F815" s="7" t="s">
        <v>877</v>
      </c>
      <c r="G815" s="7"/>
    </row>
    <row r="816" spans="1:7" x14ac:dyDescent="0.35">
      <c r="A816" s="7" t="s">
        <v>565</v>
      </c>
      <c r="B816" s="7" t="s">
        <v>896</v>
      </c>
      <c r="C816" s="7" t="s">
        <v>897</v>
      </c>
      <c r="D816" s="10">
        <v>45768</v>
      </c>
      <c r="E816" s="11" t="s">
        <v>314</v>
      </c>
      <c r="F816" s="7" t="s">
        <v>27</v>
      </c>
      <c r="G816" s="7"/>
    </row>
    <row r="817" spans="1:7" x14ac:dyDescent="0.35">
      <c r="A817" s="7" t="s">
        <v>694</v>
      </c>
      <c r="B817" s="7" t="s">
        <v>896</v>
      </c>
      <c r="C817" s="7" t="s">
        <v>897</v>
      </c>
      <c r="D817" s="10">
        <v>45768</v>
      </c>
      <c r="E817" s="11" t="s">
        <v>314</v>
      </c>
      <c r="F817" s="7" t="s">
        <v>877</v>
      </c>
      <c r="G817" s="7"/>
    </row>
    <row r="818" spans="1:7" x14ac:dyDescent="0.35">
      <c r="A818" s="7" t="s">
        <v>410</v>
      </c>
      <c r="B818" s="7" t="s">
        <v>908</v>
      </c>
      <c r="C818" s="7" t="s">
        <v>374</v>
      </c>
      <c r="D818" s="10">
        <v>45768</v>
      </c>
      <c r="E818" s="11" t="s">
        <v>314</v>
      </c>
      <c r="F818" s="7" t="s">
        <v>877</v>
      </c>
      <c r="G818" s="7"/>
    </row>
    <row r="819" spans="1:7" x14ac:dyDescent="0.35">
      <c r="A819" s="7" t="s">
        <v>245</v>
      </c>
      <c r="B819" s="7" t="s">
        <v>908</v>
      </c>
      <c r="C819" s="7" t="s">
        <v>374</v>
      </c>
      <c r="D819" s="10">
        <v>45768</v>
      </c>
      <c r="E819" s="11" t="s">
        <v>314</v>
      </c>
      <c r="F819" s="7" t="s">
        <v>877</v>
      </c>
      <c r="G819" s="7"/>
    </row>
    <row r="820" spans="1:7" x14ac:dyDescent="0.35">
      <c r="A820" s="7" t="s">
        <v>373</v>
      </c>
      <c r="B820" s="7" t="s">
        <v>908</v>
      </c>
      <c r="C820" s="7" t="s">
        <v>374</v>
      </c>
      <c r="D820" s="10">
        <v>45768</v>
      </c>
      <c r="E820" s="11" t="s">
        <v>314</v>
      </c>
      <c r="F820" s="7" t="s">
        <v>867</v>
      </c>
      <c r="G820" s="7"/>
    </row>
    <row r="821" spans="1:7" x14ac:dyDescent="0.35">
      <c r="A821" s="7" t="s">
        <v>402</v>
      </c>
      <c r="B821" s="7" t="s">
        <v>908</v>
      </c>
      <c r="C821" s="7" t="s">
        <v>374</v>
      </c>
      <c r="D821" s="10">
        <v>45768</v>
      </c>
      <c r="E821" s="11" t="s">
        <v>314</v>
      </c>
      <c r="F821" s="7" t="s">
        <v>867</v>
      </c>
      <c r="G821" s="7"/>
    </row>
    <row r="822" spans="1:7" x14ac:dyDescent="0.35">
      <c r="A822" s="7" t="s">
        <v>572</v>
      </c>
      <c r="B822" s="7" t="s">
        <v>896</v>
      </c>
      <c r="C822" s="7" t="s">
        <v>897</v>
      </c>
      <c r="D822" s="10">
        <v>45768</v>
      </c>
      <c r="E822" s="11" t="s">
        <v>314</v>
      </c>
      <c r="F822" s="7" t="s">
        <v>877</v>
      </c>
      <c r="G822" s="7"/>
    </row>
    <row r="823" spans="1:7" x14ac:dyDescent="0.35">
      <c r="A823" s="7" t="s">
        <v>689</v>
      </c>
      <c r="B823" s="7" t="s">
        <v>896</v>
      </c>
      <c r="C823" s="7" t="s">
        <v>897</v>
      </c>
      <c r="D823" s="10">
        <v>45768</v>
      </c>
      <c r="E823" s="11" t="s">
        <v>314</v>
      </c>
      <c r="F823" s="7" t="s">
        <v>877</v>
      </c>
      <c r="G823" s="7"/>
    </row>
    <row r="824" spans="1:7" x14ac:dyDescent="0.35">
      <c r="A824" s="7" t="s">
        <v>562</v>
      </c>
      <c r="B824" s="7" t="s">
        <v>896</v>
      </c>
      <c r="C824" s="7" t="s">
        <v>897</v>
      </c>
      <c r="D824" s="10">
        <v>45768</v>
      </c>
      <c r="E824" s="11" t="s">
        <v>314</v>
      </c>
      <c r="F824" s="7" t="s">
        <v>877</v>
      </c>
      <c r="G824" s="7"/>
    </row>
    <row r="825" spans="1:7" x14ac:dyDescent="0.35">
      <c r="A825" s="7" t="s">
        <v>573</v>
      </c>
      <c r="B825" s="7" t="s">
        <v>896</v>
      </c>
      <c r="C825" s="7" t="s">
        <v>897</v>
      </c>
      <c r="D825" s="10">
        <v>45768</v>
      </c>
      <c r="E825" s="11" t="s">
        <v>314</v>
      </c>
      <c r="F825" s="7" t="s">
        <v>877</v>
      </c>
      <c r="G825" s="7"/>
    </row>
    <row r="826" spans="1:7" x14ac:dyDescent="0.35">
      <c r="A826" s="7" t="s">
        <v>587</v>
      </c>
      <c r="B826" s="7" t="s">
        <v>896</v>
      </c>
      <c r="C826" s="7" t="s">
        <v>897</v>
      </c>
      <c r="D826" s="10">
        <v>45768</v>
      </c>
      <c r="E826" s="11" t="s">
        <v>314</v>
      </c>
      <c r="F826" s="7" t="s">
        <v>877</v>
      </c>
      <c r="G826" s="7"/>
    </row>
    <row r="827" spans="1:7" x14ac:dyDescent="0.35">
      <c r="A827" s="7" t="s">
        <v>688</v>
      </c>
      <c r="B827" s="7" t="s">
        <v>896</v>
      </c>
      <c r="C827" s="7" t="s">
        <v>897</v>
      </c>
      <c r="D827" s="10">
        <v>45768</v>
      </c>
      <c r="E827" s="11" t="s">
        <v>314</v>
      </c>
      <c r="F827" s="7" t="s">
        <v>877</v>
      </c>
      <c r="G827" s="7"/>
    </row>
    <row r="828" spans="1:7" x14ac:dyDescent="0.35">
      <c r="A828" s="7" t="s">
        <v>304</v>
      </c>
      <c r="B828" s="7" t="s">
        <v>908</v>
      </c>
      <c r="C828" s="7" t="s">
        <v>374</v>
      </c>
      <c r="D828" s="10">
        <v>45768</v>
      </c>
      <c r="E828" s="11" t="s">
        <v>314</v>
      </c>
      <c r="F828" s="7" t="s">
        <v>872</v>
      </c>
      <c r="G828" s="7" t="s">
        <v>317</v>
      </c>
    </row>
    <row r="829" spans="1:7" x14ac:dyDescent="0.35">
      <c r="A829" s="7" t="s">
        <v>304</v>
      </c>
      <c r="B829" s="7" t="s">
        <v>896</v>
      </c>
      <c r="C829" s="7" t="s">
        <v>897</v>
      </c>
      <c r="D829" s="10">
        <v>45768</v>
      </c>
      <c r="E829" s="11" t="s">
        <v>314</v>
      </c>
      <c r="F829" s="7" t="s">
        <v>871</v>
      </c>
      <c r="G829" s="7" t="s">
        <v>891</v>
      </c>
    </row>
    <row r="830" spans="1:7" x14ac:dyDescent="0.35">
      <c r="A830" s="77" t="s">
        <v>607</v>
      </c>
      <c r="B830" s="77" t="s">
        <v>896</v>
      </c>
      <c r="C830" s="77" t="s">
        <v>897</v>
      </c>
      <c r="D830" s="78">
        <v>45768</v>
      </c>
      <c r="E830" s="79" t="s">
        <v>314</v>
      </c>
      <c r="F830" s="77" t="s">
        <v>877</v>
      </c>
      <c r="G830" s="77"/>
    </row>
    <row r="831" spans="1:7" x14ac:dyDescent="0.35">
      <c r="A831" s="77" t="s">
        <v>609</v>
      </c>
      <c r="B831" s="77" t="s">
        <v>896</v>
      </c>
      <c r="C831" s="77" t="s">
        <v>897</v>
      </c>
      <c r="D831" s="78">
        <v>45768</v>
      </c>
      <c r="E831" s="79" t="s">
        <v>314</v>
      </c>
      <c r="F831" s="77" t="s">
        <v>877</v>
      </c>
      <c r="G831" s="77"/>
    </row>
    <row r="832" spans="1:7" x14ac:dyDescent="0.35">
      <c r="A832" s="77" t="s">
        <v>691</v>
      </c>
      <c r="B832" s="77" t="s">
        <v>896</v>
      </c>
      <c r="C832" s="77" t="s">
        <v>897</v>
      </c>
      <c r="D832" s="78">
        <v>45768</v>
      </c>
      <c r="E832" s="79" t="s">
        <v>314</v>
      </c>
      <c r="F832" s="77" t="s">
        <v>877</v>
      </c>
      <c r="G832" s="77"/>
    </row>
    <row r="833" spans="1:7" x14ac:dyDescent="0.35">
      <c r="A833" s="77" t="s">
        <v>658</v>
      </c>
      <c r="B833" s="77" t="s">
        <v>896</v>
      </c>
      <c r="C833" s="77" t="s">
        <v>897</v>
      </c>
      <c r="D833" s="78">
        <v>45768</v>
      </c>
      <c r="E833" s="79" t="s">
        <v>314</v>
      </c>
      <c r="F833" s="77" t="s">
        <v>877</v>
      </c>
      <c r="G833" s="77"/>
    </row>
    <row r="834" spans="1:7" x14ac:dyDescent="0.35">
      <c r="A834" s="77" t="s">
        <v>685</v>
      </c>
      <c r="B834" s="77" t="s">
        <v>896</v>
      </c>
      <c r="C834" s="77" t="s">
        <v>897</v>
      </c>
      <c r="D834" s="78">
        <v>45768</v>
      </c>
      <c r="E834" s="79" t="s">
        <v>314</v>
      </c>
      <c r="F834" s="77" t="s">
        <v>877</v>
      </c>
      <c r="G834" s="77"/>
    </row>
    <row r="835" spans="1:7" x14ac:dyDescent="0.35">
      <c r="A835" s="77" t="s">
        <v>697</v>
      </c>
      <c r="B835" s="77" t="s">
        <v>1025</v>
      </c>
      <c r="C835" s="77" t="s">
        <v>1026</v>
      </c>
      <c r="D835" s="78">
        <v>45768</v>
      </c>
      <c r="E835" s="79" t="s">
        <v>314</v>
      </c>
      <c r="F835" s="77" t="s">
        <v>1080</v>
      </c>
      <c r="G835" s="77"/>
    </row>
    <row r="836" spans="1:7" x14ac:dyDescent="0.35">
      <c r="A836" s="77" t="s">
        <v>694</v>
      </c>
      <c r="B836" s="77" t="s">
        <v>1025</v>
      </c>
      <c r="C836" s="77" t="s">
        <v>1026</v>
      </c>
      <c r="D836" s="78">
        <v>45768</v>
      </c>
      <c r="E836" s="79" t="s">
        <v>314</v>
      </c>
      <c r="F836" s="77" t="s">
        <v>1080</v>
      </c>
      <c r="G836" s="77"/>
    </row>
    <row r="837" spans="1:7" x14ac:dyDescent="0.35">
      <c r="A837" s="7" t="s">
        <v>668</v>
      </c>
      <c r="B837" s="7" t="s">
        <v>1025</v>
      </c>
      <c r="C837" s="77" t="s">
        <v>1026</v>
      </c>
      <c r="D837" s="10">
        <v>45769</v>
      </c>
      <c r="E837" s="11" t="s">
        <v>314</v>
      </c>
      <c r="F837" s="7" t="s">
        <v>871</v>
      </c>
      <c r="G837" s="7" t="s">
        <v>891</v>
      </c>
    </row>
    <row r="838" spans="1:7" x14ac:dyDescent="0.35">
      <c r="A838" s="7" t="s">
        <v>668</v>
      </c>
      <c r="B838" s="7" t="s">
        <v>896</v>
      </c>
      <c r="C838" s="7" t="s">
        <v>897</v>
      </c>
      <c r="D838" s="10">
        <v>45769</v>
      </c>
      <c r="E838" s="11" t="s">
        <v>314</v>
      </c>
      <c r="F838" s="7" t="s">
        <v>19</v>
      </c>
      <c r="G838" s="7"/>
    </row>
    <row r="839" spans="1:7" x14ac:dyDescent="0.35">
      <c r="A839" s="77" t="s">
        <v>604</v>
      </c>
      <c r="B839" s="77" t="s">
        <v>1025</v>
      </c>
      <c r="C839" s="77" t="s">
        <v>1026</v>
      </c>
      <c r="D839" s="78">
        <v>45769</v>
      </c>
      <c r="E839" s="79" t="s">
        <v>314</v>
      </c>
      <c r="F839" s="77" t="s">
        <v>1080</v>
      </c>
      <c r="G839" s="77"/>
    </row>
    <row r="840" spans="1:7" x14ac:dyDescent="0.35">
      <c r="A840" s="7" t="s">
        <v>703</v>
      </c>
      <c r="B840" s="7" t="s">
        <v>896</v>
      </c>
      <c r="C840" s="7" t="s">
        <v>897</v>
      </c>
      <c r="D840" s="10">
        <v>45770</v>
      </c>
      <c r="E840" s="11" t="s">
        <v>314</v>
      </c>
      <c r="F840" s="7" t="s">
        <v>877</v>
      </c>
      <c r="G840" s="7"/>
    </row>
    <row r="841" spans="1:7" x14ac:dyDescent="0.35">
      <c r="A841" s="7" t="s">
        <v>622</v>
      </c>
      <c r="B841" s="7" t="s">
        <v>896</v>
      </c>
      <c r="C841" s="7" t="s">
        <v>897</v>
      </c>
      <c r="D841" s="10">
        <v>45770</v>
      </c>
      <c r="E841" s="11" t="s">
        <v>314</v>
      </c>
      <c r="F841" s="7" t="s">
        <v>867</v>
      </c>
      <c r="G841" s="7"/>
    </row>
    <row r="842" spans="1:7" x14ac:dyDescent="0.35">
      <c r="A842" s="7" t="s">
        <v>702</v>
      </c>
      <c r="B842" s="7" t="s">
        <v>896</v>
      </c>
      <c r="C842" s="7" t="s">
        <v>897</v>
      </c>
      <c r="D842" s="10">
        <v>45770</v>
      </c>
      <c r="E842" s="11" t="s">
        <v>314</v>
      </c>
      <c r="F842" s="7" t="s">
        <v>877</v>
      </c>
      <c r="G842" s="7"/>
    </row>
    <row r="843" spans="1:7" x14ac:dyDescent="0.35">
      <c r="A843" s="7" t="s">
        <v>606</v>
      </c>
      <c r="B843" s="7" t="s">
        <v>896</v>
      </c>
      <c r="C843" s="7" t="s">
        <v>897</v>
      </c>
      <c r="D843" s="10">
        <v>45770</v>
      </c>
      <c r="E843" s="11" t="s">
        <v>314</v>
      </c>
      <c r="F843" s="7" t="s">
        <v>877</v>
      </c>
      <c r="G843" s="7"/>
    </row>
    <row r="844" spans="1:7" x14ac:dyDescent="0.35">
      <c r="A844" s="7" t="s">
        <v>604</v>
      </c>
      <c r="B844" s="7" t="s">
        <v>896</v>
      </c>
      <c r="C844" s="7" t="s">
        <v>897</v>
      </c>
      <c r="D844" s="10">
        <v>45770</v>
      </c>
      <c r="E844" s="11" t="s">
        <v>314</v>
      </c>
      <c r="F844" s="7" t="s">
        <v>877</v>
      </c>
      <c r="G844" s="7"/>
    </row>
    <row r="845" spans="1:7" x14ac:dyDescent="0.35">
      <c r="A845" s="7" t="s">
        <v>328</v>
      </c>
      <c r="B845" s="7" t="s">
        <v>896</v>
      </c>
      <c r="C845" s="7" t="s">
        <v>897</v>
      </c>
      <c r="D845" s="10">
        <v>45770</v>
      </c>
      <c r="E845" s="11" t="s">
        <v>314</v>
      </c>
      <c r="F845" s="7" t="s">
        <v>877</v>
      </c>
      <c r="G845" s="7"/>
    </row>
    <row r="846" spans="1:7" x14ac:dyDescent="0.35">
      <c r="A846" s="77" t="s">
        <v>702</v>
      </c>
      <c r="B846" s="77" t="s">
        <v>1025</v>
      </c>
      <c r="C846" s="77" t="s">
        <v>1026</v>
      </c>
      <c r="D846" s="78">
        <v>45770</v>
      </c>
      <c r="E846" s="79" t="s">
        <v>314</v>
      </c>
      <c r="F846" s="77" t="s">
        <v>1080</v>
      </c>
      <c r="G846" s="77"/>
    </row>
    <row r="847" spans="1:7" x14ac:dyDescent="0.35">
      <c r="A847" s="77" t="s">
        <v>328</v>
      </c>
      <c r="B847" s="77" t="s">
        <v>1025</v>
      </c>
      <c r="C847" s="77" t="s">
        <v>1026</v>
      </c>
      <c r="D847" s="78">
        <v>45770</v>
      </c>
      <c r="E847" s="79" t="s">
        <v>314</v>
      </c>
      <c r="F847" s="77" t="s">
        <v>1080</v>
      </c>
      <c r="G847" s="77"/>
    </row>
    <row r="848" spans="1:7" x14ac:dyDescent="0.35">
      <c r="A848" s="7" t="s">
        <v>709</v>
      </c>
      <c r="B848" s="7" t="s">
        <v>896</v>
      </c>
      <c r="C848" s="7" t="s">
        <v>897</v>
      </c>
      <c r="D848" s="10">
        <v>45771</v>
      </c>
      <c r="E848" s="11" t="s">
        <v>314</v>
      </c>
      <c r="F848" s="7" t="s">
        <v>877</v>
      </c>
      <c r="G848" s="7"/>
    </row>
    <row r="849" spans="1:7" x14ac:dyDescent="0.35">
      <c r="A849" s="7" t="s">
        <v>708</v>
      </c>
      <c r="B849" s="7" t="s">
        <v>896</v>
      </c>
      <c r="C849" s="7" t="s">
        <v>897</v>
      </c>
      <c r="D849" s="10">
        <v>45771</v>
      </c>
      <c r="E849" s="11" t="s">
        <v>314</v>
      </c>
      <c r="F849" s="7" t="s">
        <v>877</v>
      </c>
      <c r="G849" s="7"/>
    </row>
    <row r="850" spans="1:7" x14ac:dyDescent="0.35">
      <c r="A850" s="77" t="s">
        <v>722</v>
      </c>
      <c r="B850" s="77" t="s">
        <v>896</v>
      </c>
      <c r="C850" s="77" t="s">
        <v>897</v>
      </c>
      <c r="D850" s="78">
        <v>45771</v>
      </c>
      <c r="E850" s="79" t="s">
        <v>314</v>
      </c>
      <c r="F850" s="77" t="s">
        <v>877</v>
      </c>
      <c r="G850" s="77"/>
    </row>
    <row r="851" spans="1:7" x14ac:dyDescent="0.35">
      <c r="A851" s="77" t="s">
        <v>606</v>
      </c>
      <c r="B851" s="77" t="s">
        <v>1025</v>
      </c>
      <c r="C851" s="77" t="s">
        <v>1026</v>
      </c>
      <c r="D851" s="78">
        <v>45771</v>
      </c>
      <c r="E851" s="79" t="s">
        <v>314</v>
      </c>
      <c r="F851" s="77" t="s">
        <v>1080</v>
      </c>
      <c r="G851" s="77"/>
    </row>
    <row r="852" spans="1:7" x14ac:dyDescent="0.35">
      <c r="A852" s="77" t="s">
        <v>722</v>
      </c>
      <c r="B852" s="77" t="s">
        <v>1025</v>
      </c>
      <c r="C852" s="77" t="s">
        <v>1026</v>
      </c>
      <c r="D852" s="78">
        <v>45771</v>
      </c>
      <c r="E852" s="79" t="s">
        <v>314</v>
      </c>
      <c r="F852" s="77" t="s">
        <v>1080</v>
      </c>
      <c r="G852" s="77"/>
    </row>
    <row r="853" spans="1:7" x14ac:dyDescent="0.35">
      <c r="A853" s="7" t="s">
        <v>595</v>
      </c>
      <c r="B853" s="7" t="s">
        <v>896</v>
      </c>
      <c r="C853" s="7" t="s">
        <v>897</v>
      </c>
      <c r="D853" s="10">
        <v>45772</v>
      </c>
      <c r="E853" s="11" t="s">
        <v>314</v>
      </c>
      <c r="F853" s="7" t="s">
        <v>872</v>
      </c>
      <c r="G853" s="7" t="s">
        <v>891</v>
      </c>
    </row>
    <row r="854" spans="1:7" x14ac:dyDescent="0.35">
      <c r="A854" s="77" t="s">
        <v>709</v>
      </c>
      <c r="B854" s="77" t="s">
        <v>1025</v>
      </c>
      <c r="C854" s="77" t="s">
        <v>1026</v>
      </c>
      <c r="D854" s="78">
        <v>45772</v>
      </c>
      <c r="E854" s="79" t="s">
        <v>314</v>
      </c>
      <c r="F854" s="77" t="s">
        <v>1080</v>
      </c>
      <c r="G854" s="77"/>
    </row>
    <row r="855" spans="1:7" x14ac:dyDescent="0.35">
      <c r="A855" s="77" t="s">
        <v>708</v>
      </c>
      <c r="B855" s="77" t="s">
        <v>1025</v>
      </c>
      <c r="C855" s="77" t="s">
        <v>1026</v>
      </c>
      <c r="D855" s="78">
        <v>45772</v>
      </c>
      <c r="E855" s="79" t="s">
        <v>314</v>
      </c>
      <c r="F855" s="77" t="s">
        <v>1080</v>
      </c>
      <c r="G855" s="77"/>
    </row>
    <row r="856" spans="1:7" x14ac:dyDescent="0.35">
      <c r="A856" s="7" t="s">
        <v>558</v>
      </c>
      <c r="B856" s="7" t="s">
        <v>896</v>
      </c>
      <c r="C856" s="7" t="s">
        <v>897</v>
      </c>
      <c r="D856" s="10">
        <v>45773</v>
      </c>
      <c r="E856" s="11" t="s">
        <v>314</v>
      </c>
      <c r="F856" s="7" t="s">
        <v>877</v>
      </c>
      <c r="G856" s="7"/>
    </row>
    <row r="857" spans="1:7" x14ac:dyDescent="0.35">
      <c r="A857" s="7" t="s">
        <v>712</v>
      </c>
      <c r="B857" s="7" t="s">
        <v>908</v>
      </c>
      <c r="C857" s="7" t="s">
        <v>374</v>
      </c>
      <c r="D857" s="10">
        <v>45773</v>
      </c>
      <c r="E857" s="11" t="s">
        <v>314</v>
      </c>
      <c r="F857" s="7" t="s">
        <v>894</v>
      </c>
      <c r="G857" s="7" t="s">
        <v>15</v>
      </c>
    </row>
    <row r="858" spans="1:7" x14ac:dyDescent="0.35">
      <c r="A858" s="7" t="s">
        <v>712</v>
      </c>
      <c r="B858" s="7" t="s">
        <v>896</v>
      </c>
      <c r="C858" s="7" t="s">
        <v>897</v>
      </c>
      <c r="D858" s="10">
        <v>45773</v>
      </c>
      <c r="E858" s="11" t="s">
        <v>314</v>
      </c>
      <c r="F858" s="7" t="s">
        <v>871</v>
      </c>
      <c r="G858" s="7" t="s">
        <v>891</v>
      </c>
    </row>
    <row r="859" spans="1:7" x14ac:dyDescent="0.35">
      <c r="A859" s="77" t="s">
        <v>558</v>
      </c>
      <c r="B859" s="77" t="s">
        <v>1025</v>
      </c>
      <c r="C859" s="77" t="s">
        <v>1026</v>
      </c>
      <c r="D859" s="78">
        <v>45773</v>
      </c>
      <c r="E859" s="79" t="s">
        <v>314</v>
      </c>
      <c r="F859" s="77" t="s">
        <v>1080</v>
      </c>
      <c r="G859" s="77"/>
    </row>
    <row r="860" spans="1:7" x14ac:dyDescent="0.35">
      <c r="A860" s="77" t="s">
        <v>712</v>
      </c>
      <c r="B860" s="77" t="s">
        <v>1025</v>
      </c>
      <c r="C860" s="77" t="s">
        <v>1026</v>
      </c>
      <c r="D860" s="78">
        <v>45773</v>
      </c>
      <c r="E860" s="79" t="s">
        <v>314</v>
      </c>
      <c r="F860" s="77" t="s">
        <v>1080</v>
      </c>
      <c r="G860" s="77"/>
    </row>
    <row r="861" spans="1:7" x14ac:dyDescent="0.35">
      <c r="A861" s="7" t="s">
        <v>432</v>
      </c>
      <c r="B861" s="7" t="s">
        <v>896</v>
      </c>
      <c r="C861" s="7" t="s">
        <v>897</v>
      </c>
      <c r="D861" s="10">
        <v>45775</v>
      </c>
      <c r="E861" s="11" t="s">
        <v>314</v>
      </c>
      <c r="F861" s="7" t="s">
        <v>27</v>
      </c>
      <c r="G861" s="7"/>
    </row>
    <row r="862" spans="1:7" x14ac:dyDescent="0.35">
      <c r="A862" s="7" t="s">
        <v>780</v>
      </c>
      <c r="B862" s="7" t="s">
        <v>896</v>
      </c>
      <c r="C862" s="7" t="s">
        <v>897</v>
      </c>
      <c r="D862" s="10">
        <v>45775</v>
      </c>
      <c r="E862" s="11" t="s">
        <v>314</v>
      </c>
      <c r="F862" s="7" t="s">
        <v>1084</v>
      </c>
      <c r="G862" s="7"/>
    </row>
    <row r="863" spans="1:7" x14ac:dyDescent="0.35">
      <c r="A863" s="7" t="s">
        <v>710</v>
      </c>
      <c r="B863" s="7" t="s">
        <v>896</v>
      </c>
      <c r="C863" s="7" t="s">
        <v>897</v>
      </c>
      <c r="D863" s="10">
        <v>45775</v>
      </c>
      <c r="E863" s="11" t="s">
        <v>314</v>
      </c>
      <c r="F863" s="7" t="s">
        <v>877</v>
      </c>
      <c r="G863" s="7"/>
    </row>
    <row r="864" spans="1:7" x14ac:dyDescent="0.35">
      <c r="A864" s="77" t="s">
        <v>710</v>
      </c>
      <c r="B864" s="77" t="s">
        <v>1025</v>
      </c>
      <c r="C864" s="77" t="s">
        <v>1026</v>
      </c>
      <c r="D864" s="78">
        <v>45775</v>
      </c>
      <c r="E864" s="79" t="s">
        <v>314</v>
      </c>
      <c r="F864" s="77" t="s">
        <v>1080</v>
      </c>
      <c r="G864" s="77"/>
    </row>
    <row r="865" spans="1:7" x14ac:dyDescent="0.35">
      <c r="A865" s="77" t="s">
        <v>711</v>
      </c>
      <c r="B865" s="77" t="s">
        <v>1025</v>
      </c>
      <c r="C865" s="77" t="s">
        <v>1026</v>
      </c>
      <c r="D865" s="78">
        <v>45776</v>
      </c>
      <c r="E865" s="79" t="s">
        <v>314</v>
      </c>
      <c r="F865" s="77" t="s">
        <v>1080</v>
      </c>
      <c r="G865" s="77"/>
    </row>
    <row r="866" spans="1:7" x14ac:dyDescent="0.35">
      <c r="A866" s="77" t="s">
        <v>713</v>
      </c>
      <c r="B866" s="77" t="s">
        <v>1025</v>
      </c>
      <c r="C866" s="77" t="s">
        <v>1026</v>
      </c>
      <c r="D866" s="78">
        <v>45776</v>
      </c>
      <c r="E866" s="79" t="s">
        <v>314</v>
      </c>
      <c r="F866" s="77" t="s">
        <v>1080</v>
      </c>
      <c r="G866" s="77"/>
    </row>
    <row r="867" spans="1:7" x14ac:dyDescent="0.35">
      <c r="A867" s="7" t="s">
        <v>711</v>
      </c>
      <c r="B867" s="7" t="s">
        <v>896</v>
      </c>
      <c r="C867" s="7" t="s">
        <v>897</v>
      </c>
      <c r="D867" s="10">
        <v>45777</v>
      </c>
      <c r="E867" s="11" t="s">
        <v>314</v>
      </c>
      <c r="F867" s="7" t="s">
        <v>877</v>
      </c>
      <c r="G867" s="7"/>
    </row>
    <row r="868" spans="1:7" x14ac:dyDescent="0.35">
      <c r="A868" s="7" t="s">
        <v>910</v>
      </c>
      <c r="B868" s="7" t="s">
        <v>896</v>
      </c>
      <c r="C868" s="7" t="s">
        <v>897</v>
      </c>
      <c r="D868" s="10">
        <v>45777</v>
      </c>
      <c r="E868" s="11" t="s">
        <v>314</v>
      </c>
      <c r="F868" s="7" t="s">
        <v>877</v>
      </c>
      <c r="G868" s="7"/>
    </row>
    <row r="869" spans="1:7" x14ac:dyDescent="0.35">
      <c r="A869" s="7" t="s">
        <v>714</v>
      </c>
      <c r="B869" s="7" t="s">
        <v>896</v>
      </c>
      <c r="C869" s="7" t="s">
        <v>897</v>
      </c>
      <c r="D869" s="10">
        <v>45777</v>
      </c>
      <c r="E869" s="11" t="s">
        <v>314</v>
      </c>
      <c r="F869" s="7" t="s">
        <v>867</v>
      </c>
      <c r="G869" s="7"/>
    </row>
    <row r="870" spans="1:7" x14ac:dyDescent="0.35">
      <c r="A870" s="7" t="s">
        <v>750</v>
      </c>
      <c r="B870" s="7" t="s">
        <v>896</v>
      </c>
      <c r="C870" s="7" t="s">
        <v>897</v>
      </c>
      <c r="D870" s="10">
        <v>45777</v>
      </c>
      <c r="E870" s="11" t="s">
        <v>314</v>
      </c>
      <c r="F870" s="7" t="s">
        <v>871</v>
      </c>
      <c r="G870" s="7" t="s">
        <v>891</v>
      </c>
    </row>
    <row r="871" spans="1:7" x14ac:dyDescent="0.35">
      <c r="A871" s="7" t="s">
        <v>713</v>
      </c>
      <c r="B871" s="7" t="s">
        <v>908</v>
      </c>
      <c r="C871" s="7" t="s">
        <v>374</v>
      </c>
      <c r="D871" s="10">
        <v>45777</v>
      </c>
      <c r="E871" s="11" t="s">
        <v>314</v>
      </c>
      <c r="F871" s="7" t="s">
        <v>894</v>
      </c>
      <c r="G871" s="7" t="s">
        <v>15</v>
      </c>
    </row>
    <row r="872" spans="1:7" x14ac:dyDescent="0.35">
      <c r="A872" s="7" t="s">
        <v>713</v>
      </c>
      <c r="B872" s="7" t="s">
        <v>896</v>
      </c>
      <c r="C872" s="7" t="s">
        <v>897</v>
      </c>
      <c r="D872" s="10">
        <v>45777</v>
      </c>
      <c r="E872" s="11" t="s">
        <v>314</v>
      </c>
      <c r="F872" s="7" t="s">
        <v>871</v>
      </c>
      <c r="G872" s="7" t="s">
        <v>891</v>
      </c>
    </row>
    <row r="873" spans="1:7" x14ac:dyDescent="0.35">
      <c r="A873" s="77" t="s">
        <v>705</v>
      </c>
      <c r="B873" s="77" t="s">
        <v>1025</v>
      </c>
      <c r="C873" s="77" t="s">
        <v>1026</v>
      </c>
      <c r="D873" s="78">
        <v>45777</v>
      </c>
      <c r="E873" s="79" t="s">
        <v>314</v>
      </c>
      <c r="F873" s="77" t="s">
        <v>1080</v>
      </c>
      <c r="G873" s="77"/>
    </row>
    <row r="874" spans="1:7" x14ac:dyDescent="0.35">
      <c r="A874" s="7" t="s">
        <v>785</v>
      </c>
      <c r="B874" s="7" t="s">
        <v>896</v>
      </c>
      <c r="C874" s="7" t="s">
        <v>897</v>
      </c>
      <c r="D874" s="10">
        <v>45778</v>
      </c>
      <c r="E874" s="11" t="s">
        <v>314</v>
      </c>
      <c r="F874" s="7" t="s">
        <v>877</v>
      </c>
      <c r="G874" s="7"/>
    </row>
    <row r="875" spans="1:7" x14ac:dyDescent="0.35">
      <c r="A875" s="7" t="s">
        <v>752</v>
      </c>
      <c r="B875" s="7" t="s">
        <v>896</v>
      </c>
      <c r="C875" s="7" t="s">
        <v>897</v>
      </c>
      <c r="D875" s="10">
        <v>45778</v>
      </c>
      <c r="E875" s="11" t="s">
        <v>314</v>
      </c>
      <c r="F875" s="7" t="s">
        <v>19</v>
      </c>
      <c r="G875" s="7"/>
    </row>
    <row r="876" spans="1:7" x14ac:dyDescent="0.35">
      <c r="A876" s="7" t="s">
        <v>764</v>
      </c>
      <c r="B876" s="7" t="s">
        <v>896</v>
      </c>
      <c r="C876" s="7" t="s">
        <v>897</v>
      </c>
      <c r="D876" s="10">
        <v>45778</v>
      </c>
      <c r="E876" s="11" t="s">
        <v>314</v>
      </c>
      <c r="F876" s="7" t="s">
        <v>19</v>
      </c>
      <c r="G876" s="7"/>
    </row>
    <row r="877" spans="1:7" x14ac:dyDescent="0.35">
      <c r="A877" s="7" t="s">
        <v>774</v>
      </c>
      <c r="B877" s="7" t="s">
        <v>896</v>
      </c>
      <c r="C877" s="7" t="s">
        <v>897</v>
      </c>
      <c r="D877" s="10">
        <v>45778</v>
      </c>
      <c r="E877" s="11" t="s">
        <v>314</v>
      </c>
      <c r="F877" s="7" t="s">
        <v>19</v>
      </c>
      <c r="G877" s="7"/>
    </row>
    <row r="878" spans="1:7" x14ac:dyDescent="0.35">
      <c r="A878" s="7" t="s">
        <v>779</v>
      </c>
      <c r="B878" s="7" t="s">
        <v>896</v>
      </c>
      <c r="C878" s="7" t="s">
        <v>897</v>
      </c>
      <c r="D878" s="10">
        <v>45778</v>
      </c>
      <c r="E878" s="11" t="s">
        <v>314</v>
      </c>
      <c r="F878" s="7" t="s">
        <v>867</v>
      </c>
      <c r="G878" s="7"/>
    </row>
    <row r="879" spans="1:7" x14ac:dyDescent="0.35">
      <c r="A879" s="7" t="s">
        <v>751</v>
      </c>
      <c r="B879" s="7" t="s">
        <v>896</v>
      </c>
      <c r="C879" s="7" t="s">
        <v>897</v>
      </c>
      <c r="D879" s="10">
        <v>45778</v>
      </c>
      <c r="E879" s="11" t="s">
        <v>314</v>
      </c>
      <c r="F879" s="7" t="s">
        <v>19</v>
      </c>
      <c r="G879" s="7"/>
    </row>
    <row r="880" spans="1:7" x14ac:dyDescent="0.35">
      <c r="A880" s="7" t="s">
        <v>780</v>
      </c>
      <c r="B880" s="7" t="s">
        <v>896</v>
      </c>
      <c r="C880" s="7" t="s">
        <v>897</v>
      </c>
      <c r="D880" s="10">
        <v>45778</v>
      </c>
      <c r="E880" s="11" t="s">
        <v>314</v>
      </c>
      <c r="F880" s="7" t="s">
        <v>867</v>
      </c>
      <c r="G880" s="7"/>
    </row>
    <row r="881" spans="1:7" x14ac:dyDescent="0.35">
      <c r="A881" s="7" t="s">
        <v>721</v>
      </c>
      <c r="B881" s="7" t="s">
        <v>896</v>
      </c>
      <c r="C881" s="7" t="s">
        <v>897</v>
      </c>
      <c r="D881" s="10">
        <v>45778</v>
      </c>
      <c r="E881" s="11" t="s">
        <v>314</v>
      </c>
      <c r="F881" s="7" t="s">
        <v>877</v>
      </c>
      <c r="G881" s="7"/>
    </row>
    <row r="882" spans="1:7" x14ac:dyDescent="0.35">
      <c r="A882" s="7" t="s">
        <v>725</v>
      </c>
      <c r="B882" s="7" t="s">
        <v>896</v>
      </c>
      <c r="C882" s="7" t="s">
        <v>897</v>
      </c>
      <c r="D882" s="10">
        <v>45778</v>
      </c>
      <c r="E882" s="11" t="s">
        <v>314</v>
      </c>
      <c r="F882" s="7" t="s">
        <v>867</v>
      </c>
      <c r="G882" s="7"/>
    </row>
    <row r="883" spans="1:7" x14ac:dyDescent="0.35">
      <c r="A883" s="7" t="s">
        <v>180</v>
      </c>
      <c r="B883" s="7" t="s">
        <v>896</v>
      </c>
      <c r="C883" s="7" t="s">
        <v>897</v>
      </c>
      <c r="D883" s="10">
        <v>45778</v>
      </c>
      <c r="E883" s="11" t="s">
        <v>314</v>
      </c>
      <c r="F883" s="7" t="s">
        <v>867</v>
      </c>
      <c r="G883" s="7"/>
    </row>
    <row r="884" spans="1:7" x14ac:dyDescent="0.35">
      <c r="A884" s="7" t="s">
        <v>260</v>
      </c>
      <c r="B884" s="7" t="s">
        <v>896</v>
      </c>
      <c r="C884" s="7" t="s">
        <v>897</v>
      </c>
      <c r="D884" s="10">
        <v>45778</v>
      </c>
      <c r="E884" s="11" t="s">
        <v>314</v>
      </c>
      <c r="F884" s="7" t="s">
        <v>877</v>
      </c>
      <c r="G884" s="7"/>
    </row>
    <row r="885" spans="1:7" x14ac:dyDescent="0.35">
      <c r="A885" s="77" t="s">
        <v>719</v>
      </c>
      <c r="B885" s="77" t="s">
        <v>896</v>
      </c>
      <c r="C885" s="77" t="s">
        <v>897</v>
      </c>
      <c r="D885" s="78">
        <v>45778</v>
      </c>
      <c r="E885" s="79" t="s">
        <v>314</v>
      </c>
      <c r="F885" s="77" t="s">
        <v>867</v>
      </c>
      <c r="G885" s="77"/>
    </row>
    <row r="886" spans="1:7" x14ac:dyDescent="0.35">
      <c r="A886" s="77" t="s">
        <v>432</v>
      </c>
      <c r="B886" s="77" t="s">
        <v>1025</v>
      </c>
      <c r="C886" s="77" t="s">
        <v>1026</v>
      </c>
      <c r="D886" s="78">
        <v>45778</v>
      </c>
      <c r="E886" s="79" t="s">
        <v>314</v>
      </c>
      <c r="F886" s="77" t="s">
        <v>1080</v>
      </c>
      <c r="G886" s="77"/>
    </row>
    <row r="887" spans="1:7" x14ac:dyDescent="0.35">
      <c r="A887" s="77" t="s">
        <v>721</v>
      </c>
      <c r="B887" s="77" t="s">
        <v>1025</v>
      </c>
      <c r="C887" s="77" t="s">
        <v>1026</v>
      </c>
      <c r="D887" s="78">
        <v>45778</v>
      </c>
      <c r="E887" s="79" t="s">
        <v>314</v>
      </c>
      <c r="F887" s="77" t="s">
        <v>1080</v>
      </c>
      <c r="G887" s="77"/>
    </row>
    <row r="888" spans="1:7" x14ac:dyDescent="0.35">
      <c r="A888" s="77" t="s">
        <v>260</v>
      </c>
      <c r="B888" s="77" t="s">
        <v>1025</v>
      </c>
      <c r="C888" s="77" t="s">
        <v>1026</v>
      </c>
      <c r="D888" s="78">
        <v>45778</v>
      </c>
      <c r="E888" s="79" t="s">
        <v>314</v>
      </c>
      <c r="F888" s="77" t="s">
        <v>1080</v>
      </c>
      <c r="G888" s="77"/>
    </row>
    <row r="889" spans="1:7" x14ac:dyDescent="0.35">
      <c r="A889" s="7" t="s">
        <v>693</v>
      </c>
      <c r="B889" s="7" t="s">
        <v>896</v>
      </c>
      <c r="C889" s="7" t="s">
        <v>897</v>
      </c>
      <c r="D889" s="10">
        <v>45779</v>
      </c>
      <c r="E889" s="11" t="s">
        <v>314</v>
      </c>
      <c r="F889" s="7" t="s">
        <v>877</v>
      </c>
      <c r="G889" s="7"/>
    </row>
    <row r="890" spans="1:7" x14ac:dyDescent="0.35">
      <c r="A890" s="7" t="s">
        <v>696</v>
      </c>
      <c r="B890" s="7" t="s">
        <v>896</v>
      </c>
      <c r="C890" s="7" t="s">
        <v>897</v>
      </c>
      <c r="D890" s="10">
        <v>45779</v>
      </c>
      <c r="E890" s="11" t="s">
        <v>314</v>
      </c>
      <c r="F890" s="7" t="s">
        <v>877</v>
      </c>
      <c r="G890" s="7"/>
    </row>
    <row r="891" spans="1:7" x14ac:dyDescent="0.35">
      <c r="A891" s="7" t="s">
        <v>784</v>
      </c>
      <c r="B891" s="7" t="s">
        <v>896</v>
      </c>
      <c r="C891" s="7" t="s">
        <v>897</v>
      </c>
      <c r="D891" s="10">
        <v>45779</v>
      </c>
      <c r="E891" s="11" t="s">
        <v>314</v>
      </c>
      <c r="F891" s="7" t="s">
        <v>877</v>
      </c>
      <c r="G891" s="7"/>
    </row>
    <row r="892" spans="1:7" x14ac:dyDescent="0.35">
      <c r="A892" s="7" t="s">
        <v>812</v>
      </c>
      <c r="B892" s="7" t="s">
        <v>896</v>
      </c>
      <c r="C892" s="7" t="s">
        <v>897</v>
      </c>
      <c r="D892" s="10">
        <v>45780</v>
      </c>
      <c r="E892" s="11" t="s">
        <v>314</v>
      </c>
      <c r="F892" s="7" t="s">
        <v>871</v>
      </c>
      <c r="G892" s="7" t="s">
        <v>891</v>
      </c>
    </row>
    <row r="893" spans="1:7" x14ac:dyDescent="0.35">
      <c r="A893" s="77" t="s">
        <v>812</v>
      </c>
      <c r="B893" s="77" t="s">
        <v>1025</v>
      </c>
      <c r="C893" s="77" t="s">
        <v>1026</v>
      </c>
      <c r="D893" s="78">
        <v>45780</v>
      </c>
      <c r="E893" s="79" t="s">
        <v>314</v>
      </c>
      <c r="F893" s="77" t="s">
        <v>1080</v>
      </c>
      <c r="G893" s="77"/>
    </row>
    <row r="894" spans="1:7" x14ac:dyDescent="0.35">
      <c r="A894" s="77" t="s">
        <v>670</v>
      </c>
      <c r="B894" s="77" t="s">
        <v>1025</v>
      </c>
      <c r="C894" s="77" t="s">
        <v>1026</v>
      </c>
      <c r="D894" s="78">
        <v>45782</v>
      </c>
      <c r="E894" s="79" t="s">
        <v>314</v>
      </c>
      <c r="F894" s="77" t="s">
        <v>1080</v>
      </c>
      <c r="G894" s="77"/>
    </row>
    <row r="895" spans="1:7" x14ac:dyDescent="0.35">
      <c r="A895" s="77" t="s">
        <v>806</v>
      </c>
      <c r="B895" s="77" t="s">
        <v>1025</v>
      </c>
      <c r="C895" s="77" t="s">
        <v>1026</v>
      </c>
      <c r="D895" s="78">
        <v>45782</v>
      </c>
      <c r="E895" s="79" t="s">
        <v>314</v>
      </c>
      <c r="F895" s="77" t="s">
        <v>1080</v>
      </c>
      <c r="G895" s="77"/>
    </row>
    <row r="896" spans="1:7" x14ac:dyDescent="0.35">
      <c r="A896" s="77" t="s">
        <v>720</v>
      </c>
      <c r="B896" s="77" t="s">
        <v>1025</v>
      </c>
      <c r="C896" s="77" t="s">
        <v>1026</v>
      </c>
      <c r="D896" s="78">
        <v>45782</v>
      </c>
      <c r="E896" s="79" t="s">
        <v>314</v>
      </c>
      <c r="F896" s="77" t="s">
        <v>1080</v>
      </c>
      <c r="G896" s="77"/>
    </row>
    <row r="897" spans="1:7" x14ac:dyDescent="0.35">
      <c r="A897" s="7" t="s">
        <v>670</v>
      </c>
      <c r="B897" s="7" t="s">
        <v>896</v>
      </c>
      <c r="C897" s="7" t="s">
        <v>897</v>
      </c>
      <c r="D897" s="10">
        <v>45783</v>
      </c>
      <c r="E897" s="11" t="s">
        <v>314</v>
      </c>
      <c r="F897" s="7" t="s">
        <v>877</v>
      </c>
      <c r="G897" s="7"/>
    </row>
    <row r="898" spans="1:7" x14ac:dyDescent="0.35">
      <c r="A898" s="7" t="s">
        <v>731</v>
      </c>
      <c r="B898" s="7" t="s">
        <v>896</v>
      </c>
      <c r="C898" s="7" t="s">
        <v>897</v>
      </c>
      <c r="D898" s="10">
        <v>45783</v>
      </c>
      <c r="E898" s="11" t="s">
        <v>314</v>
      </c>
      <c r="F898" s="7" t="s">
        <v>867</v>
      </c>
      <c r="G898" s="7"/>
    </row>
    <row r="899" spans="1:7" x14ac:dyDescent="0.35">
      <c r="A899" s="7" t="s">
        <v>723</v>
      </c>
      <c r="B899" s="7" t="s">
        <v>896</v>
      </c>
      <c r="C899" s="7" t="s">
        <v>897</v>
      </c>
      <c r="D899" s="10">
        <v>45783</v>
      </c>
      <c r="E899" s="11" t="s">
        <v>314</v>
      </c>
      <c r="F899" s="7" t="s">
        <v>877</v>
      </c>
      <c r="G899" s="7"/>
    </row>
    <row r="900" spans="1:7" x14ac:dyDescent="0.35">
      <c r="A900" s="7" t="s">
        <v>674</v>
      </c>
      <c r="B900" s="7" t="s">
        <v>896</v>
      </c>
      <c r="C900" s="7" t="s">
        <v>897</v>
      </c>
      <c r="D900" s="10">
        <v>45783</v>
      </c>
      <c r="E900" s="11" t="s">
        <v>314</v>
      </c>
      <c r="F900" s="7" t="s">
        <v>877</v>
      </c>
      <c r="G900" s="7"/>
    </row>
    <row r="901" spans="1:7" x14ac:dyDescent="0.35">
      <c r="A901" s="7" t="s">
        <v>806</v>
      </c>
      <c r="B901" s="7" t="s">
        <v>896</v>
      </c>
      <c r="C901" s="7" t="s">
        <v>897</v>
      </c>
      <c r="D901" s="10">
        <v>45783</v>
      </c>
      <c r="E901" s="11" t="s">
        <v>314</v>
      </c>
      <c r="F901" s="7" t="s">
        <v>877</v>
      </c>
      <c r="G901" s="7"/>
    </row>
    <row r="902" spans="1:7" x14ac:dyDescent="0.35">
      <c r="A902" s="7" t="s">
        <v>807</v>
      </c>
      <c r="B902" s="7" t="s">
        <v>896</v>
      </c>
      <c r="C902" s="7" t="s">
        <v>897</v>
      </c>
      <c r="D902" s="10">
        <v>45783</v>
      </c>
      <c r="E902" s="11" t="s">
        <v>314</v>
      </c>
      <c r="F902" s="7" t="s">
        <v>877</v>
      </c>
      <c r="G902" s="7"/>
    </row>
    <row r="903" spans="1:7" x14ac:dyDescent="0.35">
      <c r="A903" s="7" t="s">
        <v>720</v>
      </c>
      <c r="B903" s="7" t="s">
        <v>896</v>
      </c>
      <c r="C903" s="7" t="s">
        <v>897</v>
      </c>
      <c r="D903" s="10">
        <v>45783</v>
      </c>
      <c r="E903" s="11" t="s">
        <v>314</v>
      </c>
      <c r="F903" s="7" t="s">
        <v>877</v>
      </c>
      <c r="G903" s="7"/>
    </row>
    <row r="904" spans="1:7" x14ac:dyDescent="0.35">
      <c r="A904" s="7" t="s">
        <v>683</v>
      </c>
      <c r="B904" s="7" t="s">
        <v>896</v>
      </c>
      <c r="C904" s="7" t="s">
        <v>897</v>
      </c>
      <c r="D904" s="10">
        <v>45783</v>
      </c>
      <c r="E904" s="11" t="s">
        <v>314</v>
      </c>
      <c r="F904" s="7" t="s">
        <v>877</v>
      </c>
      <c r="G904" s="7"/>
    </row>
    <row r="905" spans="1:7" x14ac:dyDescent="0.35">
      <c r="A905" s="77" t="s">
        <v>686</v>
      </c>
      <c r="B905" s="77" t="s">
        <v>896</v>
      </c>
      <c r="C905" s="77" t="s">
        <v>897</v>
      </c>
      <c r="D905" s="78">
        <v>45783</v>
      </c>
      <c r="E905" s="79" t="s">
        <v>314</v>
      </c>
      <c r="F905" s="77" t="s">
        <v>877</v>
      </c>
      <c r="G905" s="77"/>
    </row>
    <row r="906" spans="1:7" x14ac:dyDescent="0.35">
      <c r="A906" s="77" t="s">
        <v>723</v>
      </c>
      <c r="B906" s="77" t="s">
        <v>1025</v>
      </c>
      <c r="C906" s="77" t="s">
        <v>1026</v>
      </c>
      <c r="D906" s="78">
        <v>45783</v>
      </c>
      <c r="E906" s="79" t="s">
        <v>314</v>
      </c>
      <c r="F906" s="77" t="s">
        <v>1080</v>
      </c>
      <c r="G906" s="77"/>
    </row>
    <row r="907" spans="1:7" x14ac:dyDescent="0.35">
      <c r="A907" s="77" t="s">
        <v>674</v>
      </c>
      <c r="B907" s="77" t="s">
        <v>1025</v>
      </c>
      <c r="C907" s="77" t="s">
        <v>1026</v>
      </c>
      <c r="D907" s="78">
        <v>45783</v>
      </c>
      <c r="E907" s="79" t="s">
        <v>314</v>
      </c>
      <c r="F907" s="77" t="s">
        <v>1080</v>
      </c>
      <c r="G907" s="77"/>
    </row>
    <row r="908" spans="1:7" x14ac:dyDescent="0.35">
      <c r="A908" s="77" t="s">
        <v>807</v>
      </c>
      <c r="B908" s="77" t="s">
        <v>1025</v>
      </c>
      <c r="C908" s="77" t="s">
        <v>1026</v>
      </c>
      <c r="D908" s="78">
        <v>45783</v>
      </c>
      <c r="E908" s="79" t="s">
        <v>314</v>
      </c>
      <c r="F908" s="77" t="s">
        <v>1080</v>
      </c>
      <c r="G908" s="77"/>
    </row>
    <row r="909" spans="1:7" x14ac:dyDescent="0.35">
      <c r="A909" s="77" t="s">
        <v>732</v>
      </c>
      <c r="B909" s="77" t="s">
        <v>1025</v>
      </c>
      <c r="C909" s="77" t="s">
        <v>1026</v>
      </c>
      <c r="D909" s="78">
        <v>45784</v>
      </c>
      <c r="E909" s="79" t="s">
        <v>314</v>
      </c>
      <c r="F909" s="77" t="s">
        <v>1080</v>
      </c>
      <c r="G909" s="77"/>
    </row>
    <row r="910" spans="1:7" x14ac:dyDescent="0.35">
      <c r="A910" s="7" t="s">
        <v>740</v>
      </c>
      <c r="B910" s="7" t="s">
        <v>896</v>
      </c>
      <c r="C910" s="7" t="s">
        <v>897</v>
      </c>
      <c r="D910" s="10">
        <v>45785</v>
      </c>
      <c r="E910" s="11" t="s">
        <v>314</v>
      </c>
      <c r="F910" s="7" t="s">
        <v>867</v>
      </c>
      <c r="G910" s="7"/>
    </row>
    <row r="911" spans="1:7" x14ac:dyDescent="0.35">
      <c r="A911" s="7" t="s">
        <v>796</v>
      </c>
      <c r="B911" s="7" t="s">
        <v>896</v>
      </c>
      <c r="C911" s="7" t="s">
        <v>897</v>
      </c>
      <c r="D911" s="10">
        <v>45785</v>
      </c>
      <c r="E911" s="11" t="s">
        <v>314</v>
      </c>
      <c r="F911" s="7" t="s">
        <v>877</v>
      </c>
      <c r="G911" s="7"/>
    </row>
    <row r="912" spans="1:7" x14ac:dyDescent="0.35">
      <c r="A912" s="7" t="s">
        <v>808</v>
      </c>
      <c r="B912" s="7" t="s">
        <v>896</v>
      </c>
      <c r="C912" s="7" t="s">
        <v>897</v>
      </c>
      <c r="D912" s="10">
        <v>45785</v>
      </c>
      <c r="E912" s="11" t="s">
        <v>314</v>
      </c>
      <c r="F912" s="7" t="s">
        <v>877</v>
      </c>
      <c r="G912" s="7"/>
    </row>
    <row r="913" spans="1:7" x14ac:dyDescent="0.35">
      <c r="A913" s="7" t="s">
        <v>739</v>
      </c>
      <c r="B913" s="7" t="s">
        <v>896</v>
      </c>
      <c r="C913" s="7" t="s">
        <v>897</v>
      </c>
      <c r="D913" s="10">
        <v>45785</v>
      </c>
      <c r="E913" s="11" t="s">
        <v>314</v>
      </c>
      <c r="F913" s="7" t="s">
        <v>877</v>
      </c>
      <c r="G913" s="7"/>
    </row>
    <row r="914" spans="1:7" x14ac:dyDescent="0.35">
      <c r="A914" s="7" t="s">
        <v>783</v>
      </c>
      <c r="B914" s="7" t="s">
        <v>896</v>
      </c>
      <c r="C914" s="7" t="s">
        <v>897</v>
      </c>
      <c r="D914" s="10">
        <v>45785</v>
      </c>
      <c r="E914" s="11" t="s">
        <v>314</v>
      </c>
      <c r="F914" s="7" t="s">
        <v>877</v>
      </c>
      <c r="G914" s="7"/>
    </row>
    <row r="915" spans="1:7" x14ac:dyDescent="0.35">
      <c r="A915" s="7" t="s">
        <v>732</v>
      </c>
      <c r="B915" s="7" t="s">
        <v>896</v>
      </c>
      <c r="C915" s="7" t="s">
        <v>897</v>
      </c>
      <c r="D915" s="10">
        <v>45785</v>
      </c>
      <c r="E915" s="11" t="s">
        <v>314</v>
      </c>
      <c r="F915" s="7" t="s">
        <v>877</v>
      </c>
      <c r="G915" s="7"/>
    </row>
    <row r="916" spans="1:7" x14ac:dyDescent="0.35">
      <c r="A916" s="77" t="s">
        <v>796</v>
      </c>
      <c r="B916" s="77" t="s">
        <v>1025</v>
      </c>
      <c r="C916" s="77" t="s">
        <v>1026</v>
      </c>
      <c r="D916" s="78">
        <v>45785</v>
      </c>
      <c r="E916" s="79" t="s">
        <v>314</v>
      </c>
      <c r="F916" s="77" t="s">
        <v>1080</v>
      </c>
      <c r="G916" s="77"/>
    </row>
    <row r="917" spans="1:7" x14ac:dyDescent="0.35">
      <c r="A917" s="77" t="s">
        <v>808</v>
      </c>
      <c r="B917" s="77" t="s">
        <v>1025</v>
      </c>
      <c r="C917" s="77" t="s">
        <v>1026</v>
      </c>
      <c r="D917" s="78">
        <v>45786</v>
      </c>
      <c r="E917" s="79" t="s">
        <v>314</v>
      </c>
      <c r="F917" s="77" t="s">
        <v>1080</v>
      </c>
      <c r="G917" s="77"/>
    </row>
    <row r="918" spans="1:7" x14ac:dyDescent="0.35">
      <c r="A918" s="77" t="s">
        <v>783</v>
      </c>
      <c r="B918" s="77" t="s">
        <v>1025</v>
      </c>
      <c r="C918" s="77" t="s">
        <v>1026</v>
      </c>
      <c r="D918" s="78">
        <v>45786</v>
      </c>
      <c r="E918" s="79" t="s">
        <v>314</v>
      </c>
      <c r="F918" s="77" t="s">
        <v>1080</v>
      </c>
      <c r="G918" s="77"/>
    </row>
    <row r="919" spans="1:7" x14ac:dyDescent="0.35">
      <c r="A919" s="7" t="s">
        <v>816</v>
      </c>
      <c r="B919" s="7" t="s">
        <v>896</v>
      </c>
      <c r="C919" s="7" t="s">
        <v>897</v>
      </c>
      <c r="D919" s="10">
        <v>45789</v>
      </c>
      <c r="E919" s="11" t="s">
        <v>314</v>
      </c>
      <c r="F919" s="7" t="s">
        <v>867</v>
      </c>
      <c r="G919" s="7"/>
    </row>
    <row r="920" spans="1:7" x14ac:dyDescent="0.35">
      <c r="A920" s="7" t="s">
        <v>782</v>
      </c>
      <c r="B920" s="7" t="s">
        <v>896</v>
      </c>
      <c r="C920" s="7" t="s">
        <v>897</v>
      </c>
      <c r="D920" s="10">
        <v>45789</v>
      </c>
      <c r="E920" s="11" t="s">
        <v>314</v>
      </c>
      <c r="F920" s="7" t="s">
        <v>877</v>
      </c>
      <c r="G920" s="7"/>
    </row>
    <row r="921" spans="1:7" x14ac:dyDescent="0.35">
      <c r="A921" s="7" t="s">
        <v>742</v>
      </c>
      <c r="B921" s="7" t="s">
        <v>896</v>
      </c>
      <c r="C921" s="7" t="s">
        <v>897</v>
      </c>
      <c r="D921" s="10">
        <v>45789</v>
      </c>
      <c r="E921" s="11" t="s">
        <v>314</v>
      </c>
      <c r="F921" s="7" t="s">
        <v>877</v>
      </c>
      <c r="G921" s="7"/>
    </row>
    <row r="922" spans="1:7" x14ac:dyDescent="0.35">
      <c r="A922" s="77" t="s">
        <v>782</v>
      </c>
      <c r="B922" s="77" t="s">
        <v>1025</v>
      </c>
      <c r="C922" s="77" t="s">
        <v>1026</v>
      </c>
      <c r="D922" s="78">
        <v>45789</v>
      </c>
      <c r="E922" s="79" t="s">
        <v>314</v>
      </c>
      <c r="F922" s="77" t="s">
        <v>1080</v>
      </c>
      <c r="G922" s="77"/>
    </row>
    <row r="923" spans="1:7" x14ac:dyDescent="0.35">
      <c r="A923" s="77" t="s">
        <v>320</v>
      </c>
      <c r="B923" s="77" t="s">
        <v>1025</v>
      </c>
      <c r="C923" s="77" t="s">
        <v>1026</v>
      </c>
      <c r="D923" s="78">
        <v>45789</v>
      </c>
      <c r="E923" s="79" t="s">
        <v>314</v>
      </c>
      <c r="F923" s="77" t="s">
        <v>1080</v>
      </c>
      <c r="G923" s="77"/>
    </row>
    <row r="924" spans="1:7" x14ac:dyDescent="0.35">
      <c r="A924" s="7" t="s">
        <v>766</v>
      </c>
      <c r="B924" s="7" t="s">
        <v>896</v>
      </c>
      <c r="C924" s="7" t="s">
        <v>897</v>
      </c>
      <c r="D924" s="10">
        <v>45790</v>
      </c>
      <c r="E924" s="11" t="s">
        <v>314</v>
      </c>
      <c r="F924" s="7" t="s">
        <v>19</v>
      </c>
      <c r="G924" s="7"/>
    </row>
    <row r="925" spans="1:7" x14ac:dyDescent="0.35">
      <c r="A925" s="7" t="s">
        <v>766</v>
      </c>
      <c r="B925" s="7" t="s">
        <v>908</v>
      </c>
      <c r="C925" s="7" t="s">
        <v>374</v>
      </c>
      <c r="D925" s="10">
        <v>45790</v>
      </c>
      <c r="E925" s="11" t="s">
        <v>314</v>
      </c>
      <c r="F925" s="7" t="s">
        <v>872</v>
      </c>
      <c r="G925" s="7" t="s">
        <v>891</v>
      </c>
    </row>
    <row r="926" spans="1:7" x14ac:dyDescent="0.35">
      <c r="A926" s="7" t="s">
        <v>818</v>
      </c>
      <c r="B926" s="7" t="s">
        <v>896</v>
      </c>
      <c r="C926" s="7" t="s">
        <v>897</v>
      </c>
      <c r="D926" s="10">
        <v>45790</v>
      </c>
      <c r="E926" s="11" t="s">
        <v>314</v>
      </c>
      <c r="F926" s="7" t="s">
        <v>88</v>
      </c>
      <c r="G926" s="7" t="s">
        <v>88</v>
      </c>
    </row>
    <row r="927" spans="1:7" x14ac:dyDescent="0.35">
      <c r="A927" s="7" t="s">
        <v>744</v>
      </c>
      <c r="B927" s="7" t="s">
        <v>896</v>
      </c>
      <c r="C927" s="7" t="s">
        <v>897</v>
      </c>
      <c r="D927" s="10">
        <v>45790</v>
      </c>
      <c r="E927" s="11" t="s">
        <v>314</v>
      </c>
      <c r="F927" s="7" t="s">
        <v>877</v>
      </c>
      <c r="G927" s="7"/>
    </row>
    <row r="928" spans="1:7" x14ac:dyDescent="0.35">
      <c r="A928" s="7" t="s">
        <v>733</v>
      </c>
      <c r="B928" s="7" t="s">
        <v>896</v>
      </c>
      <c r="C928" s="7" t="s">
        <v>897</v>
      </c>
      <c r="D928" s="10">
        <v>45790</v>
      </c>
      <c r="E928" s="11" t="s">
        <v>314</v>
      </c>
      <c r="F928" s="7" t="s">
        <v>877</v>
      </c>
      <c r="G928" s="7"/>
    </row>
    <row r="929" spans="1:7" x14ac:dyDescent="0.35">
      <c r="A929" s="77" t="s">
        <v>817</v>
      </c>
      <c r="B929" s="77" t="s">
        <v>896</v>
      </c>
      <c r="C929" s="77" t="s">
        <v>897</v>
      </c>
      <c r="D929" s="78">
        <v>45790</v>
      </c>
      <c r="E929" s="79" t="s">
        <v>314</v>
      </c>
      <c r="F929" s="77" t="s">
        <v>88</v>
      </c>
      <c r="G929" s="77" t="s">
        <v>22</v>
      </c>
    </row>
    <row r="930" spans="1:7" x14ac:dyDescent="0.35">
      <c r="A930" s="77" t="s">
        <v>766</v>
      </c>
      <c r="B930" s="77" t="s">
        <v>1025</v>
      </c>
      <c r="C930" s="77" t="s">
        <v>1026</v>
      </c>
      <c r="D930" s="78">
        <v>45790</v>
      </c>
      <c r="E930" s="79" t="s">
        <v>314</v>
      </c>
      <c r="F930" s="77" t="s">
        <v>1080</v>
      </c>
      <c r="G930" s="77"/>
    </row>
    <row r="931" spans="1:7" x14ac:dyDescent="0.35">
      <c r="A931" s="7" t="s">
        <v>815</v>
      </c>
      <c r="B931" s="7" t="s">
        <v>896</v>
      </c>
      <c r="C931" s="7" t="s">
        <v>897</v>
      </c>
      <c r="D931" s="10">
        <v>45791</v>
      </c>
      <c r="E931" s="11" t="s">
        <v>314</v>
      </c>
      <c r="F931" s="7" t="s">
        <v>19</v>
      </c>
      <c r="G931" s="7"/>
    </row>
    <row r="932" spans="1:7" x14ac:dyDescent="0.35">
      <c r="A932" s="7" t="s">
        <v>188</v>
      </c>
      <c r="B932" s="7" t="s">
        <v>896</v>
      </c>
      <c r="C932" s="7" t="s">
        <v>897</v>
      </c>
      <c r="D932" s="10">
        <v>45791</v>
      </c>
      <c r="E932" s="11" t="s">
        <v>314</v>
      </c>
      <c r="F932" s="7" t="s">
        <v>867</v>
      </c>
      <c r="G932" s="7"/>
    </row>
    <row r="933" spans="1:7" x14ac:dyDescent="0.35">
      <c r="A933" s="7" t="s">
        <v>737</v>
      </c>
      <c r="B933" s="7" t="s">
        <v>896</v>
      </c>
      <c r="C933" s="7" t="s">
        <v>897</v>
      </c>
      <c r="D933" s="10">
        <v>45791</v>
      </c>
      <c r="E933" s="11" t="s">
        <v>314</v>
      </c>
      <c r="F933" s="7" t="s">
        <v>867</v>
      </c>
      <c r="G933" s="7"/>
    </row>
    <row r="934" spans="1:7" x14ac:dyDescent="0.35">
      <c r="A934" s="7" t="s">
        <v>730</v>
      </c>
      <c r="B934" s="7" t="s">
        <v>896</v>
      </c>
      <c r="C934" s="7" t="s">
        <v>897</v>
      </c>
      <c r="D934" s="10">
        <v>45791</v>
      </c>
      <c r="E934" s="11" t="s">
        <v>314</v>
      </c>
      <c r="F934" s="7" t="s">
        <v>877</v>
      </c>
      <c r="G934" s="7"/>
    </row>
    <row r="935" spans="1:7" x14ac:dyDescent="0.35">
      <c r="A935" s="77" t="s">
        <v>794</v>
      </c>
      <c r="B935" s="77" t="s">
        <v>1025</v>
      </c>
      <c r="C935" s="77" t="s">
        <v>1026</v>
      </c>
      <c r="D935" s="78">
        <v>45791</v>
      </c>
      <c r="E935" s="79" t="s">
        <v>314</v>
      </c>
      <c r="F935" s="77" t="s">
        <v>1080</v>
      </c>
      <c r="G935" s="77"/>
    </row>
    <row r="936" spans="1:7" x14ac:dyDescent="0.35">
      <c r="A936" s="7" t="s">
        <v>248</v>
      </c>
      <c r="B936" s="7" t="s">
        <v>896</v>
      </c>
      <c r="C936" s="7" t="s">
        <v>897</v>
      </c>
      <c r="D936" s="10">
        <v>45792</v>
      </c>
      <c r="E936" s="11" t="s">
        <v>314</v>
      </c>
      <c r="F936" s="7" t="s">
        <v>867</v>
      </c>
      <c r="G936" s="7"/>
    </row>
    <row r="937" spans="1:7" x14ac:dyDescent="0.35">
      <c r="A937" s="7" t="s">
        <v>762</v>
      </c>
      <c r="B937" s="7" t="s">
        <v>896</v>
      </c>
      <c r="C937" s="7" t="s">
        <v>897</v>
      </c>
      <c r="D937" s="10">
        <v>45792</v>
      </c>
      <c r="E937" s="11" t="s">
        <v>314</v>
      </c>
      <c r="F937" s="7" t="s">
        <v>19</v>
      </c>
      <c r="G937" s="7"/>
    </row>
    <row r="938" spans="1:7" x14ac:dyDescent="0.35">
      <c r="A938" s="7" t="s">
        <v>717</v>
      </c>
      <c r="B938" s="7" t="s">
        <v>896</v>
      </c>
      <c r="C938" s="7" t="s">
        <v>897</v>
      </c>
      <c r="D938" s="10">
        <v>45792</v>
      </c>
      <c r="E938" s="11" t="s">
        <v>314</v>
      </c>
      <c r="F938" s="7" t="s">
        <v>877</v>
      </c>
      <c r="G938" s="7"/>
    </row>
    <row r="939" spans="1:7" x14ac:dyDescent="0.35">
      <c r="A939" s="77" t="s">
        <v>733</v>
      </c>
      <c r="B939" s="77" t="s">
        <v>1025</v>
      </c>
      <c r="C939" s="77" t="s">
        <v>1026</v>
      </c>
      <c r="D939" s="78">
        <v>45792</v>
      </c>
      <c r="E939" s="79" t="s">
        <v>314</v>
      </c>
      <c r="F939" s="77" t="s">
        <v>1080</v>
      </c>
      <c r="G939" s="77"/>
    </row>
    <row r="940" spans="1:7" x14ac:dyDescent="0.35">
      <c r="A940" s="77" t="s">
        <v>704</v>
      </c>
      <c r="B940" s="77" t="s">
        <v>1025</v>
      </c>
      <c r="C940" s="77" t="s">
        <v>1026</v>
      </c>
      <c r="D940" s="78">
        <v>45796</v>
      </c>
      <c r="E940" s="79" t="s">
        <v>314</v>
      </c>
      <c r="F940" s="77" t="s">
        <v>1080</v>
      </c>
      <c r="G940" s="77"/>
    </row>
    <row r="941" spans="1:7" x14ac:dyDescent="0.35">
      <c r="A941" s="77" t="s">
        <v>820</v>
      </c>
      <c r="B941" s="77" t="s">
        <v>1025</v>
      </c>
      <c r="C941" s="77" t="s">
        <v>1026</v>
      </c>
      <c r="D941" s="78">
        <v>45796</v>
      </c>
      <c r="E941" s="79" t="s">
        <v>314</v>
      </c>
      <c r="F941" s="77" t="s">
        <v>1080</v>
      </c>
      <c r="G941" s="77"/>
    </row>
    <row r="942" spans="1:7" x14ac:dyDescent="0.35">
      <c r="A942" s="7" t="s">
        <v>704</v>
      </c>
      <c r="B942" s="7" t="s">
        <v>896</v>
      </c>
      <c r="C942" s="7" t="s">
        <v>897</v>
      </c>
      <c r="D942" s="10">
        <v>45797</v>
      </c>
      <c r="E942" s="11" t="s">
        <v>314</v>
      </c>
      <c r="F942" s="7" t="s">
        <v>877</v>
      </c>
      <c r="G942" s="7"/>
    </row>
    <row r="943" spans="1:7" x14ac:dyDescent="0.35">
      <c r="A943" s="7" t="s">
        <v>820</v>
      </c>
      <c r="B943" s="7" t="s">
        <v>896</v>
      </c>
      <c r="C943" s="7" t="s">
        <v>897</v>
      </c>
      <c r="D943" s="10">
        <v>45797</v>
      </c>
      <c r="E943" s="11" t="s">
        <v>314</v>
      </c>
      <c r="F943" s="7" t="s">
        <v>877</v>
      </c>
      <c r="G943" s="7"/>
    </row>
    <row r="944" spans="1:7" x14ac:dyDescent="0.35">
      <c r="A944" s="7" t="s">
        <v>716</v>
      </c>
      <c r="B944" s="7" t="s">
        <v>896</v>
      </c>
      <c r="C944" s="7" t="s">
        <v>897</v>
      </c>
      <c r="D944" s="10">
        <v>45797</v>
      </c>
      <c r="E944" s="11" t="s">
        <v>314</v>
      </c>
      <c r="F944" s="7" t="s">
        <v>877</v>
      </c>
      <c r="G944" s="7"/>
    </row>
    <row r="945" spans="1:7" x14ac:dyDescent="0.35">
      <c r="A945" s="7" t="s">
        <v>330</v>
      </c>
      <c r="B945" s="7" t="s">
        <v>896</v>
      </c>
      <c r="C945" s="7" t="s">
        <v>897</v>
      </c>
      <c r="D945" s="10">
        <v>45797</v>
      </c>
      <c r="E945" s="11" t="s">
        <v>314</v>
      </c>
      <c r="F945" s="7" t="s">
        <v>877</v>
      </c>
      <c r="G945" s="7"/>
    </row>
    <row r="946" spans="1:7" x14ac:dyDescent="0.35">
      <c r="A946" s="77" t="s">
        <v>330</v>
      </c>
      <c r="B946" s="77" t="s">
        <v>1025</v>
      </c>
      <c r="C946" s="77" t="s">
        <v>1026</v>
      </c>
      <c r="D946" s="78">
        <v>45798</v>
      </c>
      <c r="E946" s="79" t="s">
        <v>314</v>
      </c>
      <c r="F946" s="77" t="s">
        <v>1080</v>
      </c>
      <c r="G946" s="77"/>
    </row>
    <row r="947" spans="1:7" x14ac:dyDescent="0.35">
      <c r="A947" s="77" t="s">
        <v>570</v>
      </c>
      <c r="B947" s="77" t="s">
        <v>1025</v>
      </c>
      <c r="C947" s="77" t="s">
        <v>1026</v>
      </c>
      <c r="D947" s="78">
        <v>45799</v>
      </c>
      <c r="E947" s="79" t="s">
        <v>314</v>
      </c>
      <c r="F947" s="77" t="s">
        <v>1080</v>
      </c>
      <c r="G947" s="77"/>
    </row>
    <row r="948" spans="1:7" x14ac:dyDescent="0.35">
      <c r="A948" s="7" t="s">
        <v>738</v>
      </c>
      <c r="B948" s="7" t="s">
        <v>896</v>
      </c>
      <c r="C948" s="7" t="s">
        <v>897</v>
      </c>
      <c r="D948" s="10">
        <v>45800</v>
      </c>
      <c r="E948" s="11" t="s">
        <v>314</v>
      </c>
      <c r="F948" s="7" t="s">
        <v>877</v>
      </c>
      <c r="G948" s="7"/>
    </row>
    <row r="949" spans="1:7" x14ac:dyDescent="0.35">
      <c r="A949" s="7" t="s">
        <v>570</v>
      </c>
      <c r="B949" s="7" t="s">
        <v>896</v>
      </c>
      <c r="C949" s="7" t="s">
        <v>897</v>
      </c>
      <c r="D949" s="10">
        <v>45800</v>
      </c>
      <c r="E949" s="11" t="s">
        <v>314</v>
      </c>
      <c r="F949" s="7" t="s">
        <v>877</v>
      </c>
      <c r="G949" s="7"/>
    </row>
    <row r="950" spans="1:7" x14ac:dyDescent="0.35">
      <c r="A950" s="7" t="s">
        <v>617</v>
      </c>
      <c r="B950" s="7" t="s">
        <v>896</v>
      </c>
      <c r="C950" s="7" t="s">
        <v>897</v>
      </c>
      <c r="D950" s="10">
        <v>45800</v>
      </c>
      <c r="E950" s="11" t="s">
        <v>314</v>
      </c>
      <c r="F950" s="7" t="s">
        <v>877</v>
      </c>
      <c r="G950" s="7"/>
    </row>
    <row r="951" spans="1:7" x14ac:dyDescent="0.35">
      <c r="A951" s="7" t="s">
        <v>217</v>
      </c>
      <c r="B951" s="7" t="s">
        <v>896</v>
      </c>
      <c r="C951" s="7" t="s">
        <v>897</v>
      </c>
      <c r="D951" s="10">
        <v>45800</v>
      </c>
      <c r="E951" s="11" t="s">
        <v>314</v>
      </c>
      <c r="F951" s="7" t="s">
        <v>877</v>
      </c>
      <c r="G951" s="7"/>
    </row>
    <row r="952" spans="1:7" x14ac:dyDescent="0.35">
      <c r="A952" s="7" t="s">
        <v>810</v>
      </c>
      <c r="B952" s="7" t="s">
        <v>896</v>
      </c>
      <c r="C952" s="7" t="s">
        <v>897</v>
      </c>
      <c r="D952" s="10">
        <v>45800</v>
      </c>
      <c r="E952" s="11" t="s">
        <v>314</v>
      </c>
      <c r="F952" s="7" t="s">
        <v>867</v>
      </c>
      <c r="G952" s="7"/>
    </row>
    <row r="953" spans="1:7" x14ac:dyDescent="0.35">
      <c r="A953" s="7" t="s">
        <v>788</v>
      </c>
      <c r="B953" s="7" t="s">
        <v>896</v>
      </c>
      <c r="C953" s="7" t="s">
        <v>897</v>
      </c>
      <c r="D953" s="10">
        <v>45800</v>
      </c>
      <c r="E953" s="11" t="s">
        <v>314</v>
      </c>
      <c r="F953" s="7" t="s">
        <v>877</v>
      </c>
      <c r="G953" s="7"/>
    </row>
    <row r="954" spans="1:7" x14ac:dyDescent="0.35">
      <c r="A954" s="7" t="s">
        <v>777</v>
      </c>
      <c r="B954" s="7" t="s">
        <v>896</v>
      </c>
      <c r="C954" s="7" t="s">
        <v>897</v>
      </c>
      <c r="D954" s="10">
        <v>45800</v>
      </c>
      <c r="E954" s="11" t="s">
        <v>314</v>
      </c>
      <c r="F954" s="7" t="s">
        <v>877</v>
      </c>
      <c r="G954" s="7"/>
    </row>
    <row r="955" spans="1:7" x14ac:dyDescent="0.35">
      <c r="A955" s="7" t="s">
        <v>822</v>
      </c>
      <c r="B955" s="7" t="s">
        <v>896</v>
      </c>
      <c r="C955" s="7" t="s">
        <v>897</v>
      </c>
      <c r="D955" s="10">
        <v>45800</v>
      </c>
      <c r="E955" s="11" t="s">
        <v>314</v>
      </c>
      <c r="F955" s="7" t="s">
        <v>867</v>
      </c>
      <c r="G955" s="7"/>
    </row>
    <row r="956" spans="1:7" x14ac:dyDescent="0.35">
      <c r="A956" s="7" t="s">
        <v>791</v>
      </c>
      <c r="B956" s="7" t="s">
        <v>908</v>
      </c>
      <c r="C956" s="7" t="s">
        <v>374</v>
      </c>
      <c r="D956" s="10">
        <v>45800</v>
      </c>
      <c r="E956" s="11" t="s">
        <v>314</v>
      </c>
      <c r="F956" s="7" t="s">
        <v>872</v>
      </c>
      <c r="G956" s="7" t="s">
        <v>317</v>
      </c>
    </row>
    <row r="957" spans="1:7" x14ac:dyDescent="0.35">
      <c r="A957" s="7" t="s">
        <v>791</v>
      </c>
      <c r="B957" s="7" t="s">
        <v>896</v>
      </c>
      <c r="C957" s="7" t="s">
        <v>897</v>
      </c>
      <c r="D957" s="10">
        <v>45800</v>
      </c>
      <c r="E957" s="11" t="s">
        <v>314</v>
      </c>
      <c r="F957" s="7" t="s">
        <v>871</v>
      </c>
      <c r="G957" s="7" t="s">
        <v>891</v>
      </c>
    </row>
    <row r="958" spans="1:7" x14ac:dyDescent="0.35">
      <c r="A958" s="77" t="s">
        <v>617</v>
      </c>
      <c r="B958" s="77" t="s">
        <v>1025</v>
      </c>
      <c r="C958" s="77" t="s">
        <v>1026</v>
      </c>
      <c r="D958" s="78">
        <v>45800</v>
      </c>
      <c r="E958" s="79" t="s">
        <v>314</v>
      </c>
      <c r="F958" s="77" t="s">
        <v>1080</v>
      </c>
      <c r="G958" s="77"/>
    </row>
    <row r="959" spans="1:7" x14ac:dyDescent="0.35">
      <c r="A959" s="77" t="s">
        <v>777</v>
      </c>
      <c r="B959" s="77" t="s">
        <v>1025</v>
      </c>
      <c r="C959" s="77" t="s">
        <v>1026</v>
      </c>
      <c r="D959" s="78">
        <v>45800</v>
      </c>
      <c r="E959" s="79" t="s">
        <v>314</v>
      </c>
      <c r="F959" s="77" t="s">
        <v>1080</v>
      </c>
      <c r="G959" s="77"/>
    </row>
    <row r="960" spans="1:7" x14ac:dyDescent="0.35">
      <c r="A960" s="77" t="s">
        <v>791</v>
      </c>
      <c r="B960" s="77" t="s">
        <v>1025</v>
      </c>
      <c r="C960" s="77" t="s">
        <v>1026</v>
      </c>
      <c r="D960" s="78">
        <v>45800</v>
      </c>
      <c r="E960" s="79" t="s">
        <v>314</v>
      </c>
      <c r="F960" s="77" t="s">
        <v>1080</v>
      </c>
      <c r="G960" s="77"/>
    </row>
    <row r="961" spans="1:7" x14ac:dyDescent="0.35">
      <c r="A961" s="77" t="s">
        <v>819</v>
      </c>
      <c r="B961" s="77" t="s">
        <v>896</v>
      </c>
      <c r="C961" s="77" t="s">
        <v>897</v>
      </c>
      <c r="D961" s="78">
        <v>45801</v>
      </c>
      <c r="E961" s="79" t="s">
        <v>314</v>
      </c>
      <c r="F961" s="77" t="s">
        <v>88</v>
      </c>
      <c r="G961" s="77" t="s">
        <v>22</v>
      </c>
    </row>
    <row r="962" spans="1:7" x14ac:dyDescent="0.35">
      <c r="A962" s="77" t="s">
        <v>821</v>
      </c>
      <c r="B962" s="77" t="s">
        <v>896</v>
      </c>
      <c r="C962" s="77" t="s">
        <v>897</v>
      </c>
      <c r="D962" s="78">
        <v>45801</v>
      </c>
      <c r="E962" s="79" t="s">
        <v>314</v>
      </c>
      <c r="F962" s="77" t="s">
        <v>88</v>
      </c>
      <c r="G962" s="77" t="s">
        <v>22</v>
      </c>
    </row>
    <row r="963" spans="1:7" x14ac:dyDescent="0.35">
      <c r="A963" s="77" t="s">
        <v>736</v>
      </c>
      <c r="B963" s="77" t="s">
        <v>1025</v>
      </c>
      <c r="C963" s="77" t="s">
        <v>1026</v>
      </c>
      <c r="D963" s="78">
        <v>45803</v>
      </c>
      <c r="E963" s="79" t="s">
        <v>314</v>
      </c>
      <c r="F963" s="77" t="s">
        <v>1080</v>
      </c>
      <c r="G963" s="77"/>
    </row>
    <row r="964" spans="1:7" x14ac:dyDescent="0.35">
      <c r="A964" s="77" t="s">
        <v>825</v>
      </c>
      <c r="B964" s="77" t="s">
        <v>1025</v>
      </c>
      <c r="C964" s="77" t="s">
        <v>1026</v>
      </c>
      <c r="D964" s="78">
        <v>45803</v>
      </c>
      <c r="E964" s="79" t="s">
        <v>314</v>
      </c>
      <c r="F964" s="77" t="s">
        <v>1080</v>
      </c>
      <c r="G964" s="77"/>
    </row>
    <row r="965" spans="1:7" x14ac:dyDescent="0.35">
      <c r="A965" s="77" t="s">
        <v>726</v>
      </c>
      <c r="B965" s="77" t="s">
        <v>1025</v>
      </c>
      <c r="C965" s="77" t="s">
        <v>1026</v>
      </c>
      <c r="D965" s="78">
        <v>45803</v>
      </c>
      <c r="E965" s="79" t="s">
        <v>314</v>
      </c>
      <c r="F965" s="77" t="s">
        <v>1080</v>
      </c>
      <c r="G965" s="77"/>
    </row>
    <row r="966" spans="1:7" x14ac:dyDescent="0.35">
      <c r="A966" s="77" t="s">
        <v>790</v>
      </c>
      <c r="B966" s="77" t="s">
        <v>1025</v>
      </c>
      <c r="C966" s="77" t="s">
        <v>1026</v>
      </c>
      <c r="D966" s="78">
        <v>45805</v>
      </c>
      <c r="E966" s="79" t="s">
        <v>314</v>
      </c>
      <c r="F966" s="77" t="s">
        <v>1080</v>
      </c>
      <c r="G966" s="77"/>
    </row>
    <row r="967" spans="1:7" x14ac:dyDescent="0.35">
      <c r="A967" s="7" t="s">
        <v>813</v>
      </c>
      <c r="B967" s="7" t="s">
        <v>908</v>
      </c>
      <c r="C967" s="7" t="s">
        <v>374</v>
      </c>
      <c r="D967" s="10">
        <v>45806</v>
      </c>
      <c r="E967" s="11" t="s">
        <v>314</v>
      </c>
      <c r="F967" s="7" t="s">
        <v>872</v>
      </c>
      <c r="G967" s="7" t="s">
        <v>317</v>
      </c>
    </row>
    <row r="968" spans="1:7" x14ac:dyDescent="0.35">
      <c r="A968" s="7" t="s">
        <v>813</v>
      </c>
      <c r="B968" s="7" t="s">
        <v>896</v>
      </c>
      <c r="C968" s="7" t="s">
        <v>897</v>
      </c>
      <c r="D968" s="10">
        <v>45806</v>
      </c>
      <c r="E968" s="11" t="s">
        <v>314</v>
      </c>
      <c r="F968" s="7" t="s">
        <v>19</v>
      </c>
      <c r="G968" s="7"/>
    </row>
    <row r="969" spans="1:7" x14ac:dyDescent="0.35">
      <c r="A969" s="7" t="s">
        <v>813</v>
      </c>
      <c r="B969" s="7" t="s">
        <v>896</v>
      </c>
      <c r="C969" s="7" t="s">
        <v>897</v>
      </c>
      <c r="D969" s="10">
        <v>45806</v>
      </c>
      <c r="E969" s="11" t="s">
        <v>314</v>
      </c>
      <c r="F969" s="7" t="s">
        <v>871</v>
      </c>
      <c r="G969" s="7" t="s">
        <v>891</v>
      </c>
    </row>
    <row r="970" spans="1:7" x14ac:dyDescent="0.35">
      <c r="A970" s="7" t="s">
        <v>775</v>
      </c>
      <c r="B970" s="7" t="s">
        <v>896</v>
      </c>
      <c r="C970" s="7" t="s">
        <v>897</v>
      </c>
      <c r="D970" s="10">
        <v>45806</v>
      </c>
      <c r="E970" s="11" t="s">
        <v>314</v>
      </c>
      <c r="F970" s="7" t="s">
        <v>19</v>
      </c>
      <c r="G970" s="7"/>
    </row>
    <row r="971" spans="1:7" x14ac:dyDescent="0.35">
      <c r="A971" s="7" t="s">
        <v>768</v>
      </c>
      <c r="B971" s="7" t="s">
        <v>896</v>
      </c>
      <c r="C971" s="7" t="s">
        <v>897</v>
      </c>
      <c r="D971" s="10">
        <v>45806</v>
      </c>
      <c r="E971" s="11" t="s">
        <v>314</v>
      </c>
      <c r="F971" s="7" t="s">
        <v>19</v>
      </c>
      <c r="G971" s="7"/>
    </row>
    <row r="972" spans="1:7" x14ac:dyDescent="0.35">
      <c r="A972" s="7" t="s">
        <v>734</v>
      </c>
      <c r="B972" s="7" t="s">
        <v>896</v>
      </c>
      <c r="C972" s="7" t="s">
        <v>897</v>
      </c>
      <c r="D972" s="10">
        <v>45806</v>
      </c>
      <c r="E972" s="11" t="s">
        <v>314</v>
      </c>
      <c r="F972" s="7" t="s">
        <v>877</v>
      </c>
      <c r="G972" s="7"/>
    </row>
    <row r="973" spans="1:7" x14ac:dyDescent="0.35">
      <c r="A973" s="7" t="s">
        <v>735</v>
      </c>
      <c r="B973" s="7" t="s">
        <v>896</v>
      </c>
      <c r="C973" s="7" t="s">
        <v>897</v>
      </c>
      <c r="D973" s="10">
        <v>45806</v>
      </c>
      <c r="E973" s="11" t="s">
        <v>314</v>
      </c>
      <c r="F973" s="7" t="s">
        <v>877</v>
      </c>
      <c r="G973" s="7"/>
    </row>
    <row r="974" spans="1:7" x14ac:dyDescent="0.35">
      <c r="A974" s="7" t="s">
        <v>836</v>
      </c>
      <c r="B974" s="7" t="s">
        <v>896</v>
      </c>
      <c r="C974" s="7" t="s">
        <v>897</v>
      </c>
      <c r="D974" s="10">
        <v>45806</v>
      </c>
      <c r="E974" s="11" t="s">
        <v>314</v>
      </c>
      <c r="F974" s="7" t="s">
        <v>877</v>
      </c>
      <c r="G974" s="7"/>
    </row>
    <row r="975" spans="1:7" x14ac:dyDescent="0.35">
      <c r="A975" s="7" t="s">
        <v>741</v>
      </c>
      <c r="B975" s="7" t="s">
        <v>896</v>
      </c>
      <c r="C975" s="7" t="s">
        <v>897</v>
      </c>
      <c r="D975" s="10">
        <v>45806</v>
      </c>
      <c r="E975" s="11" t="s">
        <v>314</v>
      </c>
      <c r="F975" s="7" t="s">
        <v>877</v>
      </c>
      <c r="G975" s="7"/>
    </row>
    <row r="976" spans="1:7" x14ac:dyDescent="0.35">
      <c r="A976" s="7" t="s">
        <v>827</v>
      </c>
      <c r="B976" s="7" t="s">
        <v>896</v>
      </c>
      <c r="C976" s="7" t="s">
        <v>897</v>
      </c>
      <c r="D976" s="10">
        <v>45806</v>
      </c>
      <c r="E976" s="11" t="s">
        <v>314</v>
      </c>
      <c r="F976" s="7" t="s">
        <v>867</v>
      </c>
      <c r="G976" s="7"/>
    </row>
    <row r="977" spans="1:7" x14ac:dyDescent="0.35">
      <c r="A977" s="7" t="s">
        <v>728</v>
      </c>
      <c r="B977" s="7" t="s">
        <v>896</v>
      </c>
      <c r="C977" s="7" t="s">
        <v>897</v>
      </c>
      <c r="D977" s="10">
        <v>45806</v>
      </c>
      <c r="E977" s="11" t="s">
        <v>314</v>
      </c>
      <c r="F977" s="7" t="s">
        <v>877</v>
      </c>
      <c r="G977" s="7"/>
    </row>
    <row r="978" spans="1:7" x14ac:dyDescent="0.35">
      <c r="A978" s="7" t="s">
        <v>790</v>
      </c>
      <c r="B978" s="7" t="s">
        <v>896</v>
      </c>
      <c r="C978" s="7" t="s">
        <v>897</v>
      </c>
      <c r="D978" s="10">
        <v>45806</v>
      </c>
      <c r="E978" s="11" t="s">
        <v>314</v>
      </c>
      <c r="F978" s="7" t="s">
        <v>877</v>
      </c>
      <c r="G978" s="7"/>
    </row>
    <row r="979" spans="1:7" x14ac:dyDescent="0.35">
      <c r="A979" s="7" t="s">
        <v>366</v>
      </c>
      <c r="B979" s="7" t="s">
        <v>896</v>
      </c>
      <c r="C979" s="7" t="s">
        <v>897</v>
      </c>
      <c r="D979" s="10">
        <v>45806</v>
      </c>
      <c r="E979" s="11" t="s">
        <v>314</v>
      </c>
      <c r="F979" s="7" t="s">
        <v>867</v>
      </c>
      <c r="G979" s="7"/>
    </row>
    <row r="980" spans="1:7" x14ac:dyDescent="0.35">
      <c r="A980" s="7" t="s">
        <v>366</v>
      </c>
      <c r="B980" s="7" t="s">
        <v>1025</v>
      </c>
      <c r="C980" s="77" t="s">
        <v>1026</v>
      </c>
      <c r="D980" s="10">
        <v>45806</v>
      </c>
      <c r="E980" s="11" t="s">
        <v>314</v>
      </c>
      <c r="F980" s="7" t="s">
        <v>867</v>
      </c>
      <c r="G980" s="7"/>
    </row>
    <row r="981" spans="1:7" x14ac:dyDescent="0.35">
      <c r="A981" s="7" t="s">
        <v>736</v>
      </c>
      <c r="B981" s="7" t="s">
        <v>896</v>
      </c>
      <c r="C981" s="7" t="s">
        <v>897</v>
      </c>
      <c r="D981" s="10">
        <v>45806</v>
      </c>
      <c r="E981" s="11" t="s">
        <v>314</v>
      </c>
      <c r="F981" s="7" t="s">
        <v>877</v>
      </c>
      <c r="G981" s="7"/>
    </row>
    <row r="982" spans="1:7" x14ac:dyDescent="0.35">
      <c r="A982" s="7" t="s">
        <v>825</v>
      </c>
      <c r="B982" s="7" t="s">
        <v>896</v>
      </c>
      <c r="C982" s="7" t="s">
        <v>897</v>
      </c>
      <c r="D982" s="10">
        <v>45806</v>
      </c>
      <c r="E982" s="11" t="s">
        <v>314</v>
      </c>
      <c r="F982" s="7" t="s">
        <v>27</v>
      </c>
      <c r="G982" s="7"/>
    </row>
    <row r="983" spans="1:7" x14ac:dyDescent="0.35">
      <c r="A983" s="7" t="s">
        <v>726</v>
      </c>
      <c r="B983" s="7" t="s">
        <v>896</v>
      </c>
      <c r="C983" s="7" t="s">
        <v>897</v>
      </c>
      <c r="D983" s="10">
        <v>45806</v>
      </c>
      <c r="E983" s="11" t="s">
        <v>314</v>
      </c>
      <c r="F983" s="7" t="s">
        <v>877</v>
      </c>
      <c r="G983" s="7"/>
    </row>
    <row r="984" spans="1:7" x14ac:dyDescent="0.35">
      <c r="A984" s="7" t="s">
        <v>727</v>
      </c>
      <c r="B984" s="7" t="s">
        <v>896</v>
      </c>
      <c r="C984" s="7" t="s">
        <v>897</v>
      </c>
      <c r="D984" s="10">
        <v>45806</v>
      </c>
      <c r="E984" s="11" t="s">
        <v>314</v>
      </c>
      <c r="F984" s="7" t="s">
        <v>877</v>
      </c>
      <c r="G984" s="7"/>
    </row>
    <row r="985" spans="1:7" x14ac:dyDescent="0.35">
      <c r="A985" s="7" t="s">
        <v>707</v>
      </c>
      <c r="B985" s="7" t="s">
        <v>896</v>
      </c>
      <c r="C985" s="7" t="s">
        <v>897</v>
      </c>
      <c r="D985" s="10">
        <v>45806</v>
      </c>
      <c r="E985" s="11" t="s">
        <v>314</v>
      </c>
      <c r="F985" s="7" t="s">
        <v>877</v>
      </c>
      <c r="G985" s="7"/>
    </row>
    <row r="986" spans="1:7" x14ac:dyDescent="0.35">
      <c r="A986" s="77" t="s">
        <v>813</v>
      </c>
      <c r="B986" s="77" t="s">
        <v>1025</v>
      </c>
      <c r="C986" s="77" t="s">
        <v>1026</v>
      </c>
      <c r="D986" s="78">
        <v>45806</v>
      </c>
      <c r="E986" s="79" t="s">
        <v>314</v>
      </c>
      <c r="F986" s="77" t="s">
        <v>1080</v>
      </c>
      <c r="G986" s="77"/>
    </row>
    <row r="987" spans="1:7" x14ac:dyDescent="0.35">
      <c r="A987" s="77" t="s">
        <v>366</v>
      </c>
      <c r="B987" s="77" t="s">
        <v>1025</v>
      </c>
      <c r="C987" s="77" t="s">
        <v>1026</v>
      </c>
      <c r="D987" s="78">
        <v>45806</v>
      </c>
      <c r="E987" s="79" t="s">
        <v>314</v>
      </c>
      <c r="F987" s="77" t="s">
        <v>1080</v>
      </c>
      <c r="G987" s="77"/>
    </row>
    <row r="988" spans="1:7" x14ac:dyDescent="0.35">
      <c r="A988" s="77" t="s">
        <v>707</v>
      </c>
      <c r="B988" s="77" t="s">
        <v>1025</v>
      </c>
      <c r="C988" s="77" t="s">
        <v>1026</v>
      </c>
      <c r="D988" s="78">
        <v>45806</v>
      </c>
      <c r="E988" s="79" t="s">
        <v>314</v>
      </c>
      <c r="F988" s="77" t="s">
        <v>1080</v>
      </c>
      <c r="G988" s="77"/>
    </row>
    <row r="989" spans="1:7" x14ac:dyDescent="0.35">
      <c r="A989" s="7" t="s">
        <v>789</v>
      </c>
      <c r="B989" s="7" t="s">
        <v>896</v>
      </c>
      <c r="C989" s="7" t="s">
        <v>897</v>
      </c>
      <c r="D989" s="10">
        <v>45807</v>
      </c>
      <c r="E989" s="11" t="s">
        <v>314</v>
      </c>
      <c r="F989" s="7" t="s">
        <v>877</v>
      </c>
      <c r="G989" s="7"/>
    </row>
    <row r="990" spans="1:7" x14ac:dyDescent="0.35">
      <c r="A990" s="7" t="s">
        <v>837</v>
      </c>
      <c r="B990" s="7" t="s">
        <v>896</v>
      </c>
      <c r="C990" s="7" t="s">
        <v>897</v>
      </c>
      <c r="D990" s="10">
        <v>45807</v>
      </c>
      <c r="E990" s="11" t="s">
        <v>314</v>
      </c>
      <c r="F990" s="7" t="s">
        <v>877</v>
      </c>
      <c r="G990" s="7"/>
    </row>
    <row r="991" spans="1:7" x14ac:dyDescent="0.35">
      <c r="A991" s="7" t="s">
        <v>421</v>
      </c>
      <c r="B991" s="7" t="s">
        <v>896</v>
      </c>
      <c r="C991" s="7" t="s">
        <v>897</v>
      </c>
      <c r="D991" s="10">
        <v>45807</v>
      </c>
      <c r="E991" s="11" t="s">
        <v>314</v>
      </c>
      <c r="F991" s="7" t="s">
        <v>877</v>
      </c>
      <c r="G991" s="7"/>
    </row>
    <row r="992" spans="1:7" x14ac:dyDescent="0.35">
      <c r="A992" s="77" t="s">
        <v>789</v>
      </c>
      <c r="B992" s="77" t="s">
        <v>1025</v>
      </c>
      <c r="C992" s="77" t="s">
        <v>1026</v>
      </c>
      <c r="D992" s="78">
        <v>45807</v>
      </c>
      <c r="E992" s="79" t="s">
        <v>314</v>
      </c>
      <c r="F992" s="77" t="s">
        <v>1080</v>
      </c>
      <c r="G992" s="77"/>
    </row>
    <row r="993" spans="1:7" x14ac:dyDescent="0.35">
      <c r="A993" s="77" t="s">
        <v>837</v>
      </c>
      <c r="B993" s="77" t="s">
        <v>1025</v>
      </c>
      <c r="C993" s="77" t="s">
        <v>1026</v>
      </c>
      <c r="D993" s="78">
        <v>45807</v>
      </c>
      <c r="E993" s="79" t="s">
        <v>314</v>
      </c>
      <c r="F993" s="77" t="s">
        <v>1080</v>
      </c>
      <c r="G993" s="77"/>
    </row>
    <row r="994" spans="1:7" x14ac:dyDescent="0.35">
      <c r="A994" s="77" t="s">
        <v>765</v>
      </c>
      <c r="B994" s="77" t="s">
        <v>1025</v>
      </c>
      <c r="C994" s="77" t="s">
        <v>1026</v>
      </c>
      <c r="D994" s="78">
        <v>45807</v>
      </c>
      <c r="E994" s="79" t="s">
        <v>314</v>
      </c>
      <c r="F994" s="77" t="s">
        <v>1080</v>
      </c>
      <c r="G994" s="77"/>
    </row>
    <row r="995" spans="1:7" x14ac:dyDescent="0.35">
      <c r="A995" s="7" t="s">
        <v>763</v>
      </c>
      <c r="B995" s="7" t="s">
        <v>896</v>
      </c>
      <c r="C995" s="7" t="s">
        <v>897</v>
      </c>
      <c r="D995" s="10">
        <v>45808</v>
      </c>
      <c r="E995" s="11" t="s">
        <v>314</v>
      </c>
      <c r="F995" s="7" t="s">
        <v>19</v>
      </c>
      <c r="G995" s="7"/>
    </row>
    <row r="996" spans="1:7" x14ac:dyDescent="0.35">
      <c r="A996" s="7" t="s">
        <v>761</v>
      </c>
      <c r="B996" s="7" t="s">
        <v>896</v>
      </c>
      <c r="C996" s="7" t="s">
        <v>897</v>
      </c>
      <c r="D996" s="10">
        <v>45808</v>
      </c>
      <c r="E996" s="11" t="s">
        <v>314</v>
      </c>
      <c r="F996" s="7" t="s">
        <v>19</v>
      </c>
      <c r="G996" s="7"/>
    </row>
    <row r="997" spans="1:7" x14ac:dyDescent="0.35">
      <c r="A997" s="7" t="s">
        <v>769</v>
      </c>
      <c r="B997" s="7" t="s">
        <v>896</v>
      </c>
      <c r="C997" s="7" t="s">
        <v>897</v>
      </c>
      <c r="D997" s="10">
        <v>45808</v>
      </c>
      <c r="E997" s="11" t="s">
        <v>314</v>
      </c>
      <c r="F997" s="7" t="s">
        <v>19</v>
      </c>
      <c r="G997" s="7"/>
    </row>
    <row r="998" spans="1:7" x14ac:dyDescent="0.35">
      <c r="A998" s="7" t="s">
        <v>770</v>
      </c>
      <c r="B998" s="7" t="s">
        <v>896</v>
      </c>
      <c r="C998" s="7" t="s">
        <v>897</v>
      </c>
      <c r="D998" s="10">
        <v>45808</v>
      </c>
      <c r="E998" s="11" t="s">
        <v>314</v>
      </c>
      <c r="F998" s="7" t="s">
        <v>19</v>
      </c>
      <c r="G998" s="7"/>
    </row>
    <row r="999" spans="1:7" x14ac:dyDescent="0.35">
      <c r="A999" s="7" t="s">
        <v>759</v>
      </c>
      <c r="B999" s="7" t="s">
        <v>896</v>
      </c>
      <c r="C999" s="7" t="s">
        <v>897</v>
      </c>
      <c r="D999" s="10">
        <v>45808</v>
      </c>
      <c r="E999" s="11" t="s">
        <v>314</v>
      </c>
      <c r="F999" s="7" t="s">
        <v>19</v>
      </c>
      <c r="G999" s="7"/>
    </row>
    <row r="1000" spans="1:7" x14ac:dyDescent="0.35">
      <c r="A1000" s="77" t="s">
        <v>765</v>
      </c>
      <c r="B1000" s="77" t="s">
        <v>1025</v>
      </c>
      <c r="C1000" s="77" t="s">
        <v>1026</v>
      </c>
      <c r="D1000" s="78">
        <v>45808</v>
      </c>
      <c r="E1000" s="79" t="s">
        <v>314</v>
      </c>
      <c r="F1000" s="77" t="s">
        <v>871</v>
      </c>
      <c r="G1000" s="77" t="s">
        <v>891</v>
      </c>
    </row>
    <row r="1001" spans="1:7" x14ac:dyDescent="0.35">
      <c r="A1001" s="77" t="s">
        <v>765</v>
      </c>
      <c r="B1001" s="77" t="s">
        <v>896</v>
      </c>
      <c r="C1001" s="77" t="s">
        <v>897</v>
      </c>
      <c r="D1001" s="78">
        <v>45808</v>
      </c>
      <c r="E1001" s="79" t="s">
        <v>314</v>
      </c>
      <c r="F1001" s="77" t="s">
        <v>19</v>
      </c>
      <c r="G1001" s="77"/>
    </row>
    <row r="1002" spans="1:7" x14ac:dyDescent="0.35">
      <c r="A1002" s="77" t="s">
        <v>792</v>
      </c>
      <c r="B1002" s="77" t="s">
        <v>1025</v>
      </c>
      <c r="C1002" s="77" t="s">
        <v>1026</v>
      </c>
      <c r="D1002" s="78">
        <v>45810</v>
      </c>
      <c r="E1002" s="79" t="s">
        <v>314</v>
      </c>
      <c r="F1002" s="77" t="s">
        <v>1080</v>
      </c>
      <c r="G1002" s="77"/>
    </row>
    <row r="1003" spans="1:7" x14ac:dyDescent="0.35">
      <c r="A1003" s="77" t="s">
        <v>491</v>
      </c>
      <c r="B1003" s="77" t="s">
        <v>1025</v>
      </c>
      <c r="C1003" s="77" t="s">
        <v>1026</v>
      </c>
      <c r="D1003" s="78">
        <v>45810</v>
      </c>
      <c r="E1003" s="79" t="s">
        <v>314</v>
      </c>
      <c r="F1003" s="77" t="s">
        <v>1080</v>
      </c>
      <c r="G1003" s="77"/>
    </row>
    <row r="1004" spans="1:7" x14ac:dyDescent="0.35">
      <c r="A1004" s="77" t="s">
        <v>408</v>
      </c>
      <c r="B1004" s="77" t="s">
        <v>1025</v>
      </c>
      <c r="C1004" s="77" t="s">
        <v>1026</v>
      </c>
      <c r="D1004" s="78">
        <v>45810</v>
      </c>
      <c r="E1004" s="79" t="s">
        <v>314</v>
      </c>
      <c r="F1004" s="77" t="s">
        <v>1080</v>
      </c>
      <c r="G1004" s="77"/>
    </row>
    <row r="1005" spans="1:7" x14ac:dyDescent="0.35">
      <c r="A1005" s="77" t="s">
        <v>913</v>
      </c>
      <c r="B1005" s="77" t="s">
        <v>1025</v>
      </c>
      <c r="C1005" s="77" t="s">
        <v>1026</v>
      </c>
      <c r="D1005" s="78">
        <v>45810</v>
      </c>
      <c r="E1005" s="79" t="s">
        <v>314</v>
      </c>
      <c r="F1005" s="77" t="s">
        <v>1080</v>
      </c>
      <c r="G1005" s="77"/>
    </row>
    <row r="1006" spans="1:7" x14ac:dyDescent="0.35">
      <c r="A1006" s="77" t="s">
        <v>741</v>
      </c>
      <c r="B1006" s="77" t="s">
        <v>1025</v>
      </c>
      <c r="C1006" s="77" t="s">
        <v>1026</v>
      </c>
      <c r="D1006" s="78">
        <v>45810</v>
      </c>
      <c r="E1006" s="79" t="s">
        <v>314</v>
      </c>
      <c r="F1006" s="77" t="s">
        <v>1080</v>
      </c>
      <c r="G1006" s="77"/>
    </row>
    <row r="1007" spans="1:7" x14ac:dyDescent="0.35">
      <c r="A1007" s="77" t="s">
        <v>927</v>
      </c>
      <c r="B1007" s="77" t="s">
        <v>1025</v>
      </c>
      <c r="C1007" s="77" t="s">
        <v>1026</v>
      </c>
      <c r="D1007" s="78">
        <v>45810</v>
      </c>
      <c r="E1007" s="79" t="s">
        <v>314</v>
      </c>
      <c r="F1007" s="77" t="s">
        <v>1080</v>
      </c>
      <c r="G1007" s="77"/>
    </row>
    <row r="1008" spans="1:7" x14ac:dyDescent="0.35">
      <c r="A1008" s="77" t="s">
        <v>706</v>
      </c>
      <c r="B1008" s="77" t="s">
        <v>1025</v>
      </c>
      <c r="C1008" s="77" t="s">
        <v>1026</v>
      </c>
      <c r="D1008" s="78">
        <v>45811</v>
      </c>
      <c r="E1008" s="79" t="s">
        <v>314</v>
      </c>
      <c r="F1008" s="77" t="s">
        <v>1080</v>
      </c>
      <c r="G1008" s="77"/>
    </row>
    <row r="1009" spans="1:7" x14ac:dyDescent="0.35">
      <c r="A1009" s="77" t="s">
        <v>18</v>
      </c>
      <c r="B1009" s="77" t="s">
        <v>1025</v>
      </c>
      <c r="C1009" s="77" t="s">
        <v>1026</v>
      </c>
      <c r="D1009" s="78">
        <v>45811</v>
      </c>
      <c r="E1009" s="79" t="s">
        <v>314</v>
      </c>
      <c r="F1009" s="77" t="s">
        <v>1080</v>
      </c>
      <c r="G1009" s="77"/>
    </row>
    <row r="1010" spans="1:7" x14ac:dyDescent="0.35">
      <c r="A1010" s="7" t="s">
        <v>706</v>
      </c>
      <c r="B1010" s="7" t="s">
        <v>908</v>
      </c>
      <c r="C1010" s="7" t="s">
        <v>374</v>
      </c>
      <c r="D1010" s="10">
        <v>45812</v>
      </c>
      <c r="E1010" s="11" t="s">
        <v>314</v>
      </c>
      <c r="F1010" s="7" t="s">
        <v>877</v>
      </c>
      <c r="G1010" s="7"/>
    </row>
    <row r="1011" spans="1:7" x14ac:dyDescent="0.35">
      <c r="A1011" s="7" t="s">
        <v>926</v>
      </c>
      <c r="B1011" s="7" t="s">
        <v>1025</v>
      </c>
      <c r="C1011" s="77" t="s">
        <v>1026</v>
      </c>
      <c r="D1011" s="10">
        <v>45812</v>
      </c>
      <c r="E1011" s="11" t="s">
        <v>314</v>
      </c>
      <c r="F1011" s="7" t="s">
        <v>877</v>
      </c>
      <c r="G1011" s="7"/>
    </row>
    <row r="1012" spans="1:7" x14ac:dyDescent="0.35">
      <c r="A1012" s="7" t="s">
        <v>792</v>
      </c>
      <c r="B1012" s="7" t="s">
        <v>896</v>
      </c>
      <c r="C1012" s="7" t="s">
        <v>897</v>
      </c>
      <c r="D1012" s="10">
        <v>45812</v>
      </c>
      <c r="E1012" s="11" t="s">
        <v>314</v>
      </c>
      <c r="F1012" s="7" t="s">
        <v>877</v>
      </c>
      <c r="G1012" s="7"/>
    </row>
    <row r="1013" spans="1:7" x14ac:dyDescent="0.35">
      <c r="A1013" s="7" t="s">
        <v>491</v>
      </c>
      <c r="B1013" s="7" t="s">
        <v>896</v>
      </c>
      <c r="C1013" s="7" t="s">
        <v>897</v>
      </c>
      <c r="D1013" s="10">
        <v>45812</v>
      </c>
      <c r="E1013" s="11" t="s">
        <v>314</v>
      </c>
      <c r="F1013" s="7" t="s">
        <v>877</v>
      </c>
      <c r="G1013" s="7"/>
    </row>
    <row r="1014" spans="1:7" x14ac:dyDescent="0.35">
      <c r="A1014" s="7" t="s">
        <v>408</v>
      </c>
      <c r="B1014" s="7" t="s">
        <v>896</v>
      </c>
      <c r="C1014" s="7" t="s">
        <v>897</v>
      </c>
      <c r="D1014" s="10">
        <v>45812</v>
      </c>
      <c r="E1014" s="11" t="s">
        <v>314</v>
      </c>
      <c r="F1014" s="7" t="s">
        <v>877</v>
      </c>
      <c r="G1014" s="7"/>
    </row>
    <row r="1015" spans="1:7" x14ac:dyDescent="0.35">
      <c r="A1015" s="7" t="s">
        <v>913</v>
      </c>
      <c r="B1015" s="7" t="s">
        <v>1025</v>
      </c>
      <c r="C1015" s="77" t="s">
        <v>1026</v>
      </c>
      <c r="D1015" s="10">
        <v>45812</v>
      </c>
      <c r="E1015" s="11" t="s">
        <v>314</v>
      </c>
      <c r="F1015" s="7" t="s">
        <v>877</v>
      </c>
      <c r="G1015" s="7"/>
    </row>
    <row r="1016" spans="1:7" x14ac:dyDescent="0.35">
      <c r="A1016" s="7" t="s">
        <v>927</v>
      </c>
      <c r="B1016" s="7" t="s">
        <v>1025</v>
      </c>
      <c r="C1016" s="77" t="s">
        <v>1026</v>
      </c>
      <c r="D1016" s="10">
        <v>45812</v>
      </c>
      <c r="E1016" s="11" t="s">
        <v>314</v>
      </c>
      <c r="F1016" s="7" t="s">
        <v>877</v>
      </c>
      <c r="G1016" s="7"/>
    </row>
    <row r="1017" spans="1:7" x14ac:dyDescent="0.35">
      <c r="A1017" s="7" t="s">
        <v>18</v>
      </c>
      <c r="B1017" s="7" t="s">
        <v>896</v>
      </c>
      <c r="C1017" s="7" t="s">
        <v>897</v>
      </c>
      <c r="D1017" s="10">
        <v>45812</v>
      </c>
      <c r="E1017" s="11" t="s">
        <v>314</v>
      </c>
      <c r="F1017" s="7" t="s">
        <v>877</v>
      </c>
      <c r="G1017" s="7"/>
    </row>
    <row r="1018" spans="1:7" x14ac:dyDescent="0.35">
      <c r="A1018" s="7" t="s">
        <v>787</v>
      </c>
      <c r="B1018" s="7" t="s">
        <v>896</v>
      </c>
      <c r="C1018" s="7" t="s">
        <v>897</v>
      </c>
      <c r="D1018" s="10">
        <v>45817</v>
      </c>
      <c r="E1018" s="11" t="s">
        <v>314</v>
      </c>
      <c r="F1018" s="7" t="s">
        <v>877</v>
      </c>
      <c r="G1018" s="7"/>
    </row>
    <row r="1019" spans="1:7" x14ac:dyDescent="0.35">
      <c r="A1019" s="7" t="s">
        <v>912</v>
      </c>
      <c r="B1019" s="7" t="s">
        <v>1025</v>
      </c>
      <c r="C1019" s="77" t="s">
        <v>1026</v>
      </c>
      <c r="D1019" s="10">
        <v>45817</v>
      </c>
      <c r="E1019" s="11" t="s">
        <v>314</v>
      </c>
      <c r="F1019" s="7" t="s">
        <v>877</v>
      </c>
      <c r="G1019" s="7"/>
    </row>
    <row r="1020" spans="1:7" x14ac:dyDescent="0.35">
      <c r="A1020" s="7" t="s">
        <v>800</v>
      </c>
      <c r="B1020" s="7" t="s">
        <v>896</v>
      </c>
      <c r="C1020" s="7" t="s">
        <v>897</v>
      </c>
      <c r="D1020" s="10">
        <v>45817</v>
      </c>
      <c r="E1020" s="11" t="s">
        <v>314</v>
      </c>
      <c r="F1020" s="7" t="s">
        <v>877</v>
      </c>
      <c r="G1020" s="7"/>
    </row>
    <row r="1021" spans="1:7" x14ac:dyDescent="0.35">
      <c r="A1021" s="77" t="s">
        <v>793</v>
      </c>
      <c r="B1021" s="77" t="s">
        <v>896</v>
      </c>
      <c r="C1021" s="77" t="s">
        <v>897</v>
      </c>
      <c r="D1021" s="78">
        <v>45817</v>
      </c>
      <c r="E1021" s="79" t="s">
        <v>314</v>
      </c>
      <c r="F1021" s="77" t="s">
        <v>877</v>
      </c>
      <c r="G1021" s="77"/>
    </row>
    <row r="1022" spans="1:7" x14ac:dyDescent="0.35">
      <c r="A1022" s="77" t="s">
        <v>746</v>
      </c>
      <c r="B1022" s="77" t="s">
        <v>896</v>
      </c>
      <c r="C1022" s="77" t="s">
        <v>897</v>
      </c>
      <c r="D1022" s="78">
        <v>45817</v>
      </c>
      <c r="E1022" s="79" t="s">
        <v>314</v>
      </c>
      <c r="F1022" s="77" t="s">
        <v>877</v>
      </c>
      <c r="G1022" s="77"/>
    </row>
    <row r="1023" spans="1:7" x14ac:dyDescent="0.35">
      <c r="A1023" s="77" t="s">
        <v>787</v>
      </c>
      <c r="B1023" s="77" t="s">
        <v>1025</v>
      </c>
      <c r="C1023" s="77" t="s">
        <v>1026</v>
      </c>
      <c r="D1023" s="78">
        <v>45817</v>
      </c>
      <c r="E1023" s="79" t="s">
        <v>314</v>
      </c>
      <c r="F1023" s="77" t="s">
        <v>1080</v>
      </c>
      <c r="G1023" s="77"/>
    </row>
    <row r="1024" spans="1:7" x14ac:dyDescent="0.35">
      <c r="A1024" s="77" t="s">
        <v>912</v>
      </c>
      <c r="B1024" s="77" t="s">
        <v>1025</v>
      </c>
      <c r="C1024" s="77" t="s">
        <v>1026</v>
      </c>
      <c r="D1024" s="78">
        <v>45817</v>
      </c>
      <c r="E1024" s="79" t="s">
        <v>314</v>
      </c>
      <c r="F1024" s="77" t="s">
        <v>1080</v>
      </c>
      <c r="G1024" s="77"/>
    </row>
    <row r="1025" spans="1:7" x14ac:dyDescent="0.35">
      <c r="A1025" s="77" t="s">
        <v>800</v>
      </c>
      <c r="B1025" s="77" t="s">
        <v>1025</v>
      </c>
      <c r="C1025" s="77" t="s">
        <v>1026</v>
      </c>
      <c r="D1025" s="78">
        <v>45817</v>
      </c>
      <c r="E1025" s="79" t="s">
        <v>314</v>
      </c>
      <c r="F1025" s="77" t="s">
        <v>1080</v>
      </c>
      <c r="G1025" s="77"/>
    </row>
    <row r="1026" spans="1:7" x14ac:dyDescent="0.35">
      <c r="A1026" s="77" t="s">
        <v>767</v>
      </c>
      <c r="B1026" s="77" t="s">
        <v>1025</v>
      </c>
      <c r="C1026" s="77" t="s">
        <v>1026</v>
      </c>
      <c r="D1026" s="78">
        <v>45818</v>
      </c>
      <c r="E1026" s="79" t="s">
        <v>314</v>
      </c>
      <c r="F1026" s="77" t="s">
        <v>1080</v>
      </c>
      <c r="G1026" s="77"/>
    </row>
    <row r="1027" spans="1:7" x14ac:dyDescent="0.35">
      <c r="A1027" s="77" t="s">
        <v>749</v>
      </c>
      <c r="B1027" s="77" t="s">
        <v>1025</v>
      </c>
      <c r="C1027" s="77" t="s">
        <v>1026</v>
      </c>
      <c r="D1027" s="78">
        <v>45818</v>
      </c>
      <c r="E1027" s="79" t="s">
        <v>314</v>
      </c>
      <c r="F1027" s="77" t="s">
        <v>1080</v>
      </c>
      <c r="G1027" s="77"/>
    </row>
    <row r="1028" spans="1:7" x14ac:dyDescent="0.35">
      <c r="A1028" s="77" t="s">
        <v>925</v>
      </c>
      <c r="B1028" s="77" t="s">
        <v>1025</v>
      </c>
      <c r="C1028" s="77" t="s">
        <v>1026</v>
      </c>
      <c r="D1028" s="78">
        <v>45818</v>
      </c>
      <c r="E1028" s="79" t="s">
        <v>314</v>
      </c>
      <c r="F1028" s="77" t="s">
        <v>1080</v>
      </c>
      <c r="G1028" s="77"/>
    </row>
    <row r="1029" spans="1:7" x14ac:dyDescent="0.35">
      <c r="A1029" s="77" t="s">
        <v>932</v>
      </c>
      <c r="B1029" s="77" t="s">
        <v>1025</v>
      </c>
      <c r="C1029" s="77" t="s">
        <v>1026</v>
      </c>
      <c r="D1029" s="78">
        <v>45819</v>
      </c>
      <c r="E1029" s="79" t="s">
        <v>314</v>
      </c>
      <c r="F1029" s="77" t="s">
        <v>1080</v>
      </c>
      <c r="G1029" s="77"/>
    </row>
    <row r="1030" spans="1:7" x14ac:dyDescent="0.35">
      <c r="A1030" s="77" t="s">
        <v>934</v>
      </c>
      <c r="B1030" s="77" t="s">
        <v>1025</v>
      </c>
      <c r="C1030" s="77" t="s">
        <v>1026</v>
      </c>
      <c r="D1030" s="78">
        <v>45819</v>
      </c>
      <c r="E1030" s="79" t="s">
        <v>314</v>
      </c>
      <c r="F1030" s="77" t="s">
        <v>1080</v>
      </c>
      <c r="G1030" s="77"/>
    </row>
    <row r="1031" spans="1:7" x14ac:dyDescent="0.35">
      <c r="A1031" s="7" t="s">
        <v>767</v>
      </c>
      <c r="B1031" s="7" t="s">
        <v>908</v>
      </c>
      <c r="C1031" s="7" t="s">
        <v>374</v>
      </c>
      <c r="D1031" s="10">
        <v>45820</v>
      </c>
      <c r="E1031" s="11" t="s">
        <v>314</v>
      </c>
      <c r="F1031" s="7" t="s">
        <v>872</v>
      </c>
      <c r="G1031" s="7" t="s">
        <v>891</v>
      </c>
    </row>
    <row r="1032" spans="1:7" x14ac:dyDescent="0.35">
      <c r="A1032" s="7" t="s">
        <v>767</v>
      </c>
      <c r="B1032" s="7" t="s">
        <v>896</v>
      </c>
      <c r="C1032" s="7" t="s">
        <v>897</v>
      </c>
      <c r="D1032" s="10">
        <v>45820</v>
      </c>
      <c r="E1032" s="11" t="s">
        <v>314</v>
      </c>
      <c r="F1032" s="7" t="s">
        <v>19</v>
      </c>
      <c r="G1032" s="7"/>
    </row>
    <row r="1033" spans="1:7" x14ac:dyDescent="0.35">
      <c r="A1033" s="7" t="s">
        <v>729</v>
      </c>
      <c r="B1033" s="7" t="s">
        <v>896</v>
      </c>
      <c r="C1033" s="7" t="s">
        <v>897</v>
      </c>
      <c r="D1033" s="10">
        <v>45820</v>
      </c>
      <c r="E1033" s="11" t="s">
        <v>314</v>
      </c>
      <c r="F1033" s="7" t="s">
        <v>877</v>
      </c>
      <c r="G1033" s="7"/>
    </row>
    <row r="1034" spans="1:7" x14ac:dyDescent="0.35">
      <c r="A1034" s="7" t="s">
        <v>811</v>
      </c>
      <c r="B1034" s="7" t="s">
        <v>896</v>
      </c>
      <c r="C1034" s="7" t="s">
        <v>897</v>
      </c>
      <c r="D1034" s="10">
        <v>45820</v>
      </c>
      <c r="E1034" s="11" t="s">
        <v>314</v>
      </c>
      <c r="F1034" s="7" t="s">
        <v>871</v>
      </c>
      <c r="G1034" s="7" t="s">
        <v>891</v>
      </c>
    </row>
    <row r="1035" spans="1:7" x14ac:dyDescent="0.35">
      <c r="A1035" s="7" t="s">
        <v>749</v>
      </c>
      <c r="B1035" s="7" t="s">
        <v>896</v>
      </c>
      <c r="C1035" s="7" t="s">
        <v>897</v>
      </c>
      <c r="D1035" s="10">
        <v>45820</v>
      </c>
      <c r="E1035" s="11" t="s">
        <v>314</v>
      </c>
      <c r="F1035" s="7" t="s">
        <v>877</v>
      </c>
      <c r="G1035" s="7"/>
    </row>
    <row r="1036" spans="1:7" x14ac:dyDescent="0.35">
      <c r="A1036" s="7" t="s">
        <v>925</v>
      </c>
      <c r="B1036" s="7" t="s">
        <v>896</v>
      </c>
      <c r="C1036" s="7" t="s">
        <v>897</v>
      </c>
      <c r="D1036" s="10">
        <v>45820</v>
      </c>
      <c r="E1036" s="11" t="s">
        <v>314</v>
      </c>
      <c r="F1036" s="7" t="s">
        <v>19</v>
      </c>
      <c r="G1036" s="7"/>
    </row>
    <row r="1037" spans="1:7" x14ac:dyDescent="0.35">
      <c r="A1037" s="7" t="s">
        <v>925</v>
      </c>
      <c r="B1037" s="7" t="s">
        <v>908</v>
      </c>
      <c r="C1037" s="7" t="s">
        <v>374</v>
      </c>
      <c r="D1037" s="10">
        <v>45820</v>
      </c>
      <c r="E1037" s="11" t="s">
        <v>314</v>
      </c>
      <c r="F1037" s="7" t="s">
        <v>872</v>
      </c>
      <c r="G1037" s="7" t="s">
        <v>891</v>
      </c>
    </row>
    <row r="1038" spans="1:7" x14ac:dyDescent="0.35">
      <c r="A1038" s="7" t="s">
        <v>824</v>
      </c>
      <c r="B1038" s="7" t="s">
        <v>908</v>
      </c>
      <c r="C1038" s="7" t="s">
        <v>374</v>
      </c>
      <c r="D1038" s="10">
        <v>45820</v>
      </c>
      <c r="E1038" s="11" t="s">
        <v>314</v>
      </c>
      <c r="F1038" s="7" t="s">
        <v>872</v>
      </c>
      <c r="G1038" s="7" t="s">
        <v>891</v>
      </c>
    </row>
    <row r="1039" spans="1:7" x14ac:dyDescent="0.35">
      <c r="A1039" s="7" t="s">
        <v>794</v>
      </c>
      <c r="B1039" s="7" t="s">
        <v>896</v>
      </c>
      <c r="C1039" s="7" t="s">
        <v>897</v>
      </c>
      <c r="D1039" s="10">
        <v>45820</v>
      </c>
      <c r="E1039" s="11" t="s">
        <v>314</v>
      </c>
      <c r="F1039" s="7" t="s">
        <v>877</v>
      </c>
      <c r="G1039" s="7"/>
    </row>
    <row r="1040" spans="1:7" x14ac:dyDescent="0.35">
      <c r="A1040" s="77" t="s">
        <v>362</v>
      </c>
      <c r="B1040" s="77" t="s">
        <v>1025</v>
      </c>
      <c r="C1040" s="77" t="s">
        <v>1026</v>
      </c>
      <c r="D1040" s="78">
        <v>45820</v>
      </c>
      <c r="E1040" s="79" t="s">
        <v>314</v>
      </c>
      <c r="F1040" s="77" t="s">
        <v>1080</v>
      </c>
      <c r="G1040" s="77"/>
    </row>
    <row r="1041" spans="1:7" x14ac:dyDescent="0.35">
      <c r="A1041" s="77" t="s">
        <v>918</v>
      </c>
      <c r="B1041" s="77" t="s">
        <v>1025</v>
      </c>
      <c r="C1041" s="77" t="s">
        <v>1026</v>
      </c>
      <c r="D1041" s="78">
        <v>45820</v>
      </c>
      <c r="E1041" s="79" t="s">
        <v>314</v>
      </c>
      <c r="F1041" s="77" t="s">
        <v>1080</v>
      </c>
      <c r="G1041" s="77"/>
    </row>
    <row r="1042" spans="1:7" x14ac:dyDescent="0.35">
      <c r="A1042" s="77" t="s">
        <v>930</v>
      </c>
      <c r="B1042" s="77" t="s">
        <v>1025</v>
      </c>
      <c r="C1042" s="77" t="s">
        <v>1026</v>
      </c>
      <c r="D1042" s="78">
        <v>45820</v>
      </c>
      <c r="E1042" s="79" t="s">
        <v>314</v>
      </c>
      <c r="F1042" s="77" t="s">
        <v>1080</v>
      </c>
      <c r="G1042" s="77"/>
    </row>
    <row r="1043" spans="1:7" x14ac:dyDescent="0.35">
      <c r="A1043" s="77" t="s">
        <v>829</v>
      </c>
      <c r="B1043" s="77" t="s">
        <v>1025</v>
      </c>
      <c r="C1043" s="77" t="s">
        <v>1026</v>
      </c>
      <c r="D1043" s="78">
        <v>45820</v>
      </c>
      <c r="E1043" s="79" t="s">
        <v>314</v>
      </c>
      <c r="F1043" s="77" t="s">
        <v>1080</v>
      </c>
      <c r="G1043" s="77"/>
    </row>
    <row r="1044" spans="1:7" x14ac:dyDescent="0.35">
      <c r="A1044" s="7" t="s">
        <v>423</v>
      </c>
      <c r="B1044" s="7" t="s">
        <v>1025</v>
      </c>
      <c r="C1044" s="77" t="s">
        <v>1026</v>
      </c>
      <c r="D1044" s="10">
        <v>45821</v>
      </c>
      <c r="E1044" s="11" t="s">
        <v>314</v>
      </c>
      <c r="F1044" s="7" t="s">
        <v>871</v>
      </c>
      <c r="G1044" s="7" t="s">
        <v>891</v>
      </c>
    </row>
    <row r="1045" spans="1:7" x14ac:dyDescent="0.35">
      <c r="A1045" s="7" t="s">
        <v>918</v>
      </c>
      <c r="B1045" s="7" t="s">
        <v>1025</v>
      </c>
      <c r="C1045" s="77" t="s">
        <v>1026</v>
      </c>
      <c r="D1045" s="10">
        <v>45821</v>
      </c>
      <c r="E1045" s="11" t="s">
        <v>314</v>
      </c>
      <c r="F1045" s="7" t="s">
        <v>871</v>
      </c>
      <c r="G1045" s="7" t="s">
        <v>891</v>
      </c>
    </row>
    <row r="1046" spans="1:7" x14ac:dyDescent="0.35">
      <c r="A1046" s="7" t="s">
        <v>823</v>
      </c>
      <c r="B1046" s="7" t="s">
        <v>908</v>
      </c>
      <c r="C1046" s="7" t="s">
        <v>374</v>
      </c>
      <c r="D1046" s="10">
        <v>45821</v>
      </c>
      <c r="E1046" s="11" t="s">
        <v>314</v>
      </c>
      <c r="F1046" s="7" t="s">
        <v>872</v>
      </c>
      <c r="G1046" s="7" t="s">
        <v>891</v>
      </c>
    </row>
    <row r="1047" spans="1:7" x14ac:dyDescent="0.35">
      <c r="A1047" s="77" t="s">
        <v>917</v>
      </c>
      <c r="B1047" s="83" t="s">
        <v>1025</v>
      </c>
      <c r="C1047" s="77" t="s">
        <v>1026</v>
      </c>
      <c r="D1047" s="84">
        <v>45821</v>
      </c>
      <c r="E1047" s="85" t="s">
        <v>314</v>
      </c>
      <c r="F1047" s="83" t="s">
        <v>871</v>
      </c>
      <c r="G1047" s="83" t="s">
        <v>891</v>
      </c>
    </row>
    <row r="1048" spans="1:7" x14ac:dyDescent="0.35">
      <c r="A1048" s="77" t="s">
        <v>718</v>
      </c>
      <c r="B1048" s="77" t="s">
        <v>896</v>
      </c>
      <c r="C1048" s="77" t="s">
        <v>897</v>
      </c>
      <c r="D1048" s="78">
        <v>45821</v>
      </c>
      <c r="E1048" s="79" t="s">
        <v>314</v>
      </c>
      <c r="F1048" s="77" t="s">
        <v>877</v>
      </c>
      <c r="G1048" s="77"/>
    </row>
    <row r="1049" spans="1:7" x14ac:dyDescent="0.35">
      <c r="A1049" s="77" t="s">
        <v>747</v>
      </c>
      <c r="B1049" s="77" t="s">
        <v>896</v>
      </c>
      <c r="C1049" s="77" t="s">
        <v>897</v>
      </c>
      <c r="D1049" s="78">
        <v>45821</v>
      </c>
      <c r="E1049" s="79" t="s">
        <v>314</v>
      </c>
      <c r="F1049" s="77" t="s">
        <v>877</v>
      </c>
      <c r="G1049" s="77"/>
    </row>
    <row r="1050" spans="1:7" x14ac:dyDescent="0.35">
      <c r="A1050" s="77" t="s">
        <v>829</v>
      </c>
      <c r="B1050" s="77" t="s">
        <v>896</v>
      </c>
      <c r="C1050" s="77" t="s">
        <v>897</v>
      </c>
      <c r="D1050" s="78">
        <v>45821</v>
      </c>
      <c r="E1050" s="79" t="s">
        <v>314</v>
      </c>
      <c r="F1050" s="77" t="s">
        <v>873</v>
      </c>
      <c r="G1050" s="77" t="s">
        <v>891</v>
      </c>
    </row>
    <row r="1051" spans="1:7" x14ac:dyDescent="0.35">
      <c r="A1051" s="77" t="s">
        <v>423</v>
      </c>
      <c r="B1051" s="77" t="s">
        <v>1025</v>
      </c>
      <c r="C1051" s="77" t="s">
        <v>1026</v>
      </c>
      <c r="D1051" s="78">
        <v>45821</v>
      </c>
      <c r="E1051" s="79" t="s">
        <v>314</v>
      </c>
      <c r="F1051" s="77" t="s">
        <v>1080</v>
      </c>
      <c r="G1051" s="77"/>
    </row>
    <row r="1052" spans="1:7" x14ac:dyDescent="0.35">
      <c r="A1052" s="77" t="s">
        <v>747</v>
      </c>
      <c r="B1052" s="77" t="s">
        <v>1025</v>
      </c>
      <c r="C1052" s="77" t="s">
        <v>1026</v>
      </c>
      <c r="D1052" s="78">
        <v>45821</v>
      </c>
      <c r="E1052" s="79" t="s">
        <v>314</v>
      </c>
      <c r="F1052" s="77" t="s">
        <v>1080</v>
      </c>
      <c r="G1052" s="77"/>
    </row>
    <row r="1053" spans="1:7" x14ac:dyDescent="0.35">
      <c r="A1053" s="7" t="s">
        <v>786</v>
      </c>
      <c r="B1053" s="7" t="s">
        <v>896</v>
      </c>
      <c r="C1053" s="7" t="s">
        <v>897</v>
      </c>
      <c r="D1053" s="10">
        <v>45824</v>
      </c>
      <c r="E1053" s="11" t="s">
        <v>314</v>
      </c>
      <c r="F1053" s="7" t="s">
        <v>877</v>
      </c>
      <c r="G1053" s="7"/>
    </row>
    <row r="1054" spans="1:7" x14ac:dyDescent="0.35">
      <c r="A1054" s="7" t="s">
        <v>675</v>
      </c>
      <c r="B1054" s="7" t="s">
        <v>896</v>
      </c>
      <c r="C1054" s="7" t="s">
        <v>897</v>
      </c>
      <c r="D1054" s="10">
        <v>45824</v>
      </c>
      <c r="E1054" s="11" t="s">
        <v>314</v>
      </c>
      <c r="F1054" s="7" t="s">
        <v>27</v>
      </c>
      <c r="G1054" s="7"/>
    </row>
    <row r="1055" spans="1:7" x14ac:dyDescent="0.35">
      <c r="A1055" s="7" t="s">
        <v>231</v>
      </c>
      <c r="B1055" s="7" t="s">
        <v>896</v>
      </c>
      <c r="C1055" s="7" t="s">
        <v>897</v>
      </c>
      <c r="D1055" s="10">
        <v>45824</v>
      </c>
      <c r="E1055" s="11" t="s">
        <v>314</v>
      </c>
      <c r="F1055" s="7" t="s">
        <v>27</v>
      </c>
      <c r="G1055" s="7"/>
    </row>
    <row r="1056" spans="1:7" x14ac:dyDescent="0.35">
      <c r="A1056" s="7" t="s">
        <v>327</v>
      </c>
      <c r="B1056" s="7" t="s">
        <v>896</v>
      </c>
      <c r="C1056" s="7" t="s">
        <v>897</v>
      </c>
      <c r="D1056" s="10">
        <v>45824</v>
      </c>
      <c r="E1056" s="11" t="s">
        <v>314</v>
      </c>
      <c r="F1056" s="7" t="s">
        <v>27</v>
      </c>
      <c r="G1056" s="7"/>
    </row>
    <row r="1057" spans="1:7" x14ac:dyDescent="0.35">
      <c r="A1057" s="77" t="s">
        <v>786</v>
      </c>
      <c r="B1057" s="77" t="s">
        <v>1025</v>
      </c>
      <c r="C1057" s="77" t="s">
        <v>1026</v>
      </c>
      <c r="D1057" s="78">
        <v>45824</v>
      </c>
      <c r="E1057" s="79" t="s">
        <v>314</v>
      </c>
      <c r="F1057" s="77" t="s">
        <v>1080</v>
      </c>
      <c r="G1057" s="77"/>
    </row>
    <row r="1058" spans="1:7" x14ac:dyDescent="0.35">
      <c r="A1058" s="77" t="s">
        <v>675</v>
      </c>
      <c r="B1058" s="77" t="s">
        <v>1025</v>
      </c>
      <c r="C1058" s="77" t="s">
        <v>1026</v>
      </c>
      <c r="D1058" s="78">
        <v>45824</v>
      </c>
      <c r="E1058" s="79" t="s">
        <v>314</v>
      </c>
      <c r="F1058" s="77" t="s">
        <v>1080</v>
      </c>
      <c r="G1058" s="77"/>
    </row>
    <row r="1059" spans="1:7" x14ac:dyDescent="0.35">
      <c r="A1059" s="77" t="s">
        <v>931</v>
      </c>
      <c r="B1059" s="77" t="s">
        <v>1025</v>
      </c>
      <c r="C1059" s="77" t="s">
        <v>1026</v>
      </c>
      <c r="D1059" s="78">
        <v>45824</v>
      </c>
      <c r="E1059" s="79" t="s">
        <v>314</v>
      </c>
      <c r="F1059" s="77" t="s">
        <v>1080</v>
      </c>
      <c r="G1059" s="77"/>
    </row>
    <row r="1060" spans="1:7" x14ac:dyDescent="0.35">
      <c r="A1060" s="77" t="s">
        <v>231</v>
      </c>
      <c r="B1060" s="77" t="s">
        <v>1025</v>
      </c>
      <c r="C1060" s="77" t="s">
        <v>1026</v>
      </c>
      <c r="D1060" s="78">
        <v>45824</v>
      </c>
      <c r="E1060" s="79" t="s">
        <v>314</v>
      </c>
      <c r="F1060" s="77" t="s">
        <v>1080</v>
      </c>
      <c r="G1060" s="77"/>
    </row>
    <row r="1061" spans="1:7" x14ac:dyDescent="0.35">
      <c r="A1061" s="7" t="s">
        <v>916</v>
      </c>
      <c r="B1061" s="7" t="s">
        <v>896</v>
      </c>
      <c r="C1061" s="7" t="s">
        <v>897</v>
      </c>
      <c r="D1061" s="10">
        <v>45825</v>
      </c>
      <c r="E1061" s="11" t="s">
        <v>314</v>
      </c>
      <c r="F1061" s="7" t="s">
        <v>19</v>
      </c>
      <c r="G1061" s="7"/>
    </row>
    <row r="1062" spans="1:7" x14ac:dyDescent="0.35">
      <c r="A1062" s="77" t="s">
        <v>916</v>
      </c>
      <c r="B1062" s="77" t="s">
        <v>1025</v>
      </c>
      <c r="C1062" s="77" t="s">
        <v>1026</v>
      </c>
      <c r="D1062" s="78">
        <v>45825</v>
      </c>
      <c r="E1062" s="79" t="s">
        <v>314</v>
      </c>
      <c r="F1062" s="77" t="s">
        <v>1080</v>
      </c>
      <c r="G1062" s="77"/>
    </row>
    <row r="1063" spans="1:7" x14ac:dyDescent="0.35">
      <c r="A1063" s="77" t="s">
        <v>933</v>
      </c>
      <c r="B1063" s="77" t="s">
        <v>1025</v>
      </c>
      <c r="C1063" s="77" t="s">
        <v>1026</v>
      </c>
      <c r="D1063" s="78">
        <v>45825</v>
      </c>
      <c r="E1063" s="79" t="s">
        <v>314</v>
      </c>
      <c r="F1063" s="77" t="s">
        <v>1080</v>
      </c>
      <c r="G1063" s="77"/>
    </row>
    <row r="1064" spans="1:7" x14ac:dyDescent="0.35">
      <c r="A1064" s="77" t="s">
        <v>839</v>
      </c>
      <c r="B1064" s="77" t="s">
        <v>1025</v>
      </c>
      <c r="C1064" s="77" t="s">
        <v>1026</v>
      </c>
      <c r="D1064" s="78">
        <v>45825</v>
      </c>
      <c r="E1064" s="79" t="s">
        <v>314</v>
      </c>
      <c r="F1064" s="77" t="s">
        <v>1080</v>
      </c>
      <c r="G1064" s="77"/>
    </row>
    <row r="1065" spans="1:7" x14ac:dyDescent="0.35">
      <c r="A1065" s="77" t="s">
        <v>327</v>
      </c>
      <c r="B1065" s="77" t="s">
        <v>1025</v>
      </c>
      <c r="C1065" s="77" t="s">
        <v>1026</v>
      </c>
      <c r="D1065" s="78">
        <v>45825</v>
      </c>
      <c r="E1065" s="79" t="s">
        <v>314</v>
      </c>
      <c r="F1065" s="77" t="s">
        <v>1080</v>
      </c>
      <c r="G1065" s="77"/>
    </row>
    <row r="1066" spans="1:7" x14ac:dyDescent="0.35">
      <c r="A1066" s="7" t="s">
        <v>934</v>
      </c>
      <c r="B1066" s="7" t="s">
        <v>1025</v>
      </c>
      <c r="C1066" s="77" t="s">
        <v>1026</v>
      </c>
      <c r="D1066" s="10">
        <v>45826</v>
      </c>
      <c r="E1066" s="11" t="s">
        <v>314</v>
      </c>
      <c r="F1066" s="7" t="s">
        <v>867</v>
      </c>
      <c r="G1066" s="7"/>
    </row>
    <row r="1067" spans="1:7" x14ac:dyDescent="0.35">
      <c r="A1067" s="7" t="s">
        <v>741</v>
      </c>
      <c r="B1067" s="7" t="s">
        <v>1025</v>
      </c>
      <c r="C1067" s="77" t="s">
        <v>1026</v>
      </c>
      <c r="D1067" s="10">
        <v>45826</v>
      </c>
      <c r="E1067" s="11" t="s">
        <v>314</v>
      </c>
      <c r="F1067" s="7" t="s">
        <v>867</v>
      </c>
      <c r="G1067" s="7"/>
    </row>
    <row r="1068" spans="1:7" x14ac:dyDescent="0.35">
      <c r="A1068" s="7" t="s">
        <v>948</v>
      </c>
      <c r="B1068" s="7" t="s">
        <v>1025</v>
      </c>
      <c r="C1068" s="77" t="s">
        <v>1026</v>
      </c>
      <c r="D1068" s="10">
        <v>45826</v>
      </c>
      <c r="E1068" s="11" t="s">
        <v>314</v>
      </c>
      <c r="F1068" s="7" t="s">
        <v>871</v>
      </c>
      <c r="G1068" s="7" t="s">
        <v>891</v>
      </c>
    </row>
    <row r="1069" spans="1:7" x14ac:dyDescent="0.35">
      <c r="A1069" s="7" t="s">
        <v>835</v>
      </c>
      <c r="B1069" s="7" t="s">
        <v>896</v>
      </c>
      <c r="C1069" s="7" t="s">
        <v>897</v>
      </c>
      <c r="D1069" s="10">
        <v>45826</v>
      </c>
      <c r="E1069" s="11" t="s">
        <v>314</v>
      </c>
      <c r="F1069" s="7" t="s">
        <v>19</v>
      </c>
      <c r="G1069" s="7"/>
    </row>
    <row r="1070" spans="1:7" x14ac:dyDescent="0.35">
      <c r="A1070" s="7" t="s">
        <v>946</v>
      </c>
      <c r="B1070" s="7" t="s">
        <v>1025</v>
      </c>
      <c r="C1070" s="77" t="s">
        <v>1026</v>
      </c>
      <c r="D1070" s="10">
        <v>45826</v>
      </c>
      <c r="E1070" s="11" t="s">
        <v>314</v>
      </c>
      <c r="F1070" s="7" t="s">
        <v>871</v>
      </c>
      <c r="G1070" s="7" t="s">
        <v>891</v>
      </c>
    </row>
    <row r="1071" spans="1:7" x14ac:dyDescent="0.35">
      <c r="A1071" s="7" t="s">
        <v>946</v>
      </c>
      <c r="B1071" s="7" t="s">
        <v>1025</v>
      </c>
      <c r="C1071" s="77" t="s">
        <v>1026</v>
      </c>
      <c r="D1071" s="10">
        <v>45826</v>
      </c>
      <c r="E1071" s="11" t="s">
        <v>314</v>
      </c>
      <c r="F1071" s="7" t="s">
        <v>894</v>
      </c>
      <c r="G1071" s="7" t="s">
        <v>15</v>
      </c>
    </row>
    <row r="1072" spans="1:7" x14ac:dyDescent="0.35">
      <c r="A1072" s="7" t="s">
        <v>839</v>
      </c>
      <c r="B1072" s="7" t="s">
        <v>1025</v>
      </c>
      <c r="C1072" s="77" t="s">
        <v>1026</v>
      </c>
      <c r="D1072" s="10">
        <v>45826</v>
      </c>
      <c r="E1072" s="11" t="s">
        <v>314</v>
      </c>
      <c r="F1072" s="7" t="s">
        <v>871</v>
      </c>
      <c r="G1072" s="7" t="s">
        <v>891</v>
      </c>
    </row>
    <row r="1073" spans="1:7" x14ac:dyDescent="0.35">
      <c r="A1073" s="7" t="s">
        <v>839</v>
      </c>
      <c r="B1073" s="7" t="s">
        <v>896</v>
      </c>
      <c r="C1073" s="7" t="s">
        <v>897</v>
      </c>
      <c r="D1073" s="10">
        <v>45826</v>
      </c>
      <c r="E1073" s="11" t="s">
        <v>314</v>
      </c>
      <c r="F1073" s="7" t="s">
        <v>19</v>
      </c>
      <c r="G1073" s="7"/>
    </row>
    <row r="1074" spans="1:7" x14ac:dyDescent="0.35">
      <c r="A1074" s="7" t="s">
        <v>838</v>
      </c>
      <c r="B1074" s="7" t="s">
        <v>908</v>
      </c>
      <c r="C1074" s="7" t="s">
        <v>374</v>
      </c>
      <c r="D1074" s="10">
        <v>45826</v>
      </c>
      <c r="E1074" s="11" t="s">
        <v>314</v>
      </c>
      <c r="F1074" s="7" t="s">
        <v>872</v>
      </c>
      <c r="G1074" s="7" t="s">
        <v>891</v>
      </c>
    </row>
    <row r="1075" spans="1:7" x14ac:dyDescent="0.35">
      <c r="A1075" s="77" t="s">
        <v>938</v>
      </c>
      <c r="B1075" s="77" t="s">
        <v>1025</v>
      </c>
      <c r="C1075" s="77" t="s">
        <v>1026</v>
      </c>
      <c r="D1075" s="78">
        <v>45826</v>
      </c>
      <c r="E1075" s="79" t="s">
        <v>314</v>
      </c>
      <c r="F1075" s="77" t="s">
        <v>1080</v>
      </c>
      <c r="G1075" s="77"/>
    </row>
    <row r="1076" spans="1:7" x14ac:dyDescent="0.35">
      <c r="A1076" s="77" t="s">
        <v>948</v>
      </c>
      <c r="B1076" s="77" t="s">
        <v>1025</v>
      </c>
      <c r="C1076" s="77" t="s">
        <v>1026</v>
      </c>
      <c r="D1076" s="78">
        <v>45826</v>
      </c>
      <c r="E1076" s="79" t="s">
        <v>314</v>
      </c>
      <c r="F1076" s="77" t="s">
        <v>1080</v>
      </c>
      <c r="G1076" s="77"/>
    </row>
    <row r="1077" spans="1:7" x14ac:dyDescent="0.35">
      <c r="A1077" s="77" t="s">
        <v>946</v>
      </c>
      <c r="B1077" s="77" t="s">
        <v>1025</v>
      </c>
      <c r="C1077" s="77" t="s">
        <v>1026</v>
      </c>
      <c r="D1077" s="78">
        <v>45826</v>
      </c>
      <c r="E1077" s="79" t="s">
        <v>314</v>
      </c>
      <c r="F1077" s="77" t="s">
        <v>1080</v>
      </c>
      <c r="G1077" s="77"/>
    </row>
    <row r="1078" spans="1:7" x14ac:dyDescent="0.35">
      <c r="A1078" s="77" t="s">
        <v>772</v>
      </c>
      <c r="B1078" s="77" t="s">
        <v>1025</v>
      </c>
      <c r="C1078" s="77" t="s">
        <v>1026</v>
      </c>
      <c r="D1078" s="78">
        <v>45826</v>
      </c>
      <c r="E1078" s="79" t="s">
        <v>314</v>
      </c>
      <c r="F1078" s="77" t="s">
        <v>1080</v>
      </c>
      <c r="G1078" s="77"/>
    </row>
    <row r="1079" spans="1:7" x14ac:dyDescent="0.35">
      <c r="A1079" s="77" t="s">
        <v>941</v>
      </c>
      <c r="B1079" s="77" t="s">
        <v>1025</v>
      </c>
      <c r="C1079" s="77" t="s">
        <v>1026</v>
      </c>
      <c r="D1079" s="78">
        <v>45827</v>
      </c>
      <c r="E1079" s="79" t="s">
        <v>314</v>
      </c>
      <c r="F1079" s="77" t="s">
        <v>1080</v>
      </c>
      <c r="G1079" s="77"/>
    </row>
    <row r="1080" spans="1:7" x14ac:dyDescent="0.35">
      <c r="A1080" s="77" t="s">
        <v>639</v>
      </c>
      <c r="B1080" s="77" t="s">
        <v>1025</v>
      </c>
      <c r="C1080" s="77" t="s">
        <v>1026</v>
      </c>
      <c r="D1080" s="78">
        <v>45827</v>
      </c>
      <c r="E1080" s="79" t="s">
        <v>314</v>
      </c>
      <c r="F1080" s="77" t="s">
        <v>1080</v>
      </c>
      <c r="G1080" s="77"/>
    </row>
    <row r="1081" spans="1:7" x14ac:dyDescent="0.35">
      <c r="A1081" s="77" t="s">
        <v>724</v>
      </c>
      <c r="B1081" s="77" t="s">
        <v>1025</v>
      </c>
      <c r="C1081" s="77" t="s">
        <v>1026</v>
      </c>
      <c r="D1081" s="78">
        <v>45827</v>
      </c>
      <c r="E1081" s="79" t="s">
        <v>314</v>
      </c>
      <c r="F1081" s="77" t="s">
        <v>1080</v>
      </c>
      <c r="G1081" s="77"/>
    </row>
    <row r="1082" spans="1:7" x14ac:dyDescent="0.35">
      <c r="A1082" s="77" t="s">
        <v>936</v>
      </c>
      <c r="B1082" s="77" t="s">
        <v>1025</v>
      </c>
      <c r="C1082" s="77" t="s">
        <v>1026</v>
      </c>
      <c r="D1082" s="78">
        <v>45827</v>
      </c>
      <c r="E1082" s="79" t="s">
        <v>314</v>
      </c>
      <c r="F1082" s="77" t="s">
        <v>1080</v>
      </c>
      <c r="G1082" s="77"/>
    </row>
    <row r="1083" spans="1:7" x14ac:dyDescent="0.35">
      <c r="A1083" s="7" t="s">
        <v>944</v>
      </c>
      <c r="B1083" s="7" t="s">
        <v>1025</v>
      </c>
      <c r="C1083" s="77" t="s">
        <v>1026</v>
      </c>
      <c r="D1083" s="10">
        <v>45828</v>
      </c>
      <c r="E1083" s="11" t="s">
        <v>314</v>
      </c>
      <c r="F1083" s="7" t="s">
        <v>867</v>
      </c>
      <c r="G1083" s="7"/>
    </row>
    <row r="1084" spans="1:7" x14ac:dyDescent="0.35">
      <c r="A1084" s="7" t="s">
        <v>941</v>
      </c>
      <c r="B1084" s="7" t="s">
        <v>1025</v>
      </c>
      <c r="C1084" s="77" t="s">
        <v>1026</v>
      </c>
      <c r="D1084" s="10">
        <v>45828</v>
      </c>
      <c r="E1084" s="11" t="s">
        <v>314</v>
      </c>
      <c r="F1084" s="7" t="s">
        <v>867</v>
      </c>
      <c r="G1084" s="7"/>
    </row>
    <row r="1085" spans="1:7" x14ac:dyDescent="0.35">
      <c r="A1085" s="7" t="s">
        <v>932</v>
      </c>
      <c r="B1085" s="7" t="s">
        <v>1025</v>
      </c>
      <c r="C1085" s="77" t="s">
        <v>1026</v>
      </c>
      <c r="D1085" s="10">
        <v>45828</v>
      </c>
      <c r="E1085" s="11" t="s">
        <v>314</v>
      </c>
      <c r="F1085" s="7" t="s">
        <v>867</v>
      </c>
      <c r="G1085" s="7"/>
    </row>
    <row r="1086" spans="1:7" x14ac:dyDescent="0.35">
      <c r="A1086" s="7" t="s">
        <v>246</v>
      </c>
      <c r="B1086" s="7" t="s">
        <v>1025</v>
      </c>
      <c r="C1086" s="77" t="s">
        <v>1026</v>
      </c>
      <c r="D1086" s="10">
        <v>45828</v>
      </c>
      <c r="E1086" s="11" t="s">
        <v>314</v>
      </c>
      <c r="F1086" s="7" t="s">
        <v>877</v>
      </c>
      <c r="G1086" s="7"/>
    </row>
    <row r="1087" spans="1:7" x14ac:dyDescent="0.35">
      <c r="A1087" s="7" t="s">
        <v>362</v>
      </c>
      <c r="B1087" s="7" t="s">
        <v>1025</v>
      </c>
      <c r="C1087" s="77" t="s">
        <v>1026</v>
      </c>
      <c r="D1087" s="10">
        <v>45828</v>
      </c>
      <c r="E1087" s="11" t="s">
        <v>314</v>
      </c>
      <c r="F1087" s="7" t="s">
        <v>867</v>
      </c>
      <c r="G1087" s="7"/>
    </row>
    <row r="1088" spans="1:7" x14ac:dyDescent="0.35">
      <c r="A1088" s="7" t="s">
        <v>938</v>
      </c>
      <c r="B1088" s="7" t="s">
        <v>1025</v>
      </c>
      <c r="C1088" s="77" t="s">
        <v>1026</v>
      </c>
      <c r="D1088" s="10">
        <v>45828</v>
      </c>
      <c r="E1088" s="11" t="s">
        <v>314</v>
      </c>
      <c r="F1088" s="7" t="s">
        <v>867</v>
      </c>
      <c r="G1088" s="7"/>
    </row>
    <row r="1089" spans="1:7" x14ac:dyDescent="0.35">
      <c r="A1089" s="7" t="s">
        <v>676</v>
      </c>
      <c r="B1089" s="7" t="s">
        <v>896</v>
      </c>
      <c r="C1089" s="7" t="s">
        <v>897</v>
      </c>
      <c r="D1089" s="10">
        <v>45828</v>
      </c>
      <c r="E1089" s="11" t="s">
        <v>314</v>
      </c>
      <c r="F1089" s="7" t="s">
        <v>27</v>
      </c>
      <c r="G1089" s="7"/>
    </row>
    <row r="1090" spans="1:7" x14ac:dyDescent="0.35">
      <c r="A1090" s="7" t="s">
        <v>639</v>
      </c>
      <c r="B1090" s="7" t="s">
        <v>896</v>
      </c>
      <c r="C1090" s="7" t="s">
        <v>897</v>
      </c>
      <c r="D1090" s="10">
        <v>45828</v>
      </c>
      <c r="E1090" s="11" t="s">
        <v>314</v>
      </c>
      <c r="F1090" s="7" t="s">
        <v>27</v>
      </c>
      <c r="G1090" s="7"/>
    </row>
    <row r="1091" spans="1:7" x14ac:dyDescent="0.35">
      <c r="A1091" s="7" t="s">
        <v>645</v>
      </c>
      <c r="B1091" s="7" t="s">
        <v>896</v>
      </c>
      <c r="C1091" s="7" t="s">
        <v>897</v>
      </c>
      <c r="D1091" s="10">
        <v>45828</v>
      </c>
      <c r="E1091" s="11" t="s">
        <v>314</v>
      </c>
      <c r="F1091" s="7" t="s">
        <v>27</v>
      </c>
      <c r="G1091" s="7"/>
    </row>
    <row r="1092" spans="1:7" x14ac:dyDescent="0.35">
      <c r="A1092" s="7" t="s">
        <v>656</v>
      </c>
      <c r="B1092" s="7" t="s">
        <v>896</v>
      </c>
      <c r="C1092" s="7" t="s">
        <v>897</v>
      </c>
      <c r="D1092" s="10">
        <v>45828</v>
      </c>
      <c r="E1092" s="11" t="s">
        <v>314</v>
      </c>
      <c r="F1092" s="7" t="s">
        <v>27</v>
      </c>
      <c r="G1092" s="7"/>
    </row>
    <row r="1093" spans="1:7" x14ac:dyDescent="0.35">
      <c r="A1093" s="7" t="s">
        <v>724</v>
      </c>
      <c r="B1093" s="7" t="s">
        <v>896</v>
      </c>
      <c r="C1093" s="7" t="s">
        <v>897</v>
      </c>
      <c r="D1093" s="10">
        <v>45828</v>
      </c>
      <c r="E1093" s="11" t="s">
        <v>314</v>
      </c>
      <c r="F1093" s="7" t="s">
        <v>877</v>
      </c>
      <c r="G1093" s="7"/>
    </row>
    <row r="1094" spans="1:7" x14ac:dyDescent="0.35">
      <c r="A1094" s="7" t="s">
        <v>951</v>
      </c>
      <c r="B1094" s="7" t="s">
        <v>1025</v>
      </c>
      <c r="C1094" s="77" t="s">
        <v>1026</v>
      </c>
      <c r="D1094" s="10">
        <v>45828</v>
      </c>
      <c r="E1094" s="11" t="s">
        <v>314</v>
      </c>
      <c r="F1094" s="7" t="s">
        <v>871</v>
      </c>
      <c r="G1094" s="7" t="s">
        <v>891</v>
      </c>
    </row>
    <row r="1095" spans="1:7" x14ac:dyDescent="0.35">
      <c r="A1095" s="7" t="s">
        <v>951</v>
      </c>
      <c r="B1095" s="7" t="s">
        <v>1025</v>
      </c>
      <c r="C1095" s="77" t="s">
        <v>1026</v>
      </c>
      <c r="D1095" s="10">
        <v>45828</v>
      </c>
      <c r="E1095" s="11" t="s">
        <v>314</v>
      </c>
      <c r="F1095" s="7" t="s">
        <v>894</v>
      </c>
      <c r="G1095" s="7" t="s">
        <v>15</v>
      </c>
    </row>
    <row r="1096" spans="1:7" x14ac:dyDescent="0.35">
      <c r="A1096" s="7" t="s">
        <v>949</v>
      </c>
      <c r="B1096" s="7" t="s">
        <v>1025</v>
      </c>
      <c r="C1096" s="77" t="s">
        <v>1026</v>
      </c>
      <c r="D1096" s="10">
        <v>45828</v>
      </c>
      <c r="E1096" s="11" t="s">
        <v>314</v>
      </c>
      <c r="F1096" s="7" t="s">
        <v>871</v>
      </c>
      <c r="G1096" s="7" t="s">
        <v>891</v>
      </c>
    </row>
    <row r="1097" spans="1:7" x14ac:dyDescent="0.35">
      <c r="A1097" s="7" t="s">
        <v>949</v>
      </c>
      <c r="B1097" s="7" t="s">
        <v>1025</v>
      </c>
      <c r="C1097" s="77" t="s">
        <v>1026</v>
      </c>
      <c r="D1097" s="10">
        <v>45828</v>
      </c>
      <c r="E1097" s="11" t="s">
        <v>314</v>
      </c>
      <c r="F1097" s="7" t="s">
        <v>894</v>
      </c>
      <c r="G1097" s="7" t="s">
        <v>15</v>
      </c>
    </row>
    <row r="1098" spans="1:7" x14ac:dyDescent="0.35">
      <c r="A1098" s="7" t="s">
        <v>758</v>
      </c>
      <c r="B1098" s="7" t="s">
        <v>896</v>
      </c>
      <c r="C1098" s="7" t="s">
        <v>897</v>
      </c>
      <c r="D1098" s="10">
        <v>45828</v>
      </c>
      <c r="E1098" s="11" t="s">
        <v>314</v>
      </c>
      <c r="F1098" s="7" t="s">
        <v>19</v>
      </c>
      <c r="G1098" s="7"/>
    </row>
    <row r="1099" spans="1:7" x14ac:dyDescent="0.35">
      <c r="A1099" s="7" t="s">
        <v>253</v>
      </c>
      <c r="B1099" s="7" t="s">
        <v>896</v>
      </c>
      <c r="C1099" s="7" t="s">
        <v>897</v>
      </c>
      <c r="D1099" s="10">
        <v>45828</v>
      </c>
      <c r="E1099" s="11" t="s">
        <v>314</v>
      </c>
      <c r="F1099" s="7" t="s">
        <v>27</v>
      </c>
      <c r="G1099" s="7"/>
    </row>
    <row r="1100" spans="1:7" x14ac:dyDescent="0.35">
      <c r="A1100" s="7" t="s">
        <v>828</v>
      </c>
      <c r="B1100" s="7" t="s">
        <v>896</v>
      </c>
      <c r="C1100" s="7" t="s">
        <v>897</v>
      </c>
      <c r="D1100" s="10">
        <v>45828</v>
      </c>
      <c r="E1100" s="11" t="s">
        <v>314</v>
      </c>
      <c r="F1100" s="7" t="s">
        <v>867</v>
      </c>
      <c r="G1100" s="7"/>
    </row>
    <row r="1101" spans="1:7" x14ac:dyDescent="0.35">
      <c r="A1101" s="7" t="s">
        <v>922</v>
      </c>
      <c r="B1101" s="7" t="s">
        <v>896</v>
      </c>
      <c r="C1101" s="7" t="s">
        <v>897</v>
      </c>
      <c r="D1101" s="10">
        <v>45828</v>
      </c>
      <c r="E1101" s="11" t="s">
        <v>314</v>
      </c>
      <c r="F1101" s="7" t="s">
        <v>19</v>
      </c>
      <c r="G1101" s="7"/>
    </row>
    <row r="1102" spans="1:7" x14ac:dyDescent="0.35">
      <c r="A1102" s="7" t="s">
        <v>936</v>
      </c>
      <c r="B1102" s="7" t="s">
        <v>1025</v>
      </c>
      <c r="C1102" s="77" t="s">
        <v>1026</v>
      </c>
      <c r="D1102" s="10">
        <v>45828</v>
      </c>
      <c r="E1102" s="11" t="s">
        <v>314</v>
      </c>
      <c r="F1102" s="7" t="s">
        <v>871</v>
      </c>
      <c r="G1102" s="7" t="s">
        <v>891</v>
      </c>
    </row>
    <row r="1103" spans="1:7" x14ac:dyDescent="0.35">
      <c r="A1103" s="7" t="s">
        <v>936</v>
      </c>
      <c r="B1103" s="7" t="s">
        <v>896</v>
      </c>
      <c r="C1103" s="7" t="s">
        <v>897</v>
      </c>
      <c r="D1103" s="10">
        <v>45828</v>
      </c>
      <c r="E1103" s="11" t="s">
        <v>314</v>
      </c>
      <c r="F1103" s="7" t="s">
        <v>19</v>
      </c>
      <c r="G1103" s="7"/>
    </row>
    <row r="1104" spans="1:7" x14ac:dyDescent="0.35">
      <c r="A1104" s="7" t="s">
        <v>772</v>
      </c>
      <c r="B1104" s="7" t="s">
        <v>896</v>
      </c>
      <c r="C1104" s="7" t="s">
        <v>897</v>
      </c>
      <c r="D1104" s="10">
        <v>45828</v>
      </c>
      <c r="E1104" s="11" t="s">
        <v>314</v>
      </c>
      <c r="F1104" s="7" t="s">
        <v>19</v>
      </c>
      <c r="G1104" s="7"/>
    </row>
    <row r="1105" spans="1:7" x14ac:dyDescent="0.35">
      <c r="A1105" s="7" t="s">
        <v>772</v>
      </c>
      <c r="B1105" s="7" t="s">
        <v>896</v>
      </c>
      <c r="C1105" s="7" t="s">
        <v>897</v>
      </c>
      <c r="D1105" s="10">
        <v>45828</v>
      </c>
      <c r="E1105" s="11" t="s">
        <v>314</v>
      </c>
      <c r="F1105" s="7" t="s">
        <v>871</v>
      </c>
      <c r="G1105" s="7" t="s">
        <v>891</v>
      </c>
    </row>
    <row r="1106" spans="1:7" x14ac:dyDescent="0.35">
      <c r="A1106" s="7" t="s">
        <v>930</v>
      </c>
      <c r="B1106" s="7" t="s">
        <v>1025</v>
      </c>
      <c r="C1106" s="77" t="s">
        <v>1026</v>
      </c>
      <c r="D1106" s="10">
        <v>45828</v>
      </c>
      <c r="E1106" s="11" t="s">
        <v>314</v>
      </c>
      <c r="F1106" s="7" t="s">
        <v>867</v>
      </c>
      <c r="G1106" s="7"/>
    </row>
    <row r="1107" spans="1:7" x14ac:dyDescent="0.35">
      <c r="A1107" s="7" t="s">
        <v>939</v>
      </c>
      <c r="B1107" s="7" t="s">
        <v>1025</v>
      </c>
      <c r="C1107" s="77" t="s">
        <v>1026</v>
      </c>
      <c r="D1107" s="10">
        <v>45828</v>
      </c>
      <c r="E1107" s="11" t="s">
        <v>314</v>
      </c>
      <c r="F1107" s="7" t="s">
        <v>867</v>
      </c>
      <c r="G1107" s="7"/>
    </row>
    <row r="1108" spans="1:7" x14ac:dyDescent="0.35">
      <c r="A1108" s="77" t="s">
        <v>944</v>
      </c>
      <c r="B1108" s="77" t="s">
        <v>1025</v>
      </c>
      <c r="C1108" s="77" t="s">
        <v>1026</v>
      </c>
      <c r="D1108" s="78">
        <v>45828</v>
      </c>
      <c r="E1108" s="79" t="s">
        <v>314</v>
      </c>
      <c r="F1108" s="77" t="s">
        <v>1080</v>
      </c>
      <c r="G1108" s="77"/>
    </row>
    <row r="1109" spans="1:7" x14ac:dyDescent="0.35">
      <c r="A1109" s="77" t="s">
        <v>246</v>
      </c>
      <c r="B1109" s="77" t="s">
        <v>1025</v>
      </c>
      <c r="C1109" s="77" t="s">
        <v>1026</v>
      </c>
      <c r="D1109" s="78">
        <v>45828</v>
      </c>
      <c r="E1109" s="79" t="s">
        <v>314</v>
      </c>
      <c r="F1109" s="77" t="s">
        <v>1080</v>
      </c>
      <c r="G1109" s="77"/>
    </row>
    <row r="1110" spans="1:7" x14ac:dyDescent="0.35">
      <c r="A1110" s="77" t="s">
        <v>951</v>
      </c>
      <c r="B1110" s="77" t="s">
        <v>1025</v>
      </c>
      <c r="C1110" s="77" t="s">
        <v>1026</v>
      </c>
      <c r="D1110" s="78">
        <v>45828</v>
      </c>
      <c r="E1110" s="79" t="s">
        <v>314</v>
      </c>
      <c r="F1110" s="77" t="s">
        <v>1080</v>
      </c>
      <c r="G1110" s="77"/>
    </row>
    <row r="1111" spans="1:7" x14ac:dyDescent="0.35">
      <c r="A1111" s="77" t="s">
        <v>949</v>
      </c>
      <c r="B1111" s="77" t="s">
        <v>1025</v>
      </c>
      <c r="C1111" s="77" t="s">
        <v>1026</v>
      </c>
      <c r="D1111" s="78">
        <v>45828</v>
      </c>
      <c r="E1111" s="79" t="s">
        <v>314</v>
      </c>
      <c r="F1111" s="77" t="s">
        <v>1080</v>
      </c>
      <c r="G1111" s="77"/>
    </row>
    <row r="1112" spans="1:7" x14ac:dyDescent="0.35">
      <c r="A1112" s="7" t="s">
        <v>933</v>
      </c>
      <c r="B1112" s="7" t="s">
        <v>1025</v>
      </c>
      <c r="C1112" s="77" t="s">
        <v>1026</v>
      </c>
      <c r="D1112" s="10">
        <v>45831</v>
      </c>
      <c r="E1112" s="11" t="s">
        <v>314</v>
      </c>
      <c r="F1112" s="7" t="s">
        <v>867</v>
      </c>
      <c r="G1112" s="7"/>
    </row>
    <row r="1113" spans="1:7" x14ac:dyDescent="0.35">
      <c r="A1113" s="7" t="s">
        <v>816</v>
      </c>
      <c r="B1113" s="7" t="s">
        <v>1025</v>
      </c>
      <c r="C1113" s="77" t="s">
        <v>1026</v>
      </c>
      <c r="D1113" s="10">
        <v>45831</v>
      </c>
      <c r="E1113" s="11" t="s">
        <v>314</v>
      </c>
      <c r="F1113" s="7" t="s">
        <v>867</v>
      </c>
      <c r="G1113" s="7"/>
    </row>
    <row r="1114" spans="1:7" x14ac:dyDescent="0.35">
      <c r="A1114" s="7" t="s">
        <v>931</v>
      </c>
      <c r="B1114" s="7" t="s">
        <v>1025</v>
      </c>
      <c r="C1114" s="77" t="s">
        <v>1026</v>
      </c>
      <c r="D1114" s="10">
        <v>45831</v>
      </c>
      <c r="E1114" s="11" t="s">
        <v>314</v>
      </c>
      <c r="F1114" s="7" t="s">
        <v>867</v>
      </c>
      <c r="G1114" s="7"/>
    </row>
    <row r="1115" spans="1:7" x14ac:dyDescent="0.35">
      <c r="A1115" s="7" t="s">
        <v>945</v>
      </c>
      <c r="B1115" s="7" t="s">
        <v>1025</v>
      </c>
      <c r="C1115" s="77" t="s">
        <v>1026</v>
      </c>
      <c r="D1115" s="10">
        <v>45831</v>
      </c>
      <c r="E1115" s="11" t="s">
        <v>314</v>
      </c>
      <c r="F1115" s="7" t="s">
        <v>867</v>
      </c>
      <c r="G1115" s="7"/>
    </row>
    <row r="1116" spans="1:7" x14ac:dyDescent="0.35">
      <c r="A1116" s="77" t="s">
        <v>676</v>
      </c>
      <c r="B1116" s="77" t="s">
        <v>1025</v>
      </c>
      <c r="C1116" s="77" t="s">
        <v>1026</v>
      </c>
      <c r="D1116" s="78">
        <v>45831</v>
      </c>
      <c r="E1116" s="79" t="s">
        <v>314</v>
      </c>
      <c r="F1116" s="77" t="s">
        <v>1080</v>
      </c>
      <c r="G1116" s="77"/>
    </row>
    <row r="1117" spans="1:7" x14ac:dyDescent="0.35">
      <c r="A1117" s="77" t="s">
        <v>942</v>
      </c>
      <c r="B1117" s="77" t="s">
        <v>1025</v>
      </c>
      <c r="C1117" s="77" t="s">
        <v>1026</v>
      </c>
      <c r="D1117" s="78">
        <v>45831</v>
      </c>
      <c r="E1117" s="79" t="s">
        <v>314</v>
      </c>
      <c r="F1117" s="77" t="s">
        <v>1080</v>
      </c>
      <c r="G1117" s="77"/>
    </row>
    <row r="1118" spans="1:7" x14ac:dyDescent="0.35">
      <c r="A1118" s="7" t="s">
        <v>771</v>
      </c>
      <c r="B1118" s="7" t="s">
        <v>896</v>
      </c>
      <c r="C1118" s="7" t="s">
        <v>897</v>
      </c>
      <c r="D1118" s="10">
        <v>45832</v>
      </c>
      <c r="E1118" s="11" t="s">
        <v>314</v>
      </c>
      <c r="F1118" s="7" t="s">
        <v>19</v>
      </c>
      <c r="G1118" s="7"/>
    </row>
    <row r="1119" spans="1:7" x14ac:dyDescent="0.35">
      <c r="A1119" s="7" t="s">
        <v>771</v>
      </c>
      <c r="B1119" s="7" t="s">
        <v>896</v>
      </c>
      <c r="C1119" s="7" t="s">
        <v>897</v>
      </c>
      <c r="D1119" s="10">
        <v>45832</v>
      </c>
      <c r="E1119" s="11" t="s">
        <v>314</v>
      </c>
      <c r="F1119" s="7" t="s">
        <v>871</v>
      </c>
      <c r="G1119" s="7" t="s">
        <v>891</v>
      </c>
    </row>
    <row r="1120" spans="1:7" x14ac:dyDescent="0.35">
      <c r="A1120" s="77" t="s">
        <v>797</v>
      </c>
      <c r="B1120" s="77" t="s">
        <v>1025</v>
      </c>
      <c r="C1120" s="77" t="s">
        <v>1026</v>
      </c>
      <c r="D1120" s="78">
        <v>45832</v>
      </c>
      <c r="E1120" s="79" t="s">
        <v>314</v>
      </c>
      <c r="F1120" s="77" t="s">
        <v>1080</v>
      </c>
      <c r="G1120" s="77"/>
    </row>
    <row r="1121" spans="1:7" x14ac:dyDescent="0.35">
      <c r="A1121" s="7" t="s">
        <v>778</v>
      </c>
      <c r="B1121" s="7" t="s">
        <v>896</v>
      </c>
      <c r="C1121" s="7" t="s">
        <v>897</v>
      </c>
      <c r="D1121" s="10">
        <v>45833</v>
      </c>
      <c r="E1121" s="11" t="s">
        <v>314</v>
      </c>
      <c r="F1121" s="7" t="s">
        <v>867</v>
      </c>
      <c r="G1121" s="7"/>
    </row>
    <row r="1122" spans="1:7" x14ac:dyDescent="0.35">
      <c r="A1122" s="7" t="s">
        <v>943</v>
      </c>
      <c r="B1122" s="7" t="s">
        <v>1025</v>
      </c>
      <c r="C1122" s="77" t="s">
        <v>1026</v>
      </c>
      <c r="D1122" s="10">
        <v>45833</v>
      </c>
      <c r="E1122" s="11" t="s">
        <v>314</v>
      </c>
      <c r="F1122" s="7" t="s">
        <v>867</v>
      </c>
      <c r="G1122" s="7"/>
    </row>
    <row r="1123" spans="1:7" x14ac:dyDescent="0.35">
      <c r="A1123" s="7" t="s">
        <v>671</v>
      </c>
      <c r="B1123" s="7" t="s">
        <v>896</v>
      </c>
      <c r="C1123" s="7" t="s">
        <v>897</v>
      </c>
      <c r="D1123" s="10">
        <v>45833</v>
      </c>
      <c r="E1123" s="11" t="s">
        <v>314</v>
      </c>
      <c r="F1123" s="7" t="s">
        <v>867</v>
      </c>
      <c r="G1123" s="7"/>
    </row>
    <row r="1124" spans="1:7" x14ac:dyDescent="0.35">
      <c r="A1124" s="7" t="s">
        <v>921</v>
      </c>
      <c r="B1124" s="7" t="s">
        <v>1025</v>
      </c>
      <c r="C1124" s="77" t="s">
        <v>1026</v>
      </c>
      <c r="D1124" s="10">
        <v>45833</v>
      </c>
      <c r="E1124" s="11" t="s">
        <v>314</v>
      </c>
      <c r="F1124" s="7" t="s">
        <v>88</v>
      </c>
      <c r="G1124" s="7" t="s">
        <v>88</v>
      </c>
    </row>
    <row r="1125" spans="1:7" x14ac:dyDescent="0.35">
      <c r="A1125" s="7" t="s">
        <v>942</v>
      </c>
      <c r="B1125" s="7" t="s">
        <v>1025</v>
      </c>
      <c r="C1125" s="77" t="s">
        <v>1026</v>
      </c>
      <c r="D1125" s="10">
        <v>45833</v>
      </c>
      <c r="E1125" s="11" t="s">
        <v>314</v>
      </c>
      <c r="F1125" s="7" t="s">
        <v>867</v>
      </c>
      <c r="G1125" s="7"/>
    </row>
    <row r="1126" spans="1:7" x14ac:dyDescent="0.35">
      <c r="A1126" s="7" t="s">
        <v>592</v>
      </c>
      <c r="B1126" s="7" t="s">
        <v>1025</v>
      </c>
      <c r="C1126" s="77" t="s">
        <v>1026</v>
      </c>
      <c r="D1126" s="10">
        <v>45833</v>
      </c>
      <c r="E1126" s="11" t="s">
        <v>314</v>
      </c>
      <c r="F1126" s="7" t="s">
        <v>867</v>
      </c>
      <c r="G1126" s="7"/>
    </row>
    <row r="1127" spans="1:7" x14ac:dyDescent="0.35">
      <c r="A1127" s="7" t="s">
        <v>826</v>
      </c>
      <c r="B1127" s="7" t="s">
        <v>896</v>
      </c>
      <c r="C1127" s="7" t="s">
        <v>897</v>
      </c>
      <c r="D1127" s="10">
        <v>45833</v>
      </c>
      <c r="E1127" s="11" t="s">
        <v>314</v>
      </c>
      <c r="F1127" s="7" t="s">
        <v>867</v>
      </c>
      <c r="G1127" s="7"/>
    </row>
    <row r="1128" spans="1:7" x14ac:dyDescent="0.35">
      <c r="A1128" s="7" t="s">
        <v>940</v>
      </c>
      <c r="B1128" s="7" t="s">
        <v>1025</v>
      </c>
      <c r="C1128" s="77" t="s">
        <v>1026</v>
      </c>
      <c r="D1128" s="10">
        <v>45833</v>
      </c>
      <c r="E1128" s="11" t="s">
        <v>314</v>
      </c>
      <c r="F1128" s="7" t="s">
        <v>867</v>
      </c>
      <c r="G1128" s="7"/>
    </row>
    <row r="1129" spans="1:7" x14ac:dyDescent="0.35">
      <c r="A1129" s="7" t="s">
        <v>940</v>
      </c>
      <c r="B1129" s="7" t="s">
        <v>1025</v>
      </c>
      <c r="C1129" s="77" t="s">
        <v>1026</v>
      </c>
      <c r="D1129" s="10">
        <v>45833</v>
      </c>
      <c r="E1129" s="11" t="s">
        <v>314</v>
      </c>
      <c r="F1129" s="7" t="s">
        <v>867</v>
      </c>
      <c r="G1129" s="7"/>
    </row>
    <row r="1130" spans="1:7" x14ac:dyDescent="0.35">
      <c r="A1130" s="77" t="s">
        <v>950</v>
      </c>
      <c r="B1130" s="77" t="s">
        <v>1025</v>
      </c>
      <c r="C1130" s="77" t="s">
        <v>1026</v>
      </c>
      <c r="D1130" s="78">
        <v>45833</v>
      </c>
      <c r="E1130" s="79" t="s">
        <v>314</v>
      </c>
      <c r="F1130" s="77" t="s">
        <v>88</v>
      </c>
      <c r="G1130" s="77" t="s">
        <v>22</v>
      </c>
    </row>
    <row r="1131" spans="1:7" x14ac:dyDescent="0.35">
      <c r="A1131" s="77" t="s">
        <v>681</v>
      </c>
      <c r="B1131" s="77" t="s">
        <v>1025</v>
      </c>
      <c r="C1131" s="77" t="s">
        <v>1026</v>
      </c>
      <c r="D1131" s="78">
        <v>45833</v>
      </c>
      <c r="E1131" s="79" t="s">
        <v>314</v>
      </c>
      <c r="F1131" s="77" t="s">
        <v>1080</v>
      </c>
      <c r="G1131" s="77"/>
    </row>
    <row r="1132" spans="1:7" x14ac:dyDescent="0.35">
      <c r="A1132" s="77" t="s">
        <v>771</v>
      </c>
      <c r="B1132" s="77" t="s">
        <v>1025</v>
      </c>
      <c r="C1132" s="77" t="s">
        <v>1026</v>
      </c>
      <c r="D1132" s="78">
        <v>45833</v>
      </c>
      <c r="E1132" s="79" t="s">
        <v>314</v>
      </c>
      <c r="F1132" s="77" t="s">
        <v>1080</v>
      </c>
      <c r="G1132" s="77"/>
    </row>
    <row r="1133" spans="1:7" x14ac:dyDescent="0.35">
      <c r="A1133" s="77" t="s">
        <v>940</v>
      </c>
      <c r="B1133" s="77" t="s">
        <v>1025</v>
      </c>
      <c r="C1133" s="77" t="s">
        <v>1026</v>
      </c>
      <c r="D1133" s="78">
        <v>45833</v>
      </c>
      <c r="E1133" s="79" t="s">
        <v>314</v>
      </c>
      <c r="F1133" s="77" t="s">
        <v>1080</v>
      </c>
      <c r="G1133" s="77"/>
    </row>
    <row r="1134" spans="1:7" x14ac:dyDescent="0.35">
      <c r="A1134" s="7" t="s">
        <v>760</v>
      </c>
      <c r="B1134" s="7" t="s">
        <v>896</v>
      </c>
      <c r="C1134" s="7" t="s">
        <v>897</v>
      </c>
      <c r="D1134" s="10">
        <v>45834</v>
      </c>
      <c r="E1134" s="11" t="s">
        <v>314</v>
      </c>
      <c r="F1134" s="7" t="s">
        <v>19</v>
      </c>
      <c r="G1134" s="7"/>
    </row>
    <row r="1135" spans="1:7" x14ac:dyDescent="0.35">
      <c r="A1135" s="7" t="s">
        <v>916</v>
      </c>
      <c r="B1135" s="7" t="s">
        <v>1025</v>
      </c>
      <c r="C1135" s="77" t="s">
        <v>1026</v>
      </c>
      <c r="D1135" s="10">
        <v>45834</v>
      </c>
      <c r="E1135" s="11" t="s">
        <v>314</v>
      </c>
      <c r="F1135" s="7" t="s">
        <v>871</v>
      </c>
      <c r="G1135" s="7" t="s">
        <v>891</v>
      </c>
    </row>
    <row r="1136" spans="1:7" x14ac:dyDescent="0.35">
      <c r="A1136" s="7" t="s">
        <v>957</v>
      </c>
      <c r="B1136" s="7" t="s">
        <v>896</v>
      </c>
      <c r="C1136" s="7" t="s">
        <v>897</v>
      </c>
      <c r="D1136" s="10">
        <v>45834</v>
      </c>
      <c r="E1136" s="11" t="s">
        <v>314</v>
      </c>
      <c r="F1136" s="7" t="s">
        <v>19</v>
      </c>
      <c r="G1136" s="7"/>
    </row>
    <row r="1137" spans="1:7" x14ac:dyDescent="0.35">
      <c r="A1137" s="7" t="s">
        <v>955</v>
      </c>
      <c r="B1137" s="7" t="s">
        <v>896</v>
      </c>
      <c r="C1137" s="7" t="s">
        <v>897</v>
      </c>
      <c r="D1137" s="10">
        <v>45834</v>
      </c>
      <c r="E1137" s="11" t="s">
        <v>314</v>
      </c>
      <c r="F1137" s="7" t="s">
        <v>19</v>
      </c>
      <c r="G1137" s="7"/>
    </row>
    <row r="1138" spans="1:7" x14ac:dyDescent="0.35">
      <c r="A1138" s="7" t="s">
        <v>924</v>
      </c>
      <c r="B1138" s="7" t="s">
        <v>896</v>
      </c>
      <c r="C1138" s="7" t="s">
        <v>897</v>
      </c>
      <c r="D1138" s="10">
        <v>45834</v>
      </c>
      <c r="E1138" s="11" t="s">
        <v>314</v>
      </c>
      <c r="F1138" s="7" t="s">
        <v>19</v>
      </c>
      <c r="G1138" s="7"/>
    </row>
    <row r="1139" spans="1:7" x14ac:dyDescent="0.35">
      <c r="A1139" s="7" t="s">
        <v>681</v>
      </c>
      <c r="B1139" s="7" t="s">
        <v>896</v>
      </c>
      <c r="C1139" s="7" t="s">
        <v>897</v>
      </c>
      <c r="D1139" s="10">
        <v>45834</v>
      </c>
      <c r="E1139" s="11" t="s">
        <v>314</v>
      </c>
      <c r="F1139" s="7" t="s">
        <v>27</v>
      </c>
      <c r="G1139" s="7"/>
    </row>
    <row r="1140" spans="1:7" x14ac:dyDescent="0.35">
      <c r="A1140" s="7" t="s">
        <v>799</v>
      </c>
      <c r="B1140" s="7" t="s">
        <v>896</v>
      </c>
      <c r="C1140" s="7" t="s">
        <v>897</v>
      </c>
      <c r="D1140" s="10">
        <v>45834</v>
      </c>
      <c r="E1140" s="11" t="s">
        <v>314</v>
      </c>
      <c r="F1140" s="7" t="s">
        <v>877</v>
      </c>
      <c r="G1140" s="7"/>
    </row>
    <row r="1141" spans="1:7" x14ac:dyDescent="0.35">
      <c r="A1141" s="7" t="s">
        <v>797</v>
      </c>
      <c r="B1141" s="7" t="s">
        <v>896</v>
      </c>
      <c r="C1141" s="7" t="s">
        <v>897</v>
      </c>
      <c r="D1141" s="10">
        <v>45834</v>
      </c>
      <c r="E1141" s="11" t="s">
        <v>314</v>
      </c>
      <c r="F1141" s="7" t="s">
        <v>877</v>
      </c>
      <c r="G1141" s="7"/>
    </row>
    <row r="1142" spans="1:7" x14ac:dyDescent="0.35">
      <c r="A1142" s="7" t="s">
        <v>798</v>
      </c>
      <c r="B1142" s="7" t="s">
        <v>896</v>
      </c>
      <c r="C1142" s="7" t="s">
        <v>897</v>
      </c>
      <c r="D1142" s="10">
        <v>45834</v>
      </c>
      <c r="E1142" s="11" t="s">
        <v>314</v>
      </c>
      <c r="F1142" s="7" t="s">
        <v>877</v>
      </c>
      <c r="G1142" s="7"/>
    </row>
    <row r="1143" spans="1:7" x14ac:dyDescent="0.35">
      <c r="A1143" s="7" t="s">
        <v>923</v>
      </c>
      <c r="B1143" s="7" t="s">
        <v>896</v>
      </c>
      <c r="C1143" s="7" t="s">
        <v>897</v>
      </c>
      <c r="D1143" s="10">
        <v>45834</v>
      </c>
      <c r="E1143" s="11" t="s">
        <v>314</v>
      </c>
      <c r="F1143" s="7" t="s">
        <v>19</v>
      </c>
      <c r="G1143" s="7"/>
    </row>
    <row r="1144" spans="1:7" x14ac:dyDescent="0.35">
      <c r="A1144" s="7" t="s">
        <v>935</v>
      </c>
      <c r="B1144" s="7" t="s">
        <v>1025</v>
      </c>
      <c r="C1144" s="77" t="s">
        <v>1026</v>
      </c>
      <c r="D1144" s="10">
        <v>45834</v>
      </c>
      <c r="E1144" s="11" t="s">
        <v>314</v>
      </c>
      <c r="F1144" s="7" t="s">
        <v>27</v>
      </c>
      <c r="G1144" s="7"/>
    </row>
    <row r="1145" spans="1:7" x14ac:dyDescent="0.35">
      <c r="A1145" s="7" t="s">
        <v>935</v>
      </c>
      <c r="B1145" s="7" t="s">
        <v>1025</v>
      </c>
      <c r="C1145" s="77" t="s">
        <v>1026</v>
      </c>
      <c r="D1145" s="10">
        <v>45834</v>
      </c>
      <c r="E1145" s="11" t="s">
        <v>314</v>
      </c>
      <c r="F1145" s="7" t="s">
        <v>894</v>
      </c>
      <c r="G1145" s="7" t="s">
        <v>15</v>
      </c>
    </row>
    <row r="1146" spans="1:7" x14ac:dyDescent="0.35">
      <c r="A1146" s="77" t="s">
        <v>799</v>
      </c>
      <c r="B1146" s="77" t="s">
        <v>1025</v>
      </c>
      <c r="C1146" s="77" t="s">
        <v>1026</v>
      </c>
      <c r="D1146" s="78">
        <v>45834</v>
      </c>
      <c r="E1146" s="79" t="s">
        <v>314</v>
      </c>
      <c r="F1146" s="77" t="s">
        <v>1080</v>
      </c>
      <c r="G1146" s="77"/>
    </row>
    <row r="1147" spans="1:7" x14ac:dyDescent="0.35">
      <c r="A1147" s="7" t="s">
        <v>964</v>
      </c>
      <c r="B1147" s="7" t="s">
        <v>1025</v>
      </c>
      <c r="C1147" s="77" t="s">
        <v>1026</v>
      </c>
      <c r="D1147" s="10">
        <v>45838</v>
      </c>
      <c r="E1147" s="11" t="s">
        <v>314</v>
      </c>
      <c r="F1147" s="7" t="s">
        <v>877</v>
      </c>
      <c r="G1147" s="7"/>
    </row>
    <row r="1148" spans="1:7" x14ac:dyDescent="0.35">
      <c r="A1148" s="7" t="s">
        <v>959</v>
      </c>
      <c r="B1148" s="7" t="s">
        <v>1025</v>
      </c>
      <c r="C1148" s="77" t="s">
        <v>1026</v>
      </c>
      <c r="D1148" s="10">
        <v>45838</v>
      </c>
      <c r="E1148" s="11" t="s">
        <v>314</v>
      </c>
      <c r="F1148" s="7" t="s">
        <v>877</v>
      </c>
      <c r="G1148" s="7"/>
    </row>
    <row r="1149" spans="1:7" x14ac:dyDescent="0.35">
      <c r="A1149" s="7" t="s">
        <v>678</v>
      </c>
      <c r="B1149" s="7" t="s">
        <v>896</v>
      </c>
      <c r="C1149" s="7" t="s">
        <v>897</v>
      </c>
      <c r="D1149" s="10">
        <v>45838</v>
      </c>
      <c r="E1149" s="11" t="s">
        <v>314</v>
      </c>
      <c r="F1149" s="7" t="s">
        <v>27</v>
      </c>
      <c r="G1149" s="7"/>
    </row>
    <row r="1150" spans="1:7" x14ac:dyDescent="0.35">
      <c r="A1150" s="7" t="s">
        <v>679</v>
      </c>
      <c r="B1150" s="7" t="s">
        <v>896</v>
      </c>
      <c r="C1150" s="7" t="s">
        <v>897</v>
      </c>
      <c r="D1150" s="10">
        <v>45838</v>
      </c>
      <c r="E1150" s="11" t="s">
        <v>314</v>
      </c>
      <c r="F1150" s="7" t="s">
        <v>27</v>
      </c>
      <c r="G1150" s="7"/>
    </row>
    <row r="1151" spans="1:7" x14ac:dyDescent="0.35">
      <c r="A1151" s="7" t="s">
        <v>663</v>
      </c>
      <c r="B1151" s="7" t="s">
        <v>896</v>
      </c>
      <c r="C1151" s="7" t="s">
        <v>897</v>
      </c>
      <c r="D1151" s="10">
        <v>45838</v>
      </c>
      <c r="E1151" s="11" t="s">
        <v>314</v>
      </c>
      <c r="F1151" s="7" t="s">
        <v>27</v>
      </c>
      <c r="G1151" s="7"/>
    </row>
    <row r="1152" spans="1:7" x14ac:dyDescent="0.35">
      <c r="A1152" s="7" t="s">
        <v>840</v>
      </c>
      <c r="B1152" s="7" t="s">
        <v>896</v>
      </c>
      <c r="C1152" s="7" t="s">
        <v>897</v>
      </c>
      <c r="D1152" s="10">
        <v>45838</v>
      </c>
      <c r="E1152" s="11" t="s">
        <v>314</v>
      </c>
      <c r="F1152" s="7" t="s">
        <v>19</v>
      </c>
      <c r="G1152" s="7"/>
    </row>
    <row r="1153" spans="1:7" x14ac:dyDescent="0.35">
      <c r="A1153" s="7" t="s">
        <v>419</v>
      </c>
      <c r="B1153" s="7" t="s">
        <v>1025</v>
      </c>
      <c r="C1153" s="77" t="s">
        <v>1026</v>
      </c>
      <c r="D1153" s="10">
        <v>45838</v>
      </c>
      <c r="E1153" s="11" t="s">
        <v>314</v>
      </c>
      <c r="F1153" s="7" t="s">
        <v>871</v>
      </c>
      <c r="G1153" s="7" t="s">
        <v>891</v>
      </c>
    </row>
    <row r="1154" spans="1:7" x14ac:dyDescent="0.35">
      <c r="A1154" s="77" t="s">
        <v>937</v>
      </c>
      <c r="B1154" s="77" t="s">
        <v>896</v>
      </c>
      <c r="C1154" s="77" t="s">
        <v>897</v>
      </c>
      <c r="D1154" s="78">
        <v>45838</v>
      </c>
      <c r="E1154" s="79" t="s">
        <v>314</v>
      </c>
      <c r="F1154" s="77" t="s">
        <v>19</v>
      </c>
      <c r="G1154" s="77"/>
    </row>
    <row r="1155" spans="1:7" x14ac:dyDescent="0.35">
      <c r="A1155" s="77" t="s">
        <v>663</v>
      </c>
      <c r="B1155" s="77" t="s">
        <v>1025</v>
      </c>
      <c r="C1155" s="77" t="s">
        <v>1026</v>
      </c>
      <c r="D1155" s="78">
        <v>45838</v>
      </c>
      <c r="E1155" s="79" t="s">
        <v>314</v>
      </c>
      <c r="F1155" s="77" t="s">
        <v>1080</v>
      </c>
      <c r="G1155" s="77"/>
    </row>
    <row r="1156" spans="1:7" x14ac:dyDescent="0.35">
      <c r="A1156" s="77" t="s">
        <v>419</v>
      </c>
      <c r="B1156" s="77" t="s">
        <v>1025</v>
      </c>
      <c r="C1156" s="77" t="s">
        <v>1026</v>
      </c>
      <c r="D1156" s="78">
        <v>45838</v>
      </c>
      <c r="E1156" s="79" t="s">
        <v>314</v>
      </c>
      <c r="F1156" s="77" t="s">
        <v>1080</v>
      </c>
      <c r="G1156" s="77"/>
    </row>
    <row r="1157" spans="1:7" x14ac:dyDescent="0.35">
      <c r="A1157" s="77" t="s">
        <v>1008</v>
      </c>
      <c r="B1157" s="77" t="s">
        <v>1025</v>
      </c>
      <c r="C1157" s="77" t="s">
        <v>1026</v>
      </c>
      <c r="D1157" s="78">
        <v>45839</v>
      </c>
      <c r="E1157" s="79" t="s">
        <v>314</v>
      </c>
      <c r="F1157" s="77" t="s">
        <v>867</v>
      </c>
      <c r="G1157" s="77"/>
    </row>
    <row r="1158" spans="1:7" x14ac:dyDescent="0.35">
      <c r="A1158" s="77" t="s">
        <v>947</v>
      </c>
      <c r="B1158" s="77" t="s">
        <v>1025</v>
      </c>
      <c r="C1158" s="77" t="s">
        <v>1026</v>
      </c>
      <c r="D1158" s="78">
        <v>45839</v>
      </c>
      <c r="E1158" s="79" t="s">
        <v>314</v>
      </c>
      <c r="F1158" s="77" t="s">
        <v>1080</v>
      </c>
      <c r="G1158" s="77"/>
    </row>
    <row r="1159" spans="1:7" x14ac:dyDescent="0.35">
      <c r="A1159" s="77" t="s">
        <v>222</v>
      </c>
      <c r="B1159" s="77" t="s">
        <v>1025</v>
      </c>
      <c r="C1159" s="77" t="s">
        <v>1026</v>
      </c>
      <c r="D1159" s="78">
        <v>45839</v>
      </c>
      <c r="E1159" s="79" t="s">
        <v>314</v>
      </c>
      <c r="F1159" s="77" t="s">
        <v>1080</v>
      </c>
      <c r="G1159" s="77"/>
    </row>
    <row r="1160" spans="1:7" x14ac:dyDescent="0.35">
      <c r="A1160" s="7" t="s">
        <v>947</v>
      </c>
      <c r="B1160" s="7" t="s">
        <v>1025</v>
      </c>
      <c r="C1160" s="77" t="s">
        <v>1026</v>
      </c>
      <c r="D1160" s="10">
        <v>45842</v>
      </c>
      <c r="E1160" s="11" t="s">
        <v>314</v>
      </c>
      <c r="F1160" s="7" t="s">
        <v>871</v>
      </c>
      <c r="G1160" s="7" t="s">
        <v>891</v>
      </c>
    </row>
    <row r="1161" spans="1:7" x14ac:dyDescent="0.35">
      <c r="A1161" s="7" t="s">
        <v>947</v>
      </c>
      <c r="B1161" s="7" t="s">
        <v>896</v>
      </c>
      <c r="C1161" s="7" t="s">
        <v>897</v>
      </c>
      <c r="D1161" s="10">
        <v>45842</v>
      </c>
      <c r="E1161" s="11" t="s">
        <v>314</v>
      </c>
      <c r="F1161" s="7" t="s">
        <v>19</v>
      </c>
      <c r="G1161" s="7"/>
    </row>
    <row r="1162" spans="1:7" x14ac:dyDescent="0.35">
      <c r="A1162" s="7" t="s">
        <v>954</v>
      </c>
      <c r="B1162" s="7" t="s">
        <v>896</v>
      </c>
      <c r="C1162" s="7" t="s">
        <v>897</v>
      </c>
      <c r="D1162" s="10">
        <v>45842</v>
      </c>
      <c r="E1162" s="11" t="s">
        <v>314</v>
      </c>
      <c r="F1162" s="7" t="s">
        <v>19</v>
      </c>
      <c r="G1162" s="7"/>
    </row>
    <row r="1163" spans="1:7" x14ac:dyDescent="0.35">
      <c r="A1163" s="7" t="s">
        <v>222</v>
      </c>
      <c r="B1163" s="7" t="s">
        <v>896</v>
      </c>
      <c r="C1163" s="7" t="s">
        <v>897</v>
      </c>
      <c r="D1163" s="10">
        <v>45842</v>
      </c>
      <c r="E1163" s="11" t="s">
        <v>314</v>
      </c>
      <c r="F1163" s="7" t="s">
        <v>27</v>
      </c>
      <c r="G1163" s="7"/>
    </row>
    <row r="1164" spans="1:7" x14ac:dyDescent="0.35">
      <c r="A1164" s="7" t="s">
        <v>965</v>
      </c>
      <c r="B1164" s="7" t="s">
        <v>1025</v>
      </c>
      <c r="C1164" s="77" t="s">
        <v>1026</v>
      </c>
      <c r="D1164" s="10">
        <v>45842</v>
      </c>
      <c r="E1164" s="11" t="s">
        <v>314</v>
      </c>
      <c r="F1164" s="7" t="s">
        <v>871</v>
      </c>
      <c r="G1164" s="7" t="s">
        <v>891</v>
      </c>
    </row>
    <row r="1165" spans="1:7" x14ac:dyDescent="0.35">
      <c r="A1165" s="7" t="s">
        <v>677</v>
      </c>
      <c r="B1165" s="7" t="s">
        <v>896</v>
      </c>
      <c r="C1165" s="7" t="s">
        <v>897</v>
      </c>
      <c r="D1165" s="10">
        <v>45842</v>
      </c>
      <c r="E1165" s="11" t="s">
        <v>314</v>
      </c>
      <c r="F1165" s="7" t="s">
        <v>27</v>
      </c>
      <c r="G1165" s="7"/>
    </row>
    <row r="1166" spans="1:7" x14ac:dyDescent="0.35">
      <c r="A1166" s="7" t="s">
        <v>830</v>
      </c>
      <c r="B1166" s="7" t="s">
        <v>896</v>
      </c>
      <c r="C1166" s="7" t="s">
        <v>897</v>
      </c>
      <c r="D1166" s="10">
        <v>45842</v>
      </c>
      <c r="E1166" s="11" t="s">
        <v>314</v>
      </c>
      <c r="F1166" s="7" t="s">
        <v>867</v>
      </c>
      <c r="G1166" s="7"/>
    </row>
    <row r="1167" spans="1:7" x14ac:dyDescent="0.35">
      <c r="A1167" s="77" t="s">
        <v>834</v>
      </c>
      <c r="B1167" s="77" t="s">
        <v>896</v>
      </c>
      <c r="C1167" s="77" t="s">
        <v>897</v>
      </c>
      <c r="D1167" s="78">
        <v>45842</v>
      </c>
      <c r="E1167" s="79" t="s">
        <v>314</v>
      </c>
      <c r="F1167" s="77" t="s">
        <v>19</v>
      </c>
      <c r="G1167" s="77"/>
    </row>
    <row r="1168" spans="1:7" x14ac:dyDescent="0.35">
      <c r="A1168" s="77" t="s">
        <v>834</v>
      </c>
      <c r="B1168" s="77" t="s">
        <v>908</v>
      </c>
      <c r="C1168" s="77" t="s">
        <v>374</v>
      </c>
      <c r="D1168" s="78">
        <v>45842</v>
      </c>
      <c r="E1168" s="79" t="s">
        <v>314</v>
      </c>
      <c r="F1168" s="77" t="s">
        <v>872</v>
      </c>
      <c r="G1168" s="77" t="s">
        <v>891</v>
      </c>
    </row>
    <row r="1169" spans="1:7" x14ac:dyDescent="0.35">
      <c r="A1169" s="77" t="s">
        <v>952</v>
      </c>
      <c r="B1169" s="77" t="s">
        <v>896</v>
      </c>
      <c r="C1169" s="77" t="s">
        <v>897</v>
      </c>
      <c r="D1169" s="78">
        <v>45842</v>
      </c>
      <c r="E1169" s="79" t="s">
        <v>314</v>
      </c>
      <c r="F1169" s="77" t="s">
        <v>19</v>
      </c>
      <c r="G1169" s="77"/>
    </row>
    <row r="1170" spans="1:7" x14ac:dyDescent="0.35">
      <c r="A1170" s="7" t="s">
        <v>673</v>
      </c>
      <c r="B1170" s="7" t="s">
        <v>896</v>
      </c>
      <c r="C1170" s="7" t="s">
        <v>897</v>
      </c>
      <c r="D1170" s="10">
        <v>45845</v>
      </c>
      <c r="E1170" s="11" t="s">
        <v>314</v>
      </c>
      <c r="F1170" s="7" t="s">
        <v>27</v>
      </c>
      <c r="G1170" s="7"/>
    </row>
    <row r="1171" spans="1:7" x14ac:dyDescent="0.35">
      <c r="A1171" s="7" t="s">
        <v>743</v>
      </c>
      <c r="B1171" s="7" t="s">
        <v>896</v>
      </c>
      <c r="C1171" s="7" t="s">
        <v>897</v>
      </c>
      <c r="D1171" s="10">
        <v>45845</v>
      </c>
      <c r="E1171" s="11" t="s">
        <v>314</v>
      </c>
      <c r="F1171" s="7" t="s">
        <v>877</v>
      </c>
      <c r="G1171" s="7"/>
    </row>
    <row r="1172" spans="1:7" x14ac:dyDescent="0.35">
      <c r="A1172" s="7" t="s">
        <v>977</v>
      </c>
      <c r="B1172" s="7" t="s">
        <v>1025</v>
      </c>
      <c r="C1172" s="77" t="s">
        <v>1026</v>
      </c>
      <c r="D1172" s="10">
        <v>45845</v>
      </c>
      <c r="E1172" s="11" t="s">
        <v>314</v>
      </c>
      <c r="F1172" s="7" t="s">
        <v>877</v>
      </c>
      <c r="G1172" s="7"/>
    </row>
    <row r="1173" spans="1:7" x14ac:dyDescent="0.35">
      <c r="A1173" s="7" t="s">
        <v>745</v>
      </c>
      <c r="B1173" s="7" t="s">
        <v>896</v>
      </c>
      <c r="C1173" s="7" t="s">
        <v>897</v>
      </c>
      <c r="D1173" s="10">
        <v>45845</v>
      </c>
      <c r="E1173" s="11" t="s">
        <v>314</v>
      </c>
      <c r="F1173" s="7" t="s">
        <v>877</v>
      </c>
      <c r="G1173" s="7"/>
    </row>
    <row r="1174" spans="1:7" x14ac:dyDescent="0.35">
      <c r="A1174" s="7" t="s">
        <v>680</v>
      </c>
      <c r="B1174" s="7" t="s">
        <v>896</v>
      </c>
      <c r="C1174" s="7" t="s">
        <v>897</v>
      </c>
      <c r="D1174" s="10">
        <v>45845</v>
      </c>
      <c r="E1174" s="11" t="s">
        <v>314</v>
      </c>
      <c r="F1174" s="7" t="s">
        <v>27</v>
      </c>
      <c r="G1174" s="7"/>
    </row>
    <row r="1175" spans="1:7" x14ac:dyDescent="0.35">
      <c r="A1175" s="77" t="s">
        <v>968</v>
      </c>
      <c r="B1175" s="77" t="s">
        <v>1025</v>
      </c>
      <c r="C1175" s="77" t="s">
        <v>1026</v>
      </c>
      <c r="D1175" s="78">
        <v>45845</v>
      </c>
      <c r="E1175" s="79" t="s">
        <v>314</v>
      </c>
      <c r="F1175" s="77" t="s">
        <v>867</v>
      </c>
      <c r="G1175" s="77"/>
    </row>
    <row r="1176" spans="1:7" x14ac:dyDescent="0.35">
      <c r="A1176" s="77" t="s">
        <v>968</v>
      </c>
      <c r="B1176" s="77" t="s">
        <v>908</v>
      </c>
      <c r="C1176" s="77" t="s">
        <v>374</v>
      </c>
      <c r="D1176" s="78">
        <v>45845</v>
      </c>
      <c r="E1176" s="79" t="s">
        <v>314</v>
      </c>
      <c r="F1176" s="77" t="s">
        <v>872</v>
      </c>
      <c r="G1176" s="77" t="s">
        <v>891</v>
      </c>
    </row>
    <row r="1177" spans="1:7" x14ac:dyDescent="0.35">
      <c r="A1177" s="77" t="s">
        <v>977</v>
      </c>
      <c r="B1177" s="77" t="s">
        <v>1025</v>
      </c>
      <c r="C1177" s="77" t="s">
        <v>1026</v>
      </c>
      <c r="D1177" s="78">
        <v>45845</v>
      </c>
      <c r="E1177" s="79" t="s">
        <v>314</v>
      </c>
      <c r="F1177" s="77" t="s">
        <v>1080</v>
      </c>
      <c r="G1177" s="77"/>
    </row>
    <row r="1178" spans="1:7" x14ac:dyDescent="0.35">
      <c r="A1178" s="7" t="s">
        <v>978</v>
      </c>
      <c r="B1178" s="7" t="s">
        <v>1025</v>
      </c>
      <c r="C1178" s="77" t="s">
        <v>1026</v>
      </c>
      <c r="D1178" s="10">
        <v>45847</v>
      </c>
      <c r="E1178" s="11" t="s">
        <v>314</v>
      </c>
      <c r="F1178" s="7" t="s">
        <v>27</v>
      </c>
      <c r="G1178" s="7"/>
    </row>
    <row r="1179" spans="1:7" x14ac:dyDescent="0.35">
      <c r="A1179" s="7" t="s">
        <v>979</v>
      </c>
      <c r="B1179" s="7" t="s">
        <v>1025</v>
      </c>
      <c r="C1179" s="77" t="s">
        <v>1026</v>
      </c>
      <c r="D1179" s="10">
        <v>45847</v>
      </c>
      <c r="E1179" s="11" t="s">
        <v>314</v>
      </c>
      <c r="F1179" s="7" t="s">
        <v>867</v>
      </c>
      <c r="G1179" s="7"/>
    </row>
    <row r="1180" spans="1:7" x14ac:dyDescent="0.35">
      <c r="A1180" s="7" t="s">
        <v>980</v>
      </c>
      <c r="B1180" s="7" t="s">
        <v>1025</v>
      </c>
      <c r="C1180" s="77" t="s">
        <v>1026</v>
      </c>
      <c r="D1180" s="10">
        <v>45847</v>
      </c>
      <c r="E1180" s="11" t="s">
        <v>314</v>
      </c>
      <c r="F1180" s="7" t="s">
        <v>867</v>
      </c>
      <c r="G1180" s="7"/>
    </row>
    <row r="1181" spans="1:7" x14ac:dyDescent="0.35">
      <c r="A1181" s="7" t="s">
        <v>671</v>
      </c>
      <c r="B1181" s="7" t="s">
        <v>896</v>
      </c>
      <c r="C1181" s="7" t="s">
        <v>897</v>
      </c>
      <c r="D1181" s="10">
        <v>45847</v>
      </c>
      <c r="E1181" s="11" t="s">
        <v>314</v>
      </c>
      <c r="F1181" s="7" t="s">
        <v>27</v>
      </c>
      <c r="G1181" s="7"/>
    </row>
    <row r="1182" spans="1:7" x14ac:dyDescent="0.35">
      <c r="A1182" s="7" t="s">
        <v>684</v>
      </c>
      <c r="B1182" s="7" t="s">
        <v>896</v>
      </c>
      <c r="C1182" s="7" t="s">
        <v>897</v>
      </c>
      <c r="D1182" s="10">
        <v>45847</v>
      </c>
      <c r="E1182" s="11" t="s">
        <v>314</v>
      </c>
      <c r="F1182" s="7" t="s">
        <v>27</v>
      </c>
      <c r="G1182" s="7"/>
    </row>
    <row r="1183" spans="1:7" x14ac:dyDescent="0.35">
      <c r="A1183" s="7" t="s">
        <v>698</v>
      </c>
      <c r="B1183" s="7" t="s">
        <v>896</v>
      </c>
      <c r="C1183" s="7" t="s">
        <v>897</v>
      </c>
      <c r="D1183" s="10">
        <v>45847</v>
      </c>
      <c r="E1183" s="11" t="s">
        <v>314</v>
      </c>
      <c r="F1183" s="7" t="s">
        <v>27</v>
      </c>
      <c r="G1183" s="7"/>
    </row>
    <row r="1184" spans="1:7" x14ac:dyDescent="0.35">
      <c r="A1184" s="7" t="s">
        <v>659</v>
      </c>
      <c r="B1184" s="7" t="s">
        <v>896</v>
      </c>
      <c r="C1184" s="7" t="s">
        <v>897</v>
      </c>
      <c r="D1184" s="10">
        <v>45847</v>
      </c>
      <c r="E1184" s="11" t="s">
        <v>314</v>
      </c>
      <c r="F1184" s="7" t="s">
        <v>27</v>
      </c>
      <c r="G1184" s="7"/>
    </row>
    <row r="1185" spans="1:7" x14ac:dyDescent="0.35">
      <c r="A1185" s="7" t="s">
        <v>972</v>
      </c>
      <c r="B1185" s="7" t="s">
        <v>1025</v>
      </c>
      <c r="C1185" s="77" t="s">
        <v>1026</v>
      </c>
      <c r="D1185" s="10">
        <v>45847</v>
      </c>
      <c r="E1185" s="11" t="s">
        <v>314</v>
      </c>
      <c r="F1185" s="7" t="s">
        <v>27</v>
      </c>
      <c r="G1185" s="7"/>
    </row>
    <row r="1186" spans="1:7" x14ac:dyDescent="0.35">
      <c r="A1186" s="7" t="s">
        <v>657</v>
      </c>
      <c r="B1186" s="7" t="s">
        <v>896</v>
      </c>
      <c r="C1186" s="7" t="s">
        <v>897</v>
      </c>
      <c r="D1186" s="10">
        <v>45847</v>
      </c>
      <c r="E1186" s="11" t="s">
        <v>314</v>
      </c>
      <c r="F1186" s="7" t="s">
        <v>27</v>
      </c>
      <c r="G1186" s="7"/>
    </row>
    <row r="1187" spans="1:7" x14ac:dyDescent="0.35">
      <c r="A1187" s="7" t="s">
        <v>967</v>
      </c>
      <c r="B1187" s="7" t="s">
        <v>1025</v>
      </c>
      <c r="C1187" s="77" t="s">
        <v>1026</v>
      </c>
      <c r="D1187" s="10">
        <v>45847</v>
      </c>
      <c r="E1187" s="11" t="s">
        <v>314</v>
      </c>
      <c r="F1187" s="7" t="s">
        <v>867</v>
      </c>
      <c r="G1187" s="7"/>
    </row>
    <row r="1188" spans="1:7" x14ac:dyDescent="0.35">
      <c r="A1188" s="7" t="s">
        <v>967</v>
      </c>
      <c r="B1188" s="7" t="s">
        <v>908</v>
      </c>
      <c r="C1188" s="7" t="s">
        <v>374</v>
      </c>
      <c r="D1188" s="10">
        <v>45847</v>
      </c>
      <c r="E1188" s="11" t="s">
        <v>314</v>
      </c>
      <c r="F1188" s="7" t="s">
        <v>872</v>
      </c>
      <c r="G1188" s="7" t="s">
        <v>891</v>
      </c>
    </row>
    <row r="1189" spans="1:7" x14ac:dyDescent="0.35">
      <c r="A1189" s="7" t="s">
        <v>920</v>
      </c>
      <c r="B1189" s="7" t="s">
        <v>1025</v>
      </c>
      <c r="C1189" s="77" t="s">
        <v>1026</v>
      </c>
      <c r="D1189" s="10">
        <v>45852</v>
      </c>
      <c r="E1189" s="11" t="s">
        <v>314</v>
      </c>
      <c r="F1189" s="7" t="s">
        <v>871</v>
      </c>
      <c r="G1189" s="7" t="s">
        <v>891</v>
      </c>
    </row>
    <row r="1190" spans="1:7" x14ac:dyDescent="0.35">
      <c r="A1190" s="7" t="s">
        <v>1013</v>
      </c>
      <c r="B1190" s="7" t="s">
        <v>1025</v>
      </c>
      <c r="C1190" s="77" t="s">
        <v>1026</v>
      </c>
      <c r="D1190" s="10">
        <v>45852</v>
      </c>
      <c r="E1190" s="11" t="s">
        <v>314</v>
      </c>
      <c r="F1190" s="7" t="s">
        <v>867</v>
      </c>
      <c r="G1190" s="7"/>
    </row>
    <row r="1191" spans="1:7" x14ac:dyDescent="0.35">
      <c r="A1191" s="7" t="s">
        <v>962</v>
      </c>
      <c r="B1191" s="7" t="s">
        <v>1025</v>
      </c>
      <c r="C1191" s="77" t="s">
        <v>1026</v>
      </c>
      <c r="D1191" s="10">
        <v>45852</v>
      </c>
      <c r="E1191" s="11" t="s">
        <v>314</v>
      </c>
      <c r="F1191" s="7" t="s">
        <v>877</v>
      </c>
      <c r="G1191" s="7"/>
    </row>
    <row r="1192" spans="1:7" x14ac:dyDescent="0.35">
      <c r="A1192" s="7" t="s">
        <v>960</v>
      </c>
      <c r="B1192" s="7" t="s">
        <v>1025</v>
      </c>
      <c r="C1192" s="77" t="s">
        <v>1026</v>
      </c>
      <c r="D1192" s="10">
        <v>45852</v>
      </c>
      <c r="E1192" s="11" t="s">
        <v>314</v>
      </c>
      <c r="F1192" s="7" t="s">
        <v>877</v>
      </c>
      <c r="G1192" s="7"/>
    </row>
    <row r="1193" spans="1:7" x14ac:dyDescent="0.35">
      <c r="A1193" s="7" t="s">
        <v>981</v>
      </c>
      <c r="B1193" s="7" t="s">
        <v>1025</v>
      </c>
      <c r="C1193" s="77" t="s">
        <v>1026</v>
      </c>
      <c r="D1193" s="10">
        <v>45852</v>
      </c>
      <c r="E1193" s="11" t="s">
        <v>314</v>
      </c>
      <c r="F1193" s="7" t="s">
        <v>27</v>
      </c>
      <c r="G1193" s="7"/>
    </row>
    <row r="1194" spans="1:7" x14ac:dyDescent="0.35">
      <c r="A1194" s="7" t="s">
        <v>571</v>
      </c>
      <c r="B1194" s="7" t="s">
        <v>896</v>
      </c>
      <c r="C1194" s="7" t="s">
        <v>897</v>
      </c>
      <c r="D1194" s="10">
        <v>45852</v>
      </c>
      <c r="E1194" s="11" t="s">
        <v>314</v>
      </c>
      <c r="F1194" s="7" t="s">
        <v>27</v>
      </c>
      <c r="G1194" s="7"/>
    </row>
    <row r="1195" spans="1:7" x14ac:dyDescent="0.35">
      <c r="A1195" s="7" t="s">
        <v>985</v>
      </c>
      <c r="B1195" s="7" t="s">
        <v>1025</v>
      </c>
      <c r="C1195" s="77" t="s">
        <v>1026</v>
      </c>
      <c r="D1195" s="10">
        <v>45852</v>
      </c>
      <c r="E1195" s="11" t="s">
        <v>314</v>
      </c>
      <c r="F1195" s="7" t="s">
        <v>27</v>
      </c>
      <c r="G1195" s="7"/>
    </row>
    <row r="1196" spans="1:7" x14ac:dyDescent="0.35">
      <c r="A1196" s="7" t="s">
        <v>434</v>
      </c>
      <c r="B1196" s="7" t="s">
        <v>896</v>
      </c>
      <c r="C1196" s="7" t="s">
        <v>897</v>
      </c>
      <c r="D1196" s="10">
        <v>45852</v>
      </c>
      <c r="E1196" s="11" t="s">
        <v>314</v>
      </c>
      <c r="F1196" s="7" t="s">
        <v>27</v>
      </c>
      <c r="G1196" s="7"/>
    </row>
    <row r="1197" spans="1:7" x14ac:dyDescent="0.35">
      <c r="A1197" s="7" t="s">
        <v>498</v>
      </c>
      <c r="B1197" s="7" t="s">
        <v>896</v>
      </c>
      <c r="C1197" s="7" t="s">
        <v>897</v>
      </c>
      <c r="D1197" s="10">
        <v>45852</v>
      </c>
      <c r="E1197" s="11" t="s">
        <v>314</v>
      </c>
      <c r="F1197" s="7" t="s">
        <v>27</v>
      </c>
      <c r="G1197" s="7"/>
    </row>
    <row r="1198" spans="1:7" x14ac:dyDescent="0.35">
      <c r="A1198" s="77" t="s">
        <v>966</v>
      </c>
      <c r="B1198" s="77" t="s">
        <v>908</v>
      </c>
      <c r="C1198" s="77" t="s">
        <v>374</v>
      </c>
      <c r="D1198" s="78">
        <v>45852</v>
      </c>
      <c r="E1198" s="79" t="s">
        <v>314</v>
      </c>
      <c r="F1198" s="77" t="s">
        <v>872</v>
      </c>
      <c r="G1198" s="77" t="s">
        <v>891</v>
      </c>
    </row>
    <row r="1199" spans="1:7" x14ac:dyDescent="0.35">
      <c r="A1199" s="77" t="s">
        <v>701</v>
      </c>
      <c r="B1199" s="77" t="s">
        <v>896</v>
      </c>
      <c r="C1199" s="77" t="s">
        <v>897</v>
      </c>
      <c r="D1199" s="78">
        <v>45852</v>
      </c>
      <c r="E1199" s="79" t="s">
        <v>314</v>
      </c>
      <c r="F1199" s="7" t="s">
        <v>27</v>
      </c>
      <c r="G1199" s="77"/>
    </row>
    <row r="1200" spans="1:7" x14ac:dyDescent="0.35">
      <c r="A1200" s="77" t="s">
        <v>618</v>
      </c>
      <c r="B1200" s="77" t="s">
        <v>896</v>
      </c>
      <c r="C1200" s="77" t="s">
        <v>897</v>
      </c>
      <c r="D1200" s="78">
        <v>45852</v>
      </c>
      <c r="E1200" s="79" t="s">
        <v>314</v>
      </c>
      <c r="F1200" s="7" t="s">
        <v>27</v>
      </c>
      <c r="G1200" s="77"/>
    </row>
    <row r="1201" spans="1:7" x14ac:dyDescent="0.35">
      <c r="A1201" s="77" t="s">
        <v>1013</v>
      </c>
      <c r="B1201" s="77" t="s">
        <v>1025</v>
      </c>
      <c r="C1201" s="77" t="s">
        <v>1026</v>
      </c>
      <c r="D1201" s="78">
        <v>45852</v>
      </c>
      <c r="E1201" s="79" t="s">
        <v>314</v>
      </c>
      <c r="F1201" s="77" t="s">
        <v>1080</v>
      </c>
      <c r="G1201" s="77"/>
    </row>
    <row r="1202" spans="1:7" x14ac:dyDescent="0.35">
      <c r="A1202" s="77" t="s">
        <v>834</v>
      </c>
      <c r="B1202" s="77" t="s">
        <v>1025</v>
      </c>
      <c r="C1202" s="77" t="s">
        <v>1026</v>
      </c>
      <c r="D1202" s="78">
        <v>45854</v>
      </c>
      <c r="E1202" s="79" t="s">
        <v>314</v>
      </c>
      <c r="F1202" s="77" t="s">
        <v>1080</v>
      </c>
      <c r="G1202" s="77"/>
    </row>
    <row r="1203" spans="1:7" x14ac:dyDescent="0.35">
      <c r="A1203" s="7" t="s">
        <v>969</v>
      </c>
      <c r="B1203" s="7" t="s">
        <v>896</v>
      </c>
      <c r="C1203" s="7" t="s">
        <v>897</v>
      </c>
      <c r="D1203" s="10">
        <v>45857</v>
      </c>
      <c r="E1203" s="11" t="s">
        <v>314</v>
      </c>
      <c r="F1203" s="7" t="s">
        <v>19</v>
      </c>
      <c r="G1203" s="7"/>
    </row>
    <row r="1204" spans="1:7" x14ac:dyDescent="0.35">
      <c r="A1204" s="7" t="s">
        <v>982</v>
      </c>
      <c r="B1204" s="7" t="s">
        <v>1025</v>
      </c>
      <c r="C1204" s="77" t="s">
        <v>1026</v>
      </c>
      <c r="D1204" s="10">
        <v>45859</v>
      </c>
      <c r="E1204" s="11" t="s">
        <v>314</v>
      </c>
      <c r="F1204" s="7" t="s">
        <v>27</v>
      </c>
      <c r="G1204" s="7"/>
    </row>
    <row r="1205" spans="1:7" x14ac:dyDescent="0.35">
      <c r="A1205" s="7" t="s">
        <v>983</v>
      </c>
      <c r="B1205" s="7" t="s">
        <v>1025</v>
      </c>
      <c r="C1205" s="77" t="s">
        <v>1026</v>
      </c>
      <c r="D1205" s="10">
        <v>45859</v>
      </c>
      <c r="E1205" s="11" t="s">
        <v>314</v>
      </c>
      <c r="F1205" s="7" t="s">
        <v>27</v>
      </c>
      <c r="G1205" s="7"/>
    </row>
    <row r="1206" spans="1:7" x14ac:dyDescent="0.35">
      <c r="A1206" s="7" t="s">
        <v>915</v>
      </c>
      <c r="B1206" s="7" t="s">
        <v>1025</v>
      </c>
      <c r="C1206" s="77" t="s">
        <v>1026</v>
      </c>
      <c r="D1206" s="10">
        <v>45859</v>
      </c>
      <c r="E1206" s="11" t="s">
        <v>314</v>
      </c>
      <c r="F1206" s="7" t="s">
        <v>877</v>
      </c>
      <c r="G1206" s="7"/>
    </row>
    <row r="1207" spans="1:7" x14ac:dyDescent="0.35">
      <c r="A1207" s="7" t="s">
        <v>961</v>
      </c>
      <c r="B1207" s="7" t="s">
        <v>1025</v>
      </c>
      <c r="C1207" s="77" t="s">
        <v>1026</v>
      </c>
      <c r="D1207" s="10">
        <v>45859</v>
      </c>
      <c r="E1207" s="11" t="s">
        <v>314</v>
      </c>
      <c r="F1207" s="7" t="s">
        <v>877</v>
      </c>
      <c r="G1207" s="7"/>
    </row>
    <row r="1208" spans="1:7" x14ac:dyDescent="0.35">
      <c r="A1208" s="7" t="s">
        <v>715</v>
      </c>
      <c r="B1208" s="7" t="s">
        <v>896</v>
      </c>
      <c r="C1208" s="7" t="s">
        <v>897</v>
      </c>
      <c r="D1208" s="10">
        <v>45859</v>
      </c>
      <c r="E1208" s="11" t="s">
        <v>314</v>
      </c>
      <c r="F1208" s="7" t="s">
        <v>877</v>
      </c>
      <c r="G1208" s="7"/>
    </row>
    <row r="1209" spans="1:7" x14ac:dyDescent="0.35">
      <c r="A1209" s="7" t="s">
        <v>990</v>
      </c>
      <c r="B1209" s="7" t="s">
        <v>1025</v>
      </c>
      <c r="C1209" s="77" t="s">
        <v>1026</v>
      </c>
      <c r="D1209" s="10">
        <v>45859</v>
      </c>
      <c r="E1209" s="11" t="s">
        <v>314</v>
      </c>
      <c r="F1209" s="7" t="s">
        <v>871</v>
      </c>
      <c r="G1209" s="7" t="s">
        <v>891</v>
      </c>
    </row>
    <row r="1210" spans="1:7" x14ac:dyDescent="0.35">
      <c r="A1210" s="7" t="s">
        <v>990</v>
      </c>
      <c r="B1210" s="7" t="s">
        <v>1025</v>
      </c>
      <c r="C1210" s="77" t="s">
        <v>1026</v>
      </c>
      <c r="D1210" s="10">
        <v>45859</v>
      </c>
      <c r="E1210" s="11" t="s">
        <v>314</v>
      </c>
      <c r="F1210" s="7" t="s">
        <v>894</v>
      </c>
      <c r="G1210" s="7" t="s">
        <v>15</v>
      </c>
    </row>
    <row r="1211" spans="1:7" x14ac:dyDescent="0.35">
      <c r="A1211" s="7" t="s">
        <v>974</v>
      </c>
      <c r="B1211" s="7" t="s">
        <v>1025</v>
      </c>
      <c r="C1211" s="77" t="s">
        <v>1026</v>
      </c>
      <c r="D1211" s="10">
        <v>45859</v>
      </c>
      <c r="E1211" s="11" t="s">
        <v>314</v>
      </c>
      <c r="F1211" s="7" t="s">
        <v>27</v>
      </c>
      <c r="G1211" s="7"/>
    </row>
    <row r="1212" spans="1:7" x14ac:dyDescent="0.35">
      <c r="A1212" s="7" t="s">
        <v>973</v>
      </c>
      <c r="B1212" s="7" t="s">
        <v>1025</v>
      </c>
      <c r="C1212" s="77" t="s">
        <v>1026</v>
      </c>
      <c r="D1212" s="10">
        <v>45859</v>
      </c>
      <c r="E1212" s="11" t="s">
        <v>314</v>
      </c>
      <c r="F1212" s="7" t="s">
        <v>27</v>
      </c>
      <c r="G1212" s="7"/>
    </row>
    <row r="1213" spans="1:7" x14ac:dyDescent="0.35">
      <c r="A1213" s="7" t="s">
        <v>603</v>
      </c>
      <c r="B1213" s="7" t="s">
        <v>1025</v>
      </c>
      <c r="C1213" s="77" t="s">
        <v>1026</v>
      </c>
      <c r="D1213" s="10">
        <v>45859</v>
      </c>
      <c r="E1213" s="11" t="s">
        <v>314</v>
      </c>
      <c r="F1213" s="7" t="s">
        <v>27</v>
      </c>
      <c r="G1213" s="7"/>
    </row>
    <row r="1214" spans="1:7" x14ac:dyDescent="0.35">
      <c r="A1214" s="7" t="s">
        <v>931</v>
      </c>
      <c r="B1214" s="7" t="s">
        <v>1025</v>
      </c>
      <c r="C1214" s="77" t="s">
        <v>1026</v>
      </c>
      <c r="D1214" s="10">
        <v>45859</v>
      </c>
      <c r="E1214" s="11" t="s">
        <v>314</v>
      </c>
      <c r="F1214" s="7" t="s">
        <v>27</v>
      </c>
      <c r="G1214" s="7"/>
    </row>
    <row r="1215" spans="1:7" x14ac:dyDescent="0.35">
      <c r="A1215" s="7" t="s">
        <v>986</v>
      </c>
      <c r="B1215" s="7" t="s">
        <v>1025</v>
      </c>
      <c r="C1215" s="77" t="s">
        <v>1026</v>
      </c>
      <c r="D1215" s="10">
        <v>45859</v>
      </c>
      <c r="E1215" s="11" t="s">
        <v>314</v>
      </c>
      <c r="F1215" s="7" t="s">
        <v>27</v>
      </c>
      <c r="G1215" s="7"/>
    </row>
    <row r="1216" spans="1:7" x14ac:dyDescent="0.35">
      <c r="A1216" s="7" t="s">
        <v>441</v>
      </c>
      <c r="B1216" s="7" t="s">
        <v>896</v>
      </c>
      <c r="C1216" s="7" t="s">
        <v>897</v>
      </c>
      <c r="D1216" s="10">
        <v>45859</v>
      </c>
      <c r="E1216" s="11" t="s">
        <v>314</v>
      </c>
      <c r="F1216" s="7" t="s">
        <v>27</v>
      </c>
      <c r="G1216" s="7"/>
    </row>
    <row r="1217" spans="1:7" x14ac:dyDescent="0.35">
      <c r="A1217" s="7" t="s">
        <v>608</v>
      </c>
      <c r="B1217" s="7" t="s">
        <v>896</v>
      </c>
      <c r="C1217" s="7" t="s">
        <v>897</v>
      </c>
      <c r="D1217" s="10">
        <v>45859</v>
      </c>
      <c r="E1217" s="11" t="s">
        <v>314</v>
      </c>
      <c r="F1217" s="7" t="s">
        <v>27</v>
      </c>
      <c r="G1217" s="7"/>
    </row>
    <row r="1218" spans="1:7" x14ac:dyDescent="0.35">
      <c r="A1218" s="7" t="s">
        <v>90</v>
      </c>
      <c r="B1218" s="7" t="s">
        <v>896</v>
      </c>
      <c r="C1218" s="7" t="s">
        <v>897</v>
      </c>
      <c r="D1218" s="10">
        <v>45860</v>
      </c>
      <c r="E1218" s="11" t="s">
        <v>314</v>
      </c>
      <c r="F1218" s="7" t="s">
        <v>867</v>
      </c>
      <c r="G1218" s="7"/>
    </row>
    <row r="1219" spans="1:7" x14ac:dyDescent="0.35">
      <c r="A1219" s="7" t="s">
        <v>914</v>
      </c>
      <c r="B1219" s="7" t="s">
        <v>1025</v>
      </c>
      <c r="C1219" s="77" t="s">
        <v>1026</v>
      </c>
      <c r="D1219" s="10">
        <v>45860</v>
      </c>
      <c r="E1219" s="11" t="s">
        <v>314</v>
      </c>
      <c r="F1219" s="7" t="s">
        <v>877</v>
      </c>
      <c r="G1219" s="7"/>
    </row>
    <row r="1220" spans="1:7" x14ac:dyDescent="0.35">
      <c r="A1220" s="7" t="s">
        <v>976</v>
      </c>
      <c r="B1220" s="7" t="s">
        <v>1025</v>
      </c>
      <c r="C1220" s="77" t="s">
        <v>1026</v>
      </c>
      <c r="D1220" s="10">
        <v>45860</v>
      </c>
      <c r="E1220" s="11" t="s">
        <v>314</v>
      </c>
      <c r="F1220" s="7" t="s">
        <v>27</v>
      </c>
      <c r="G1220" s="7"/>
    </row>
    <row r="1221" spans="1:7" x14ac:dyDescent="0.35">
      <c r="A1221" s="7" t="s">
        <v>963</v>
      </c>
      <c r="B1221" s="7" t="s">
        <v>1025</v>
      </c>
      <c r="C1221" s="77" t="s">
        <v>1026</v>
      </c>
      <c r="D1221" s="10">
        <v>45861</v>
      </c>
      <c r="E1221" s="11" t="s">
        <v>314</v>
      </c>
      <c r="F1221" s="7" t="s">
        <v>877</v>
      </c>
      <c r="G1221" s="7"/>
    </row>
    <row r="1222" spans="1:7" x14ac:dyDescent="0.35">
      <c r="A1222" s="7" t="s">
        <v>672</v>
      </c>
      <c r="B1222" s="7" t="s">
        <v>896</v>
      </c>
      <c r="C1222" s="7" t="s">
        <v>897</v>
      </c>
      <c r="D1222" s="10">
        <v>45863</v>
      </c>
      <c r="E1222" s="11" t="s">
        <v>314</v>
      </c>
      <c r="F1222" s="7" t="s">
        <v>27</v>
      </c>
      <c r="G1222" s="7"/>
    </row>
    <row r="1223" spans="1:7" x14ac:dyDescent="0.35">
      <c r="A1223" s="7" t="s">
        <v>748</v>
      </c>
      <c r="B1223" s="7" t="s">
        <v>896</v>
      </c>
      <c r="C1223" s="7" t="s">
        <v>897</v>
      </c>
      <c r="D1223" s="10">
        <v>45863</v>
      </c>
      <c r="E1223" s="11" t="s">
        <v>314</v>
      </c>
      <c r="F1223" s="7" t="s">
        <v>877</v>
      </c>
      <c r="G1223" s="7"/>
    </row>
    <row r="1224" spans="1:7" x14ac:dyDescent="0.35">
      <c r="A1224" s="7" t="s">
        <v>991</v>
      </c>
      <c r="B1224" s="7" t="s">
        <v>1025</v>
      </c>
      <c r="C1224" s="77" t="s">
        <v>1026</v>
      </c>
      <c r="D1224" s="10">
        <v>45863</v>
      </c>
      <c r="E1224" s="11" t="s">
        <v>314</v>
      </c>
      <c r="F1224" s="7" t="s">
        <v>27</v>
      </c>
      <c r="G1224" s="7"/>
    </row>
    <row r="1225" spans="1:7" x14ac:dyDescent="0.35">
      <c r="A1225" s="7" t="s">
        <v>971</v>
      </c>
      <c r="B1225" s="7" t="s">
        <v>1025</v>
      </c>
      <c r="C1225" s="77" t="s">
        <v>1026</v>
      </c>
      <c r="D1225" s="10">
        <v>45863</v>
      </c>
      <c r="E1225" s="11" t="s">
        <v>314</v>
      </c>
      <c r="F1225" s="7" t="s">
        <v>27</v>
      </c>
      <c r="G1225" s="7"/>
    </row>
    <row r="1226" spans="1:7" x14ac:dyDescent="0.35">
      <c r="A1226" s="7" t="s">
        <v>958</v>
      </c>
      <c r="B1226" s="7" t="s">
        <v>1025</v>
      </c>
      <c r="C1226" s="77" t="s">
        <v>1026</v>
      </c>
      <c r="D1226" s="10">
        <v>45863</v>
      </c>
      <c r="E1226" s="11" t="s">
        <v>314</v>
      </c>
      <c r="F1226" s="7" t="s">
        <v>871</v>
      </c>
      <c r="G1226" s="7" t="s">
        <v>891</v>
      </c>
    </row>
    <row r="1227" spans="1:7" x14ac:dyDescent="0.35">
      <c r="A1227" s="7" t="s">
        <v>958</v>
      </c>
      <c r="B1227" s="7" t="s">
        <v>896</v>
      </c>
      <c r="C1227" s="7" t="s">
        <v>897</v>
      </c>
      <c r="D1227" s="10">
        <v>45863</v>
      </c>
      <c r="E1227" s="11" t="s">
        <v>314</v>
      </c>
      <c r="F1227" s="7" t="s">
        <v>19</v>
      </c>
      <c r="G1227" s="7"/>
    </row>
    <row r="1228" spans="1:7" x14ac:dyDescent="0.35">
      <c r="A1228" s="7" t="s">
        <v>90</v>
      </c>
      <c r="B1228" s="7" t="s">
        <v>908</v>
      </c>
      <c r="C1228" s="7" t="s">
        <v>374</v>
      </c>
      <c r="D1228" s="10">
        <v>45866</v>
      </c>
      <c r="E1228" s="11" t="s">
        <v>314</v>
      </c>
      <c r="F1228" s="7" t="s">
        <v>867</v>
      </c>
      <c r="G1228" s="7"/>
    </row>
    <row r="1229" spans="1:7" x14ac:dyDescent="0.35">
      <c r="A1229" s="7" t="s">
        <v>838</v>
      </c>
      <c r="B1229" s="7" t="s">
        <v>1025</v>
      </c>
      <c r="C1229" s="77" t="s">
        <v>1026</v>
      </c>
      <c r="D1229" s="10">
        <v>45866</v>
      </c>
      <c r="E1229" s="11" t="s">
        <v>314</v>
      </c>
      <c r="F1229" s="7" t="s">
        <v>867</v>
      </c>
      <c r="G1229" s="7"/>
    </row>
    <row r="1230" spans="1:7" x14ac:dyDescent="0.35">
      <c r="A1230" s="77" t="s">
        <v>966</v>
      </c>
      <c r="B1230" s="77" t="s">
        <v>1025</v>
      </c>
      <c r="C1230" s="77" t="s">
        <v>1026</v>
      </c>
      <c r="D1230" s="78">
        <v>45866</v>
      </c>
      <c r="E1230" s="79" t="s">
        <v>314</v>
      </c>
      <c r="F1230" s="77" t="s">
        <v>867</v>
      </c>
      <c r="G1230" s="77"/>
    </row>
    <row r="1231" spans="1:7" x14ac:dyDescent="0.35">
      <c r="A1231" s="7" t="s">
        <v>998</v>
      </c>
      <c r="B1231" s="7" t="s">
        <v>1025</v>
      </c>
      <c r="C1231" s="77" t="s">
        <v>1026</v>
      </c>
      <c r="D1231" s="10">
        <v>45867</v>
      </c>
      <c r="E1231" s="11" t="s">
        <v>314</v>
      </c>
      <c r="F1231" s="7" t="s">
        <v>27</v>
      </c>
      <c r="G1231" s="7"/>
    </row>
    <row r="1232" spans="1:7" x14ac:dyDescent="0.35">
      <c r="A1232" s="7" t="s">
        <v>975</v>
      </c>
      <c r="B1232" s="7" t="s">
        <v>1025</v>
      </c>
      <c r="C1232" s="77" t="s">
        <v>1026</v>
      </c>
      <c r="D1232" s="10">
        <v>45867</v>
      </c>
      <c r="E1232" s="11" t="s">
        <v>314</v>
      </c>
      <c r="F1232" s="7" t="s">
        <v>27</v>
      </c>
      <c r="G1232" s="7"/>
    </row>
    <row r="1233" spans="1:7" x14ac:dyDescent="0.35">
      <c r="A1233" s="77" t="s">
        <v>809</v>
      </c>
      <c r="B1233" s="77" t="s">
        <v>1025</v>
      </c>
      <c r="C1233" s="77" t="s">
        <v>1026</v>
      </c>
      <c r="D1233" s="78">
        <v>45867</v>
      </c>
      <c r="E1233" s="79" t="s">
        <v>314</v>
      </c>
      <c r="F1233" s="77" t="s">
        <v>871</v>
      </c>
      <c r="G1233" s="77" t="s">
        <v>891</v>
      </c>
    </row>
    <row r="1234" spans="1:7" x14ac:dyDescent="0.35">
      <c r="A1234" s="77" t="s">
        <v>809</v>
      </c>
      <c r="B1234" s="77" t="s">
        <v>908</v>
      </c>
      <c r="C1234" s="77" t="s">
        <v>374</v>
      </c>
      <c r="D1234" s="78">
        <v>45867</v>
      </c>
      <c r="E1234" s="79" t="s">
        <v>314</v>
      </c>
      <c r="F1234" s="77" t="s">
        <v>872</v>
      </c>
      <c r="G1234" s="77" t="s">
        <v>317</v>
      </c>
    </row>
    <row r="1235" spans="1:7" x14ac:dyDescent="0.35">
      <c r="A1235" s="7" t="s">
        <v>1002</v>
      </c>
      <c r="B1235" s="7" t="s">
        <v>1025</v>
      </c>
      <c r="C1235" s="77" t="s">
        <v>1026</v>
      </c>
      <c r="D1235" s="10">
        <v>45868</v>
      </c>
      <c r="E1235" s="11" t="s">
        <v>314</v>
      </c>
      <c r="F1235" s="7" t="s">
        <v>871</v>
      </c>
      <c r="G1235" s="7" t="s">
        <v>891</v>
      </c>
    </row>
    <row r="1236" spans="1:7" x14ac:dyDescent="0.35">
      <c r="A1236" s="7" t="s">
        <v>999</v>
      </c>
      <c r="B1236" s="7" t="s">
        <v>1025</v>
      </c>
      <c r="C1236" s="77" t="s">
        <v>1026</v>
      </c>
      <c r="D1236" s="10">
        <v>45868</v>
      </c>
      <c r="E1236" s="11" t="s">
        <v>314</v>
      </c>
      <c r="F1236" s="7" t="s">
        <v>871</v>
      </c>
      <c r="G1236" s="7" t="s">
        <v>891</v>
      </c>
    </row>
    <row r="1237" spans="1:7" x14ac:dyDescent="0.35">
      <c r="A1237" s="7" t="s">
        <v>995</v>
      </c>
      <c r="B1237" s="7" t="s">
        <v>1025</v>
      </c>
      <c r="C1237" s="77" t="s">
        <v>1026</v>
      </c>
      <c r="D1237" s="10">
        <v>45868</v>
      </c>
      <c r="E1237" s="11" t="s">
        <v>314</v>
      </c>
      <c r="F1237" s="7" t="s">
        <v>871</v>
      </c>
      <c r="G1237" s="7" t="s">
        <v>891</v>
      </c>
    </row>
    <row r="1238" spans="1:7" x14ac:dyDescent="0.35">
      <c r="A1238" s="7" t="s">
        <v>995</v>
      </c>
      <c r="B1238" s="7" t="s">
        <v>908</v>
      </c>
      <c r="C1238" s="7" t="s">
        <v>374</v>
      </c>
      <c r="D1238" s="10">
        <v>45868</v>
      </c>
      <c r="E1238" s="11" t="s">
        <v>314</v>
      </c>
      <c r="F1238" s="7" t="s">
        <v>19</v>
      </c>
      <c r="G1238" s="7"/>
    </row>
    <row r="1239" spans="1:7" x14ac:dyDescent="0.35">
      <c r="A1239" s="7" t="s">
        <v>928</v>
      </c>
      <c r="B1239" s="7" t="s">
        <v>896</v>
      </c>
      <c r="C1239" s="7" t="s">
        <v>897</v>
      </c>
      <c r="D1239" s="10">
        <v>45868</v>
      </c>
      <c r="E1239" s="11" t="s">
        <v>314</v>
      </c>
      <c r="F1239" s="7" t="s">
        <v>19</v>
      </c>
      <c r="G1239" s="7"/>
    </row>
    <row r="1240" spans="1:7" x14ac:dyDescent="0.35">
      <c r="A1240" s="7" t="s">
        <v>1005</v>
      </c>
      <c r="B1240" s="7" t="s">
        <v>896</v>
      </c>
      <c r="C1240" s="7" t="s">
        <v>897</v>
      </c>
      <c r="D1240" s="10">
        <v>45868</v>
      </c>
      <c r="E1240" s="11" t="s">
        <v>314</v>
      </c>
      <c r="F1240" s="7" t="s">
        <v>19</v>
      </c>
      <c r="G1240" s="7"/>
    </row>
    <row r="1241" spans="1:7" x14ac:dyDescent="0.35">
      <c r="A1241" s="7" t="s">
        <v>992</v>
      </c>
      <c r="B1241" s="7" t="s">
        <v>1025</v>
      </c>
      <c r="C1241" s="77" t="s">
        <v>1026</v>
      </c>
      <c r="D1241" s="10">
        <v>45868</v>
      </c>
      <c r="E1241" s="11" t="s">
        <v>314</v>
      </c>
      <c r="F1241" s="7" t="s">
        <v>871</v>
      </c>
      <c r="G1241" s="7" t="s">
        <v>891</v>
      </c>
    </row>
    <row r="1242" spans="1:7" x14ac:dyDescent="0.35">
      <c r="A1242" s="7" t="s">
        <v>992</v>
      </c>
      <c r="B1242" s="7" t="s">
        <v>896</v>
      </c>
      <c r="C1242" s="7" t="s">
        <v>897</v>
      </c>
      <c r="D1242" s="10">
        <v>45868</v>
      </c>
      <c r="E1242" s="11" t="s">
        <v>314</v>
      </c>
      <c r="F1242" s="7" t="s">
        <v>19</v>
      </c>
      <c r="G1242" s="7"/>
    </row>
    <row r="1243" spans="1:7" x14ac:dyDescent="0.35">
      <c r="A1243" s="7" t="s">
        <v>989</v>
      </c>
      <c r="B1243" s="7" t="s">
        <v>896</v>
      </c>
      <c r="C1243" s="7" t="s">
        <v>897</v>
      </c>
      <c r="D1243" s="10">
        <v>45868</v>
      </c>
      <c r="E1243" s="11" t="s">
        <v>314</v>
      </c>
      <c r="F1243" s="7" t="s">
        <v>19</v>
      </c>
      <c r="G1243" s="7"/>
    </row>
    <row r="1244" spans="1:7" x14ac:dyDescent="0.35">
      <c r="A1244" s="7" t="s">
        <v>988</v>
      </c>
      <c r="B1244" s="7" t="s">
        <v>1025</v>
      </c>
      <c r="C1244" s="77" t="s">
        <v>1026</v>
      </c>
      <c r="D1244" s="10">
        <v>45868</v>
      </c>
      <c r="E1244" s="11" t="s">
        <v>314</v>
      </c>
      <c r="F1244" s="7" t="s">
        <v>871</v>
      </c>
      <c r="G1244" s="7" t="s">
        <v>891</v>
      </c>
    </row>
    <row r="1245" spans="1:7" x14ac:dyDescent="0.35">
      <c r="A1245" s="7" t="s">
        <v>988</v>
      </c>
      <c r="B1245" s="7" t="s">
        <v>896</v>
      </c>
      <c r="C1245" s="7" t="s">
        <v>897</v>
      </c>
      <c r="D1245" s="10">
        <v>45868</v>
      </c>
      <c r="E1245" s="11" t="s">
        <v>314</v>
      </c>
      <c r="F1245" s="7" t="s">
        <v>19</v>
      </c>
      <c r="G1245" s="7"/>
    </row>
    <row r="1246" spans="1:7" x14ac:dyDescent="0.35">
      <c r="A1246" s="7" t="s">
        <v>994</v>
      </c>
      <c r="B1246" s="7" t="s">
        <v>896</v>
      </c>
      <c r="C1246" s="7" t="s">
        <v>897</v>
      </c>
      <c r="D1246" s="10">
        <v>45868</v>
      </c>
      <c r="E1246" s="11" t="s">
        <v>314</v>
      </c>
      <c r="F1246" s="7" t="s">
        <v>19</v>
      </c>
      <c r="G1246" s="7"/>
    </row>
    <row r="1247" spans="1:7" x14ac:dyDescent="0.35">
      <c r="A1247" s="7" t="s">
        <v>996</v>
      </c>
      <c r="B1247" s="7" t="s">
        <v>896</v>
      </c>
      <c r="C1247" s="7" t="s">
        <v>897</v>
      </c>
      <c r="D1247" s="10">
        <v>45868</v>
      </c>
      <c r="E1247" s="11" t="s">
        <v>314</v>
      </c>
      <c r="F1247" s="7" t="s">
        <v>19</v>
      </c>
      <c r="G1247" s="7"/>
    </row>
    <row r="1248" spans="1:7" x14ac:dyDescent="0.35">
      <c r="A1248" s="7" t="s">
        <v>814</v>
      </c>
      <c r="B1248" s="7" t="s">
        <v>1025</v>
      </c>
      <c r="C1248" s="77" t="s">
        <v>1026</v>
      </c>
      <c r="D1248" s="10">
        <v>45869</v>
      </c>
      <c r="E1248" s="11" t="s">
        <v>314</v>
      </c>
      <c r="F1248" s="7" t="s">
        <v>871</v>
      </c>
      <c r="G1248" s="7" t="s">
        <v>891</v>
      </c>
    </row>
    <row r="1249" spans="1:7" x14ac:dyDescent="0.35">
      <c r="A1249" s="7" t="s">
        <v>814</v>
      </c>
      <c r="B1249" s="7" t="s">
        <v>908</v>
      </c>
      <c r="C1249" s="7" t="s">
        <v>374</v>
      </c>
      <c r="D1249" s="10">
        <v>45869</v>
      </c>
      <c r="E1249" s="11" t="s">
        <v>314</v>
      </c>
      <c r="F1249" s="7" t="s">
        <v>872</v>
      </c>
      <c r="G1249" s="7" t="s">
        <v>317</v>
      </c>
    </row>
    <row r="1250" spans="1:7" x14ac:dyDescent="0.35">
      <c r="A1250" s="7" t="s">
        <v>814</v>
      </c>
      <c r="B1250" s="7" t="s">
        <v>896</v>
      </c>
      <c r="C1250" s="7" t="s">
        <v>897</v>
      </c>
      <c r="D1250" s="10">
        <v>45869</v>
      </c>
      <c r="E1250" s="11" t="s">
        <v>314</v>
      </c>
      <c r="F1250" s="7" t="s">
        <v>19</v>
      </c>
      <c r="G1250" s="7"/>
    </row>
    <row r="1251" spans="1:7" x14ac:dyDescent="0.35">
      <c r="A1251" s="77" t="s">
        <v>970</v>
      </c>
      <c r="B1251" s="77" t="s">
        <v>896</v>
      </c>
      <c r="C1251" s="77" t="s">
        <v>897</v>
      </c>
      <c r="D1251" s="78">
        <v>45869</v>
      </c>
      <c r="E1251" s="79" t="s">
        <v>314</v>
      </c>
      <c r="F1251" s="77" t="s">
        <v>19</v>
      </c>
      <c r="G1251" s="77"/>
    </row>
    <row r="1252" spans="1:7" x14ac:dyDescent="0.35">
      <c r="A1252" s="7" t="s">
        <v>1003</v>
      </c>
      <c r="B1252" s="7" t="s">
        <v>896</v>
      </c>
      <c r="C1252" s="7" t="s">
        <v>897</v>
      </c>
      <c r="D1252" s="10">
        <v>45877</v>
      </c>
      <c r="E1252" s="11" t="s">
        <v>314</v>
      </c>
      <c r="F1252" s="7" t="s">
        <v>867</v>
      </c>
      <c r="G1252" s="7"/>
    </row>
    <row r="1253" spans="1:7" x14ac:dyDescent="0.35">
      <c r="A1253" s="7" t="s">
        <v>1009</v>
      </c>
      <c r="B1253" s="7" t="s">
        <v>1025</v>
      </c>
      <c r="C1253" s="77" t="s">
        <v>1026</v>
      </c>
      <c r="D1253" s="10">
        <v>45877</v>
      </c>
      <c r="E1253" s="11" t="s">
        <v>314</v>
      </c>
      <c r="F1253" s="7" t="s">
        <v>867</v>
      </c>
      <c r="G1253" s="7"/>
    </row>
    <row r="1254" spans="1:7" x14ac:dyDescent="0.35">
      <c r="A1254" s="7" t="s">
        <v>1006</v>
      </c>
      <c r="B1254" s="7" t="s">
        <v>1025</v>
      </c>
      <c r="C1254" s="77" t="s">
        <v>1026</v>
      </c>
      <c r="D1254" s="10">
        <v>45877</v>
      </c>
      <c r="E1254" s="11" t="s">
        <v>314</v>
      </c>
      <c r="F1254" s="7" t="s">
        <v>871</v>
      </c>
      <c r="G1254" s="7" t="s">
        <v>891</v>
      </c>
    </row>
    <row r="1255" spans="1:7" x14ac:dyDescent="0.35">
      <c r="A1255" s="7" t="s">
        <v>660</v>
      </c>
      <c r="B1255" s="7" t="s">
        <v>896</v>
      </c>
      <c r="C1255" s="7" t="s">
        <v>897</v>
      </c>
      <c r="D1255" s="10">
        <v>45877</v>
      </c>
      <c r="E1255" s="11" t="s">
        <v>314</v>
      </c>
      <c r="F1255" s="7" t="s">
        <v>27</v>
      </c>
      <c r="G1255" s="7"/>
    </row>
    <row r="1256" spans="1:7" x14ac:dyDescent="0.35">
      <c r="A1256" s="77" t="s">
        <v>1010</v>
      </c>
      <c r="B1256" s="77" t="s">
        <v>1025</v>
      </c>
      <c r="C1256" s="77" t="s">
        <v>1026</v>
      </c>
      <c r="D1256" s="78">
        <v>45877</v>
      </c>
      <c r="E1256" s="79" t="s">
        <v>314</v>
      </c>
      <c r="F1256" s="77" t="s">
        <v>1080</v>
      </c>
      <c r="G1256" s="77"/>
    </row>
    <row r="1257" spans="1:7" x14ac:dyDescent="0.35">
      <c r="A1257" s="77" t="s">
        <v>1009</v>
      </c>
      <c r="B1257" s="77" t="s">
        <v>1025</v>
      </c>
      <c r="C1257" s="77" t="s">
        <v>1026</v>
      </c>
      <c r="D1257" s="78">
        <v>45880</v>
      </c>
      <c r="E1257" s="79" t="s">
        <v>314</v>
      </c>
      <c r="F1257" s="77" t="s">
        <v>1080</v>
      </c>
      <c r="G1257" s="77"/>
    </row>
    <row r="1258" spans="1:7" x14ac:dyDescent="0.35">
      <c r="A1258" s="77" t="s">
        <v>1011</v>
      </c>
      <c r="B1258" s="77" t="s">
        <v>1025</v>
      </c>
      <c r="C1258" s="77" t="s">
        <v>1026</v>
      </c>
      <c r="D1258" s="78">
        <v>45882</v>
      </c>
      <c r="E1258" s="79" t="s">
        <v>314</v>
      </c>
      <c r="F1258" s="77" t="s">
        <v>1080</v>
      </c>
      <c r="G1258" s="77"/>
    </row>
    <row r="1259" spans="1:7" x14ac:dyDescent="0.35">
      <c r="A1259" s="77" t="s">
        <v>75</v>
      </c>
      <c r="B1259" s="77" t="s">
        <v>1025</v>
      </c>
      <c r="C1259" s="77" t="s">
        <v>1026</v>
      </c>
      <c r="D1259" s="78">
        <v>45882</v>
      </c>
      <c r="E1259" s="79" t="s">
        <v>314</v>
      </c>
      <c r="F1259" s="77" t="s">
        <v>1080</v>
      </c>
      <c r="G1259" s="77"/>
    </row>
    <row r="1260" spans="1:7" x14ac:dyDescent="0.35">
      <c r="A1260" s="77" t="s">
        <v>1019</v>
      </c>
      <c r="B1260" s="77" t="s">
        <v>1025</v>
      </c>
      <c r="C1260" s="77" t="s">
        <v>1026</v>
      </c>
      <c r="D1260" s="78">
        <v>45883</v>
      </c>
      <c r="E1260" s="79" t="s">
        <v>314</v>
      </c>
      <c r="F1260" s="77" t="s">
        <v>1080</v>
      </c>
      <c r="G1260" s="77"/>
    </row>
    <row r="1261" spans="1:7" x14ac:dyDescent="0.35">
      <c r="A1261" s="77" t="s">
        <v>1012</v>
      </c>
      <c r="B1261" s="77" t="s">
        <v>1025</v>
      </c>
      <c r="C1261" s="77" t="s">
        <v>1026</v>
      </c>
      <c r="D1261" s="78">
        <v>45883</v>
      </c>
      <c r="E1261" s="79" t="s">
        <v>314</v>
      </c>
      <c r="F1261" s="77" t="s">
        <v>1080</v>
      </c>
      <c r="G1261" s="77"/>
    </row>
    <row r="1262" spans="1:7" x14ac:dyDescent="0.35">
      <c r="A1262" s="77" t="s">
        <v>1079</v>
      </c>
      <c r="B1262" s="77" t="s">
        <v>1025</v>
      </c>
      <c r="C1262" s="77" t="s">
        <v>1026</v>
      </c>
      <c r="D1262" s="78">
        <v>45883</v>
      </c>
      <c r="E1262" s="79" t="s">
        <v>314</v>
      </c>
      <c r="F1262" s="77" t="s">
        <v>1080</v>
      </c>
      <c r="G1262" s="77"/>
    </row>
    <row r="1263" spans="1:7" x14ac:dyDescent="0.35">
      <c r="A1263" s="7" t="s">
        <v>781</v>
      </c>
      <c r="B1263" s="7" t="s">
        <v>896</v>
      </c>
      <c r="C1263" s="7" t="s">
        <v>897</v>
      </c>
      <c r="D1263" s="10">
        <v>45884</v>
      </c>
      <c r="E1263" s="11" t="s">
        <v>314</v>
      </c>
      <c r="F1263" s="7" t="s">
        <v>1084</v>
      </c>
      <c r="G1263" s="7"/>
    </row>
    <row r="1264" spans="1:7" x14ac:dyDescent="0.35">
      <c r="A1264" s="77" t="s">
        <v>25</v>
      </c>
      <c r="B1264" s="77" t="s">
        <v>1025</v>
      </c>
      <c r="C1264" s="77" t="s">
        <v>1026</v>
      </c>
      <c r="D1264" s="78">
        <v>45888</v>
      </c>
      <c r="E1264" s="79" t="s">
        <v>314</v>
      </c>
      <c r="F1264" s="77" t="s">
        <v>1080</v>
      </c>
      <c r="G1264" s="77"/>
    </row>
    <row r="1265" spans="1:7" x14ac:dyDescent="0.35">
      <c r="A1265" s="7" t="s">
        <v>1010</v>
      </c>
      <c r="B1265" s="7" t="s">
        <v>1025</v>
      </c>
      <c r="C1265" s="77" t="s">
        <v>1026</v>
      </c>
      <c r="D1265" s="10">
        <v>45889</v>
      </c>
      <c r="E1265" s="11" t="s">
        <v>314</v>
      </c>
      <c r="F1265" s="7" t="s">
        <v>867</v>
      </c>
      <c r="G1265" s="7"/>
    </row>
    <row r="1266" spans="1:7" x14ac:dyDescent="0.35">
      <c r="A1266" s="7" t="s">
        <v>1021</v>
      </c>
      <c r="B1266" s="7" t="s">
        <v>896</v>
      </c>
      <c r="C1266" s="7" t="s">
        <v>897</v>
      </c>
      <c r="D1266" s="10">
        <v>45889</v>
      </c>
      <c r="E1266" s="11" t="s">
        <v>314</v>
      </c>
      <c r="F1266" s="7" t="s">
        <v>867</v>
      </c>
      <c r="G1266" s="7"/>
    </row>
    <row r="1267" spans="1:7" x14ac:dyDescent="0.35">
      <c r="A1267" s="7" t="s">
        <v>1012</v>
      </c>
      <c r="B1267" s="7" t="s">
        <v>1025</v>
      </c>
      <c r="C1267" s="77" t="s">
        <v>1026</v>
      </c>
      <c r="D1267" s="10">
        <v>45889</v>
      </c>
      <c r="E1267" s="11" t="s">
        <v>314</v>
      </c>
      <c r="F1267" s="7" t="s">
        <v>867</v>
      </c>
      <c r="G1267" s="7"/>
    </row>
    <row r="1268" spans="1:7" x14ac:dyDescent="0.35">
      <c r="A1268" s="7" t="s">
        <v>1011</v>
      </c>
      <c r="B1268" s="7" t="s">
        <v>1025</v>
      </c>
      <c r="C1268" s="77" t="s">
        <v>1026</v>
      </c>
      <c r="D1268" s="10">
        <v>45889</v>
      </c>
      <c r="E1268" s="11" t="s">
        <v>314</v>
      </c>
      <c r="F1268" s="7" t="s">
        <v>867</v>
      </c>
      <c r="G1268" s="7"/>
    </row>
    <row r="1269" spans="1:7" x14ac:dyDescent="0.35">
      <c r="A1269" s="7" t="s">
        <v>25</v>
      </c>
      <c r="B1269" s="7" t="s">
        <v>1025</v>
      </c>
      <c r="C1269" s="77" t="s">
        <v>1026</v>
      </c>
      <c r="D1269" s="10">
        <v>45889</v>
      </c>
      <c r="E1269" s="11" t="s">
        <v>314</v>
      </c>
      <c r="F1269" s="7" t="s">
        <v>867</v>
      </c>
      <c r="G1269" s="7"/>
    </row>
    <row r="1270" spans="1:7" x14ac:dyDescent="0.35">
      <c r="A1270" s="7" t="s">
        <v>75</v>
      </c>
      <c r="B1270" s="7" t="s">
        <v>1025</v>
      </c>
      <c r="C1270" s="77" t="s">
        <v>1026</v>
      </c>
      <c r="D1270" s="10">
        <v>45889</v>
      </c>
      <c r="E1270" s="11" t="s">
        <v>314</v>
      </c>
      <c r="F1270" s="7" t="s">
        <v>867</v>
      </c>
      <c r="G1270" s="7"/>
    </row>
    <row r="1271" spans="1:7" x14ac:dyDescent="0.35">
      <c r="A1271" s="7" t="s">
        <v>781</v>
      </c>
      <c r="B1271" s="7" t="s">
        <v>896</v>
      </c>
      <c r="C1271" s="7" t="s">
        <v>897</v>
      </c>
      <c r="D1271" s="10">
        <v>45889</v>
      </c>
      <c r="E1271" s="11" t="s">
        <v>314</v>
      </c>
      <c r="F1271" s="7" t="s">
        <v>867</v>
      </c>
      <c r="G1271" s="7"/>
    </row>
    <row r="1272" spans="1:7" x14ac:dyDescent="0.35">
      <c r="A1272" s="77" t="s">
        <v>987</v>
      </c>
      <c r="B1272" s="77" t="s">
        <v>1025</v>
      </c>
      <c r="C1272" s="77" t="s">
        <v>1026</v>
      </c>
      <c r="D1272" s="78">
        <v>45889</v>
      </c>
      <c r="E1272" s="79" t="s">
        <v>314</v>
      </c>
      <c r="F1272" s="77" t="s">
        <v>88</v>
      </c>
      <c r="G1272" s="77" t="s">
        <v>22</v>
      </c>
    </row>
    <row r="1273" spans="1:7" x14ac:dyDescent="0.35">
      <c r="A1273" s="7" t="s">
        <v>1016</v>
      </c>
      <c r="B1273" s="7" t="s">
        <v>908</v>
      </c>
      <c r="C1273" s="7" t="s">
        <v>374</v>
      </c>
      <c r="D1273" s="10">
        <v>45890</v>
      </c>
      <c r="E1273" s="11" t="s">
        <v>314</v>
      </c>
      <c r="F1273" s="7" t="s">
        <v>872</v>
      </c>
      <c r="G1273" s="7" t="s">
        <v>891</v>
      </c>
    </row>
    <row r="1274" spans="1:7" x14ac:dyDescent="0.35">
      <c r="A1274" s="7" t="s">
        <v>1019</v>
      </c>
      <c r="B1274" s="7" t="s">
        <v>908</v>
      </c>
      <c r="C1274" s="7" t="s">
        <v>374</v>
      </c>
      <c r="D1274" s="10">
        <v>45890</v>
      </c>
      <c r="E1274" s="11" t="s">
        <v>314</v>
      </c>
      <c r="F1274" s="7" t="s">
        <v>872</v>
      </c>
      <c r="G1274" s="7" t="s">
        <v>317</v>
      </c>
    </row>
    <row r="1275" spans="1:7" x14ac:dyDescent="0.35">
      <c r="A1275" s="7" t="s">
        <v>1014</v>
      </c>
      <c r="B1275" s="7" t="s">
        <v>908</v>
      </c>
      <c r="C1275" s="7" t="s">
        <v>374</v>
      </c>
      <c r="D1275" s="10">
        <v>45890</v>
      </c>
      <c r="E1275" s="11" t="s">
        <v>314</v>
      </c>
      <c r="F1275" s="7" t="s">
        <v>872</v>
      </c>
      <c r="G1275" s="7" t="s">
        <v>891</v>
      </c>
    </row>
    <row r="1276" spans="1:7" x14ac:dyDescent="0.35">
      <c r="A1276" s="7" t="s">
        <v>919</v>
      </c>
      <c r="B1276" s="7" t="s">
        <v>1025</v>
      </c>
      <c r="C1276" s="77" t="s">
        <v>1026</v>
      </c>
      <c r="D1276" s="10">
        <v>45890</v>
      </c>
      <c r="E1276" s="11" t="s">
        <v>314</v>
      </c>
      <c r="F1276" s="7" t="s">
        <v>871</v>
      </c>
      <c r="G1276" s="7" t="s">
        <v>891</v>
      </c>
    </row>
    <row r="1277" spans="1:7" x14ac:dyDescent="0.35">
      <c r="A1277" s="7" t="s">
        <v>1035</v>
      </c>
      <c r="B1277" s="7" t="s">
        <v>1025</v>
      </c>
      <c r="C1277" s="77" t="s">
        <v>1026</v>
      </c>
      <c r="D1277" s="10">
        <v>45890</v>
      </c>
      <c r="E1277" s="11" t="s">
        <v>314</v>
      </c>
      <c r="F1277" s="7" t="s">
        <v>871</v>
      </c>
      <c r="G1277" s="7" t="s">
        <v>891</v>
      </c>
    </row>
    <row r="1278" spans="1:7" x14ac:dyDescent="0.35">
      <c r="A1278" s="7" t="s">
        <v>591</v>
      </c>
      <c r="B1278" s="7" t="s">
        <v>908</v>
      </c>
      <c r="C1278" s="7" t="s">
        <v>374</v>
      </c>
      <c r="D1278" s="10">
        <v>45890</v>
      </c>
      <c r="E1278" s="11" t="s">
        <v>314</v>
      </c>
      <c r="F1278" s="7" t="s">
        <v>872</v>
      </c>
      <c r="G1278" s="7" t="s">
        <v>891</v>
      </c>
    </row>
    <row r="1279" spans="1:7" x14ac:dyDescent="0.35">
      <c r="A1279" s="7" t="s">
        <v>1007</v>
      </c>
      <c r="B1279" s="7" t="s">
        <v>896</v>
      </c>
      <c r="C1279" s="7" t="s">
        <v>897</v>
      </c>
      <c r="D1279" s="10">
        <v>45890</v>
      </c>
      <c r="E1279" s="11" t="s">
        <v>314</v>
      </c>
      <c r="F1279" s="7" t="s">
        <v>19</v>
      </c>
      <c r="G1279" s="7"/>
    </row>
    <row r="1280" spans="1:7" x14ac:dyDescent="0.35">
      <c r="A1280" s="7" t="s">
        <v>993</v>
      </c>
      <c r="B1280" s="7" t="s">
        <v>896</v>
      </c>
      <c r="C1280" s="7" t="s">
        <v>897</v>
      </c>
      <c r="D1280" s="10">
        <v>45890</v>
      </c>
      <c r="E1280" s="11" t="s">
        <v>314</v>
      </c>
      <c r="F1280" s="7" t="s">
        <v>19</v>
      </c>
      <c r="G1280" s="7"/>
    </row>
    <row r="1281" spans="1:7" x14ac:dyDescent="0.35">
      <c r="A1281" s="7" t="s">
        <v>803</v>
      </c>
      <c r="B1281" s="7" t="s">
        <v>908</v>
      </c>
      <c r="C1281" s="7" t="s">
        <v>374</v>
      </c>
      <c r="D1281" s="10">
        <v>45891</v>
      </c>
      <c r="E1281" s="11" t="s">
        <v>314</v>
      </c>
      <c r="F1281" s="7" t="s">
        <v>872</v>
      </c>
      <c r="G1281" s="7" t="s">
        <v>317</v>
      </c>
    </row>
    <row r="1282" spans="1:7" x14ac:dyDescent="0.35">
      <c r="A1282" s="7" t="s">
        <v>1023</v>
      </c>
      <c r="B1282" s="7" t="s">
        <v>1025</v>
      </c>
      <c r="C1282" s="77" t="s">
        <v>1026</v>
      </c>
      <c r="D1282" s="10">
        <v>45891</v>
      </c>
      <c r="E1282" s="11" t="s">
        <v>314</v>
      </c>
      <c r="F1282" s="7" t="s">
        <v>871</v>
      </c>
      <c r="G1282" s="7" t="s">
        <v>891</v>
      </c>
    </row>
    <row r="1283" spans="1:7" x14ac:dyDescent="0.35">
      <c r="A1283" s="7" t="s">
        <v>1023</v>
      </c>
      <c r="B1283" s="7" t="s">
        <v>908</v>
      </c>
      <c r="C1283" s="7" t="s">
        <v>374</v>
      </c>
      <c r="D1283" s="10">
        <v>45891</v>
      </c>
      <c r="E1283" s="11" t="s">
        <v>314</v>
      </c>
      <c r="F1283" s="7" t="s">
        <v>19</v>
      </c>
      <c r="G1283" s="7"/>
    </row>
    <row r="1284" spans="1:7" x14ac:dyDescent="0.35">
      <c r="A1284" s="77" t="s">
        <v>803</v>
      </c>
      <c r="B1284" s="77" t="s">
        <v>1025</v>
      </c>
      <c r="C1284" s="77" t="s">
        <v>1026</v>
      </c>
      <c r="D1284" s="78">
        <v>45891</v>
      </c>
      <c r="E1284" s="79" t="s">
        <v>314</v>
      </c>
      <c r="F1284" s="77" t="s">
        <v>1080</v>
      </c>
      <c r="G1284" s="77"/>
    </row>
    <row r="1285" spans="1:7" x14ac:dyDescent="0.35">
      <c r="A1285" s="7" t="s">
        <v>40</v>
      </c>
      <c r="B1285" s="7" t="s">
        <v>896</v>
      </c>
      <c r="C1285" s="7" t="s">
        <v>897</v>
      </c>
      <c r="D1285" s="10">
        <v>45894</v>
      </c>
      <c r="E1285" s="11" t="s">
        <v>314</v>
      </c>
      <c r="F1285" s="7" t="s">
        <v>867</v>
      </c>
      <c r="G1285" s="7"/>
    </row>
    <row r="1286" spans="1:7" x14ac:dyDescent="0.35">
      <c r="A1286" s="7" t="s">
        <v>1031</v>
      </c>
      <c r="B1286" s="7" t="s">
        <v>1025</v>
      </c>
      <c r="C1286" s="77" t="s">
        <v>1026</v>
      </c>
      <c r="D1286" s="10">
        <v>45894</v>
      </c>
      <c r="E1286" s="11" t="s">
        <v>314</v>
      </c>
      <c r="F1286" s="7" t="s">
        <v>27</v>
      </c>
      <c r="G1286" s="7"/>
    </row>
    <row r="1287" spans="1:7" x14ac:dyDescent="0.35">
      <c r="A1287" s="77" t="s">
        <v>1031</v>
      </c>
      <c r="B1287" s="77" t="s">
        <v>1025</v>
      </c>
      <c r="C1287" s="77" t="s">
        <v>1026</v>
      </c>
      <c r="D1287" s="78">
        <v>45894</v>
      </c>
      <c r="E1287" s="79" t="s">
        <v>314</v>
      </c>
      <c r="F1287" s="77" t="s">
        <v>1080</v>
      </c>
      <c r="G1287" s="77"/>
    </row>
    <row r="1288" spans="1:7" x14ac:dyDescent="0.35">
      <c r="A1288" s="7" t="s">
        <v>1032</v>
      </c>
      <c r="B1288" s="7" t="s">
        <v>1025</v>
      </c>
      <c r="C1288" s="77" t="s">
        <v>1026</v>
      </c>
      <c r="D1288" s="10">
        <v>45896</v>
      </c>
      <c r="E1288" s="11" t="s">
        <v>314</v>
      </c>
      <c r="F1288" s="7" t="s">
        <v>872</v>
      </c>
      <c r="G1288" s="7" t="s">
        <v>317</v>
      </c>
    </row>
    <row r="1289" spans="1:7" x14ac:dyDescent="0.35">
      <c r="A1289" s="7" t="s">
        <v>1030</v>
      </c>
      <c r="B1289" s="7" t="s">
        <v>1025</v>
      </c>
      <c r="C1289" s="77" t="s">
        <v>1026</v>
      </c>
      <c r="D1289" s="10">
        <v>45896</v>
      </c>
      <c r="E1289" s="11" t="s">
        <v>314</v>
      </c>
      <c r="F1289" s="7" t="s">
        <v>872</v>
      </c>
      <c r="G1289" s="7" t="s">
        <v>317</v>
      </c>
    </row>
    <row r="1290" spans="1:7" x14ac:dyDescent="0.35">
      <c r="A1290" s="7" t="s">
        <v>433</v>
      </c>
      <c r="B1290" s="7" t="s">
        <v>896</v>
      </c>
      <c r="C1290" s="7" t="s">
        <v>897</v>
      </c>
      <c r="D1290" s="10">
        <v>45896</v>
      </c>
      <c r="E1290" s="11" t="s">
        <v>314</v>
      </c>
      <c r="F1290" s="7" t="s">
        <v>27</v>
      </c>
      <c r="G1290" s="7"/>
    </row>
    <row r="1291" spans="1:7" x14ac:dyDescent="0.35">
      <c r="A1291" s="7" t="s">
        <v>433</v>
      </c>
      <c r="B1291" s="7" t="s">
        <v>1025</v>
      </c>
      <c r="C1291" s="77" t="s">
        <v>1026</v>
      </c>
      <c r="D1291" s="10">
        <v>45896</v>
      </c>
      <c r="E1291" s="11" t="s">
        <v>314</v>
      </c>
      <c r="F1291" s="7" t="s">
        <v>894</v>
      </c>
      <c r="G1291" s="7" t="s">
        <v>15</v>
      </c>
    </row>
    <row r="1292" spans="1:7" x14ac:dyDescent="0.35">
      <c r="A1292" s="7" t="s">
        <v>433</v>
      </c>
      <c r="B1292" s="7" t="s">
        <v>908</v>
      </c>
      <c r="C1292" s="7" t="s">
        <v>374</v>
      </c>
      <c r="D1292" s="10">
        <v>45896</v>
      </c>
      <c r="E1292" s="11" t="s">
        <v>314</v>
      </c>
      <c r="F1292" s="7" t="s">
        <v>874</v>
      </c>
      <c r="G1292" s="7" t="s">
        <v>1034</v>
      </c>
    </row>
    <row r="1293" spans="1:7" x14ac:dyDescent="0.35">
      <c r="A1293" s="7" t="s">
        <v>576</v>
      </c>
      <c r="B1293" s="7" t="s">
        <v>908</v>
      </c>
      <c r="C1293" s="7" t="s">
        <v>374</v>
      </c>
      <c r="D1293" s="10">
        <v>45896</v>
      </c>
      <c r="E1293" s="11" t="s">
        <v>314</v>
      </c>
      <c r="F1293" s="7" t="s">
        <v>872</v>
      </c>
      <c r="G1293" s="7" t="s">
        <v>317</v>
      </c>
    </row>
    <row r="1294" spans="1:7" x14ac:dyDescent="0.35">
      <c r="A1294" s="7" t="s">
        <v>1033</v>
      </c>
      <c r="B1294" s="7" t="s">
        <v>1025</v>
      </c>
      <c r="C1294" s="77" t="s">
        <v>1026</v>
      </c>
      <c r="D1294" s="10">
        <v>45896</v>
      </c>
      <c r="E1294" s="11" t="s">
        <v>314</v>
      </c>
      <c r="F1294" s="7" t="s">
        <v>872</v>
      </c>
      <c r="G1294" s="7" t="s">
        <v>317</v>
      </c>
    </row>
    <row r="1295" spans="1:7" x14ac:dyDescent="0.35">
      <c r="A1295" s="77" t="s">
        <v>576</v>
      </c>
      <c r="B1295" s="77" t="s">
        <v>1025</v>
      </c>
      <c r="C1295" s="77" t="s">
        <v>1026</v>
      </c>
      <c r="D1295" s="78">
        <v>45896</v>
      </c>
      <c r="E1295" s="79" t="s">
        <v>314</v>
      </c>
      <c r="F1295" s="77" t="s">
        <v>1080</v>
      </c>
      <c r="G1295" s="77"/>
    </row>
    <row r="1296" spans="1:7" x14ac:dyDescent="0.35">
      <c r="A1296" s="77" t="s">
        <v>433</v>
      </c>
      <c r="B1296" s="77" t="s">
        <v>1025</v>
      </c>
      <c r="C1296" s="77" t="s">
        <v>1026</v>
      </c>
      <c r="D1296" s="78">
        <v>45896</v>
      </c>
      <c r="E1296" s="79" t="s">
        <v>314</v>
      </c>
      <c r="F1296" s="77" t="s">
        <v>1080</v>
      </c>
      <c r="G1296" s="77"/>
    </row>
    <row r="1297" spans="1:7" x14ac:dyDescent="0.35">
      <c r="A1297" s="77" t="s">
        <v>1030</v>
      </c>
      <c r="B1297" s="77" t="s">
        <v>1025</v>
      </c>
      <c r="C1297" s="77" t="s">
        <v>1026</v>
      </c>
      <c r="D1297" s="78">
        <v>45896</v>
      </c>
      <c r="E1297" s="79" t="s">
        <v>314</v>
      </c>
      <c r="F1297" s="77" t="s">
        <v>1080</v>
      </c>
      <c r="G1297" s="77"/>
    </row>
    <row r="1298" spans="1:7" x14ac:dyDescent="0.35">
      <c r="A1298" s="77" t="s">
        <v>1033</v>
      </c>
      <c r="B1298" s="77" t="s">
        <v>1025</v>
      </c>
      <c r="C1298" s="77" t="s">
        <v>1026</v>
      </c>
      <c r="D1298" s="78">
        <v>45896</v>
      </c>
      <c r="E1298" s="79" t="s">
        <v>314</v>
      </c>
      <c r="F1298" s="77" t="s">
        <v>1080</v>
      </c>
      <c r="G1298" s="77"/>
    </row>
    <row r="1299" spans="1:7" x14ac:dyDescent="0.35">
      <c r="A1299" s="77" t="s">
        <v>1032</v>
      </c>
      <c r="B1299" s="77" t="s">
        <v>1025</v>
      </c>
      <c r="C1299" s="77" t="s">
        <v>1026</v>
      </c>
      <c r="D1299" s="78">
        <v>45896</v>
      </c>
      <c r="E1299" s="79" t="s">
        <v>314</v>
      </c>
      <c r="F1299" s="77" t="s">
        <v>1080</v>
      </c>
      <c r="G1299" s="77"/>
    </row>
    <row r="1300" spans="1:7" x14ac:dyDescent="0.35">
      <c r="A1300" s="59" t="s">
        <v>76</v>
      </c>
      <c r="B1300" s="59" t="s">
        <v>896</v>
      </c>
      <c r="C1300" s="59" t="s">
        <v>897</v>
      </c>
      <c r="D1300" s="60">
        <v>45900</v>
      </c>
      <c r="E1300" s="61" t="s">
        <v>314</v>
      </c>
      <c r="F1300" s="59" t="s">
        <v>867</v>
      </c>
      <c r="G1300" s="59"/>
    </row>
    <row r="1301" spans="1:7" x14ac:dyDescent="0.35">
      <c r="A1301" s="59" t="s">
        <v>754</v>
      </c>
      <c r="B1301" s="59" t="s">
        <v>896</v>
      </c>
      <c r="C1301" s="59" t="s">
        <v>897</v>
      </c>
      <c r="D1301" s="60">
        <v>45900</v>
      </c>
      <c r="E1301" s="61" t="s">
        <v>314</v>
      </c>
      <c r="F1301" s="59" t="s">
        <v>19</v>
      </c>
      <c r="G1301" s="59"/>
    </row>
    <row r="1302" spans="1:7" x14ac:dyDescent="0.35">
      <c r="A1302" s="59" t="s">
        <v>1024</v>
      </c>
      <c r="B1302" s="59" t="s">
        <v>908</v>
      </c>
      <c r="C1302" s="59" t="s">
        <v>374</v>
      </c>
      <c r="D1302" s="60">
        <v>45900</v>
      </c>
      <c r="E1302" s="61" t="s">
        <v>314</v>
      </c>
      <c r="F1302" s="59" t="s">
        <v>19</v>
      </c>
      <c r="G1302" s="59"/>
    </row>
    <row r="1303" spans="1:7" x14ac:dyDescent="0.35">
      <c r="A1303" s="59" t="s">
        <v>1004</v>
      </c>
      <c r="B1303" s="59" t="s">
        <v>896</v>
      </c>
      <c r="C1303" s="59" t="s">
        <v>897</v>
      </c>
      <c r="D1303" s="60">
        <v>45900</v>
      </c>
      <c r="E1303" s="61" t="s">
        <v>314</v>
      </c>
      <c r="F1303" s="59" t="s">
        <v>19</v>
      </c>
      <c r="G1303" s="59"/>
    </row>
    <row r="1304" spans="1:7" x14ac:dyDescent="0.35">
      <c r="A1304" s="7" t="s">
        <v>283</v>
      </c>
      <c r="B1304" s="7" t="s">
        <v>1025</v>
      </c>
      <c r="C1304" s="77" t="s">
        <v>1026</v>
      </c>
      <c r="D1304" s="10">
        <v>45900</v>
      </c>
      <c r="E1304" s="11" t="s">
        <v>314</v>
      </c>
      <c r="F1304" s="7" t="s">
        <v>894</v>
      </c>
      <c r="G1304" s="7" t="s">
        <v>15</v>
      </c>
    </row>
    <row r="1305" spans="1:7" x14ac:dyDescent="0.35">
      <c r="A1305" s="59" t="s">
        <v>283</v>
      </c>
      <c r="B1305" s="59" t="s">
        <v>1025</v>
      </c>
      <c r="C1305" s="77" t="s">
        <v>1026</v>
      </c>
      <c r="D1305" s="60">
        <v>45900</v>
      </c>
      <c r="E1305" s="61" t="s">
        <v>314</v>
      </c>
      <c r="F1305" s="59" t="s">
        <v>877</v>
      </c>
      <c r="G1305" s="59"/>
    </row>
    <row r="1306" spans="1:7" x14ac:dyDescent="0.35">
      <c r="A1306" s="77" t="s">
        <v>283</v>
      </c>
      <c r="B1306" s="77" t="s">
        <v>1025</v>
      </c>
      <c r="C1306" s="77" t="s">
        <v>1026</v>
      </c>
      <c r="D1306" s="78">
        <v>45901</v>
      </c>
      <c r="E1306" s="79" t="s">
        <v>314</v>
      </c>
      <c r="F1306" s="77" t="s">
        <v>1080</v>
      </c>
      <c r="G1306" s="77"/>
    </row>
    <row r="1307" spans="1:7" x14ac:dyDescent="0.35">
      <c r="A1307" s="7" t="s">
        <v>1022</v>
      </c>
      <c r="B1307" s="7" t="s">
        <v>896</v>
      </c>
      <c r="C1307" s="7" t="s">
        <v>897</v>
      </c>
      <c r="D1307" s="10">
        <v>45902</v>
      </c>
      <c r="E1307" s="11" t="s">
        <v>314</v>
      </c>
      <c r="F1307" s="7" t="s">
        <v>867</v>
      </c>
      <c r="G1307" s="7"/>
    </row>
    <row r="1308" spans="1:7" x14ac:dyDescent="0.35">
      <c r="A1308" s="7" t="s">
        <v>1015</v>
      </c>
      <c r="B1308" s="7" t="s">
        <v>908</v>
      </c>
      <c r="C1308" s="7" t="s">
        <v>374</v>
      </c>
      <c r="D1308" s="10">
        <v>45902</v>
      </c>
      <c r="E1308" s="11" t="s">
        <v>314</v>
      </c>
      <c r="F1308" s="7" t="s">
        <v>872</v>
      </c>
      <c r="G1308" s="7" t="s">
        <v>891</v>
      </c>
    </row>
    <row r="1309" spans="1:7" x14ac:dyDescent="0.35">
      <c r="A1309" s="77" t="s">
        <v>1015</v>
      </c>
      <c r="B1309" s="77" t="s">
        <v>1025</v>
      </c>
      <c r="C1309" s="77" t="s">
        <v>1026</v>
      </c>
      <c r="D1309" s="78">
        <v>45902</v>
      </c>
      <c r="E1309" s="79" t="s">
        <v>314</v>
      </c>
      <c r="F1309" s="77" t="s">
        <v>1080</v>
      </c>
      <c r="G1309" s="77"/>
    </row>
    <row r="1310" spans="1:7" x14ac:dyDescent="0.35">
      <c r="A1310" s="77" t="s">
        <v>634</v>
      </c>
      <c r="B1310" s="77" t="s">
        <v>1025</v>
      </c>
      <c r="C1310" s="77" t="s">
        <v>1026</v>
      </c>
      <c r="D1310" s="78">
        <v>45904</v>
      </c>
      <c r="E1310" s="79" t="s">
        <v>314</v>
      </c>
      <c r="F1310" s="77" t="s">
        <v>1080</v>
      </c>
      <c r="G1310" s="77"/>
    </row>
    <row r="1311" spans="1:7" x14ac:dyDescent="0.35">
      <c r="A1311" s="77" t="s">
        <v>1040</v>
      </c>
      <c r="B1311" s="77" t="s">
        <v>1025</v>
      </c>
      <c r="C1311" s="77" t="s">
        <v>1026</v>
      </c>
      <c r="D1311" s="78">
        <v>45904</v>
      </c>
      <c r="E1311" s="79" t="s">
        <v>314</v>
      </c>
      <c r="F1311" s="77" t="s">
        <v>1080</v>
      </c>
      <c r="G1311" s="77"/>
    </row>
    <row r="1312" spans="1:7" x14ac:dyDescent="0.35">
      <c r="A1312" s="77" t="s">
        <v>1041</v>
      </c>
      <c r="B1312" s="77" t="s">
        <v>1025</v>
      </c>
      <c r="C1312" s="77" t="s">
        <v>1026</v>
      </c>
      <c r="D1312" s="78">
        <v>45904</v>
      </c>
      <c r="E1312" s="79" t="s">
        <v>314</v>
      </c>
      <c r="F1312" s="77" t="s">
        <v>1080</v>
      </c>
      <c r="G1312" s="77"/>
    </row>
    <row r="1313" spans="1:7" x14ac:dyDescent="0.35">
      <c r="A1313" s="59" t="s">
        <v>1029</v>
      </c>
      <c r="B1313" s="59" t="s">
        <v>908</v>
      </c>
      <c r="C1313" s="59" t="s">
        <v>374</v>
      </c>
      <c r="D1313" s="60">
        <v>45905</v>
      </c>
      <c r="E1313" s="61" t="s">
        <v>314</v>
      </c>
      <c r="F1313" s="59" t="s">
        <v>19</v>
      </c>
      <c r="G1313" s="59"/>
    </row>
    <row r="1314" spans="1:7" x14ac:dyDescent="0.35">
      <c r="A1314" s="7" t="s">
        <v>1039</v>
      </c>
      <c r="B1314" s="7" t="s">
        <v>1025</v>
      </c>
      <c r="C1314" s="77" t="s">
        <v>1026</v>
      </c>
      <c r="D1314" s="10">
        <v>45905</v>
      </c>
      <c r="E1314" s="11" t="s">
        <v>314</v>
      </c>
      <c r="F1314" s="7" t="s">
        <v>27</v>
      </c>
      <c r="G1314" s="7"/>
    </row>
    <row r="1315" spans="1:7" x14ac:dyDescent="0.35">
      <c r="A1315" s="7" t="s">
        <v>1039</v>
      </c>
      <c r="B1315" s="7" t="s">
        <v>1025</v>
      </c>
      <c r="C1315" s="77" t="s">
        <v>1026</v>
      </c>
      <c r="D1315" s="10">
        <v>45905</v>
      </c>
      <c r="E1315" s="11" t="s">
        <v>314</v>
      </c>
      <c r="F1315" s="7" t="s">
        <v>894</v>
      </c>
      <c r="G1315" s="7" t="s">
        <v>15</v>
      </c>
    </row>
    <row r="1316" spans="1:7" x14ac:dyDescent="0.35">
      <c r="A1316" s="7" t="s">
        <v>1041</v>
      </c>
      <c r="B1316" s="7" t="s">
        <v>1025</v>
      </c>
      <c r="C1316" s="77" t="s">
        <v>1026</v>
      </c>
      <c r="D1316" s="10">
        <v>45905</v>
      </c>
      <c r="E1316" s="11" t="s">
        <v>314</v>
      </c>
      <c r="F1316" s="7" t="s">
        <v>871</v>
      </c>
      <c r="G1316" s="7" t="s">
        <v>891</v>
      </c>
    </row>
    <row r="1317" spans="1:7" x14ac:dyDescent="0.35">
      <c r="A1317" s="7" t="s">
        <v>1041</v>
      </c>
      <c r="B1317" s="7" t="s">
        <v>1025</v>
      </c>
      <c r="C1317" s="77" t="s">
        <v>1026</v>
      </c>
      <c r="D1317" s="10">
        <v>45905</v>
      </c>
      <c r="E1317" s="11" t="s">
        <v>314</v>
      </c>
      <c r="F1317" s="7" t="s">
        <v>894</v>
      </c>
      <c r="G1317" s="7" t="s">
        <v>15</v>
      </c>
    </row>
    <row r="1318" spans="1:7" x14ac:dyDescent="0.35">
      <c r="A1318" s="7" t="s">
        <v>1040</v>
      </c>
      <c r="B1318" s="7" t="s">
        <v>1025</v>
      </c>
      <c r="C1318" s="77" t="s">
        <v>1026</v>
      </c>
      <c r="D1318" s="10">
        <v>45905</v>
      </c>
      <c r="E1318" s="11" t="s">
        <v>314</v>
      </c>
      <c r="F1318" s="7" t="s">
        <v>27</v>
      </c>
      <c r="G1318" s="7"/>
    </row>
    <row r="1319" spans="1:7" x14ac:dyDescent="0.35">
      <c r="A1319" s="7" t="s">
        <v>620</v>
      </c>
      <c r="B1319" s="7" t="s">
        <v>896</v>
      </c>
      <c r="C1319" s="7" t="s">
        <v>897</v>
      </c>
      <c r="D1319" s="10">
        <v>45905</v>
      </c>
      <c r="E1319" s="11" t="s">
        <v>314</v>
      </c>
      <c r="F1319" s="7" t="s">
        <v>27</v>
      </c>
      <c r="G1319" s="7"/>
    </row>
    <row r="1320" spans="1:7" x14ac:dyDescent="0.35">
      <c r="A1320" s="7" t="s">
        <v>620</v>
      </c>
      <c r="B1320" s="7" t="s">
        <v>1025</v>
      </c>
      <c r="C1320" s="77" t="s">
        <v>1026</v>
      </c>
      <c r="D1320" s="10">
        <v>45905</v>
      </c>
      <c r="E1320" s="11" t="s">
        <v>314</v>
      </c>
      <c r="F1320" s="7" t="s">
        <v>894</v>
      </c>
      <c r="G1320" s="7" t="s">
        <v>15</v>
      </c>
    </row>
    <row r="1321" spans="1:7" x14ac:dyDescent="0.35">
      <c r="A1321" s="7" t="s">
        <v>634</v>
      </c>
      <c r="B1321" s="7" t="s">
        <v>896</v>
      </c>
      <c r="C1321" s="7" t="s">
        <v>897</v>
      </c>
      <c r="D1321" s="10">
        <v>45905</v>
      </c>
      <c r="E1321" s="11" t="s">
        <v>314</v>
      </c>
      <c r="F1321" s="7" t="s">
        <v>27</v>
      </c>
      <c r="G1321" s="7"/>
    </row>
    <row r="1322" spans="1:7" x14ac:dyDescent="0.35">
      <c r="A1322" s="7" t="s">
        <v>634</v>
      </c>
      <c r="B1322" s="7" t="s">
        <v>1025</v>
      </c>
      <c r="C1322" s="77" t="s">
        <v>1026</v>
      </c>
      <c r="D1322" s="10">
        <v>45905</v>
      </c>
      <c r="E1322" s="11" t="s">
        <v>314</v>
      </c>
      <c r="F1322" s="7" t="s">
        <v>894</v>
      </c>
      <c r="G1322" s="7" t="s">
        <v>15</v>
      </c>
    </row>
    <row r="1323" spans="1:7" x14ac:dyDescent="0.35">
      <c r="A1323" s="7" t="s">
        <v>411</v>
      </c>
      <c r="B1323" s="7" t="s">
        <v>1025</v>
      </c>
      <c r="C1323" s="77" t="s">
        <v>1026</v>
      </c>
      <c r="D1323" s="10">
        <v>45908</v>
      </c>
      <c r="E1323" s="11" t="s">
        <v>314</v>
      </c>
      <c r="F1323" s="7" t="s">
        <v>867</v>
      </c>
      <c r="G1323" s="7"/>
    </row>
    <row r="1324" spans="1:7" x14ac:dyDescent="0.35">
      <c r="A1324" s="77" t="s">
        <v>411</v>
      </c>
      <c r="B1324" s="77" t="s">
        <v>1025</v>
      </c>
      <c r="C1324" s="77" t="s">
        <v>1026</v>
      </c>
      <c r="D1324" s="78">
        <v>45908</v>
      </c>
      <c r="E1324" s="79" t="s">
        <v>314</v>
      </c>
      <c r="F1324" s="77" t="s">
        <v>1080</v>
      </c>
      <c r="G1324" s="77"/>
    </row>
    <row r="1325" spans="1:7" x14ac:dyDescent="0.35">
      <c r="A1325" s="77" t="s">
        <v>253</v>
      </c>
      <c r="B1325" s="77" t="s">
        <v>1025</v>
      </c>
      <c r="C1325" s="77" t="s">
        <v>1026</v>
      </c>
      <c r="D1325" s="78">
        <v>45908</v>
      </c>
      <c r="E1325" s="79" t="s">
        <v>314</v>
      </c>
      <c r="F1325" s="77" t="s">
        <v>1080</v>
      </c>
      <c r="G1325" s="77"/>
    </row>
    <row r="1326" spans="1:7" x14ac:dyDescent="0.35">
      <c r="A1326" s="77" t="s">
        <v>716</v>
      </c>
      <c r="B1326" s="77" t="s">
        <v>1025</v>
      </c>
      <c r="C1326" s="77" t="s">
        <v>1026</v>
      </c>
      <c r="D1326" s="78">
        <v>45909</v>
      </c>
      <c r="E1326" s="79" t="s">
        <v>314</v>
      </c>
      <c r="F1326" s="77" t="s">
        <v>1080</v>
      </c>
      <c r="G1326" s="77"/>
    </row>
    <row r="1327" spans="1:7" x14ac:dyDescent="0.35">
      <c r="A1327" s="77" t="s">
        <v>498</v>
      </c>
      <c r="B1327" s="77" t="s">
        <v>1025</v>
      </c>
      <c r="C1327" s="77" t="s">
        <v>1026</v>
      </c>
      <c r="D1327" s="78">
        <v>45909</v>
      </c>
      <c r="E1327" s="79" t="s">
        <v>314</v>
      </c>
      <c r="F1327" s="77" t="s">
        <v>1080</v>
      </c>
      <c r="G1327" s="77"/>
    </row>
    <row r="1328" spans="1:7" x14ac:dyDescent="0.35">
      <c r="A1328" s="77" t="s">
        <v>323</v>
      </c>
      <c r="B1328" s="77" t="s">
        <v>1025</v>
      </c>
      <c r="C1328" s="77" t="s">
        <v>1026</v>
      </c>
      <c r="D1328" s="78">
        <v>45909</v>
      </c>
      <c r="E1328" s="79" t="s">
        <v>314</v>
      </c>
      <c r="F1328" s="77" t="s">
        <v>1080</v>
      </c>
      <c r="G1328" s="77"/>
    </row>
    <row r="1329" spans="1:7" x14ac:dyDescent="0.35">
      <c r="A1329" s="77" t="s">
        <v>804</v>
      </c>
      <c r="B1329" s="77" t="s">
        <v>1025</v>
      </c>
      <c r="C1329" s="77" t="s">
        <v>1026</v>
      </c>
      <c r="D1329" s="78">
        <v>45909</v>
      </c>
      <c r="E1329" s="79" t="s">
        <v>314</v>
      </c>
      <c r="F1329" s="77" t="s">
        <v>1080</v>
      </c>
      <c r="G1329" s="77"/>
    </row>
    <row r="1330" spans="1:7" x14ac:dyDescent="0.35">
      <c r="A1330" s="77" t="s">
        <v>1048</v>
      </c>
      <c r="B1330" s="77" t="s">
        <v>1025</v>
      </c>
      <c r="C1330" s="77" t="s">
        <v>1026</v>
      </c>
      <c r="D1330" s="78">
        <v>45909</v>
      </c>
      <c r="E1330" s="79" t="s">
        <v>314</v>
      </c>
      <c r="F1330" s="77" t="s">
        <v>1080</v>
      </c>
      <c r="G1330" s="77"/>
    </row>
    <row r="1331" spans="1:7" x14ac:dyDescent="0.35">
      <c r="A1331" s="77" t="s">
        <v>1045</v>
      </c>
      <c r="B1331" s="77" t="s">
        <v>1025</v>
      </c>
      <c r="C1331" s="77" t="s">
        <v>1026</v>
      </c>
      <c r="D1331" s="78">
        <v>45909</v>
      </c>
      <c r="E1331" s="79" t="s">
        <v>314</v>
      </c>
      <c r="F1331" s="77" t="s">
        <v>1080</v>
      </c>
      <c r="G1331" s="77"/>
    </row>
    <row r="1332" spans="1:7" x14ac:dyDescent="0.35">
      <c r="A1332" s="7" t="s">
        <v>1037</v>
      </c>
      <c r="B1332" s="7" t="s">
        <v>1025</v>
      </c>
      <c r="C1332" s="77" t="s">
        <v>1026</v>
      </c>
      <c r="D1332" s="10">
        <v>45910</v>
      </c>
      <c r="E1332" s="11" t="s">
        <v>314</v>
      </c>
      <c r="F1332" s="7" t="s">
        <v>27</v>
      </c>
      <c r="G1332" s="7"/>
    </row>
    <row r="1333" spans="1:7" x14ac:dyDescent="0.35">
      <c r="A1333" s="7" t="s">
        <v>1037</v>
      </c>
      <c r="B1333" s="7" t="s">
        <v>1025</v>
      </c>
      <c r="C1333" s="77" t="s">
        <v>1026</v>
      </c>
      <c r="D1333" s="10">
        <v>45910</v>
      </c>
      <c r="E1333" s="11" t="s">
        <v>314</v>
      </c>
      <c r="F1333" s="7" t="s">
        <v>894</v>
      </c>
      <c r="G1333" s="7" t="s">
        <v>15</v>
      </c>
    </row>
    <row r="1334" spans="1:7" x14ac:dyDescent="0.35">
      <c r="A1334" s="7" t="s">
        <v>505</v>
      </c>
      <c r="B1334" s="7" t="s">
        <v>1025</v>
      </c>
      <c r="C1334" s="77" t="s">
        <v>1026</v>
      </c>
      <c r="D1334" s="10">
        <v>45910</v>
      </c>
      <c r="E1334" s="11" t="s">
        <v>314</v>
      </c>
      <c r="F1334" s="7" t="s">
        <v>872</v>
      </c>
      <c r="G1334" s="7" t="s">
        <v>317</v>
      </c>
    </row>
    <row r="1335" spans="1:7" x14ac:dyDescent="0.35">
      <c r="A1335" s="7" t="s">
        <v>1018</v>
      </c>
      <c r="B1335" s="59" t="s">
        <v>908</v>
      </c>
      <c r="C1335" s="59" t="s">
        <v>374</v>
      </c>
      <c r="D1335" s="60">
        <v>45910</v>
      </c>
      <c r="E1335" s="61" t="s">
        <v>314</v>
      </c>
      <c r="F1335" s="59" t="s">
        <v>19</v>
      </c>
      <c r="G1335" s="59"/>
    </row>
    <row r="1336" spans="1:7" x14ac:dyDescent="0.35">
      <c r="A1336" s="7" t="s">
        <v>804</v>
      </c>
      <c r="B1336" s="7" t="s">
        <v>908</v>
      </c>
      <c r="C1336" s="7" t="s">
        <v>374</v>
      </c>
      <c r="D1336" s="10">
        <v>45910</v>
      </c>
      <c r="E1336" s="11" t="s">
        <v>314</v>
      </c>
      <c r="F1336" s="7" t="s">
        <v>872</v>
      </c>
      <c r="G1336" s="7" t="s">
        <v>317</v>
      </c>
    </row>
    <row r="1337" spans="1:7" x14ac:dyDescent="0.35">
      <c r="A1337" s="7" t="s">
        <v>1051</v>
      </c>
      <c r="B1337" s="7" t="s">
        <v>908</v>
      </c>
      <c r="C1337" s="7" t="s">
        <v>374</v>
      </c>
      <c r="D1337" s="10">
        <v>45910</v>
      </c>
      <c r="E1337" s="11" t="s">
        <v>314</v>
      </c>
      <c r="F1337" s="7" t="s">
        <v>872</v>
      </c>
      <c r="G1337" s="7" t="s">
        <v>317</v>
      </c>
    </row>
    <row r="1338" spans="1:7" x14ac:dyDescent="0.35">
      <c r="A1338" s="7" t="s">
        <v>802</v>
      </c>
      <c r="B1338" s="7" t="s">
        <v>908</v>
      </c>
      <c r="C1338" s="7" t="s">
        <v>374</v>
      </c>
      <c r="D1338" s="10">
        <v>45910</v>
      </c>
      <c r="E1338" s="11" t="s">
        <v>314</v>
      </c>
      <c r="F1338" s="7" t="s">
        <v>872</v>
      </c>
      <c r="G1338" s="7" t="s">
        <v>317</v>
      </c>
    </row>
    <row r="1339" spans="1:7" x14ac:dyDescent="0.35">
      <c r="A1339" s="7" t="s">
        <v>1045</v>
      </c>
      <c r="B1339" s="7" t="s">
        <v>1025</v>
      </c>
      <c r="C1339" s="77" t="s">
        <v>1026</v>
      </c>
      <c r="D1339" s="10">
        <v>45910</v>
      </c>
      <c r="E1339" s="11" t="s">
        <v>314</v>
      </c>
      <c r="F1339" s="7" t="s">
        <v>872</v>
      </c>
      <c r="G1339" s="7" t="s">
        <v>317</v>
      </c>
    </row>
    <row r="1340" spans="1:7" x14ac:dyDescent="0.35">
      <c r="A1340" s="7" t="s">
        <v>1046</v>
      </c>
      <c r="B1340" s="7" t="s">
        <v>1025</v>
      </c>
      <c r="C1340" s="77" t="s">
        <v>1026</v>
      </c>
      <c r="D1340" s="10">
        <v>45910</v>
      </c>
      <c r="E1340" s="11" t="s">
        <v>314</v>
      </c>
      <c r="F1340" s="7" t="s">
        <v>27</v>
      </c>
      <c r="G1340" s="7"/>
    </row>
    <row r="1341" spans="1:7" x14ac:dyDescent="0.35">
      <c r="A1341" s="7" t="s">
        <v>323</v>
      </c>
      <c r="B1341" s="7" t="s">
        <v>896</v>
      </c>
      <c r="C1341" s="7" t="s">
        <v>897</v>
      </c>
      <c r="D1341" s="10">
        <v>45910</v>
      </c>
      <c r="E1341" s="11" t="s">
        <v>314</v>
      </c>
      <c r="F1341" s="7" t="s">
        <v>27</v>
      </c>
      <c r="G1341" s="7"/>
    </row>
    <row r="1342" spans="1:7" x14ac:dyDescent="0.35">
      <c r="A1342" s="7" t="s">
        <v>253</v>
      </c>
      <c r="B1342" s="7" t="s">
        <v>1025</v>
      </c>
      <c r="C1342" s="77" t="s">
        <v>1026</v>
      </c>
      <c r="D1342" s="10">
        <v>45910</v>
      </c>
      <c r="E1342" s="11" t="s">
        <v>314</v>
      </c>
      <c r="F1342" s="7" t="s">
        <v>867</v>
      </c>
      <c r="G1342" s="7"/>
    </row>
    <row r="1343" spans="1:7" x14ac:dyDescent="0.35">
      <c r="A1343" s="7" t="s">
        <v>1048</v>
      </c>
      <c r="B1343" s="7" t="s">
        <v>1025</v>
      </c>
      <c r="C1343" s="77" t="s">
        <v>1026</v>
      </c>
      <c r="D1343" s="10">
        <v>45910</v>
      </c>
      <c r="E1343" s="11" t="s">
        <v>314</v>
      </c>
      <c r="F1343" s="7" t="s">
        <v>872</v>
      </c>
      <c r="G1343" s="7" t="s">
        <v>317</v>
      </c>
    </row>
    <row r="1344" spans="1:7" x14ac:dyDescent="0.35">
      <c r="A1344" s="7" t="s">
        <v>81</v>
      </c>
      <c r="B1344" s="7" t="s">
        <v>1025</v>
      </c>
      <c r="C1344" s="77" t="s">
        <v>1026</v>
      </c>
      <c r="D1344" s="10">
        <v>45910</v>
      </c>
      <c r="E1344" s="11" t="s">
        <v>314</v>
      </c>
      <c r="F1344" s="7" t="s">
        <v>872</v>
      </c>
      <c r="G1344" s="7" t="s">
        <v>317</v>
      </c>
    </row>
    <row r="1345" spans="1:7" x14ac:dyDescent="0.35">
      <c r="A1345" s="7" t="s">
        <v>551</v>
      </c>
      <c r="B1345" s="7" t="s">
        <v>1025</v>
      </c>
      <c r="C1345" s="77" t="s">
        <v>1026</v>
      </c>
      <c r="D1345" s="10">
        <v>45910</v>
      </c>
      <c r="E1345" s="11" t="s">
        <v>314</v>
      </c>
      <c r="F1345" s="7" t="s">
        <v>872</v>
      </c>
      <c r="G1345" s="7" t="s">
        <v>317</v>
      </c>
    </row>
    <row r="1346" spans="1:7" x14ac:dyDescent="0.35">
      <c r="A1346" s="77" t="s">
        <v>1037</v>
      </c>
      <c r="B1346" s="77" t="s">
        <v>1025</v>
      </c>
      <c r="C1346" s="77" t="s">
        <v>1026</v>
      </c>
      <c r="D1346" s="78">
        <v>45910</v>
      </c>
      <c r="E1346" s="79" t="s">
        <v>314</v>
      </c>
      <c r="F1346" s="77" t="s">
        <v>1080</v>
      </c>
      <c r="G1346" s="77"/>
    </row>
    <row r="1347" spans="1:7" x14ac:dyDescent="0.35">
      <c r="A1347" s="77" t="s">
        <v>802</v>
      </c>
      <c r="B1347" s="77" t="s">
        <v>1025</v>
      </c>
      <c r="C1347" s="77" t="s">
        <v>1026</v>
      </c>
      <c r="D1347" s="78">
        <v>45910</v>
      </c>
      <c r="E1347" s="79" t="s">
        <v>314</v>
      </c>
      <c r="F1347" s="77" t="s">
        <v>1080</v>
      </c>
      <c r="G1347" s="77"/>
    </row>
    <row r="1348" spans="1:7" x14ac:dyDescent="0.35">
      <c r="A1348" s="77" t="s">
        <v>1051</v>
      </c>
      <c r="B1348" s="77" t="s">
        <v>1025</v>
      </c>
      <c r="C1348" s="77" t="s">
        <v>1026</v>
      </c>
      <c r="D1348" s="78">
        <v>45910</v>
      </c>
      <c r="E1348" s="79" t="s">
        <v>314</v>
      </c>
      <c r="F1348" s="77" t="s">
        <v>1080</v>
      </c>
      <c r="G1348" s="77"/>
    </row>
    <row r="1349" spans="1:7" x14ac:dyDescent="0.35">
      <c r="A1349" s="77" t="s">
        <v>505</v>
      </c>
      <c r="B1349" s="77" t="s">
        <v>1025</v>
      </c>
      <c r="C1349" s="77" t="s">
        <v>1026</v>
      </c>
      <c r="D1349" s="78">
        <v>45910</v>
      </c>
      <c r="E1349" s="79" t="s">
        <v>314</v>
      </c>
      <c r="F1349" s="77" t="s">
        <v>1080</v>
      </c>
      <c r="G1349" s="77"/>
    </row>
    <row r="1350" spans="1:7" x14ac:dyDescent="0.35">
      <c r="A1350" s="77" t="s">
        <v>1059</v>
      </c>
      <c r="B1350" s="77" t="s">
        <v>1025</v>
      </c>
      <c r="C1350" s="77" t="s">
        <v>1026</v>
      </c>
      <c r="D1350" s="78">
        <v>45911</v>
      </c>
      <c r="E1350" s="79" t="s">
        <v>314</v>
      </c>
      <c r="F1350" s="77" t="s">
        <v>1080</v>
      </c>
      <c r="G1350" s="77"/>
    </row>
    <row r="1351" spans="1:7" x14ac:dyDescent="0.35">
      <c r="A1351" s="77" t="s">
        <v>1046</v>
      </c>
      <c r="B1351" s="77" t="s">
        <v>1025</v>
      </c>
      <c r="C1351" s="77" t="s">
        <v>1026</v>
      </c>
      <c r="D1351" s="78">
        <v>45911</v>
      </c>
      <c r="E1351" s="79" t="s">
        <v>314</v>
      </c>
      <c r="F1351" s="77" t="s">
        <v>1080</v>
      </c>
      <c r="G1351" s="77"/>
    </row>
    <row r="1352" spans="1:7" x14ac:dyDescent="0.35">
      <c r="A1352" s="7" t="s">
        <v>1038</v>
      </c>
      <c r="B1352" s="7" t="s">
        <v>1025</v>
      </c>
      <c r="C1352" s="77" t="s">
        <v>1026</v>
      </c>
      <c r="D1352" s="10">
        <v>45912</v>
      </c>
      <c r="E1352" s="11" t="s">
        <v>314</v>
      </c>
      <c r="F1352" s="7" t="s">
        <v>27</v>
      </c>
      <c r="G1352" s="7"/>
    </row>
    <row r="1353" spans="1:7" x14ac:dyDescent="0.35">
      <c r="A1353" s="7" t="s">
        <v>1038</v>
      </c>
      <c r="B1353" s="7" t="s">
        <v>1025</v>
      </c>
      <c r="C1353" s="77" t="s">
        <v>1026</v>
      </c>
      <c r="D1353" s="10">
        <v>45912</v>
      </c>
      <c r="E1353" s="11" t="s">
        <v>314</v>
      </c>
      <c r="F1353" s="7" t="s">
        <v>894</v>
      </c>
      <c r="G1353" s="7" t="s">
        <v>15</v>
      </c>
    </row>
    <row r="1354" spans="1:7" x14ac:dyDescent="0.35">
      <c r="A1354" s="7" t="s">
        <v>1060</v>
      </c>
      <c r="B1354" s="7" t="s">
        <v>1025</v>
      </c>
      <c r="C1354" s="77" t="s">
        <v>1026</v>
      </c>
      <c r="D1354" s="10">
        <v>45912</v>
      </c>
      <c r="E1354" s="11" t="s">
        <v>314</v>
      </c>
      <c r="F1354" s="7" t="s">
        <v>871</v>
      </c>
      <c r="G1354" s="7" t="s">
        <v>891</v>
      </c>
    </row>
    <row r="1355" spans="1:7" x14ac:dyDescent="0.35">
      <c r="A1355" s="7" t="s">
        <v>1060</v>
      </c>
      <c r="B1355" s="7" t="s">
        <v>1025</v>
      </c>
      <c r="C1355" s="77" t="s">
        <v>1026</v>
      </c>
      <c r="D1355" s="10">
        <v>45912</v>
      </c>
      <c r="E1355" s="11" t="s">
        <v>314</v>
      </c>
      <c r="F1355" s="7" t="s">
        <v>867</v>
      </c>
      <c r="G1355" s="7"/>
    </row>
    <row r="1356" spans="1:7" x14ac:dyDescent="0.35">
      <c r="A1356" s="59" t="s">
        <v>956</v>
      </c>
      <c r="B1356" s="59" t="s">
        <v>896</v>
      </c>
      <c r="C1356" s="59" t="s">
        <v>897</v>
      </c>
      <c r="D1356" s="60">
        <v>45912</v>
      </c>
      <c r="E1356" s="61" t="s">
        <v>314</v>
      </c>
      <c r="F1356" s="59" t="s">
        <v>19</v>
      </c>
      <c r="G1356" s="59"/>
    </row>
    <row r="1357" spans="1:7" x14ac:dyDescent="0.35">
      <c r="A1357" s="59" t="s">
        <v>832</v>
      </c>
      <c r="B1357" s="59" t="s">
        <v>896</v>
      </c>
      <c r="C1357" s="59" t="s">
        <v>897</v>
      </c>
      <c r="D1357" s="60">
        <v>45912</v>
      </c>
      <c r="E1357" s="61" t="s">
        <v>314</v>
      </c>
      <c r="F1357" s="59" t="s">
        <v>19</v>
      </c>
      <c r="G1357" s="59"/>
    </row>
    <row r="1358" spans="1:7" x14ac:dyDescent="0.35">
      <c r="A1358" s="59" t="s">
        <v>831</v>
      </c>
      <c r="B1358" s="59" t="s">
        <v>896</v>
      </c>
      <c r="C1358" s="59" t="s">
        <v>897</v>
      </c>
      <c r="D1358" s="60">
        <v>45912</v>
      </c>
      <c r="E1358" s="61" t="s">
        <v>314</v>
      </c>
      <c r="F1358" s="59" t="s">
        <v>19</v>
      </c>
      <c r="G1358" s="59"/>
    </row>
    <row r="1359" spans="1:7" x14ac:dyDescent="0.35">
      <c r="A1359" s="59" t="s">
        <v>929</v>
      </c>
      <c r="B1359" s="59" t="s">
        <v>896</v>
      </c>
      <c r="C1359" s="59" t="s">
        <v>897</v>
      </c>
      <c r="D1359" s="60">
        <v>45912</v>
      </c>
      <c r="E1359" s="61" t="s">
        <v>314</v>
      </c>
      <c r="F1359" s="59" t="s">
        <v>19</v>
      </c>
      <c r="G1359" s="59"/>
    </row>
    <row r="1360" spans="1:7" x14ac:dyDescent="0.35">
      <c r="A1360" s="7" t="s">
        <v>76</v>
      </c>
      <c r="B1360" s="7" t="s">
        <v>1025</v>
      </c>
      <c r="C1360" s="77" t="s">
        <v>1026</v>
      </c>
      <c r="D1360" s="10">
        <v>45912</v>
      </c>
      <c r="E1360" s="11" t="s">
        <v>314</v>
      </c>
      <c r="F1360" s="7" t="s">
        <v>872</v>
      </c>
      <c r="G1360" s="7" t="s">
        <v>317</v>
      </c>
    </row>
    <row r="1361" spans="1:7" x14ac:dyDescent="0.35">
      <c r="A1361" s="7" t="s">
        <v>1062</v>
      </c>
      <c r="B1361" s="7" t="s">
        <v>1025</v>
      </c>
      <c r="C1361" s="77" t="s">
        <v>1026</v>
      </c>
      <c r="D1361" s="10">
        <v>45912</v>
      </c>
      <c r="E1361" s="11" t="s">
        <v>314</v>
      </c>
      <c r="F1361" s="7" t="s">
        <v>867</v>
      </c>
      <c r="G1361" s="7"/>
    </row>
    <row r="1362" spans="1:7" x14ac:dyDescent="0.35">
      <c r="A1362" s="7" t="s">
        <v>1062</v>
      </c>
      <c r="B1362" s="7" t="s">
        <v>1025</v>
      </c>
      <c r="C1362" s="77" t="s">
        <v>1026</v>
      </c>
      <c r="D1362" s="10">
        <v>45912</v>
      </c>
      <c r="E1362" s="11" t="s">
        <v>314</v>
      </c>
      <c r="F1362" s="7" t="s">
        <v>872</v>
      </c>
      <c r="G1362" s="7" t="s">
        <v>891</v>
      </c>
    </row>
    <row r="1363" spans="1:7" x14ac:dyDescent="0.35">
      <c r="A1363" s="7" t="s">
        <v>972</v>
      </c>
      <c r="B1363" s="7" t="s">
        <v>908</v>
      </c>
      <c r="C1363" s="7" t="s">
        <v>374</v>
      </c>
      <c r="D1363" s="10">
        <v>45912</v>
      </c>
      <c r="E1363" s="11" t="s">
        <v>314</v>
      </c>
      <c r="F1363" s="7" t="s">
        <v>874</v>
      </c>
      <c r="G1363" s="7" t="s">
        <v>1034</v>
      </c>
    </row>
    <row r="1364" spans="1:7" x14ac:dyDescent="0.35">
      <c r="A1364" s="7" t="s">
        <v>972</v>
      </c>
      <c r="B1364" s="7" t="s">
        <v>1025</v>
      </c>
      <c r="C1364" s="77" t="s">
        <v>1026</v>
      </c>
      <c r="D1364" s="10">
        <v>45912</v>
      </c>
      <c r="E1364" s="11" t="s">
        <v>314</v>
      </c>
      <c r="F1364" s="7" t="s">
        <v>894</v>
      </c>
      <c r="G1364" s="7" t="s">
        <v>15</v>
      </c>
    </row>
    <row r="1365" spans="1:7" x14ac:dyDescent="0.35">
      <c r="A1365" s="7" t="s">
        <v>597</v>
      </c>
      <c r="B1365" s="7" t="s">
        <v>1025</v>
      </c>
      <c r="C1365" s="77" t="s">
        <v>1026</v>
      </c>
      <c r="D1365" s="10">
        <v>45912</v>
      </c>
      <c r="E1365" s="11" t="s">
        <v>314</v>
      </c>
      <c r="F1365" s="7" t="s">
        <v>871</v>
      </c>
      <c r="G1365" s="7" t="s">
        <v>891</v>
      </c>
    </row>
    <row r="1366" spans="1:7" x14ac:dyDescent="0.35">
      <c r="A1366" s="7" t="s">
        <v>597</v>
      </c>
      <c r="B1366" s="7" t="s">
        <v>1025</v>
      </c>
      <c r="C1366" s="77" t="s">
        <v>1026</v>
      </c>
      <c r="D1366" s="10">
        <v>45912</v>
      </c>
      <c r="E1366" s="11" t="s">
        <v>314</v>
      </c>
      <c r="F1366" s="7" t="s">
        <v>867</v>
      </c>
      <c r="G1366" s="7"/>
    </row>
    <row r="1367" spans="1:7" x14ac:dyDescent="0.35">
      <c r="A1367" s="77" t="s">
        <v>1061</v>
      </c>
      <c r="B1367" s="77" t="s">
        <v>1025</v>
      </c>
      <c r="C1367" s="77" t="s">
        <v>1026</v>
      </c>
      <c r="D1367" s="78">
        <v>45912</v>
      </c>
      <c r="E1367" s="79" t="s">
        <v>314</v>
      </c>
      <c r="F1367" s="77" t="s">
        <v>871</v>
      </c>
      <c r="G1367" s="77" t="s">
        <v>891</v>
      </c>
    </row>
    <row r="1368" spans="1:7" x14ac:dyDescent="0.35">
      <c r="A1368" s="77" t="s">
        <v>1061</v>
      </c>
      <c r="B1368" s="77" t="s">
        <v>1025</v>
      </c>
      <c r="C1368" s="77" t="s">
        <v>1026</v>
      </c>
      <c r="D1368" s="78">
        <v>45912</v>
      </c>
      <c r="E1368" s="79" t="s">
        <v>314</v>
      </c>
      <c r="F1368" s="77" t="s">
        <v>867</v>
      </c>
      <c r="G1368" s="77"/>
    </row>
    <row r="1369" spans="1:7" x14ac:dyDescent="0.35">
      <c r="A1369" s="77" t="s">
        <v>1038</v>
      </c>
      <c r="B1369" s="77" t="s">
        <v>1025</v>
      </c>
      <c r="C1369" s="77" t="s">
        <v>1026</v>
      </c>
      <c r="D1369" s="78">
        <v>45912</v>
      </c>
      <c r="E1369" s="79" t="s">
        <v>314</v>
      </c>
      <c r="F1369" s="77" t="s">
        <v>1080</v>
      </c>
      <c r="G1369" s="77"/>
    </row>
    <row r="1370" spans="1:7" x14ac:dyDescent="0.35">
      <c r="A1370" s="77" t="s">
        <v>972</v>
      </c>
      <c r="B1370" s="77" t="s">
        <v>1025</v>
      </c>
      <c r="C1370" s="77" t="s">
        <v>1026</v>
      </c>
      <c r="D1370" s="78">
        <v>45912</v>
      </c>
      <c r="E1370" s="79" t="s">
        <v>314</v>
      </c>
      <c r="F1370" s="77" t="s">
        <v>1080</v>
      </c>
      <c r="G1370" s="77"/>
    </row>
    <row r="1371" spans="1:7" x14ac:dyDescent="0.35">
      <c r="A1371" s="77" t="s">
        <v>76</v>
      </c>
      <c r="B1371" s="77" t="s">
        <v>1025</v>
      </c>
      <c r="C1371" s="77" t="s">
        <v>1026</v>
      </c>
      <c r="D1371" s="78">
        <v>45912</v>
      </c>
      <c r="E1371" s="79" t="s">
        <v>314</v>
      </c>
      <c r="F1371" s="77" t="s">
        <v>1080</v>
      </c>
      <c r="G1371" s="77"/>
    </row>
    <row r="1372" spans="1:7" x14ac:dyDescent="0.35">
      <c r="A1372" s="7" t="s">
        <v>1049</v>
      </c>
      <c r="B1372" s="7" t="s">
        <v>908</v>
      </c>
      <c r="C1372" s="7" t="s">
        <v>374</v>
      </c>
      <c r="D1372" s="10">
        <v>45915</v>
      </c>
      <c r="E1372" s="11" t="s">
        <v>314</v>
      </c>
      <c r="F1372" s="7" t="s">
        <v>872</v>
      </c>
      <c r="G1372" s="7" t="s">
        <v>317</v>
      </c>
    </row>
    <row r="1373" spans="1:7" x14ac:dyDescent="0.35">
      <c r="A1373" s="77" t="s">
        <v>1068</v>
      </c>
      <c r="B1373" s="77" t="s">
        <v>1025</v>
      </c>
      <c r="C1373" s="77" t="s">
        <v>1026</v>
      </c>
      <c r="D1373" s="78">
        <v>45915</v>
      </c>
      <c r="E1373" s="79" t="s">
        <v>314</v>
      </c>
      <c r="F1373" s="77" t="s">
        <v>1080</v>
      </c>
      <c r="G1373" s="77"/>
    </row>
    <row r="1374" spans="1:7" x14ac:dyDescent="0.35">
      <c r="A1374" s="77" t="s">
        <v>1049</v>
      </c>
      <c r="B1374" s="77" t="s">
        <v>1025</v>
      </c>
      <c r="C1374" s="77" t="s">
        <v>1026</v>
      </c>
      <c r="D1374" s="78">
        <v>45915</v>
      </c>
      <c r="E1374" s="79" t="s">
        <v>314</v>
      </c>
      <c r="F1374" s="77" t="s">
        <v>1080</v>
      </c>
      <c r="G1374" s="77"/>
    </row>
    <row r="1375" spans="1:7" x14ac:dyDescent="0.35">
      <c r="A1375" s="77" t="s">
        <v>1073</v>
      </c>
      <c r="B1375" s="77" t="s">
        <v>1025</v>
      </c>
      <c r="C1375" s="77" t="s">
        <v>1026</v>
      </c>
      <c r="D1375" s="78">
        <v>45916</v>
      </c>
      <c r="E1375" s="79" t="s">
        <v>314</v>
      </c>
      <c r="F1375" s="77" t="s">
        <v>867</v>
      </c>
      <c r="G1375" s="77"/>
    </row>
    <row r="1376" spans="1:7" x14ac:dyDescent="0.35">
      <c r="A1376" s="77" t="s">
        <v>371</v>
      </c>
      <c r="B1376" s="77" t="s">
        <v>1025</v>
      </c>
      <c r="C1376" s="77" t="s">
        <v>1026</v>
      </c>
      <c r="D1376" s="78">
        <v>45916</v>
      </c>
      <c r="E1376" s="79" t="s">
        <v>314</v>
      </c>
      <c r="F1376" s="77" t="s">
        <v>1080</v>
      </c>
      <c r="G1376" s="77"/>
    </row>
    <row r="1377" spans="1:7" x14ac:dyDescent="0.35">
      <c r="A1377" s="77" t="s">
        <v>1073</v>
      </c>
      <c r="B1377" s="77" t="s">
        <v>1025</v>
      </c>
      <c r="C1377" s="77" t="s">
        <v>1026</v>
      </c>
      <c r="D1377" s="78">
        <v>45916</v>
      </c>
      <c r="E1377" s="79" t="s">
        <v>314</v>
      </c>
      <c r="F1377" s="77" t="s">
        <v>1080</v>
      </c>
      <c r="G1377" s="77"/>
    </row>
    <row r="1378" spans="1:7" x14ac:dyDescent="0.35">
      <c r="A1378" s="7" t="s">
        <v>1069</v>
      </c>
      <c r="B1378" s="7" t="s">
        <v>1025</v>
      </c>
      <c r="C1378" s="77" t="s">
        <v>1026</v>
      </c>
      <c r="D1378" s="10">
        <v>45917</v>
      </c>
      <c r="E1378" s="11" t="s">
        <v>314</v>
      </c>
      <c r="F1378" s="7" t="s">
        <v>867</v>
      </c>
      <c r="G1378" s="7"/>
    </row>
    <row r="1379" spans="1:7" x14ac:dyDescent="0.35">
      <c r="A1379" s="77" t="s">
        <v>1050</v>
      </c>
      <c r="B1379" s="77" t="s">
        <v>1025</v>
      </c>
      <c r="C1379" s="77" t="s">
        <v>1026</v>
      </c>
      <c r="D1379" s="78">
        <v>45917</v>
      </c>
      <c r="E1379" s="79" t="s">
        <v>314</v>
      </c>
      <c r="F1379" s="77" t="s">
        <v>1080</v>
      </c>
      <c r="G1379" s="77"/>
    </row>
    <row r="1380" spans="1:7" x14ac:dyDescent="0.35">
      <c r="A1380" s="77" t="s">
        <v>318</v>
      </c>
      <c r="B1380" s="77" t="s">
        <v>1025</v>
      </c>
      <c r="C1380" s="77" t="s">
        <v>1026</v>
      </c>
      <c r="D1380" s="78">
        <v>45917</v>
      </c>
      <c r="E1380" s="79" t="s">
        <v>314</v>
      </c>
      <c r="F1380" s="77" t="s">
        <v>1080</v>
      </c>
      <c r="G1380" s="77"/>
    </row>
    <row r="1381" spans="1:7" x14ac:dyDescent="0.35">
      <c r="A1381" s="77" t="s">
        <v>1069</v>
      </c>
      <c r="B1381" s="77" t="s">
        <v>1025</v>
      </c>
      <c r="C1381" s="77" t="s">
        <v>1026</v>
      </c>
      <c r="D1381" s="78">
        <v>45917</v>
      </c>
      <c r="E1381" s="79" t="s">
        <v>314</v>
      </c>
      <c r="F1381" s="77" t="s">
        <v>1080</v>
      </c>
      <c r="G1381" s="77"/>
    </row>
    <row r="1382" spans="1:7" x14ac:dyDescent="0.35">
      <c r="A1382" s="7" t="s">
        <v>1059</v>
      </c>
      <c r="B1382" s="7" t="s">
        <v>1025</v>
      </c>
      <c r="C1382" s="77" t="s">
        <v>1026</v>
      </c>
      <c r="D1382" s="10">
        <v>45918</v>
      </c>
      <c r="E1382" s="11" t="s">
        <v>314</v>
      </c>
      <c r="F1382" s="7" t="s">
        <v>867</v>
      </c>
      <c r="G1382" s="7"/>
    </row>
    <row r="1383" spans="1:7" x14ac:dyDescent="0.35">
      <c r="A1383" s="59" t="s">
        <v>1055</v>
      </c>
      <c r="B1383" s="59" t="s">
        <v>896</v>
      </c>
      <c r="C1383" s="59" t="s">
        <v>897</v>
      </c>
      <c r="D1383" s="60">
        <v>45918</v>
      </c>
      <c r="E1383" s="61" t="s">
        <v>314</v>
      </c>
      <c r="F1383" s="59" t="s">
        <v>867</v>
      </c>
      <c r="G1383" s="59"/>
    </row>
    <row r="1384" spans="1:7" x14ac:dyDescent="0.35">
      <c r="A1384" s="7" t="s">
        <v>1068</v>
      </c>
      <c r="B1384" s="7" t="s">
        <v>1025</v>
      </c>
      <c r="C1384" s="77" t="s">
        <v>1026</v>
      </c>
      <c r="D1384" s="10">
        <v>45918</v>
      </c>
      <c r="E1384" s="11" t="s">
        <v>314</v>
      </c>
      <c r="F1384" s="7" t="s">
        <v>867</v>
      </c>
      <c r="G1384" s="7"/>
    </row>
    <row r="1385" spans="1:7" x14ac:dyDescent="0.35">
      <c r="A1385" s="7" t="s">
        <v>371</v>
      </c>
      <c r="B1385" s="7" t="s">
        <v>1025</v>
      </c>
      <c r="C1385" s="77" t="s">
        <v>1026</v>
      </c>
      <c r="D1385" s="10">
        <v>45918</v>
      </c>
      <c r="E1385" s="11" t="s">
        <v>314</v>
      </c>
      <c r="F1385" s="7" t="s">
        <v>867</v>
      </c>
      <c r="G1385" s="7"/>
    </row>
    <row r="1386" spans="1:7" x14ac:dyDescent="0.35">
      <c r="A1386" s="7" t="s">
        <v>716</v>
      </c>
      <c r="B1386" s="7" t="s">
        <v>1025</v>
      </c>
      <c r="C1386" s="77" t="s">
        <v>1026</v>
      </c>
      <c r="D1386" s="10">
        <v>45918</v>
      </c>
      <c r="E1386" s="11" t="s">
        <v>314</v>
      </c>
      <c r="F1386" s="7" t="s">
        <v>867</v>
      </c>
      <c r="G1386" s="7"/>
    </row>
    <row r="1387" spans="1:7" x14ac:dyDescent="0.35">
      <c r="A1387" s="7" t="s">
        <v>498</v>
      </c>
      <c r="B1387" s="7" t="s">
        <v>1025</v>
      </c>
      <c r="C1387" s="77" t="s">
        <v>1026</v>
      </c>
      <c r="D1387" s="10">
        <v>45918</v>
      </c>
      <c r="E1387" s="11" t="s">
        <v>314</v>
      </c>
      <c r="F1387" s="7" t="s">
        <v>867</v>
      </c>
      <c r="G1387" s="7"/>
    </row>
    <row r="1388" spans="1:7" x14ac:dyDescent="0.35">
      <c r="A1388" s="77" t="s">
        <v>1083</v>
      </c>
      <c r="B1388" s="77" t="s">
        <v>1025</v>
      </c>
      <c r="C1388" s="77" t="s">
        <v>1026</v>
      </c>
      <c r="D1388" s="78">
        <v>45918</v>
      </c>
      <c r="E1388" s="79" t="s">
        <v>314</v>
      </c>
      <c r="F1388" s="77" t="s">
        <v>1080</v>
      </c>
      <c r="G1388" s="77"/>
    </row>
    <row r="1389" spans="1:7" x14ac:dyDescent="0.35">
      <c r="A1389" s="7" t="s">
        <v>1050</v>
      </c>
      <c r="B1389" s="7" t="s">
        <v>908</v>
      </c>
      <c r="C1389" s="7" t="s">
        <v>374</v>
      </c>
      <c r="D1389" s="10">
        <v>45919</v>
      </c>
      <c r="E1389" s="11" t="s">
        <v>314</v>
      </c>
      <c r="F1389" s="7" t="s">
        <v>872</v>
      </c>
      <c r="G1389" s="7" t="s">
        <v>317</v>
      </c>
    </row>
    <row r="1390" spans="1:7" x14ac:dyDescent="0.35">
      <c r="A1390" s="7" t="s">
        <v>1082</v>
      </c>
      <c r="B1390" s="7" t="s">
        <v>1025</v>
      </c>
      <c r="C1390" s="77" t="s">
        <v>1026</v>
      </c>
      <c r="D1390" s="10">
        <v>45919</v>
      </c>
      <c r="E1390" s="11" t="s">
        <v>314</v>
      </c>
      <c r="F1390" s="7" t="s">
        <v>871</v>
      </c>
      <c r="G1390" s="7" t="s">
        <v>891</v>
      </c>
    </row>
    <row r="1391" spans="1:7" x14ac:dyDescent="0.35">
      <c r="A1391" s="7" t="s">
        <v>816</v>
      </c>
      <c r="B1391" s="7" t="s">
        <v>1025</v>
      </c>
      <c r="C1391" s="77" t="s">
        <v>1026</v>
      </c>
      <c r="D1391" s="10">
        <v>45919</v>
      </c>
      <c r="E1391" s="11" t="s">
        <v>314</v>
      </c>
      <c r="F1391" s="7" t="s">
        <v>871</v>
      </c>
      <c r="G1391" s="7" t="s">
        <v>891</v>
      </c>
    </row>
    <row r="1392" spans="1:7" x14ac:dyDescent="0.35">
      <c r="A1392" s="7" t="s">
        <v>816</v>
      </c>
      <c r="B1392" s="7" t="s">
        <v>1025</v>
      </c>
      <c r="C1392" s="77" t="s">
        <v>1026</v>
      </c>
      <c r="D1392" s="10">
        <v>45919</v>
      </c>
      <c r="E1392" s="11" t="s">
        <v>314</v>
      </c>
      <c r="F1392" s="7" t="s">
        <v>872</v>
      </c>
      <c r="G1392" s="7" t="s">
        <v>317</v>
      </c>
    </row>
    <row r="1393" spans="1:7" x14ac:dyDescent="0.35">
      <c r="A1393" s="7" t="s">
        <v>816</v>
      </c>
      <c r="B1393" s="7" t="s">
        <v>1025</v>
      </c>
      <c r="C1393" s="77" t="s">
        <v>1026</v>
      </c>
      <c r="D1393" s="10">
        <v>45919</v>
      </c>
      <c r="E1393" s="11" t="s">
        <v>314</v>
      </c>
      <c r="F1393" s="7" t="s">
        <v>894</v>
      </c>
      <c r="G1393" s="7" t="s">
        <v>15</v>
      </c>
    </row>
    <row r="1394" spans="1:7" x14ac:dyDescent="0.35">
      <c r="A1394" s="7" t="s">
        <v>1047</v>
      </c>
      <c r="B1394" s="7" t="s">
        <v>1025</v>
      </c>
      <c r="C1394" s="77" t="s">
        <v>1026</v>
      </c>
      <c r="D1394" s="10">
        <v>45919</v>
      </c>
      <c r="E1394" s="11" t="s">
        <v>314</v>
      </c>
      <c r="F1394" s="7" t="s">
        <v>27</v>
      </c>
      <c r="G1394" s="7"/>
    </row>
    <row r="1395" spans="1:7" x14ac:dyDescent="0.35">
      <c r="A1395" s="7" t="s">
        <v>1047</v>
      </c>
      <c r="B1395" s="7" t="s">
        <v>1025</v>
      </c>
      <c r="C1395" s="77" t="s">
        <v>1026</v>
      </c>
      <c r="D1395" s="10">
        <v>45919</v>
      </c>
      <c r="E1395" s="11" t="s">
        <v>314</v>
      </c>
      <c r="F1395" s="7" t="s">
        <v>894</v>
      </c>
      <c r="G1395" s="7" t="s">
        <v>15</v>
      </c>
    </row>
    <row r="1396" spans="1:7" x14ac:dyDescent="0.35">
      <c r="A1396" s="7" t="s">
        <v>1052</v>
      </c>
      <c r="B1396" s="7" t="s">
        <v>1025</v>
      </c>
      <c r="C1396" s="77" t="s">
        <v>1026</v>
      </c>
      <c r="D1396" s="10">
        <v>45919</v>
      </c>
      <c r="E1396" s="11" t="s">
        <v>314</v>
      </c>
      <c r="F1396" s="7" t="s">
        <v>871</v>
      </c>
      <c r="G1396" s="7" t="s">
        <v>891</v>
      </c>
    </row>
    <row r="1397" spans="1:7" x14ac:dyDescent="0.35">
      <c r="A1397" s="7" t="s">
        <v>1052</v>
      </c>
      <c r="B1397" s="7" t="s">
        <v>1025</v>
      </c>
      <c r="C1397" s="77" t="s">
        <v>1026</v>
      </c>
      <c r="D1397" s="10">
        <v>45919</v>
      </c>
      <c r="E1397" s="11" t="s">
        <v>314</v>
      </c>
      <c r="F1397" s="7" t="s">
        <v>894</v>
      </c>
      <c r="G1397" s="7" t="s">
        <v>15</v>
      </c>
    </row>
    <row r="1398" spans="1:7" x14ac:dyDescent="0.35">
      <c r="A1398" s="7" t="s">
        <v>1083</v>
      </c>
      <c r="B1398" s="7" t="s">
        <v>908</v>
      </c>
      <c r="C1398" s="7" t="s">
        <v>374</v>
      </c>
      <c r="D1398" s="10">
        <v>45919</v>
      </c>
      <c r="E1398" s="11" t="s">
        <v>314</v>
      </c>
      <c r="F1398" s="7" t="s">
        <v>872</v>
      </c>
      <c r="G1398" s="7" t="s">
        <v>317</v>
      </c>
    </row>
    <row r="1399" spans="1:7" x14ac:dyDescent="0.35">
      <c r="A1399" s="7" t="s">
        <v>1007</v>
      </c>
      <c r="B1399" s="7" t="s">
        <v>1025</v>
      </c>
      <c r="C1399" s="77" t="s">
        <v>1026</v>
      </c>
      <c r="D1399" s="10">
        <v>45919</v>
      </c>
      <c r="E1399" s="11" t="s">
        <v>314</v>
      </c>
      <c r="F1399" s="7" t="s">
        <v>871</v>
      </c>
      <c r="G1399" s="7" t="s">
        <v>891</v>
      </c>
    </row>
    <row r="1400" spans="1:7" x14ac:dyDescent="0.35">
      <c r="A1400" s="7" t="s">
        <v>993</v>
      </c>
      <c r="B1400" s="7" t="s">
        <v>1025</v>
      </c>
      <c r="C1400" s="77" t="s">
        <v>1026</v>
      </c>
      <c r="D1400" s="10">
        <v>45919</v>
      </c>
      <c r="E1400" s="11" t="s">
        <v>314</v>
      </c>
      <c r="F1400" s="7" t="s">
        <v>871</v>
      </c>
      <c r="G1400" s="7" t="s">
        <v>891</v>
      </c>
    </row>
    <row r="1401" spans="1:7" x14ac:dyDescent="0.35">
      <c r="A1401" s="7" t="s">
        <v>989</v>
      </c>
      <c r="B1401" s="7" t="s">
        <v>1025</v>
      </c>
      <c r="C1401" s="77" t="s">
        <v>1026</v>
      </c>
      <c r="D1401" s="10">
        <v>45919</v>
      </c>
      <c r="E1401" s="11" t="s">
        <v>314</v>
      </c>
      <c r="F1401" s="7" t="s">
        <v>871</v>
      </c>
      <c r="G1401" s="7" t="s">
        <v>891</v>
      </c>
    </row>
    <row r="1402" spans="1:7" x14ac:dyDescent="0.35">
      <c r="A1402" s="7" t="s">
        <v>994</v>
      </c>
      <c r="B1402" s="7" t="s">
        <v>1025</v>
      </c>
      <c r="C1402" s="77" t="s">
        <v>1026</v>
      </c>
      <c r="D1402" s="10">
        <v>45919</v>
      </c>
      <c r="E1402" s="11" t="s">
        <v>314</v>
      </c>
      <c r="F1402" s="7" t="s">
        <v>871</v>
      </c>
      <c r="G1402" s="7" t="s">
        <v>891</v>
      </c>
    </row>
    <row r="1403" spans="1:7" x14ac:dyDescent="0.35">
      <c r="A1403" s="7" t="s">
        <v>996</v>
      </c>
      <c r="B1403" s="7" t="s">
        <v>1025</v>
      </c>
      <c r="C1403" s="77" t="s">
        <v>1026</v>
      </c>
      <c r="D1403" s="10">
        <v>45919</v>
      </c>
      <c r="E1403" s="11" t="s">
        <v>314</v>
      </c>
      <c r="F1403" s="7" t="s">
        <v>871</v>
      </c>
      <c r="G1403" s="7" t="s">
        <v>891</v>
      </c>
    </row>
    <row r="1404" spans="1:7" x14ac:dyDescent="0.35">
      <c r="A1404" s="7" t="s">
        <v>318</v>
      </c>
      <c r="B1404" s="7" t="s">
        <v>896</v>
      </c>
      <c r="C1404" s="7" t="s">
        <v>897</v>
      </c>
      <c r="D1404" s="10">
        <v>45919</v>
      </c>
      <c r="E1404" s="11" t="s">
        <v>314</v>
      </c>
      <c r="F1404" s="7" t="s">
        <v>27</v>
      </c>
      <c r="G1404" s="7"/>
    </row>
    <row r="1405" spans="1:7" x14ac:dyDescent="0.35">
      <c r="A1405" s="7" t="s">
        <v>621</v>
      </c>
      <c r="B1405" s="7" t="s">
        <v>896</v>
      </c>
      <c r="C1405" s="7" t="s">
        <v>897</v>
      </c>
      <c r="D1405" s="10">
        <v>45919</v>
      </c>
      <c r="E1405" s="11" t="s">
        <v>314</v>
      </c>
      <c r="F1405" s="7" t="s">
        <v>27</v>
      </c>
      <c r="G1405" s="7"/>
    </row>
    <row r="1406" spans="1:7" x14ac:dyDescent="0.35">
      <c r="A1406" s="7" t="s">
        <v>621</v>
      </c>
      <c r="B1406" s="7" t="s">
        <v>1025</v>
      </c>
      <c r="C1406" s="77" t="s">
        <v>1026</v>
      </c>
      <c r="D1406" s="10">
        <v>45919</v>
      </c>
      <c r="E1406" s="11" t="s">
        <v>314</v>
      </c>
      <c r="F1406" s="7" t="s">
        <v>894</v>
      </c>
      <c r="G1406" s="7" t="s">
        <v>15</v>
      </c>
    </row>
    <row r="1407" spans="1:7" x14ac:dyDescent="0.35">
      <c r="A1407" s="77" t="s">
        <v>1052</v>
      </c>
      <c r="B1407" s="77" t="s">
        <v>1025</v>
      </c>
      <c r="C1407" s="77" t="s">
        <v>1026</v>
      </c>
      <c r="D1407" s="78">
        <v>45919</v>
      </c>
      <c r="E1407" s="79" t="s">
        <v>314</v>
      </c>
      <c r="F1407" s="77" t="s">
        <v>1080</v>
      </c>
      <c r="G1407" s="77"/>
    </row>
    <row r="1408" spans="1:7" x14ac:dyDescent="0.35">
      <c r="A1408" s="77" t="s">
        <v>1047</v>
      </c>
      <c r="B1408" s="77" t="s">
        <v>1025</v>
      </c>
      <c r="C1408" s="77" t="s">
        <v>1026</v>
      </c>
      <c r="D1408" s="78">
        <v>45919</v>
      </c>
      <c r="E1408" s="79" t="s">
        <v>314</v>
      </c>
      <c r="F1408" s="77" t="s">
        <v>1080</v>
      </c>
      <c r="G1408" s="77"/>
    </row>
    <row r="1409" spans="1:7" x14ac:dyDescent="0.35">
      <c r="A1409" s="77" t="s">
        <v>805</v>
      </c>
      <c r="B1409" s="77" t="s">
        <v>1025</v>
      </c>
      <c r="C1409" s="77" t="s">
        <v>1026</v>
      </c>
      <c r="D1409" s="78">
        <v>45922</v>
      </c>
      <c r="E1409" s="79" t="s">
        <v>314</v>
      </c>
      <c r="F1409" s="77" t="s">
        <v>1080</v>
      </c>
      <c r="G1409" s="77"/>
    </row>
    <row r="1410" spans="1:7" x14ac:dyDescent="0.35">
      <c r="A1410" s="77" t="s">
        <v>1098</v>
      </c>
      <c r="B1410" s="77" t="s">
        <v>1025</v>
      </c>
      <c r="C1410" s="77" t="s">
        <v>1026</v>
      </c>
      <c r="D1410" s="78">
        <v>45923</v>
      </c>
      <c r="E1410" s="79" t="s">
        <v>314</v>
      </c>
      <c r="F1410" s="77" t="s">
        <v>1080</v>
      </c>
      <c r="G1410" s="77"/>
    </row>
    <row r="1411" spans="1:7" x14ac:dyDescent="0.35">
      <c r="A1411" s="7" t="s">
        <v>225</v>
      </c>
      <c r="B1411" s="7" t="s">
        <v>1025</v>
      </c>
      <c r="C1411" s="77" t="s">
        <v>1026</v>
      </c>
      <c r="D1411" s="10">
        <v>45924</v>
      </c>
      <c r="E1411" s="11" t="s">
        <v>314</v>
      </c>
      <c r="F1411" s="7" t="s">
        <v>867</v>
      </c>
      <c r="G1411" s="7"/>
    </row>
    <row r="1412" spans="1:7" x14ac:dyDescent="0.35">
      <c r="A1412" s="77" t="s">
        <v>1067</v>
      </c>
      <c r="B1412" s="77" t="s">
        <v>1025</v>
      </c>
      <c r="C1412" s="77" t="s">
        <v>1026</v>
      </c>
      <c r="D1412" s="78">
        <v>45924</v>
      </c>
      <c r="E1412" s="79" t="s">
        <v>314</v>
      </c>
      <c r="F1412" s="77" t="s">
        <v>867</v>
      </c>
      <c r="G1412" s="77"/>
    </row>
    <row r="1413" spans="1:7" x14ac:dyDescent="0.35">
      <c r="A1413" s="77" t="s">
        <v>1115</v>
      </c>
      <c r="B1413" s="77" t="s">
        <v>1025</v>
      </c>
      <c r="C1413" s="77" t="s">
        <v>1026</v>
      </c>
      <c r="D1413" s="78">
        <v>45924</v>
      </c>
      <c r="E1413" s="79" t="s">
        <v>314</v>
      </c>
      <c r="F1413" s="77" t="s">
        <v>1080</v>
      </c>
      <c r="G1413" s="77"/>
    </row>
    <row r="1414" spans="1:7" x14ac:dyDescent="0.35">
      <c r="A1414" s="7" t="s">
        <v>1020</v>
      </c>
      <c r="B1414" s="7" t="s">
        <v>1025</v>
      </c>
      <c r="C1414" s="77" t="s">
        <v>1026</v>
      </c>
      <c r="D1414" s="10">
        <v>45925</v>
      </c>
      <c r="E1414" s="11" t="s">
        <v>314</v>
      </c>
      <c r="F1414" s="7" t="s">
        <v>871</v>
      </c>
      <c r="G1414" s="7" t="s">
        <v>891</v>
      </c>
    </row>
    <row r="1415" spans="1:7" x14ac:dyDescent="0.35">
      <c r="A1415" s="59" t="s">
        <v>1020</v>
      </c>
      <c r="B1415" s="59" t="s">
        <v>908</v>
      </c>
      <c r="C1415" s="59" t="s">
        <v>374</v>
      </c>
      <c r="D1415" s="60">
        <v>45925</v>
      </c>
      <c r="E1415" s="61" t="s">
        <v>314</v>
      </c>
      <c r="F1415" s="59" t="s">
        <v>19</v>
      </c>
      <c r="G1415" s="59"/>
    </row>
    <row r="1416" spans="1:7" x14ac:dyDescent="0.35">
      <c r="A1416" s="7" t="s">
        <v>1098</v>
      </c>
      <c r="B1416" s="7" t="s">
        <v>1025</v>
      </c>
      <c r="C1416" s="77" t="s">
        <v>1026</v>
      </c>
      <c r="D1416" s="10">
        <v>45925</v>
      </c>
      <c r="E1416" s="11" t="s">
        <v>314</v>
      </c>
      <c r="F1416" s="7" t="s">
        <v>872</v>
      </c>
      <c r="G1416" s="7" t="s">
        <v>317</v>
      </c>
    </row>
    <row r="1417" spans="1:7" x14ac:dyDescent="0.35">
      <c r="A1417" s="7" t="s">
        <v>1099</v>
      </c>
      <c r="B1417" s="7" t="s">
        <v>1025</v>
      </c>
      <c r="C1417" s="77" t="s">
        <v>1026</v>
      </c>
      <c r="D1417" s="10">
        <v>45925</v>
      </c>
      <c r="E1417" s="11" t="s">
        <v>314</v>
      </c>
      <c r="F1417" s="7" t="s">
        <v>872</v>
      </c>
      <c r="G1417" s="7" t="s">
        <v>317</v>
      </c>
    </row>
    <row r="1418" spans="1:7" x14ac:dyDescent="0.35">
      <c r="A1418" s="7" t="s">
        <v>805</v>
      </c>
      <c r="B1418" s="7" t="s">
        <v>908</v>
      </c>
      <c r="C1418" s="7" t="s">
        <v>374</v>
      </c>
      <c r="D1418" s="10">
        <v>45925</v>
      </c>
      <c r="E1418" s="11" t="s">
        <v>314</v>
      </c>
      <c r="F1418" s="7" t="s">
        <v>872</v>
      </c>
      <c r="G1418" s="7" t="s">
        <v>317</v>
      </c>
    </row>
    <row r="1419" spans="1:7" x14ac:dyDescent="0.35">
      <c r="A1419" s="7" t="s">
        <v>1106</v>
      </c>
      <c r="B1419" s="7" t="s">
        <v>1025</v>
      </c>
      <c r="C1419" s="77" t="s">
        <v>1026</v>
      </c>
      <c r="D1419" s="10">
        <v>45925</v>
      </c>
      <c r="E1419" s="11" t="s">
        <v>314</v>
      </c>
      <c r="F1419" s="7" t="s">
        <v>872</v>
      </c>
      <c r="G1419" s="7" t="s">
        <v>317</v>
      </c>
    </row>
    <row r="1420" spans="1:7" x14ac:dyDescent="0.35">
      <c r="A1420" s="7" t="s">
        <v>625</v>
      </c>
      <c r="B1420" s="7" t="s">
        <v>1025</v>
      </c>
      <c r="C1420" s="77" t="s">
        <v>1026</v>
      </c>
      <c r="D1420" s="10">
        <v>45925</v>
      </c>
      <c r="E1420" s="11" t="s">
        <v>314</v>
      </c>
      <c r="F1420" s="7" t="s">
        <v>871</v>
      </c>
      <c r="G1420" s="7" t="s">
        <v>891</v>
      </c>
    </row>
    <row r="1421" spans="1:7" x14ac:dyDescent="0.35">
      <c r="A1421" s="59" t="s">
        <v>625</v>
      </c>
      <c r="B1421" s="59" t="s">
        <v>908</v>
      </c>
      <c r="C1421" s="59" t="s">
        <v>374</v>
      </c>
      <c r="D1421" s="60">
        <v>45925</v>
      </c>
      <c r="E1421" s="61" t="s">
        <v>314</v>
      </c>
      <c r="F1421" s="59" t="s">
        <v>19</v>
      </c>
      <c r="G1421" s="59"/>
    </row>
    <row r="1422" spans="1:7" x14ac:dyDescent="0.35">
      <c r="A1422" s="7" t="s">
        <v>637</v>
      </c>
      <c r="B1422" s="7" t="s">
        <v>1025</v>
      </c>
      <c r="C1422" s="77" t="s">
        <v>1026</v>
      </c>
      <c r="D1422" s="10">
        <v>45925</v>
      </c>
      <c r="E1422" s="11" t="s">
        <v>314</v>
      </c>
      <c r="F1422" s="7" t="s">
        <v>871</v>
      </c>
      <c r="G1422" s="7" t="s">
        <v>891</v>
      </c>
    </row>
    <row r="1423" spans="1:7" x14ac:dyDescent="0.35">
      <c r="A1423" s="7" t="s">
        <v>1103</v>
      </c>
      <c r="B1423" s="7" t="s">
        <v>1025</v>
      </c>
      <c r="C1423" s="77" t="s">
        <v>1026</v>
      </c>
      <c r="D1423" s="10">
        <v>45925</v>
      </c>
      <c r="E1423" s="11" t="s">
        <v>314</v>
      </c>
      <c r="F1423" s="7" t="s">
        <v>871</v>
      </c>
      <c r="G1423" s="7" t="s">
        <v>891</v>
      </c>
    </row>
    <row r="1424" spans="1:7" x14ac:dyDescent="0.35">
      <c r="A1424" s="7" t="s">
        <v>1103</v>
      </c>
      <c r="B1424" s="7" t="s">
        <v>1025</v>
      </c>
      <c r="C1424" s="77" t="s">
        <v>1026</v>
      </c>
      <c r="D1424" s="10">
        <v>45925</v>
      </c>
      <c r="E1424" s="11" t="s">
        <v>314</v>
      </c>
      <c r="F1424" s="7" t="s">
        <v>872</v>
      </c>
      <c r="G1424" s="7" t="s">
        <v>317</v>
      </c>
    </row>
    <row r="1425" spans="1:7" x14ac:dyDescent="0.35">
      <c r="A1425" s="7" t="s">
        <v>171</v>
      </c>
      <c r="B1425" s="7" t="s">
        <v>908</v>
      </c>
      <c r="C1425" s="7" t="s">
        <v>374</v>
      </c>
      <c r="D1425" s="10">
        <v>45925</v>
      </c>
      <c r="E1425" s="11" t="s">
        <v>314</v>
      </c>
      <c r="F1425" s="7" t="s">
        <v>872</v>
      </c>
      <c r="G1425" s="7" t="s">
        <v>317</v>
      </c>
    </row>
    <row r="1426" spans="1:7" x14ac:dyDescent="0.35">
      <c r="A1426" s="7" t="s">
        <v>956</v>
      </c>
      <c r="B1426" s="7" t="s">
        <v>1025</v>
      </c>
      <c r="C1426" s="77" t="s">
        <v>1026</v>
      </c>
      <c r="D1426" s="10">
        <v>45925</v>
      </c>
      <c r="E1426" s="11" t="s">
        <v>314</v>
      </c>
      <c r="F1426" s="7" t="s">
        <v>871</v>
      </c>
      <c r="G1426" s="7" t="s">
        <v>891</v>
      </c>
    </row>
    <row r="1427" spans="1:7" x14ac:dyDescent="0.35">
      <c r="A1427" s="7" t="s">
        <v>832</v>
      </c>
      <c r="B1427" s="7" t="s">
        <v>1025</v>
      </c>
      <c r="C1427" s="77" t="s">
        <v>1026</v>
      </c>
      <c r="D1427" s="10">
        <v>45925</v>
      </c>
      <c r="E1427" s="11" t="s">
        <v>314</v>
      </c>
      <c r="F1427" s="7" t="s">
        <v>871</v>
      </c>
      <c r="G1427" s="7" t="s">
        <v>891</v>
      </c>
    </row>
    <row r="1428" spans="1:7" x14ac:dyDescent="0.35">
      <c r="A1428" s="7" t="s">
        <v>831</v>
      </c>
      <c r="B1428" s="7" t="s">
        <v>1025</v>
      </c>
      <c r="C1428" s="77" t="s">
        <v>1026</v>
      </c>
      <c r="D1428" s="10">
        <v>45925</v>
      </c>
      <c r="E1428" s="11" t="s">
        <v>314</v>
      </c>
      <c r="F1428" s="7" t="s">
        <v>871</v>
      </c>
      <c r="G1428" s="7" t="s">
        <v>891</v>
      </c>
    </row>
    <row r="1429" spans="1:7" x14ac:dyDescent="0.35">
      <c r="A1429" s="7" t="s">
        <v>929</v>
      </c>
      <c r="B1429" s="7" t="s">
        <v>1025</v>
      </c>
      <c r="C1429" s="77" t="s">
        <v>1026</v>
      </c>
      <c r="D1429" s="10">
        <v>45925</v>
      </c>
      <c r="E1429" s="11" t="s">
        <v>314</v>
      </c>
      <c r="F1429" s="7" t="s">
        <v>871</v>
      </c>
      <c r="G1429" s="7" t="s">
        <v>891</v>
      </c>
    </row>
    <row r="1430" spans="1:7" x14ac:dyDescent="0.35">
      <c r="A1430" s="7" t="s">
        <v>1102</v>
      </c>
      <c r="B1430" s="7" t="s">
        <v>1025</v>
      </c>
      <c r="C1430" s="77" t="s">
        <v>1026</v>
      </c>
      <c r="D1430" s="10">
        <v>45925</v>
      </c>
      <c r="E1430" s="11" t="s">
        <v>314</v>
      </c>
      <c r="F1430" s="7" t="s">
        <v>872</v>
      </c>
      <c r="G1430" s="7" t="s">
        <v>317</v>
      </c>
    </row>
    <row r="1431" spans="1:7" x14ac:dyDescent="0.35">
      <c r="A1431" s="77" t="s">
        <v>225</v>
      </c>
      <c r="B1431" s="77" t="s">
        <v>1025</v>
      </c>
      <c r="C1431" s="77" t="s">
        <v>1026</v>
      </c>
      <c r="D1431" s="78">
        <v>45925</v>
      </c>
      <c r="E1431" s="79" t="s">
        <v>314</v>
      </c>
      <c r="F1431" s="77" t="s">
        <v>1080</v>
      </c>
      <c r="G1431" s="77"/>
    </row>
    <row r="1432" spans="1:7" x14ac:dyDescent="0.35">
      <c r="A1432" s="77" t="s">
        <v>1102</v>
      </c>
      <c r="B1432" s="77" t="s">
        <v>1025</v>
      </c>
      <c r="C1432" s="77" t="s">
        <v>1026</v>
      </c>
      <c r="D1432" s="78">
        <v>45925</v>
      </c>
      <c r="E1432" s="79" t="s">
        <v>314</v>
      </c>
      <c r="F1432" s="77" t="s">
        <v>1080</v>
      </c>
      <c r="G1432" s="77"/>
    </row>
    <row r="1433" spans="1:7" x14ac:dyDescent="0.35">
      <c r="A1433" s="77" t="s">
        <v>591</v>
      </c>
      <c r="B1433" s="77" t="s">
        <v>1025</v>
      </c>
      <c r="C1433" s="77" t="s">
        <v>1026</v>
      </c>
      <c r="D1433" s="78">
        <v>45926</v>
      </c>
      <c r="E1433" s="79" t="s">
        <v>314</v>
      </c>
      <c r="F1433" s="77" t="s">
        <v>1080</v>
      </c>
      <c r="G1433" s="77"/>
    </row>
    <row r="1434" spans="1:7" x14ac:dyDescent="0.35">
      <c r="A1434" s="77" t="s">
        <v>823</v>
      </c>
      <c r="B1434" s="77" t="s">
        <v>1025</v>
      </c>
      <c r="C1434" s="77" t="s">
        <v>1026</v>
      </c>
      <c r="D1434" s="78">
        <v>45926</v>
      </c>
      <c r="E1434" s="79" t="s">
        <v>314</v>
      </c>
      <c r="F1434" s="77" t="s">
        <v>1080</v>
      </c>
      <c r="G1434" s="77"/>
    </row>
    <row r="1435" spans="1:7" x14ac:dyDescent="0.35">
      <c r="A1435" s="77" t="s">
        <v>1099</v>
      </c>
      <c r="B1435" s="77" t="s">
        <v>1025</v>
      </c>
      <c r="C1435" s="77" t="s">
        <v>1026</v>
      </c>
      <c r="D1435" s="78">
        <v>45926</v>
      </c>
      <c r="E1435" s="79" t="s">
        <v>314</v>
      </c>
      <c r="F1435" s="77" t="s">
        <v>1080</v>
      </c>
      <c r="G1435" s="77"/>
    </row>
    <row r="1436" spans="1:7" x14ac:dyDescent="0.35">
      <c r="A1436" s="7" t="s">
        <v>1070</v>
      </c>
      <c r="B1436" s="7" t="s">
        <v>1025</v>
      </c>
      <c r="C1436" s="77" t="s">
        <v>1026</v>
      </c>
      <c r="D1436" s="10">
        <v>45929</v>
      </c>
      <c r="E1436" s="11" t="s">
        <v>314</v>
      </c>
      <c r="F1436" s="7" t="s">
        <v>867</v>
      </c>
      <c r="G1436" s="7"/>
    </row>
    <row r="1437" spans="1:7" x14ac:dyDescent="0.35">
      <c r="A1437" s="7" t="s">
        <v>1107</v>
      </c>
      <c r="B1437" s="7" t="s">
        <v>1025</v>
      </c>
      <c r="C1437" s="77" t="s">
        <v>1026</v>
      </c>
      <c r="D1437" s="10">
        <v>45929</v>
      </c>
      <c r="E1437" s="11" t="s">
        <v>314</v>
      </c>
      <c r="F1437" s="7" t="s">
        <v>872</v>
      </c>
      <c r="G1437" s="7" t="s">
        <v>317</v>
      </c>
    </row>
    <row r="1438" spans="1:7" x14ac:dyDescent="0.35">
      <c r="A1438" s="7" t="s">
        <v>1101</v>
      </c>
      <c r="B1438" s="7" t="s">
        <v>1025</v>
      </c>
      <c r="C1438" s="77" t="s">
        <v>1026</v>
      </c>
      <c r="D1438" s="10">
        <v>45929</v>
      </c>
      <c r="E1438" s="11" t="s">
        <v>314</v>
      </c>
      <c r="F1438" s="7" t="s">
        <v>872</v>
      </c>
      <c r="G1438" s="7" t="s">
        <v>317</v>
      </c>
    </row>
    <row r="1439" spans="1:7" x14ac:dyDescent="0.35">
      <c r="A1439" s="7" t="s">
        <v>1086</v>
      </c>
      <c r="B1439" s="7" t="s">
        <v>1025</v>
      </c>
      <c r="C1439" s="77" t="s">
        <v>1026</v>
      </c>
      <c r="D1439" s="10">
        <v>45929</v>
      </c>
      <c r="E1439" s="11" t="s">
        <v>314</v>
      </c>
      <c r="F1439" s="7" t="s">
        <v>867</v>
      </c>
      <c r="G1439" s="7"/>
    </row>
    <row r="1440" spans="1:7" x14ac:dyDescent="0.35">
      <c r="A1440" s="7" t="s">
        <v>1096</v>
      </c>
      <c r="B1440" s="7" t="s">
        <v>908</v>
      </c>
      <c r="C1440" s="7" t="s">
        <v>374</v>
      </c>
      <c r="D1440" s="10">
        <v>45929</v>
      </c>
      <c r="E1440" s="11" t="s">
        <v>314</v>
      </c>
      <c r="F1440" s="7" t="s">
        <v>872</v>
      </c>
      <c r="G1440" s="7" t="s">
        <v>317</v>
      </c>
    </row>
    <row r="1441" spans="1:7" x14ac:dyDescent="0.35">
      <c r="A1441" s="7" t="s">
        <v>1092</v>
      </c>
      <c r="B1441" s="7" t="s">
        <v>1025</v>
      </c>
      <c r="C1441" s="77" t="s">
        <v>1026</v>
      </c>
      <c r="D1441" s="10">
        <v>45929</v>
      </c>
      <c r="E1441" s="11" t="s">
        <v>314</v>
      </c>
      <c r="F1441" s="7" t="s">
        <v>867</v>
      </c>
      <c r="G1441" s="7"/>
    </row>
    <row r="1442" spans="1:7" x14ac:dyDescent="0.35">
      <c r="A1442" s="7" t="s">
        <v>828</v>
      </c>
      <c r="B1442" s="7" t="s">
        <v>1025</v>
      </c>
      <c r="C1442" s="77" t="s">
        <v>1026</v>
      </c>
      <c r="D1442" s="10">
        <v>45929</v>
      </c>
      <c r="E1442" s="11" t="s">
        <v>314</v>
      </c>
      <c r="F1442" s="7" t="s">
        <v>867</v>
      </c>
      <c r="G1442" s="7"/>
    </row>
    <row r="1443" spans="1:7" x14ac:dyDescent="0.35">
      <c r="A1443" s="7" t="s">
        <v>828</v>
      </c>
      <c r="B1443" s="7" t="s">
        <v>1025</v>
      </c>
      <c r="C1443" s="77" t="s">
        <v>1026</v>
      </c>
      <c r="D1443" s="10">
        <v>45929</v>
      </c>
      <c r="E1443" s="11" t="s">
        <v>314</v>
      </c>
      <c r="F1443" s="7" t="s">
        <v>872</v>
      </c>
      <c r="G1443" s="7" t="s">
        <v>891</v>
      </c>
    </row>
    <row r="1444" spans="1:7" x14ac:dyDescent="0.35">
      <c r="A1444" s="7" t="s">
        <v>1072</v>
      </c>
      <c r="B1444" s="7" t="s">
        <v>1025</v>
      </c>
      <c r="C1444" s="77" t="s">
        <v>1026</v>
      </c>
      <c r="D1444" s="10">
        <v>45929</v>
      </c>
      <c r="E1444" s="11" t="s">
        <v>314</v>
      </c>
      <c r="F1444" s="7" t="s">
        <v>867</v>
      </c>
      <c r="G1444" s="7"/>
    </row>
    <row r="1445" spans="1:7" x14ac:dyDescent="0.35">
      <c r="A1445" s="7" t="s">
        <v>591</v>
      </c>
      <c r="B1445" s="7" t="s">
        <v>1025</v>
      </c>
      <c r="C1445" s="77" t="s">
        <v>1026</v>
      </c>
      <c r="D1445" s="10">
        <v>45929</v>
      </c>
      <c r="E1445" s="11" t="s">
        <v>314</v>
      </c>
      <c r="F1445" s="7" t="s">
        <v>867</v>
      </c>
      <c r="G1445" s="7"/>
    </row>
    <row r="1446" spans="1:7" x14ac:dyDescent="0.35">
      <c r="A1446" s="7" t="s">
        <v>823</v>
      </c>
      <c r="B1446" s="7" t="s">
        <v>1025</v>
      </c>
      <c r="C1446" s="77" t="s">
        <v>1026</v>
      </c>
      <c r="D1446" s="10">
        <v>45929</v>
      </c>
      <c r="E1446" s="11" t="s">
        <v>314</v>
      </c>
      <c r="F1446" s="7" t="s">
        <v>867</v>
      </c>
      <c r="G1446" s="7"/>
    </row>
    <row r="1447" spans="1:7" x14ac:dyDescent="0.35">
      <c r="A1447" s="7" t="s">
        <v>1071</v>
      </c>
      <c r="B1447" s="7" t="s">
        <v>1025</v>
      </c>
      <c r="C1447" s="77" t="s">
        <v>1026</v>
      </c>
      <c r="D1447" s="10">
        <v>45929</v>
      </c>
      <c r="E1447" s="11" t="s">
        <v>314</v>
      </c>
      <c r="F1447" s="7" t="s">
        <v>867</v>
      </c>
      <c r="G1447" s="7"/>
    </row>
    <row r="1448" spans="1:7" x14ac:dyDescent="0.35">
      <c r="A1448" s="77" t="s">
        <v>1057</v>
      </c>
      <c r="B1448" s="77" t="s">
        <v>1025</v>
      </c>
      <c r="C1448" s="77" t="s">
        <v>1026</v>
      </c>
      <c r="D1448" s="78">
        <v>45929</v>
      </c>
      <c r="E1448" s="79" t="s">
        <v>314</v>
      </c>
      <c r="F1448" s="77" t="s">
        <v>867</v>
      </c>
      <c r="G1448" s="77"/>
    </row>
    <row r="1449" spans="1:7" x14ac:dyDescent="0.35">
      <c r="A1449" s="77" t="s">
        <v>1066</v>
      </c>
      <c r="B1449" s="77" t="s">
        <v>1025</v>
      </c>
      <c r="C1449" s="77" t="s">
        <v>1026</v>
      </c>
      <c r="D1449" s="78">
        <v>45929</v>
      </c>
      <c r="E1449" s="79" t="s">
        <v>314</v>
      </c>
      <c r="F1449" s="77" t="s">
        <v>1080</v>
      </c>
      <c r="G1449" s="77"/>
    </row>
    <row r="1450" spans="1:7" x14ac:dyDescent="0.35">
      <c r="A1450" s="77" t="s">
        <v>1072</v>
      </c>
      <c r="B1450" s="77" t="s">
        <v>1025</v>
      </c>
      <c r="C1450" s="77" t="s">
        <v>1026</v>
      </c>
      <c r="D1450" s="78">
        <v>45929</v>
      </c>
      <c r="E1450" s="79" t="s">
        <v>314</v>
      </c>
      <c r="F1450" s="77" t="s">
        <v>1080</v>
      </c>
      <c r="G1450" s="77"/>
    </row>
    <row r="1451" spans="1:7" x14ac:dyDescent="0.35">
      <c r="A1451" s="77" t="s">
        <v>1096</v>
      </c>
      <c r="B1451" s="77" t="s">
        <v>1025</v>
      </c>
      <c r="C1451" s="77" t="s">
        <v>1026</v>
      </c>
      <c r="D1451" s="78">
        <v>45929</v>
      </c>
      <c r="E1451" s="79" t="s">
        <v>314</v>
      </c>
      <c r="F1451" s="77" t="s">
        <v>1080</v>
      </c>
      <c r="G1451" s="77"/>
    </row>
    <row r="1452" spans="1:7" x14ac:dyDescent="0.35">
      <c r="A1452" s="77" t="s">
        <v>1116</v>
      </c>
      <c r="B1452" s="77" t="s">
        <v>1025</v>
      </c>
      <c r="C1452" s="77" t="s">
        <v>1026</v>
      </c>
      <c r="D1452" s="78">
        <v>45929</v>
      </c>
      <c r="E1452" s="79" t="s">
        <v>314</v>
      </c>
      <c r="F1452" s="77" t="s">
        <v>1080</v>
      </c>
      <c r="G1452" s="77"/>
    </row>
    <row r="1453" spans="1:7" x14ac:dyDescent="0.35">
      <c r="A1453" s="77" t="s">
        <v>1117</v>
      </c>
      <c r="B1453" s="77" t="s">
        <v>1025</v>
      </c>
      <c r="C1453" s="77" t="s">
        <v>1026</v>
      </c>
      <c r="D1453" s="78">
        <v>45930</v>
      </c>
      <c r="E1453" s="79" t="s">
        <v>314</v>
      </c>
      <c r="F1453" s="77" t="s">
        <v>1080</v>
      </c>
      <c r="G1453" s="77"/>
    </row>
    <row r="1454" spans="1:7" x14ac:dyDescent="0.35">
      <c r="A1454" s="77" t="s">
        <v>795</v>
      </c>
      <c r="B1454" s="77" t="s">
        <v>1025</v>
      </c>
      <c r="C1454" s="77" t="s">
        <v>1026</v>
      </c>
      <c r="D1454" s="78">
        <v>45932</v>
      </c>
      <c r="E1454" s="79" t="s">
        <v>314</v>
      </c>
      <c r="F1454" s="77" t="s">
        <v>1080</v>
      </c>
      <c r="G1454" s="77"/>
    </row>
    <row r="1455" spans="1:7" x14ac:dyDescent="0.35">
      <c r="A1455" s="7" t="s">
        <v>1108</v>
      </c>
      <c r="B1455" s="7" t="s">
        <v>1025</v>
      </c>
      <c r="C1455" s="77" t="s">
        <v>1026</v>
      </c>
      <c r="D1455" s="10">
        <v>45933</v>
      </c>
      <c r="E1455" s="11" t="s">
        <v>314</v>
      </c>
      <c r="F1455" s="7" t="s">
        <v>872</v>
      </c>
      <c r="G1455" s="7" t="s">
        <v>317</v>
      </c>
    </row>
    <row r="1456" spans="1:7" x14ac:dyDescent="0.35">
      <c r="A1456" s="7" t="s">
        <v>1100</v>
      </c>
      <c r="B1456" s="7" t="s">
        <v>1025</v>
      </c>
      <c r="C1456" s="77" t="s">
        <v>1026</v>
      </c>
      <c r="D1456" s="10">
        <v>45933</v>
      </c>
      <c r="E1456" s="11" t="s">
        <v>314</v>
      </c>
      <c r="F1456" s="7" t="s">
        <v>872</v>
      </c>
      <c r="G1456" s="7" t="s">
        <v>317</v>
      </c>
    </row>
    <row r="1457" spans="1:7" x14ac:dyDescent="0.35">
      <c r="A1457" s="66" t="s">
        <v>1093</v>
      </c>
      <c r="B1457" s="66" t="s">
        <v>1025</v>
      </c>
      <c r="C1457" s="77" t="s">
        <v>1026</v>
      </c>
      <c r="D1457" s="67">
        <v>45933</v>
      </c>
      <c r="E1457" s="68" t="s">
        <v>314</v>
      </c>
      <c r="F1457" s="66" t="s">
        <v>867</v>
      </c>
      <c r="G1457" s="66"/>
    </row>
    <row r="1458" spans="1:7" x14ac:dyDescent="0.35">
      <c r="A1458" s="66" t="s">
        <v>1066</v>
      </c>
      <c r="B1458" s="66" t="s">
        <v>1025</v>
      </c>
      <c r="C1458" s="77" t="s">
        <v>1026</v>
      </c>
      <c r="D1458" s="67">
        <v>45933</v>
      </c>
      <c r="E1458" s="68" t="s">
        <v>314</v>
      </c>
      <c r="F1458" s="66" t="s">
        <v>867</v>
      </c>
      <c r="G1458" s="66"/>
    </row>
    <row r="1459" spans="1:7" x14ac:dyDescent="0.35">
      <c r="A1459" s="7" t="s">
        <v>1097</v>
      </c>
      <c r="B1459" s="7" t="s">
        <v>908</v>
      </c>
      <c r="C1459" s="7" t="s">
        <v>374</v>
      </c>
      <c r="D1459" s="10">
        <v>45933</v>
      </c>
      <c r="E1459" s="11" t="s">
        <v>314</v>
      </c>
      <c r="F1459" s="7" t="s">
        <v>872</v>
      </c>
      <c r="G1459" s="7" t="s">
        <v>317</v>
      </c>
    </row>
    <row r="1460" spans="1:7" x14ac:dyDescent="0.35">
      <c r="A1460" s="66" t="s">
        <v>918</v>
      </c>
      <c r="B1460" s="66" t="s">
        <v>1025</v>
      </c>
      <c r="C1460" s="77" t="s">
        <v>1026</v>
      </c>
      <c r="D1460" s="67">
        <v>45933</v>
      </c>
      <c r="E1460" s="68" t="s">
        <v>314</v>
      </c>
      <c r="F1460" s="66" t="s">
        <v>867</v>
      </c>
      <c r="G1460" s="66"/>
    </row>
    <row r="1461" spans="1:7" x14ac:dyDescent="0.35">
      <c r="A1461" s="7" t="s">
        <v>795</v>
      </c>
      <c r="B1461" s="7" t="s">
        <v>896</v>
      </c>
      <c r="C1461" s="7" t="s">
        <v>897</v>
      </c>
      <c r="D1461" s="10">
        <v>45933</v>
      </c>
      <c r="E1461" s="11" t="s">
        <v>314</v>
      </c>
      <c r="F1461" s="7" t="s">
        <v>877</v>
      </c>
      <c r="G1461" s="7"/>
    </row>
    <row r="1462" spans="1:7" x14ac:dyDescent="0.35">
      <c r="A1462" s="7" t="s">
        <v>757</v>
      </c>
      <c r="B1462" s="7" t="s">
        <v>896</v>
      </c>
      <c r="C1462" s="7" t="s">
        <v>897</v>
      </c>
      <c r="D1462" s="10">
        <v>45933</v>
      </c>
      <c r="E1462" s="11" t="s">
        <v>314</v>
      </c>
      <c r="F1462" s="7" t="s">
        <v>19</v>
      </c>
      <c r="G1462" s="7"/>
    </row>
    <row r="1463" spans="1:7" x14ac:dyDescent="0.35">
      <c r="A1463" s="77" t="s">
        <v>1056</v>
      </c>
      <c r="B1463" s="77" t="s">
        <v>1025</v>
      </c>
      <c r="C1463" s="77" t="s">
        <v>1026</v>
      </c>
      <c r="D1463" s="78">
        <v>45933</v>
      </c>
      <c r="E1463" s="79" t="s">
        <v>314</v>
      </c>
      <c r="F1463" s="77" t="s">
        <v>867</v>
      </c>
      <c r="G1463" s="77"/>
    </row>
    <row r="1464" spans="1:7" x14ac:dyDescent="0.35">
      <c r="A1464" s="77" t="s">
        <v>1147</v>
      </c>
      <c r="B1464" s="77" t="s">
        <v>1025</v>
      </c>
      <c r="C1464" s="77" t="s">
        <v>1026</v>
      </c>
      <c r="D1464" s="78">
        <v>45933</v>
      </c>
      <c r="E1464" s="79" t="s">
        <v>314</v>
      </c>
      <c r="F1464" s="77" t="s">
        <v>1080</v>
      </c>
      <c r="G1464" s="77"/>
    </row>
    <row r="1465" spans="1:7" x14ac:dyDescent="0.35">
      <c r="A1465" s="77" t="s">
        <v>1094</v>
      </c>
      <c r="B1465" s="77" t="s">
        <v>1025</v>
      </c>
      <c r="C1465" s="77" t="s">
        <v>1026</v>
      </c>
      <c r="D1465" s="78">
        <v>45936</v>
      </c>
      <c r="E1465" s="79" t="s">
        <v>314</v>
      </c>
      <c r="F1465" s="77" t="s">
        <v>1080</v>
      </c>
      <c r="G1465" s="77"/>
    </row>
    <row r="1466" spans="1:7" x14ac:dyDescent="0.35">
      <c r="A1466" s="7" t="s">
        <v>1118</v>
      </c>
      <c r="B1466" s="66" t="s">
        <v>1025</v>
      </c>
      <c r="C1466" s="77" t="s">
        <v>1026</v>
      </c>
      <c r="D1466" s="67">
        <v>45937</v>
      </c>
      <c r="E1466" s="68" t="s">
        <v>314</v>
      </c>
      <c r="F1466" s="66" t="s">
        <v>867</v>
      </c>
      <c r="G1466" s="66"/>
    </row>
    <row r="1467" spans="1:7" x14ac:dyDescent="0.35">
      <c r="A1467" s="7" t="s">
        <v>1094</v>
      </c>
      <c r="B1467" s="66" t="s">
        <v>1025</v>
      </c>
      <c r="C1467" s="77" t="s">
        <v>1026</v>
      </c>
      <c r="D1467" s="67">
        <v>45937</v>
      </c>
      <c r="E1467" s="68" t="s">
        <v>314</v>
      </c>
      <c r="F1467" s="66" t="s">
        <v>867</v>
      </c>
      <c r="G1467" s="66"/>
    </row>
    <row r="1468" spans="1:7" x14ac:dyDescent="0.35">
      <c r="A1468" s="77" t="s">
        <v>1128</v>
      </c>
      <c r="B1468" s="77" t="s">
        <v>1025</v>
      </c>
      <c r="C1468" s="77" t="s">
        <v>1026</v>
      </c>
      <c r="D1468" s="78">
        <v>45937</v>
      </c>
      <c r="E1468" s="79" t="s">
        <v>314</v>
      </c>
      <c r="F1468" s="77" t="s">
        <v>1080</v>
      </c>
      <c r="G1468" s="77"/>
    </row>
    <row r="1469" spans="1:7" x14ac:dyDescent="0.35">
      <c r="A1469" s="59" t="s">
        <v>1042</v>
      </c>
      <c r="B1469" s="59" t="s">
        <v>908</v>
      </c>
      <c r="C1469" s="59" t="s">
        <v>374</v>
      </c>
      <c r="D1469" s="60">
        <v>45938</v>
      </c>
      <c r="E1469" s="61" t="s">
        <v>314</v>
      </c>
      <c r="F1469" s="59" t="s">
        <v>19</v>
      </c>
      <c r="G1469" s="59"/>
    </row>
    <row r="1470" spans="1:7" x14ac:dyDescent="0.35">
      <c r="A1470" s="7" t="s">
        <v>1017</v>
      </c>
      <c r="B1470" s="66" t="s">
        <v>1025</v>
      </c>
      <c r="C1470" s="77" t="s">
        <v>1026</v>
      </c>
      <c r="D1470" s="67">
        <v>45938</v>
      </c>
      <c r="E1470" s="68" t="s">
        <v>314</v>
      </c>
      <c r="F1470" s="66" t="s">
        <v>19</v>
      </c>
      <c r="G1470" s="66"/>
    </row>
    <row r="1471" spans="1:7" x14ac:dyDescent="0.35">
      <c r="A1471" s="66" t="s">
        <v>953</v>
      </c>
      <c r="B1471" s="66" t="s">
        <v>896</v>
      </c>
      <c r="C1471" s="66" t="s">
        <v>897</v>
      </c>
      <c r="D1471" s="67">
        <v>45938</v>
      </c>
      <c r="E1471" s="68" t="s">
        <v>314</v>
      </c>
      <c r="F1471" s="66" t="s">
        <v>19</v>
      </c>
      <c r="G1471" s="66"/>
    </row>
    <row r="1472" spans="1:7" x14ac:dyDescent="0.35">
      <c r="A1472" s="77" t="s">
        <v>776</v>
      </c>
      <c r="B1472" s="77" t="s">
        <v>1025</v>
      </c>
      <c r="C1472" s="77" t="s">
        <v>1026</v>
      </c>
      <c r="D1472" s="78">
        <v>45939</v>
      </c>
      <c r="E1472" s="79" t="s">
        <v>314</v>
      </c>
      <c r="F1472" s="77" t="s">
        <v>1080</v>
      </c>
      <c r="G1472" s="77"/>
    </row>
    <row r="1473" spans="1:7" x14ac:dyDescent="0.35">
      <c r="A1473" s="5" t="s">
        <v>1042</v>
      </c>
      <c r="B1473" s="7" t="s">
        <v>1025</v>
      </c>
      <c r="C1473" s="77" t="s">
        <v>1026</v>
      </c>
      <c r="D1473" s="10">
        <v>45940</v>
      </c>
      <c r="E1473" s="11" t="s">
        <v>314</v>
      </c>
      <c r="F1473" s="7" t="s">
        <v>871</v>
      </c>
      <c r="G1473" s="7" t="s">
        <v>891</v>
      </c>
    </row>
    <row r="1474" spans="1:7" x14ac:dyDescent="0.35">
      <c r="A1474" s="7" t="s">
        <v>1129</v>
      </c>
      <c r="B1474" s="7" t="s">
        <v>1025</v>
      </c>
      <c r="C1474" s="77" t="s">
        <v>1026</v>
      </c>
      <c r="D1474" s="10">
        <v>45940</v>
      </c>
      <c r="E1474" s="11" t="s">
        <v>314</v>
      </c>
      <c r="F1474" s="7" t="s">
        <v>872</v>
      </c>
      <c r="G1474" s="7" t="s">
        <v>317</v>
      </c>
    </row>
    <row r="1475" spans="1:7" x14ac:dyDescent="0.35">
      <c r="A1475" s="7" t="s">
        <v>1128</v>
      </c>
      <c r="B1475" s="7" t="s">
        <v>1025</v>
      </c>
      <c r="C1475" s="77" t="s">
        <v>1026</v>
      </c>
      <c r="D1475" s="10">
        <v>45940</v>
      </c>
      <c r="E1475" s="11" t="s">
        <v>314</v>
      </c>
      <c r="F1475" s="7" t="s">
        <v>872</v>
      </c>
      <c r="G1475" s="7" t="s">
        <v>317</v>
      </c>
    </row>
    <row r="1476" spans="1:7" x14ac:dyDescent="0.35">
      <c r="A1476" s="7" t="s">
        <v>1130</v>
      </c>
      <c r="B1476" s="7" t="s">
        <v>1025</v>
      </c>
      <c r="C1476" s="77" t="s">
        <v>1026</v>
      </c>
      <c r="D1476" s="10">
        <v>45940</v>
      </c>
      <c r="E1476" s="11" t="s">
        <v>314</v>
      </c>
      <c r="F1476" s="7" t="s">
        <v>872</v>
      </c>
      <c r="G1476" s="7" t="s">
        <v>317</v>
      </c>
    </row>
    <row r="1477" spans="1:7" x14ac:dyDescent="0.35">
      <c r="A1477" s="5" t="s">
        <v>1109</v>
      </c>
      <c r="B1477" s="7" t="s">
        <v>1025</v>
      </c>
      <c r="C1477" s="77" t="s">
        <v>1026</v>
      </c>
      <c r="D1477" s="10">
        <v>45940</v>
      </c>
      <c r="E1477" s="11" t="s">
        <v>314</v>
      </c>
      <c r="F1477" s="7" t="s">
        <v>871</v>
      </c>
      <c r="G1477" s="7" t="s">
        <v>891</v>
      </c>
    </row>
    <row r="1478" spans="1:7" x14ac:dyDescent="0.35">
      <c r="A1478" s="7" t="s">
        <v>1109</v>
      </c>
      <c r="B1478" s="7" t="s">
        <v>1025</v>
      </c>
      <c r="C1478" s="77" t="s">
        <v>1026</v>
      </c>
      <c r="D1478" s="10">
        <v>45940</v>
      </c>
      <c r="E1478" s="11" t="s">
        <v>314</v>
      </c>
      <c r="F1478" s="7" t="s">
        <v>872</v>
      </c>
      <c r="G1478" s="7" t="s">
        <v>317</v>
      </c>
    </row>
    <row r="1479" spans="1:7" x14ac:dyDescent="0.35">
      <c r="A1479" s="7" t="s">
        <v>1132</v>
      </c>
      <c r="B1479" s="7" t="s">
        <v>1025</v>
      </c>
      <c r="C1479" s="77" t="s">
        <v>1026</v>
      </c>
      <c r="D1479" s="10">
        <v>45940</v>
      </c>
      <c r="E1479" s="11" t="s">
        <v>314</v>
      </c>
      <c r="F1479" s="7" t="s">
        <v>872</v>
      </c>
      <c r="G1479" s="7" t="s">
        <v>317</v>
      </c>
    </row>
    <row r="1480" spans="1:7" x14ac:dyDescent="0.35">
      <c r="A1480" s="7" t="s">
        <v>1112</v>
      </c>
      <c r="B1480" s="7" t="s">
        <v>1025</v>
      </c>
      <c r="C1480" s="77" t="s">
        <v>1026</v>
      </c>
      <c r="D1480" s="10">
        <v>45940</v>
      </c>
      <c r="E1480" s="11" t="s">
        <v>314</v>
      </c>
      <c r="F1480" s="7" t="s">
        <v>872</v>
      </c>
      <c r="G1480" s="7" t="s">
        <v>317</v>
      </c>
    </row>
    <row r="1481" spans="1:7" x14ac:dyDescent="0.35">
      <c r="A1481" s="7" t="s">
        <v>41</v>
      </c>
      <c r="B1481" s="66" t="s">
        <v>896</v>
      </c>
      <c r="C1481" s="66" t="s">
        <v>897</v>
      </c>
      <c r="D1481" s="67">
        <v>45940</v>
      </c>
      <c r="E1481" s="68" t="s">
        <v>314</v>
      </c>
      <c r="F1481" s="66" t="s">
        <v>867</v>
      </c>
      <c r="G1481" s="7" t="s">
        <v>1332</v>
      </c>
    </row>
    <row r="1482" spans="1:7" x14ac:dyDescent="0.35">
      <c r="A1482" s="7" t="s">
        <v>1017</v>
      </c>
      <c r="B1482" s="7" t="s">
        <v>1025</v>
      </c>
      <c r="C1482" s="77" t="s">
        <v>1026</v>
      </c>
      <c r="D1482" s="10">
        <v>45940</v>
      </c>
      <c r="E1482" s="11" t="s">
        <v>314</v>
      </c>
      <c r="F1482" s="7" t="s">
        <v>871</v>
      </c>
      <c r="G1482" s="7" t="s">
        <v>891</v>
      </c>
    </row>
    <row r="1483" spans="1:7" x14ac:dyDescent="0.35">
      <c r="A1483" s="7" t="s">
        <v>1113</v>
      </c>
      <c r="B1483" s="7" t="s">
        <v>908</v>
      </c>
      <c r="C1483" s="7" t="s">
        <v>374</v>
      </c>
      <c r="D1483" s="10">
        <v>45940</v>
      </c>
      <c r="E1483" s="11" t="s">
        <v>314</v>
      </c>
      <c r="F1483" s="7" t="s">
        <v>872</v>
      </c>
      <c r="G1483" s="7" t="s">
        <v>891</v>
      </c>
    </row>
    <row r="1484" spans="1:7" x14ac:dyDescent="0.35">
      <c r="A1484" s="7" t="s">
        <v>1113</v>
      </c>
      <c r="B1484" s="7" t="s">
        <v>1025</v>
      </c>
      <c r="C1484" s="77" t="s">
        <v>1026</v>
      </c>
      <c r="D1484" s="10">
        <v>45940</v>
      </c>
      <c r="E1484" s="11" t="s">
        <v>314</v>
      </c>
      <c r="F1484" s="7" t="s">
        <v>894</v>
      </c>
      <c r="G1484" s="7" t="s">
        <v>15</v>
      </c>
    </row>
    <row r="1485" spans="1:7" x14ac:dyDescent="0.35">
      <c r="A1485" s="59" t="s">
        <v>1113</v>
      </c>
      <c r="B1485" s="59" t="s">
        <v>908</v>
      </c>
      <c r="C1485" s="59" t="s">
        <v>374</v>
      </c>
      <c r="D1485" s="60">
        <v>45940</v>
      </c>
      <c r="E1485" s="61" t="s">
        <v>314</v>
      </c>
      <c r="F1485" s="59" t="s">
        <v>874</v>
      </c>
      <c r="G1485" s="59" t="s">
        <v>900</v>
      </c>
    </row>
    <row r="1486" spans="1:7" x14ac:dyDescent="0.35">
      <c r="A1486" s="77" t="s">
        <v>1119</v>
      </c>
      <c r="B1486" s="77" t="s">
        <v>1025</v>
      </c>
      <c r="C1486" s="77" t="s">
        <v>1026</v>
      </c>
      <c r="D1486" s="78">
        <v>45940</v>
      </c>
      <c r="E1486" s="79" t="s">
        <v>314</v>
      </c>
      <c r="F1486" s="77" t="s">
        <v>867</v>
      </c>
      <c r="G1486" s="77"/>
    </row>
    <row r="1487" spans="1:7" x14ac:dyDescent="0.35">
      <c r="A1487" s="77" t="s">
        <v>776</v>
      </c>
      <c r="B1487" s="77" t="s">
        <v>896</v>
      </c>
      <c r="C1487" s="77" t="s">
        <v>897</v>
      </c>
      <c r="D1487" s="78">
        <v>45940</v>
      </c>
      <c r="E1487" s="79" t="s">
        <v>314</v>
      </c>
      <c r="F1487" s="77" t="s">
        <v>19</v>
      </c>
      <c r="G1487" s="77"/>
    </row>
    <row r="1488" spans="1:7" x14ac:dyDescent="0.35">
      <c r="A1488" s="77" t="s">
        <v>776</v>
      </c>
      <c r="B1488" s="77" t="s">
        <v>908</v>
      </c>
      <c r="C1488" s="77" t="s">
        <v>374</v>
      </c>
      <c r="D1488" s="78">
        <v>45940</v>
      </c>
      <c r="E1488" s="79" t="s">
        <v>314</v>
      </c>
      <c r="F1488" s="77" t="s">
        <v>872</v>
      </c>
      <c r="G1488" s="77" t="s">
        <v>317</v>
      </c>
    </row>
    <row r="1489" spans="1:7" x14ac:dyDescent="0.35">
      <c r="A1489" s="77" t="s">
        <v>776</v>
      </c>
      <c r="B1489" s="77" t="s">
        <v>896</v>
      </c>
      <c r="C1489" s="77" t="s">
        <v>897</v>
      </c>
      <c r="D1489" s="78">
        <v>45940</v>
      </c>
      <c r="E1489" s="79" t="s">
        <v>314</v>
      </c>
      <c r="F1489" s="77" t="s">
        <v>871</v>
      </c>
      <c r="G1489" s="77" t="s">
        <v>891</v>
      </c>
    </row>
    <row r="1490" spans="1:7" x14ac:dyDescent="0.35">
      <c r="A1490" s="77" t="s">
        <v>935</v>
      </c>
      <c r="B1490" s="77" t="s">
        <v>1025</v>
      </c>
      <c r="C1490" s="77" t="s">
        <v>1026</v>
      </c>
      <c r="D1490" s="78">
        <v>45946</v>
      </c>
      <c r="E1490" s="79" t="s">
        <v>314</v>
      </c>
      <c r="F1490" s="77" t="s">
        <v>1080</v>
      </c>
      <c r="G1490" s="77"/>
    </row>
    <row r="1491" spans="1:7" x14ac:dyDescent="0.35">
      <c r="A1491" s="7" t="s">
        <v>1138</v>
      </c>
      <c r="B1491" s="66" t="s">
        <v>908</v>
      </c>
      <c r="C1491" s="66" t="s">
        <v>374</v>
      </c>
      <c r="D1491" s="67">
        <v>45947</v>
      </c>
      <c r="E1491" s="68" t="s">
        <v>314</v>
      </c>
      <c r="F1491" s="66" t="s">
        <v>19</v>
      </c>
      <c r="G1491" s="66"/>
    </row>
    <row r="1492" spans="1:7" x14ac:dyDescent="0.35">
      <c r="A1492" s="7" t="s">
        <v>1081</v>
      </c>
      <c r="B1492" s="66" t="s">
        <v>908</v>
      </c>
      <c r="C1492" s="66" t="s">
        <v>374</v>
      </c>
      <c r="D1492" s="67">
        <v>45947</v>
      </c>
      <c r="E1492" s="68" t="s">
        <v>314</v>
      </c>
      <c r="F1492" s="66" t="s">
        <v>19</v>
      </c>
      <c r="G1492" s="66"/>
    </row>
    <row r="1493" spans="1:7" x14ac:dyDescent="0.35">
      <c r="A1493" s="7" t="s">
        <v>1028</v>
      </c>
      <c r="B1493" s="66" t="s">
        <v>908</v>
      </c>
      <c r="C1493" s="66" t="s">
        <v>374</v>
      </c>
      <c r="D1493" s="67">
        <v>45947</v>
      </c>
      <c r="E1493" s="68" t="s">
        <v>314</v>
      </c>
      <c r="F1493" s="66" t="s">
        <v>19</v>
      </c>
      <c r="G1493" s="66"/>
    </row>
    <row r="1494" spans="1:7" x14ac:dyDescent="0.35">
      <c r="A1494" s="7" t="s">
        <v>1146</v>
      </c>
      <c r="B1494" s="66" t="s">
        <v>1025</v>
      </c>
      <c r="C1494" s="77" t="s">
        <v>1026</v>
      </c>
      <c r="D1494" s="67">
        <v>45947</v>
      </c>
      <c r="E1494" s="68" t="s">
        <v>314</v>
      </c>
      <c r="F1494" s="66" t="s">
        <v>867</v>
      </c>
      <c r="G1494" s="66"/>
    </row>
    <row r="1495" spans="1:7" x14ac:dyDescent="0.35">
      <c r="A1495" s="7" t="s">
        <v>1063</v>
      </c>
      <c r="B1495" s="66" t="s">
        <v>896</v>
      </c>
      <c r="C1495" s="66" t="s">
        <v>897</v>
      </c>
      <c r="D1495" s="67">
        <v>45947</v>
      </c>
      <c r="E1495" s="68" t="s">
        <v>314</v>
      </c>
      <c r="F1495" s="66" t="s">
        <v>19</v>
      </c>
      <c r="G1495" s="66"/>
    </row>
    <row r="1496" spans="1:7" x14ac:dyDescent="0.35">
      <c r="A1496" s="7" t="s">
        <v>1064</v>
      </c>
      <c r="B1496" s="66" t="s">
        <v>908</v>
      </c>
      <c r="C1496" s="66" t="s">
        <v>374</v>
      </c>
      <c r="D1496" s="67">
        <v>45947</v>
      </c>
      <c r="E1496" s="68" t="s">
        <v>314</v>
      </c>
      <c r="F1496" s="66" t="s">
        <v>19</v>
      </c>
      <c r="G1496" s="66"/>
    </row>
    <row r="1497" spans="1:7" x14ac:dyDescent="0.35">
      <c r="A1497" s="7" t="s">
        <v>935</v>
      </c>
      <c r="B1497" s="66" t="s">
        <v>1025</v>
      </c>
      <c r="C1497" s="77" t="s">
        <v>1026</v>
      </c>
      <c r="D1497" s="67">
        <v>45947</v>
      </c>
      <c r="E1497" s="68" t="s">
        <v>314</v>
      </c>
      <c r="F1497" s="66" t="s">
        <v>867</v>
      </c>
      <c r="G1497" s="66"/>
    </row>
    <row r="1498" spans="1:7" x14ac:dyDescent="0.35">
      <c r="A1498" s="7" t="s">
        <v>1141</v>
      </c>
      <c r="B1498" s="7" t="s">
        <v>1025</v>
      </c>
      <c r="C1498" s="77" t="s">
        <v>1026</v>
      </c>
      <c r="D1498" s="10">
        <v>45947</v>
      </c>
      <c r="E1498" s="11" t="s">
        <v>314</v>
      </c>
      <c r="F1498" s="7" t="s">
        <v>19</v>
      </c>
      <c r="G1498" s="7"/>
    </row>
    <row r="1499" spans="1:7" x14ac:dyDescent="0.35">
      <c r="A1499" s="7" t="s">
        <v>1143</v>
      </c>
      <c r="B1499" s="7" t="s">
        <v>1025</v>
      </c>
      <c r="C1499" s="77" t="s">
        <v>1026</v>
      </c>
      <c r="D1499" s="10">
        <v>45947</v>
      </c>
      <c r="E1499" s="11" t="s">
        <v>314</v>
      </c>
      <c r="F1499" s="7" t="s">
        <v>19</v>
      </c>
      <c r="G1499" s="7"/>
    </row>
    <row r="1500" spans="1:7" x14ac:dyDescent="0.35">
      <c r="A1500" s="7" t="s">
        <v>1036</v>
      </c>
      <c r="B1500" s="66" t="s">
        <v>908</v>
      </c>
      <c r="C1500" s="66" t="s">
        <v>374</v>
      </c>
      <c r="D1500" s="67">
        <v>45947</v>
      </c>
      <c r="E1500" s="68" t="s">
        <v>314</v>
      </c>
      <c r="F1500" s="66" t="s">
        <v>19</v>
      </c>
      <c r="G1500" s="66"/>
    </row>
    <row r="1501" spans="1:7" x14ac:dyDescent="0.35">
      <c r="A1501" s="7" t="s">
        <v>1074</v>
      </c>
      <c r="B1501" s="66" t="s">
        <v>896</v>
      </c>
      <c r="C1501" s="66" t="s">
        <v>897</v>
      </c>
      <c r="D1501" s="67">
        <v>45947</v>
      </c>
      <c r="E1501" s="68" t="s">
        <v>314</v>
      </c>
      <c r="F1501" s="66" t="s">
        <v>19</v>
      </c>
      <c r="G1501" s="66"/>
    </row>
    <row r="1502" spans="1:7" x14ac:dyDescent="0.35">
      <c r="A1502" s="7" t="s">
        <v>1058</v>
      </c>
      <c r="B1502" s="66" t="s">
        <v>1025</v>
      </c>
      <c r="C1502" s="77" t="s">
        <v>1026</v>
      </c>
      <c r="D1502" s="67">
        <v>45947</v>
      </c>
      <c r="E1502" s="68" t="s">
        <v>314</v>
      </c>
      <c r="F1502" s="66" t="s">
        <v>867</v>
      </c>
      <c r="G1502" s="66"/>
    </row>
    <row r="1503" spans="1:7" x14ac:dyDescent="0.35">
      <c r="A1503" s="7" t="s">
        <v>1058</v>
      </c>
      <c r="B1503" s="66" t="s">
        <v>1025</v>
      </c>
      <c r="C1503" s="77" t="s">
        <v>1026</v>
      </c>
      <c r="D1503" s="67">
        <v>45947</v>
      </c>
      <c r="E1503" s="68" t="s">
        <v>314</v>
      </c>
      <c r="F1503" s="66" t="s">
        <v>867</v>
      </c>
      <c r="G1503" s="66"/>
    </row>
    <row r="1504" spans="1:7" x14ac:dyDescent="0.35">
      <c r="A1504" s="77" t="s">
        <v>1120</v>
      </c>
      <c r="B1504" s="77" t="s">
        <v>1025</v>
      </c>
      <c r="C1504" s="77" t="s">
        <v>1026</v>
      </c>
      <c r="D1504" s="78">
        <v>45947</v>
      </c>
      <c r="E1504" s="79" t="s">
        <v>314</v>
      </c>
      <c r="F1504" s="77" t="s">
        <v>867</v>
      </c>
      <c r="G1504" s="77"/>
    </row>
    <row r="1505" spans="1:7" x14ac:dyDescent="0.35">
      <c r="A1505" s="7" t="s">
        <v>1145</v>
      </c>
      <c r="B1505" s="7" t="s">
        <v>1025</v>
      </c>
      <c r="C1505" s="77" t="s">
        <v>1026</v>
      </c>
      <c r="D1505" s="10">
        <v>45950</v>
      </c>
      <c r="E1505" s="11" t="s">
        <v>314</v>
      </c>
      <c r="F1505" s="7" t="s">
        <v>872</v>
      </c>
      <c r="G1505" s="7" t="s">
        <v>317</v>
      </c>
    </row>
    <row r="1506" spans="1:7" x14ac:dyDescent="0.35">
      <c r="A1506" s="7" t="s">
        <v>1131</v>
      </c>
      <c r="B1506" s="7" t="s">
        <v>1025</v>
      </c>
      <c r="C1506" s="77" t="s">
        <v>1026</v>
      </c>
      <c r="D1506" s="10">
        <v>45950</v>
      </c>
      <c r="E1506" s="11" t="s">
        <v>314</v>
      </c>
      <c r="F1506" s="7" t="s">
        <v>872</v>
      </c>
      <c r="G1506" s="7" t="s">
        <v>317</v>
      </c>
    </row>
    <row r="1507" spans="1:7" x14ac:dyDescent="0.35">
      <c r="A1507" s="7" t="s">
        <v>1148</v>
      </c>
      <c r="B1507" s="7" t="s">
        <v>1025</v>
      </c>
      <c r="C1507" s="77" t="s">
        <v>1026</v>
      </c>
      <c r="D1507" s="10">
        <v>45950</v>
      </c>
      <c r="E1507" s="11" t="s">
        <v>314</v>
      </c>
      <c r="F1507" s="7" t="s">
        <v>872</v>
      </c>
      <c r="G1507" s="7" t="s">
        <v>317</v>
      </c>
    </row>
    <row r="1508" spans="1:7" x14ac:dyDescent="0.35">
      <c r="A1508" s="5" t="s">
        <v>1133</v>
      </c>
      <c r="B1508" s="7" t="s">
        <v>1025</v>
      </c>
      <c r="C1508" s="77" t="s">
        <v>1026</v>
      </c>
      <c r="D1508" s="10">
        <v>45950</v>
      </c>
      <c r="E1508" s="11" t="s">
        <v>314</v>
      </c>
      <c r="F1508" s="7" t="s">
        <v>871</v>
      </c>
      <c r="G1508" s="7" t="s">
        <v>891</v>
      </c>
    </row>
    <row r="1509" spans="1:7" x14ac:dyDescent="0.35">
      <c r="A1509" s="7" t="s">
        <v>1133</v>
      </c>
      <c r="B1509" s="66" t="s">
        <v>1025</v>
      </c>
      <c r="C1509" s="77" t="s">
        <v>1026</v>
      </c>
      <c r="D1509" s="67">
        <v>45950</v>
      </c>
      <c r="E1509" s="68" t="s">
        <v>314</v>
      </c>
      <c r="F1509" s="66" t="s">
        <v>867</v>
      </c>
      <c r="G1509" s="66"/>
    </row>
    <row r="1510" spans="1:7" x14ac:dyDescent="0.35">
      <c r="A1510" s="5" t="s">
        <v>1135</v>
      </c>
      <c r="B1510" s="7" t="s">
        <v>1025</v>
      </c>
      <c r="C1510" s="77" t="s">
        <v>1026</v>
      </c>
      <c r="D1510" s="10">
        <v>45950</v>
      </c>
      <c r="E1510" s="11" t="s">
        <v>314</v>
      </c>
      <c r="F1510" s="7" t="s">
        <v>871</v>
      </c>
      <c r="G1510" s="7" t="s">
        <v>891</v>
      </c>
    </row>
    <row r="1511" spans="1:7" x14ac:dyDescent="0.35">
      <c r="A1511" s="7" t="s">
        <v>1135</v>
      </c>
      <c r="B1511" s="66" t="s">
        <v>1025</v>
      </c>
      <c r="C1511" s="77" t="s">
        <v>1026</v>
      </c>
      <c r="D1511" s="67">
        <v>45950</v>
      </c>
      <c r="E1511" s="68" t="s">
        <v>314</v>
      </c>
      <c r="F1511" s="66" t="s">
        <v>867</v>
      </c>
      <c r="G1511" s="66"/>
    </row>
    <row r="1512" spans="1:7" x14ac:dyDescent="0.35">
      <c r="A1512" s="5" t="s">
        <v>1134</v>
      </c>
      <c r="B1512" s="7" t="s">
        <v>1025</v>
      </c>
      <c r="C1512" s="77" t="s">
        <v>1026</v>
      </c>
      <c r="D1512" s="10">
        <v>45950</v>
      </c>
      <c r="E1512" s="11" t="s">
        <v>314</v>
      </c>
      <c r="F1512" s="7" t="s">
        <v>871</v>
      </c>
      <c r="G1512" s="7" t="s">
        <v>891</v>
      </c>
    </row>
    <row r="1513" spans="1:7" x14ac:dyDescent="0.35">
      <c r="A1513" s="7" t="s">
        <v>1134</v>
      </c>
      <c r="B1513" s="66" t="s">
        <v>1025</v>
      </c>
      <c r="C1513" s="77" t="s">
        <v>1026</v>
      </c>
      <c r="D1513" s="67">
        <v>45950</v>
      </c>
      <c r="E1513" s="68" t="s">
        <v>314</v>
      </c>
      <c r="F1513" s="66" t="s">
        <v>867</v>
      </c>
      <c r="G1513" s="66"/>
    </row>
    <row r="1514" spans="1:7" x14ac:dyDescent="0.35">
      <c r="A1514" s="5" t="s">
        <v>1137</v>
      </c>
      <c r="B1514" s="7" t="s">
        <v>1025</v>
      </c>
      <c r="C1514" s="77" t="s">
        <v>1026</v>
      </c>
      <c r="D1514" s="10">
        <v>45950</v>
      </c>
      <c r="E1514" s="11" t="s">
        <v>314</v>
      </c>
      <c r="F1514" s="7" t="s">
        <v>871</v>
      </c>
      <c r="G1514" s="7" t="s">
        <v>891</v>
      </c>
    </row>
    <row r="1515" spans="1:7" x14ac:dyDescent="0.35">
      <c r="A1515" s="7" t="s">
        <v>1137</v>
      </c>
      <c r="B1515" s="66" t="s">
        <v>1025</v>
      </c>
      <c r="C1515" s="77" t="s">
        <v>1026</v>
      </c>
      <c r="D1515" s="67">
        <v>45950</v>
      </c>
      <c r="E1515" s="68" t="s">
        <v>314</v>
      </c>
      <c r="F1515" s="66" t="s">
        <v>867</v>
      </c>
      <c r="G1515" s="66"/>
    </row>
    <row r="1516" spans="1:7" x14ac:dyDescent="0.35">
      <c r="A1516" s="77" t="s">
        <v>996</v>
      </c>
      <c r="B1516" s="77" t="s">
        <v>1025</v>
      </c>
      <c r="C1516" s="77" t="s">
        <v>1026</v>
      </c>
      <c r="D1516" s="78">
        <v>45950</v>
      </c>
      <c r="E1516" s="79" t="s">
        <v>314</v>
      </c>
      <c r="F1516" s="77" t="s">
        <v>1080</v>
      </c>
      <c r="G1516" s="77"/>
    </row>
    <row r="1517" spans="1:7" x14ac:dyDescent="0.35">
      <c r="A1517" s="77" t="s">
        <v>993</v>
      </c>
      <c r="B1517" s="77" t="s">
        <v>1025</v>
      </c>
      <c r="C1517" s="77" t="s">
        <v>1026</v>
      </c>
      <c r="D1517" s="78">
        <v>45950</v>
      </c>
      <c r="E1517" s="79" t="s">
        <v>314</v>
      </c>
      <c r="F1517" s="77" t="s">
        <v>1080</v>
      </c>
      <c r="G1517" s="77"/>
    </row>
    <row r="1518" spans="1:7" x14ac:dyDescent="0.35">
      <c r="A1518" s="77" t="s">
        <v>992</v>
      </c>
      <c r="B1518" s="77" t="s">
        <v>1025</v>
      </c>
      <c r="C1518" s="77" t="s">
        <v>1026</v>
      </c>
      <c r="D1518" s="78">
        <v>45950</v>
      </c>
      <c r="E1518" s="79" t="s">
        <v>314</v>
      </c>
      <c r="F1518" s="77" t="s">
        <v>1080</v>
      </c>
      <c r="G1518" s="77"/>
    </row>
    <row r="1519" spans="1:7" x14ac:dyDescent="0.35">
      <c r="A1519" s="77" t="s">
        <v>1007</v>
      </c>
      <c r="B1519" s="77" t="s">
        <v>1025</v>
      </c>
      <c r="C1519" s="77" t="s">
        <v>1026</v>
      </c>
      <c r="D1519" s="78">
        <v>45950</v>
      </c>
      <c r="E1519" s="79" t="s">
        <v>314</v>
      </c>
      <c r="F1519" s="77" t="s">
        <v>1080</v>
      </c>
      <c r="G1519" s="77"/>
    </row>
    <row r="1520" spans="1:7" x14ac:dyDescent="0.35">
      <c r="A1520" s="77" t="s">
        <v>958</v>
      </c>
      <c r="B1520" s="77" t="s">
        <v>1025</v>
      </c>
      <c r="C1520" s="77" t="s">
        <v>1026</v>
      </c>
      <c r="D1520" s="78">
        <v>45950</v>
      </c>
      <c r="E1520" s="79" t="s">
        <v>314</v>
      </c>
      <c r="F1520" s="77" t="s">
        <v>1080</v>
      </c>
      <c r="G1520" s="77"/>
    </row>
    <row r="1521" spans="1:7" x14ac:dyDescent="0.35">
      <c r="A1521" s="77" t="s">
        <v>988</v>
      </c>
      <c r="B1521" s="77" t="s">
        <v>1025</v>
      </c>
      <c r="C1521" s="77" t="s">
        <v>1026</v>
      </c>
      <c r="D1521" s="78">
        <v>45950</v>
      </c>
      <c r="E1521" s="79" t="s">
        <v>314</v>
      </c>
      <c r="F1521" s="77" t="s">
        <v>1080</v>
      </c>
      <c r="G1521" s="77"/>
    </row>
    <row r="1522" spans="1:7" x14ac:dyDescent="0.35">
      <c r="A1522" s="77" t="s">
        <v>1017</v>
      </c>
      <c r="B1522" s="77" t="s">
        <v>1025</v>
      </c>
      <c r="C1522" s="77" t="s">
        <v>1026</v>
      </c>
      <c r="D1522" s="78">
        <v>45950</v>
      </c>
      <c r="E1522" s="79" t="s">
        <v>314</v>
      </c>
      <c r="F1522" s="77" t="s">
        <v>1080</v>
      </c>
      <c r="G1522" s="77"/>
    </row>
    <row r="1523" spans="1:7" x14ac:dyDescent="0.35">
      <c r="A1523" s="77" t="s">
        <v>994</v>
      </c>
      <c r="B1523" s="77" t="s">
        <v>1025</v>
      </c>
      <c r="C1523" s="77" t="s">
        <v>1026</v>
      </c>
      <c r="D1523" s="78">
        <v>45950</v>
      </c>
      <c r="E1523" s="79" t="s">
        <v>314</v>
      </c>
      <c r="F1523" s="77" t="s">
        <v>1080</v>
      </c>
      <c r="G1523" s="77"/>
    </row>
    <row r="1524" spans="1:7" x14ac:dyDescent="0.35">
      <c r="A1524" s="77" t="s">
        <v>268</v>
      </c>
      <c r="B1524" s="77" t="s">
        <v>1025</v>
      </c>
      <c r="C1524" s="77" t="s">
        <v>1026</v>
      </c>
      <c r="D1524" s="78">
        <v>45953</v>
      </c>
      <c r="E1524" s="79" t="s">
        <v>314</v>
      </c>
      <c r="F1524" s="77" t="s">
        <v>1080</v>
      </c>
      <c r="G1524" s="77"/>
    </row>
    <row r="1525" spans="1:7" x14ac:dyDescent="0.35">
      <c r="A1525" s="7" t="s">
        <v>1156</v>
      </c>
      <c r="B1525" s="66" t="s">
        <v>1025</v>
      </c>
      <c r="C1525" s="77" t="s">
        <v>1026</v>
      </c>
      <c r="D1525" s="67">
        <v>45954</v>
      </c>
      <c r="E1525" s="68" t="s">
        <v>314</v>
      </c>
      <c r="F1525" s="66" t="s">
        <v>867</v>
      </c>
      <c r="G1525" s="7" t="s">
        <v>1170</v>
      </c>
    </row>
    <row r="1526" spans="1:7" x14ac:dyDescent="0.35">
      <c r="A1526" s="7" t="s">
        <v>1151</v>
      </c>
      <c r="B1526" s="7" t="s">
        <v>1025</v>
      </c>
      <c r="C1526" s="77" t="s">
        <v>1026</v>
      </c>
      <c r="D1526" s="10">
        <v>45954</v>
      </c>
      <c r="E1526" s="11" t="s">
        <v>314</v>
      </c>
      <c r="F1526" s="7" t="s">
        <v>19</v>
      </c>
      <c r="G1526" s="7"/>
    </row>
    <row r="1527" spans="1:7" x14ac:dyDescent="0.35">
      <c r="A1527" s="7" t="s">
        <v>1126</v>
      </c>
      <c r="B1527" s="66" t="s">
        <v>908</v>
      </c>
      <c r="C1527" s="66" t="s">
        <v>374</v>
      </c>
      <c r="D1527" s="67">
        <v>45954</v>
      </c>
      <c r="E1527" s="68" t="s">
        <v>314</v>
      </c>
      <c r="F1527" s="66" t="s">
        <v>19</v>
      </c>
      <c r="G1527" s="66"/>
    </row>
    <row r="1528" spans="1:7" x14ac:dyDescent="0.35">
      <c r="A1528" s="7" t="s">
        <v>1111</v>
      </c>
      <c r="B1528" s="66" t="s">
        <v>908</v>
      </c>
      <c r="C1528" s="66" t="s">
        <v>374</v>
      </c>
      <c r="D1528" s="67">
        <v>45954</v>
      </c>
      <c r="E1528" s="68" t="s">
        <v>314</v>
      </c>
      <c r="F1528" s="66" t="s">
        <v>19</v>
      </c>
      <c r="G1528" s="66"/>
    </row>
    <row r="1529" spans="1:7" x14ac:dyDescent="0.35">
      <c r="A1529" s="7" t="s">
        <v>1043</v>
      </c>
      <c r="B1529" s="66" t="s">
        <v>908</v>
      </c>
      <c r="C1529" s="66" t="s">
        <v>374</v>
      </c>
      <c r="D1529" s="67">
        <v>45954</v>
      </c>
      <c r="E1529" s="68" t="s">
        <v>314</v>
      </c>
      <c r="F1529" s="66" t="s">
        <v>19</v>
      </c>
      <c r="G1529" s="66"/>
    </row>
    <row r="1530" spans="1:7" x14ac:dyDescent="0.35">
      <c r="A1530" s="7" t="s">
        <v>1121</v>
      </c>
      <c r="B1530" s="66" t="s">
        <v>908</v>
      </c>
      <c r="C1530" s="66" t="s">
        <v>374</v>
      </c>
      <c r="D1530" s="67">
        <v>45954</v>
      </c>
      <c r="E1530" s="68" t="s">
        <v>314</v>
      </c>
      <c r="F1530" s="66" t="s">
        <v>19</v>
      </c>
      <c r="G1530" s="66"/>
    </row>
    <row r="1531" spans="1:7" x14ac:dyDescent="0.35">
      <c r="A1531" s="7" t="s">
        <v>1144</v>
      </c>
      <c r="B1531" s="7" t="s">
        <v>1025</v>
      </c>
      <c r="C1531" s="77" t="s">
        <v>1026</v>
      </c>
      <c r="D1531" s="10">
        <v>45954</v>
      </c>
      <c r="E1531" s="11" t="s">
        <v>314</v>
      </c>
      <c r="F1531" s="7" t="s">
        <v>19</v>
      </c>
      <c r="G1531" s="7"/>
    </row>
    <row r="1532" spans="1:7" x14ac:dyDescent="0.35">
      <c r="A1532" s="7" t="s">
        <v>268</v>
      </c>
      <c r="B1532" s="7" t="s">
        <v>908</v>
      </c>
      <c r="C1532" s="7" t="s">
        <v>374</v>
      </c>
      <c r="D1532" s="10">
        <v>45954</v>
      </c>
      <c r="E1532" s="11" t="s">
        <v>314</v>
      </c>
      <c r="F1532" s="7" t="s">
        <v>872</v>
      </c>
      <c r="G1532" s="7" t="s">
        <v>317</v>
      </c>
    </row>
    <row r="1533" spans="1:7" x14ac:dyDescent="0.35">
      <c r="A1533" s="7" t="s">
        <v>1162</v>
      </c>
      <c r="B1533" s="66" t="s">
        <v>1025</v>
      </c>
      <c r="C1533" s="77" t="s">
        <v>1026</v>
      </c>
      <c r="D1533" s="67">
        <v>45954</v>
      </c>
      <c r="E1533" s="68" t="s">
        <v>314</v>
      </c>
      <c r="F1533" s="66" t="s">
        <v>867</v>
      </c>
      <c r="G1533" s="7" t="s">
        <v>1170</v>
      </c>
    </row>
    <row r="1534" spans="1:7" x14ac:dyDescent="0.35">
      <c r="A1534" s="7" t="s">
        <v>127</v>
      </c>
      <c r="B1534" s="66" t="s">
        <v>1025</v>
      </c>
      <c r="C1534" s="77" t="s">
        <v>1026</v>
      </c>
      <c r="D1534" s="67">
        <v>45954</v>
      </c>
      <c r="E1534" s="68" t="s">
        <v>314</v>
      </c>
      <c r="F1534" s="66" t="s">
        <v>867</v>
      </c>
      <c r="G1534" s="7" t="s">
        <v>1170</v>
      </c>
    </row>
    <row r="1535" spans="1:7" x14ac:dyDescent="0.35">
      <c r="A1535" s="7" t="s">
        <v>117</v>
      </c>
      <c r="B1535" s="66" t="s">
        <v>1025</v>
      </c>
      <c r="C1535" s="77" t="s">
        <v>1026</v>
      </c>
      <c r="D1535" s="67">
        <v>45954</v>
      </c>
      <c r="E1535" s="68" t="s">
        <v>314</v>
      </c>
      <c r="F1535" s="66" t="s">
        <v>867</v>
      </c>
      <c r="G1535" s="7" t="s">
        <v>1170</v>
      </c>
    </row>
    <row r="1536" spans="1:7" x14ac:dyDescent="0.35">
      <c r="A1536" s="7" t="s">
        <v>533</v>
      </c>
      <c r="B1536" s="66" t="s">
        <v>1025</v>
      </c>
      <c r="C1536" s="77" t="s">
        <v>1026</v>
      </c>
      <c r="D1536" s="67">
        <v>45954</v>
      </c>
      <c r="E1536" s="68" t="s">
        <v>314</v>
      </c>
      <c r="F1536" s="66" t="s">
        <v>867</v>
      </c>
      <c r="G1536" s="7" t="s">
        <v>1170</v>
      </c>
    </row>
    <row r="1537" spans="1:7" x14ac:dyDescent="0.35">
      <c r="A1537" s="7" t="s">
        <v>675</v>
      </c>
      <c r="B1537" s="66" t="s">
        <v>1025</v>
      </c>
      <c r="C1537" s="77" t="s">
        <v>1026</v>
      </c>
      <c r="D1537" s="67">
        <v>45954</v>
      </c>
      <c r="E1537" s="68" t="s">
        <v>314</v>
      </c>
      <c r="F1537" s="66" t="s">
        <v>867</v>
      </c>
      <c r="G1537" s="7" t="s">
        <v>1170</v>
      </c>
    </row>
    <row r="1538" spans="1:7" x14ac:dyDescent="0.35">
      <c r="A1538" s="7" t="s">
        <v>361</v>
      </c>
      <c r="B1538" s="7" t="s">
        <v>1025</v>
      </c>
      <c r="C1538" s="77" t="s">
        <v>1026</v>
      </c>
      <c r="D1538" s="10">
        <v>45954</v>
      </c>
      <c r="E1538" s="11" t="s">
        <v>314</v>
      </c>
      <c r="F1538" s="7" t="s">
        <v>867</v>
      </c>
      <c r="G1538" s="7" t="s">
        <v>1170</v>
      </c>
    </row>
    <row r="1539" spans="1:7" x14ac:dyDescent="0.35">
      <c r="A1539" s="7" t="s">
        <v>373</v>
      </c>
      <c r="B1539" s="66" t="s">
        <v>1025</v>
      </c>
      <c r="C1539" s="77" t="s">
        <v>1026</v>
      </c>
      <c r="D1539" s="67">
        <v>45954</v>
      </c>
      <c r="E1539" s="68" t="s">
        <v>314</v>
      </c>
      <c r="F1539" s="66" t="s">
        <v>1084</v>
      </c>
      <c r="G1539" s="66"/>
    </row>
    <row r="1540" spans="1:7" x14ac:dyDescent="0.35">
      <c r="A1540" s="7" t="s">
        <v>145</v>
      </c>
      <c r="B1540" s="66" t="s">
        <v>1025</v>
      </c>
      <c r="C1540" s="77" t="s">
        <v>1026</v>
      </c>
      <c r="D1540" s="67">
        <v>45954</v>
      </c>
      <c r="E1540" s="68" t="s">
        <v>314</v>
      </c>
      <c r="F1540" s="66" t="s">
        <v>867</v>
      </c>
      <c r="G1540" s="7" t="s">
        <v>1170</v>
      </c>
    </row>
    <row r="1541" spans="1:7" x14ac:dyDescent="0.35">
      <c r="A1541" s="7" t="s">
        <v>83</v>
      </c>
      <c r="B1541" s="66" t="s">
        <v>1025</v>
      </c>
      <c r="C1541" s="77" t="s">
        <v>1026</v>
      </c>
      <c r="D1541" s="67">
        <v>45954</v>
      </c>
      <c r="E1541" s="68" t="s">
        <v>314</v>
      </c>
      <c r="F1541" s="66" t="s">
        <v>867</v>
      </c>
      <c r="G1541" s="7" t="s">
        <v>1170</v>
      </c>
    </row>
    <row r="1542" spans="1:7" x14ac:dyDescent="0.35">
      <c r="A1542" s="7" t="s">
        <v>123</v>
      </c>
      <c r="B1542" s="66" t="s">
        <v>1025</v>
      </c>
      <c r="C1542" s="77" t="s">
        <v>1026</v>
      </c>
      <c r="D1542" s="67">
        <v>45954</v>
      </c>
      <c r="E1542" s="68" t="s">
        <v>314</v>
      </c>
      <c r="F1542" s="66" t="s">
        <v>867</v>
      </c>
      <c r="G1542" s="7" t="s">
        <v>1170</v>
      </c>
    </row>
    <row r="1543" spans="1:7" x14ac:dyDescent="0.35">
      <c r="A1543" s="7" t="s">
        <v>1065</v>
      </c>
      <c r="B1543" s="66" t="s">
        <v>908</v>
      </c>
      <c r="C1543" s="66" t="s">
        <v>374</v>
      </c>
      <c r="D1543" s="67">
        <v>45954</v>
      </c>
      <c r="E1543" s="68" t="s">
        <v>314</v>
      </c>
      <c r="F1543" s="66" t="s">
        <v>19</v>
      </c>
      <c r="G1543" s="66"/>
    </row>
    <row r="1544" spans="1:7" x14ac:dyDescent="0.35">
      <c r="A1544" s="7" t="s">
        <v>267</v>
      </c>
      <c r="B1544" s="66" t="s">
        <v>1025</v>
      </c>
      <c r="C1544" s="77" t="s">
        <v>1026</v>
      </c>
      <c r="D1544" s="67">
        <v>45954</v>
      </c>
      <c r="E1544" s="68" t="s">
        <v>314</v>
      </c>
      <c r="F1544" s="66" t="s">
        <v>867</v>
      </c>
      <c r="G1544" s="7" t="s">
        <v>1170</v>
      </c>
    </row>
    <row r="1545" spans="1:7" x14ac:dyDescent="0.35">
      <c r="A1545" s="7" t="s">
        <v>1159</v>
      </c>
      <c r="B1545" s="66" t="s">
        <v>1025</v>
      </c>
      <c r="C1545" s="77" t="s">
        <v>1026</v>
      </c>
      <c r="D1545" s="67">
        <v>45954</v>
      </c>
      <c r="E1545" s="68" t="s">
        <v>314</v>
      </c>
      <c r="F1545" s="66" t="s">
        <v>867</v>
      </c>
      <c r="G1545" s="7" t="s">
        <v>1170</v>
      </c>
    </row>
    <row r="1546" spans="1:7" x14ac:dyDescent="0.35">
      <c r="A1546" s="7" t="s">
        <v>1158</v>
      </c>
      <c r="B1546" s="66" t="s">
        <v>1025</v>
      </c>
      <c r="C1546" s="77" t="s">
        <v>1026</v>
      </c>
      <c r="D1546" s="67">
        <v>45954</v>
      </c>
      <c r="E1546" s="68" t="s">
        <v>314</v>
      </c>
      <c r="F1546" s="66" t="s">
        <v>867</v>
      </c>
      <c r="G1546" s="7" t="s">
        <v>1170</v>
      </c>
    </row>
    <row r="1547" spans="1:7" x14ac:dyDescent="0.35">
      <c r="A1547" s="7" t="s">
        <v>1155</v>
      </c>
      <c r="B1547" s="66" t="s">
        <v>1025</v>
      </c>
      <c r="C1547" s="77" t="s">
        <v>1026</v>
      </c>
      <c r="D1547" s="67">
        <v>45954</v>
      </c>
      <c r="E1547" s="68" t="s">
        <v>314</v>
      </c>
      <c r="F1547" s="66" t="s">
        <v>867</v>
      </c>
      <c r="G1547" s="7" t="s">
        <v>1170</v>
      </c>
    </row>
    <row r="1548" spans="1:7" x14ac:dyDescent="0.35">
      <c r="A1548" s="7" t="s">
        <v>414</v>
      </c>
      <c r="B1548" s="66" t="s">
        <v>1025</v>
      </c>
      <c r="C1548" s="77" t="s">
        <v>1026</v>
      </c>
      <c r="D1548" s="67">
        <v>45954</v>
      </c>
      <c r="E1548" s="68" t="s">
        <v>314</v>
      </c>
      <c r="F1548" s="66" t="s">
        <v>867</v>
      </c>
      <c r="G1548" s="7" t="s">
        <v>1170</v>
      </c>
    </row>
    <row r="1549" spans="1:7" x14ac:dyDescent="0.35">
      <c r="A1549" s="7" t="s">
        <v>801</v>
      </c>
      <c r="B1549" s="7" t="s">
        <v>908</v>
      </c>
      <c r="C1549" s="7" t="s">
        <v>374</v>
      </c>
      <c r="D1549" s="10">
        <v>45954</v>
      </c>
      <c r="E1549" s="11" t="s">
        <v>314</v>
      </c>
      <c r="F1549" s="7" t="s">
        <v>872</v>
      </c>
      <c r="G1549" s="7" t="s">
        <v>317</v>
      </c>
    </row>
    <row r="1550" spans="1:7" x14ac:dyDescent="0.35">
      <c r="A1550" s="7" t="s">
        <v>1165</v>
      </c>
      <c r="B1550" s="66" t="s">
        <v>1025</v>
      </c>
      <c r="C1550" s="77" t="s">
        <v>1026</v>
      </c>
      <c r="D1550" s="67">
        <v>45954</v>
      </c>
      <c r="E1550" s="68" t="s">
        <v>314</v>
      </c>
      <c r="F1550" s="66" t="s">
        <v>867</v>
      </c>
      <c r="G1550" s="7" t="s">
        <v>1170</v>
      </c>
    </row>
    <row r="1551" spans="1:7" x14ac:dyDescent="0.35">
      <c r="A1551" s="7" t="s">
        <v>98</v>
      </c>
      <c r="B1551" s="66" t="s">
        <v>1025</v>
      </c>
      <c r="C1551" s="77" t="s">
        <v>1026</v>
      </c>
      <c r="D1551" s="67">
        <v>45954</v>
      </c>
      <c r="E1551" s="68" t="s">
        <v>314</v>
      </c>
      <c r="F1551" s="66" t="s">
        <v>867</v>
      </c>
      <c r="G1551" s="7" t="s">
        <v>1170</v>
      </c>
    </row>
    <row r="1552" spans="1:7" x14ac:dyDescent="0.35">
      <c r="A1552" s="7" t="s">
        <v>755</v>
      </c>
      <c r="B1552" s="7" t="s">
        <v>896</v>
      </c>
      <c r="C1552" s="7" t="s">
        <v>897</v>
      </c>
      <c r="D1552" s="10">
        <v>45954</v>
      </c>
      <c r="E1552" s="11" t="s">
        <v>314</v>
      </c>
      <c r="F1552" s="7" t="s">
        <v>19</v>
      </c>
      <c r="G1552" s="7"/>
    </row>
    <row r="1553" spans="1:7" x14ac:dyDescent="0.35">
      <c r="A1553" s="7" t="s">
        <v>1124</v>
      </c>
      <c r="B1553" s="66" t="s">
        <v>908</v>
      </c>
      <c r="C1553" s="66" t="s">
        <v>374</v>
      </c>
      <c r="D1553" s="67">
        <v>45954</v>
      </c>
      <c r="E1553" s="68" t="s">
        <v>314</v>
      </c>
      <c r="F1553" s="66" t="s">
        <v>19</v>
      </c>
      <c r="G1553" s="66"/>
    </row>
    <row r="1554" spans="1:7" x14ac:dyDescent="0.35">
      <c r="A1554" s="7" t="s">
        <v>1122</v>
      </c>
      <c r="B1554" s="66" t="s">
        <v>908</v>
      </c>
      <c r="C1554" s="66" t="s">
        <v>374</v>
      </c>
      <c r="D1554" s="67">
        <v>45954</v>
      </c>
      <c r="E1554" s="68" t="s">
        <v>314</v>
      </c>
      <c r="F1554" s="66" t="s">
        <v>19</v>
      </c>
      <c r="G1554" s="66"/>
    </row>
    <row r="1555" spans="1:7" x14ac:dyDescent="0.35">
      <c r="A1555" s="7" t="s">
        <v>1140</v>
      </c>
      <c r="B1555" s="7" t="s">
        <v>1025</v>
      </c>
      <c r="C1555" s="77" t="s">
        <v>1026</v>
      </c>
      <c r="D1555" s="10">
        <v>45954</v>
      </c>
      <c r="E1555" s="11" t="s">
        <v>314</v>
      </c>
      <c r="F1555" s="7" t="s">
        <v>19</v>
      </c>
      <c r="G1555" s="7"/>
    </row>
    <row r="1556" spans="1:7" x14ac:dyDescent="0.35">
      <c r="A1556" s="7" t="s">
        <v>1139</v>
      </c>
      <c r="B1556" s="7" t="s">
        <v>1025</v>
      </c>
      <c r="C1556" s="77" t="s">
        <v>1026</v>
      </c>
      <c r="D1556" s="10">
        <v>45954</v>
      </c>
      <c r="E1556" s="11" t="s">
        <v>314</v>
      </c>
      <c r="F1556" s="7" t="s">
        <v>19</v>
      </c>
      <c r="G1556" s="7"/>
    </row>
    <row r="1557" spans="1:7" x14ac:dyDescent="0.35">
      <c r="A1557" s="7" t="s">
        <v>1161</v>
      </c>
      <c r="B1557" s="66" t="s">
        <v>1025</v>
      </c>
      <c r="C1557" s="77" t="s">
        <v>1026</v>
      </c>
      <c r="D1557" s="67">
        <v>45954</v>
      </c>
      <c r="E1557" s="68" t="s">
        <v>314</v>
      </c>
      <c r="F1557" s="66" t="s">
        <v>867</v>
      </c>
      <c r="G1557" s="7" t="s">
        <v>1170</v>
      </c>
    </row>
    <row r="1558" spans="1:7" x14ac:dyDescent="0.35">
      <c r="A1558" s="7" t="s">
        <v>1136</v>
      </c>
      <c r="B1558" s="7" t="s">
        <v>1025</v>
      </c>
      <c r="C1558" s="77" t="s">
        <v>1026</v>
      </c>
      <c r="D1558" s="10">
        <v>45954</v>
      </c>
      <c r="E1558" s="11" t="s">
        <v>314</v>
      </c>
      <c r="F1558" s="7" t="s">
        <v>871</v>
      </c>
      <c r="G1558" s="7" t="s">
        <v>891</v>
      </c>
    </row>
    <row r="1559" spans="1:7" x14ac:dyDescent="0.35">
      <c r="A1559" s="7" t="s">
        <v>1136</v>
      </c>
      <c r="B1559" s="66" t="s">
        <v>1025</v>
      </c>
      <c r="C1559" s="77" t="s">
        <v>1026</v>
      </c>
      <c r="D1559" s="67">
        <v>45954</v>
      </c>
      <c r="E1559" s="68" t="s">
        <v>314</v>
      </c>
      <c r="F1559" s="66" t="s">
        <v>867</v>
      </c>
      <c r="G1559" s="66"/>
    </row>
    <row r="1560" spans="1:7" x14ac:dyDescent="0.35">
      <c r="A1560" s="77" t="s">
        <v>1164</v>
      </c>
      <c r="B1560" s="77" t="s">
        <v>1025</v>
      </c>
      <c r="C1560" s="77" t="s">
        <v>1026</v>
      </c>
      <c r="D1560" s="78">
        <v>45954</v>
      </c>
      <c r="E1560" s="79" t="s">
        <v>314</v>
      </c>
      <c r="F1560" s="77" t="s">
        <v>867</v>
      </c>
      <c r="G1560" s="77" t="s">
        <v>1170</v>
      </c>
    </row>
    <row r="1561" spans="1:7" x14ac:dyDescent="0.35">
      <c r="A1561" s="77" t="s">
        <v>83</v>
      </c>
      <c r="B1561" s="77" t="s">
        <v>1025</v>
      </c>
      <c r="C1561" s="77" t="s">
        <v>1026</v>
      </c>
      <c r="D1561" s="78">
        <v>45954</v>
      </c>
      <c r="E1561" s="79" t="s">
        <v>314</v>
      </c>
      <c r="F1561" s="77" t="s">
        <v>1080</v>
      </c>
      <c r="G1561" s="77"/>
    </row>
    <row r="1562" spans="1:7" x14ac:dyDescent="0.35">
      <c r="A1562" s="77" t="s">
        <v>1165</v>
      </c>
      <c r="B1562" s="77" t="s">
        <v>1025</v>
      </c>
      <c r="C1562" s="77" t="s">
        <v>1026</v>
      </c>
      <c r="D1562" s="78">
        <v>45954</v>
      </c>
      <c r="E1562" s="79" t="s">
        <v>314</v>
      </c>
      <c r="F1562" s="77" t="s">
        <v>1080</v>
      </c>
      <c r="G1562" s="77"/>
    </row>
    <row r="1563" spans="1:7" x14ac:dyDescent="0.35">
      <c r="A1563" s="77" t="s">
        <v>381</v>
      </c>
      <c r="B1563" s="77" t="s">
        <v>1025</v>
      </c>
      <c r="C1563" s="77" t="s">
        <v>1026</v>
      </c>
      <c r="D1563" s="78">
        <v>45954</v>
      </c>
      <c r="E1563" s="79" t="s">
        <v>314</v>
      </c>
      <c r="F1563" s="77" t="s">
        <v>1080</v>
      </c>
      <c r="G1563" s="77"/>
    </row>
    <row r="1564" spans="1:7" x14ac:dyDescent="0.35">
      <c r="A1564" s="77" t="s">
        <v>1156</v>
      </c>
      <c r="B1564" s="77" t="s">
        <v>1025</v>
      </c>
      <c r="C1564" s="77" t="s">
        <v>1026</v>
      </c>
      <c r="D1564" s="78">
        <v>45955</v>
      </c>
      <c r="E1564" s="79" t="s">
        <v>314</v>
      </c>
      <c r="F1564" s="77" t="s">
        <v>1080</v>
      </c>
      <c r="G1564" s="77"/>
    </row>
    <row r="1565" spans="1:7" x14ac:dyDescent="0.35">
      <c r="A1565" s="77" t="s">
        <v>1164</v>
      </c>
      <c r="B1565" s="77" t="s">
        <v>1025</v>
      </c>
      <c r="C1565" s="77" t="s">
        <v>1026</v>
      </c>
      <c r="D1565" s="78">
        <v>45955</v>
      </c>
      <c r="E1565" s="79" t="s">
        <v>314</v>
      </c>
      <c r="F1565" s="77" t="s">
        <v>1080</v>
      </c>
      <c r="G1565" s="77"/>
    </row>
    <row r="1566" spans="1:7" x14ac:dyDescent="0.35">
      <c r="A1566" s="77" t="s">
        <v>123</v>
      </c>
      <c r="B1566" s="77" t="s">
        <v>1025</v>
      </c>
      <c r="C1566" s="77" t="s">
        <v>1026</v>
      </c>
      <c r="D1566" s="78">
        <v>45955</v>
      </c>
      <c r="E1566" s="79" t="s">
        <v>314</v>
      </c>
      <c r="F1566" s="77" t="s">
        <v>1080</v>
      </c>
      <c r="G1566" s="77"/>
    </row>
    <row r="1567" spans="1:7" x14ac:dyDescent="0.35">
      <c r="A1567" s="77" t="s">
        <v>117</v>
      </c>
      <c r="B1567" s="77" t="s">
        <v>1025</v>
      </c>
      <c r="C1567" s="77" t="s">
        <v>1026</v>
      </c>
      <c r="D1567" s="78">
        <v>45955</v>
      </c>
      <c r="E1567" s="79" t="s">
        <v>314</v>
      </c>
      <c r="F1567" s="77" t="s">
        <v>1080</v>
      </c>
      <c r="G1567" s="77"/>
    </row>
    <row r="1568" spans="1:7" x14ac:dyDescent="0.35">
      <c r="A1568" s="77" t="s">
        <v>414</v>
      </c>
      <c r="B1568" s="77" t="s">
        <v>1025</v>
      </c>
      <c r="C1568" s="77" t="s">
        <v>1026</v>
      </c>
      <c r="D1568" s="78">
        <v>45955</v>
      </c>
      <c r="E1568" s="79" t="s">
        <v>314</v>
      </c>
      <c r="F1568" s="77" t="s">
        <v>1080</v>
      </c>
      <c r="G1568" s="77"/>
    </row>
    <row r="1569" spans="1:7" x14ac:dyDescent="0.35">
      <c r="A1569" s="77" t="s">
        <v>10</v>
      </c>
      <c r="B1569" s="77" t="s">
        <v>1025</v>
      </c>
      <c r="C1569" s="77" t="s">
        <v>1026</v>
      </c>
      <c r="D1569" s="78">
        <v>45955</v>
      </c>
      <c r="E1569" s="79" t="s">
        <v>314</v>
      </c>
      <c r="F1569" s="77" t="s">
        <v>1080</v>
      </c>
      <c r="G1569" s="77"/>
    </row>
    <row r="1570" spans="1:7" x14ac:dyDescent="0.35">
      <c r="A1570" s="77" t="s">
        <v>1171</v>
      </c>
      <c r="B1570" s="77" t="s">
        <v>1025</v>
      </c>
      <c r="C1570" s="77" t="s">
        <v>1026</v>
      </c>
      <c r="D1570" s="78">
        <v>45955</v>
      </c>
      <c r="E1570" s="79" t="s">
        <v>314</v>
      </c>
      <c r="F1570" s="77" t="s">
        <v>1080</v>
      </c>
      <c r="G1570" s="77"/>
    </row>
    <row r="1571" spans="1:7" x14ac:dyDescent="0.35">
      <c r="A1571" s="77" t="s">
        <v>267</v>
      </c>
      <c r="B1571" s="77" t="s">
        <v>1025</v>
      </c>
      <c r="C1571" s="77" t="s">
        <v>1026</v>
      </c>
      <c r="D1571" s="78">
        <v>45956</v>
      </c>
      <c r="E1571" s="79" t="s">
        <v>314</v>
      </c>
      <c r="F1571" s="77" t="s">
        <v>1080</v>
      </c>
      <c r="G1571" s="77"/>
    </row>
    <row r="1572" spans="1:7" x14ac:dyDescent="0.35">
      <c r="A1572" s="77" t="s">
        <v>98</v>
      </c>
      <c r="B1572" s="77" t="s">
        <v>1025</v>
      </c>
      <c r="C1572" s="77" t="s">
        <v>1026</v>
      </c>
      <c r="D1572" s="78">
        <v>45956</v>
      </c>
      <c r="E1572" s="79" t="s">
        <v>314</v>
      </c>
      <c r="F1572" s="77" t="s">
        <v>1080</v>
      </c>
      <c r="G1572" s="77"/>
    </row>
    <row r="1573" spans="1:7" x14ac:dyDescent="0.35">
      <c r="A1573" s="77" t="s">
        <v>1161</v>
      </c>
      <c r="B1573" s="77" t="s">
        <v>1025</v>
      </c>
      <c r="C1573" s="77" t="s">
        <v>1026</v>
      </c>
      <c r="D1573" s="78">
        <v>45956</v>
      </c>
      <c r="E1573" s="79" t="s">
        <v>314</v>
      </c>
      <c r="F1573" s="77" t="s">
        <v>1080</v>
      </c>
      <c r="G1573" s="77"/>
    </row>
    <row r="1574" spans="1:7" x14ac:dyDescent="0.35">
      <c r="A1574" s="77" t="s">
        <v>361</v>
      </c>
      <c r="B1574" s="77" t="s">
        <v>1025</v>
      </c>
      <c r="C1574" s="77" t="s">
        <v>1026</v>
      </c>
      <c r="D1574" s="78">
        <v>45956</v>
      </c>
      <c r="E1574" s="79" t="s">
        <v>314</v>
      </c>
      <c r="F1574" s="77" t="s">
        <v>1080</v>
      </c>
      <c r="G1574" s="77"/>
    </row>
    <row r="1575" spans="1:7" x14ac:dyDescent="0.35">
      <c r="A1575" s="77" t="s">
        <v>1162</v>
      </c>
      <c r="B1575" s="77" t="s">
        <v>1025</v>
      </c>
      <c r="C1575" s="77" t="s">
        <v>1026</v>
      </c>
      <c r="D1575" s="78">
        <v>45956</v>
      </c>
      <c r="E1575" s="79" t="s">
        <v>314</v>
      </c>
      <c r="F1575" s="77" t="s">
        <v>1080</v>
      </c>
      <c r="G1575" s="77"/>
    </row>
    <row r="1576" spans="1:7" x14ac:dyDescent="0.35">
      <c r="A1576" s="77" t="s">
        <v>145</v>
      </c>
      <c r="B1576" s="77" t="s">
        <v>1025</v>
      </c>
      <c r="C1576" s="77" t="s">
        <v>1026</v>
      </c>
      <c r="D1576" s="78">
        <v>45956</v>
      </c>
      <c r="E1576" s="79" t="s">
        <v>314</v>
      </c>
      <c r="F1576" s="77" t="s">
        <v>1080</v>
      </c>
      <c r="G1576" s="77"/>
    </row>
    <row r="1577" spans="1:7" x14ac:dyDescent="0.35">
      <c r="A1577" s="7" t="s">
        <v>81</v>
      </c>
      <c r="B1577" s="66" t="s">
        <v>1025</v>
      </c>
      <c r="C1577" s="77" t="s">
        <v>1026</v>
      </c>
      <c r="D1577" s="67">
        <v>45957</v>
      </c>
      <c r="E1577" s="68" t="s">
        <v>314</v>
      </c>
      <c r="F1577" s="66" t="s">
        <v>867</v>
      </c>
      <c r="G1577" s="7" t="s">
        <v>1170</v>
      </c>
    </row>
    <row r="1578" spans="1:7" x14ac:dyDescent="0.35">
      <c r="A1578" s="7" t="s">
        <v>539</v>
      </c>
      <c r="B1578" s="66" t="s">
        <v>1025</v>
      </c>
      <c r="C1578" s="77" t="s">
        <v>1026</v>
      </c>
      <c r="D1578" s="67">
        <v>45957</v>
      </c>
      <c r="E1578" s="68" t="s">
        <v>314</v>
      </c>
      <c r="F1578" s="66" t="s">
        <v>867</v>
      </c>
      <c r="G1578" s="7" t="s">
        <v>1170</v>
      </c>
    </row>
    <row r="1579" spans="1:7" x14ac:dyDescent="0.35">
      <c r="A1579" s="77" t="s">
        <v>801</v>
      </c>
      <c r="B1579" s="77" t="s">
        <v>1025</v>
      </c>
      <c r="C1579" s="77" t="s">
        <v>1026</v>
      </c>
      <c r="D1579" s="78">
        <v>45957</v>
      </c>
      <c r="E1579" s="79" t="s">
        <v>314</v>
      </c>
      <c r="F1579" s="77" t="s">
        <v>1080</v>
      </c>
      <c r="G1579" s="77"/>
    </row>
    <row r="1580" spans="1:7" x14ac:dyDescent="0.35">
      <c r="A1580" s="77" t="s">
        <v>1159</v>
      </c>
      <c r="B1580" s="77" t="s">
        <v>1025</v>
      </c>
      <c r="C1580" s="77" t="s">
        <v>1026</v>
      </c>
      <c r="D1580" s="78">
        <v>45957</v>
      </c>
      <c r="E1580" s="79" t="s">
        <v>314</v>
      </c>
      <c r="F1580" s="77" t="s">
        <v>1080</v>
      </c>
      <c r="G1580" s="77"/>
    </row>
    <row r="1581" spans="1:7" x14ac:dyDescent="0.35">
      <c r="A1581" s="77" t="s">
        <v>1155</v>
      </c>
      <c r="B1581" s="77" t="s">
        <v>1025</v>
      </c>
      <c r="C1581" s="77" t="s">
        <v>1026</v>
      </c>
      <c r="D1581" s="78">
        <v>45957</v>
      </c>
      <c r="E1581" s="79" t="s">
        <v>314</v>
      </c>
      <c r="F1581" s="77" t="s">
        <v>1080</v>
      </c>
      <c r="G1581" s="77"/>
    </row>
    <row r="1582" spans="1:7" x14ac:dyDescent="0.35">
      <c r="A1582" s="77" t="s">
        <v>127</v>
      </c>
      <c r="B1582" s="77" t="s">
        <v>1025</v>
      </c>
      <c r="C1582" s="77" t="s">
        <v>1026</v>
      </c>
      <c r="D1582" s="78">
        <v>45957</v>
      </c>
      <c r="E1582" s="79" t="s">
        <v>314</v>
      </c>
      <c r="F1582" s="77" t="s">
        <v>1080</v>
      </c>
      <c r="G1582" s="77"/>
    </row>
    <row r="1583" spans="1:7" x14ac:dyDescent="0.35">
      <c r="A1583" s="77" t="s">
        <v>238</v>
      </c>
      <c r="B1583" s="77" t="s">
        <v>1025</v>
      </c>
      <c r="C1583" s="77" t="s">
        <v>1026</v>
      </c>
      <c r="D1583" s="78">
        <v>45957</v>
      </c>
      <c r="E1583" s="79" t="s">
        <v>314</v>
      </c>
      <c r="F1583" s="77" t="s">
        <v>1080</v>
      </c>
      <c r="G1583" s="77"/>
    </row>
    <row r="1584" spans="1:7" x14ac:dyDescent="0.35">
      <c r="A1584" s="7" t="s">
        <v>676</v>
      </c>
      <c r="B1584" s="66" t="s">
        <v>1025</v>
      </c>
      <c r="C1584" s="77" t="s">
        <v>1026</v>
      </c>
      <c r="D1584" s="67">
        <v>45958</v>
      </c>
      <c r="E1584" s="68" t="s">
        <v>314</v>
      </c>
      <c r="F1584" s="66" t="s">
        <v>867</v>
      </c>
      <c r="G1584" s="7" t="s">
        <v>1170</v>
      </c>
    </row>
    <row r="1585" spans="1:7" x14ac:dyDescent="0.35">
      <c r="A1585" s="7" t="s">
        <v>1157</v>
      </c>
      <c r="B1585" s="66" t="s">
        <v>1025</v>
      </c>
      <c r="C1585" s="77" t="s">
        <v>1026</v>
      </c>
      <c r="D1585" s="67">
        <v>45958</v>
      </c>
      <c r="E1585" s="68" t="s">
        <v>314</v>
      </c>
      <c r="F1585" s="66" t="s">
        <v>867</v>
      </c>
      <c r="G1585" s="7" t="s">
        <v>1170</v>
      </c>
    </row>
    <row r="1586" spans="1:7" x14ac:dyDescent="0.35">
      <c r="A1586" s="7" t="s">
        <v>381</v>
      </c>
      <c r="B1586" s="66" t="s">
        <v>1025</v>
      </c>
      <c r="C1586" s="77" t="s">
        <v>1026</v>
      </c>
      <c r="D1586" s="67">
        <v>45958</v>
      </c>
      <c r="E1586" s="68" t="s">
        <v>314</v>
      </c>
      <c r="F1586" s="66" t="s">
        <v>867</v>
      </c>
      <c r="G1586" s="7" t="s">
        <v>1170</v>
      </c>
    </row>
    <row r="1587" spans="1:7" x14ac:dyDescent="0.35">
      <c r="A1587" s="7" t="s">
        <v>1171</v>
      </c>
      <c r="B1587" s="66" t="s">
        <v>1025</v>
      </c>
      <c r="C1587" s="77" t="s">
        <v>1026</v>
      </c>
      <c r="D1587" s="67">
        <v>45958</v>
      </c>
      <c r="E1587" s="68" t="s">
        <v>314</v>
      </c>
      <c r="F1587" s="66" t="s">
        <v>867</v>
      </c>
      <c r="G1587" s="7" t="s">
        <v>1170</v>
      </c>
    </row>
    <row r="1588" spans="1:7" x14ac:dyDescent="0.35">
      <c r="A1588" s="7" t="s">
        <v>1172</v>
      </c>
      <c r="B1588" s="66" t="s">
        <v>1025</v>
      </c>
      <c r="C1588" s="77" t="s">
        <v>1026</v>
      </c>
      <c r="D1588" s="67">
        <v>45958</v>
      </c>
      <c r="E1588" s="68" t="s">
        <v>314</v>
      </c>
      <c r="F1588" s="66" t="s">
        <v>867</v>
      </c>
      <c r="G1588" s="7" t="s">
        <v>1170</v>
      </c>
    </row>
    <row r="1589" spans="1:7" x14ac:dyDescent="0.35">
      <c r="A1589" s="77" t="s">
        <v>1172</v>
      </c>
      <c r="B1589" s="77" t="s">
        <v>1025</v>
      </c>
      <c r="C1589" s="77" t="s">
        <v>1026</v>
      </c>
      <c r="D1589" s="78">
        <v>45958</v>
      </c>
      <c r="E1589" s="79" t="s">
        <v>314</v>
      </c>
      <c r="F1589" s="77" t="s">
        <v>1080</v>
      </c>
      <c r="G1589" s="77"/>
    </row>
    <row r="1590" spans="1:7" x14ac:dyDescent="0.35">
      <c r="A1590" s="77" t="s">
        <v>1186</v>
      </c>
      <c r="B1590" s="77" t="s">
        <v>1025</v>
      </c>
      <c r="C1590" s="77" t="s">
        <v>1026</v>
      </c>
      <c r="D1590" s="78">
        <v>45959</v>
      </c>
      <c r="E1590" s="79" t="s">
        <v>314</v>
      </c>
      <c r="F1590" s="77" t="s">
        <v>1080</v>
      </c>
      <c r="G1590" s="77"/>
    </row>
    <row r="1591" spans="1:7" x14ac:dyDescent="0.35">
      <c r="A1591" s="77" t="s">
        <v>239</v>
      </c>
      <c r="B1591" s="77" t="s">
        <v>1025</v>
      </c>
      <c r="C1591" s="77" t="s">
        <v>1026</v>
      </c>
      <c r="D1591" s="78">
        <v>45959</v>
      </c>
      <c r="E1591" s="79" t="s">
        <v>314</v>
      </c>
      <c r="F1591" s="77" t="s">
        <v>1080</v>
      </c>
      <c r="G1591" s="77"/>
    </row>
    <row r="1592" spans="1:7" x14ac:dyDescent="0.35">
      <c r="A1592" s="77" t="s">
        <v>1183</v>
      </c>
      <c r="B1592" s="77" t="s">
        <v>1025</v>
      </c>
      <c r="C1592" s="77" t="s">
        <v>1026</v>
      </c>
      <c r="D1592" s="78">
        <v>45959</v>
      </c>
      <c r="E1592" s="79" t="s">
        <v>314</v>
      </c>
      <c r="F1592" s="77" t="s">
        <v>1080</v>
      </c>
      <c r="G1592" s="77"/>
    </row>
    <row r="1593" spans="1:7" x14ac:dyDescent="0.35">
      <c r="A1593" s="77" t="s">
        <v>1188</v>
      </c>
      <c r="B1593" s="77" t="s">
        <v>1025</v>
      </c>
      <c r="C1593" s="77" t="s">
        <v>1026</v>
      </c>
      <c r="D1593" s="78">
        <v>45960</v>
      </c>
      <c r="E1593" s="79" t="s">
        <v>314</v>
      </c>
      <c r="F1593" s="77" t="s">
        <v>1080</v>
      </c>
      <c r="G1593" s="77"/>
    </row>
    <row r="1594" spans="1:7" x14ac:dyDescent="0.35">
      <c r="A1594" s="77" t="s">
        <v>1160</v>
      </c>
      <c r="B1594" s="77" t="s">
        <v>1025</v>
      </c>
      <c r="C1594" s="77" t="s">
        <v>1026</v>
      </c>
      <c r="D1594" s="78">
        <v>45960</v>
      </c>
      <c r="E1594" s="79" t="s">
        <v>314</v>
      </c>
      <c r="F1594" s="77" t="s">
        <v>1080</v>
      </c>
      <c r="G1594" s="77"/>
    </row>
    <row r="1595" spans="1:7" x14ac:dyDescent="0.35">
      <c r="A1595" s="77" t="s">
        <v>1187</v>
      </c>
      <c r="B1595" s="77" t="s">
        <v>1025</v>
      </c>
      <c r="C1595" s="77" t="s">
        <v>1026</v>
      </c>
      <c r="D1595" s="78">
        <v>45960</v>
      </c>
      <c r="E1595" s="79" t="s">
        <v>314</v>
      </c>
      <c r="F1595" s="77" t="s">
        <v>1080</v>
      </c>
      <c r="G1595" s="77"/>
    </row>
    <row r="1596" spans="1:7" x14ac:dyDescent="0.35">
      <c r="A1596" s="77" t="s">
        <v>420</v>
      </c>
      <c r="B1596" s="77" t="s">
        <v>1025</v>
      </c>
      <c r="C1596" s="77" t="s">
        <v>1026</v>
      </c>
      <c r="D1596" s="78">
        <v>45961</v>
      </c>
      <c r="E1596" s="79" t="s">
        <v>314</v>
      </c>
      <c r="F1596" s="77" t="s">
        <v>1080</v>
      </c>
      <c r="G1596" s="77"/>
    </row>
    <row r="1597" spans="1:7" x14ac:dyDescent="0.35">
      <c r="A1597" s="77" t="s">
        <v>698</v>
      </c>
      <c r="B1597" s="77" t="s">
        <v>1025</v>
      </c>
      <c r="C1597" s="77" t="s">
        <v>1026</v>
      </c>
      <c r="D1597" s="78">
        <v>45961</v>
      </c>
      <c r="E1597" s="79" t="s">
        <v>314</v>
      </c>
      <c r="F1597" s="77" t="s">
        <v>1080</v>
      </c>
      <c r="G1597" s="77"/>
    </row>
    <row r="1598" spans="1:7" x14ac:dyDescent="0.35">
      <c r="A1598" s="77" t="s">
        <v>431</v>
      </c>
      <c r="B1598" s="77" t="s">
        <v>1025</v>
      </c>
      <c r="C1598" s="77" t="s">
        <v>1026</v>
      </c>
      <c r="D1598" s="78">
        <v>45961</v>
      </c>
      <c r="E1598" s="79" t="s">
        <v>314</v>
      </c>
      <c r="F1598" s="77" t="s">
        <v>1080</v>
      </c>
      <c r="G1598" s="77"/>
    </row>
    <row r="1599" spans="1:7" x14ac:dyDescent="0.35">
      <c r="A1599" s="77" t="s">
        <v>745</v>
      </c>
      <c r="B1599" s="77" t="s">
        <v>1025</v>
      </c>
      <c r="C1599" s="77" t="s">
        <v>1026</v>
      </c>
      <c r="D1599" s="78">
        <v>45961</v>
      </c>
      <c r="E1599" s="79" t="s">
        <v>314</v>
      </c>
      <c r="F1599" s="77" t="s">
        <v>1080</v>
      </c>
      <c r="G1599" s="77"/>
    </row>
    <row r="1600" spans="1:7" x14ac:dyDescent="0.35">
      <c r="A1600" s="7" t="s">
        <v>1191</v>
      </c>
      <c r="B1600" s="7" t="s">
        <v>1025</v>
      </c>
      <c r="C1600" s="77" t="s">
        <v>1026</v>
      </c>
      <c r="D1600" s="10">
        <v>45962</v>
      </c>
      <c r="E1600" s="11" t="s">
        <v>314</v>
      </c>
      <c r="F1600" s="7" t="s">
        <v>19</v>
      </c>
      <c r="G1600" s="7"/>
    </row>
    <row r="1601" spans="1:7" x14ac:dyDescent="0.35">
      <c r="A1601" s="7" t="s">
        <v>1169</v>
      </c>
      <c r="B1601" s="7" t="s">
        <v>1025</v>
      </c>
      <c r="C1601" s="77" t="s">
        <v>1026</v>
      </c>
      <c r="D1601" s="10">
        <v>45962</v>
      </c>
      <c r="E1601" s="11" t="s">
        <v>314</v>
      </c>
      <c r="F1601" s="7" t="s">
        <v>871</v>
      </c>
      <c r="G1601" s="7" t="s">
        <v>891</v>
      </c>
    </row>
    <row r="1602" spans="1:7" x14ac:dyDescent="0.35">
      <c r="A1602" s="7" t="s">
        <v>1169</v>
      </c>
      <c r="B1602" s="7" t="s">
        <v>1025</v>
      </c>
      <c r="C1602" s="77" t="s">
        <v>1026</v>
      </c>
      <c r="D1602" s="10">
        <v>45962</v>
      </c>
      <c r="E1602" s="11" t="s">
        <v>314</v>
      </c>
      <c r="F1602" s="7" t="s">
        <v>894</v>
      </c>
      <c r="G1602" s="7" t="s">
        <v>15</v>
      </c>
    </row>
    <row r="1603" spans="1:7" x14ac:dyDescent="0.35">
      <c r="A1603" s="7" t="s">
        <v>350</v>
      </c>
      <c r="B1603" s="7" t="s">
        <v>1025</v>
      </c>
      <c r="C1603" s="77" t="s">
        <v>1026</v>
      </c>
      <c r="D1603" s="10">
        <v>45962</v>
      </c>
      <c r="E1603" s="11" t="s">
        <v>314</v>
      </c>
      <c r="F1603" s="7" t="s">
        <v>867</v>
      </c>
      <c r="G1603" s="7" t="s">
        <v>1170</v>
      </c>
    </row>
    <row r="1604" spans="1:7" x14ac:dyDescent="0.35">
      <c r="A1604" s="7" t="s">
        <v>1160</v>
      </c>
      <c r="B1604" s="7" t="s">
        <v>1025</v>
      </c>
      <c r="C1604" s="77" t="s">
        <v>1026</v>
      </c>
      <c r="D1604" s="10">
        <v>45962</v>
      </c>
      <c r="E1604" s="11" t="s">
        <v>314</v>
      </c>
      <c r="F1604" s="7" t="s">
        <v>867</v>
      </c>
      <c r="G1604" s="7" t="s">
        <v>1170</v>
      </c>
    </row>
    <row r="1605" spans="1:7" x14ac:dyDescent="0.35">
      <c r="A1605" s="7" t="s">
        <v>1168</v>
      </c>
      <c r="B1605" s="7" t="s">
        <v>1025</v>
      </c>
      <c r="C1605" s="77" t="s">
        <v>1026</v>
      </c>
      <c r="D1605" s="10">
        <v>45962</v>
      </c>
      <c r="E1605" s="11" t="s">
        <v>314</v>
      </c>
      <c r="F1605" s="7" t="s">
        <v>871</v>
      </c>
      <c r="G1605" s="7" t="s">
        <v>891</v>
      </c>
    </row>
    <row r="1606" spans="1:7" x14ac:dyDescent="0.35">
      <c r="A1606" s="7" t="s">
        <v>1184</v>
      </c>
      <c r="B1606" s="7" t="s">
        <v>1025</v>
      </c>
      <c r="C1606" s="77" t="s">
        <v>1026</v>
      </c>
      <c r="D1606" s="10">
        <v>45962</v>
      </c>
      <c r="E1606" s="11" t="s">
        <v>314</v>
      </c>
      <c r="F1606" s="7" t="s">
        <v>867</v>
      </c>
      <c r="G1606" s="7" t="s">
        <v>1170</v>
      </c>
    </row>
    <row r="1607" spans="1:7" x14ac:dyDescent="0.35">
      <c r="A1607" s="7" t="s">
        <v>927</v>
      </c>
      <c r="B1607" s="7" t="s">
        <v>1025</v>
      </c>
      <c r="C1607" s="77" t="s">
        <v>1026</v>
      </c>
      <c r="D1607" s="10">
        <v>45962</v>
      </c>
      <c r="E1607" s="11" t="s">
        <v>314</v>
      </c>
      <c r="F1607" s="7" t="s">
        <v>867</v>
      </c>
      <c r="G1607" s="7" t="s">
        <v>1170</v>
      </c>
    </row>
    <row r="1608" spans="1:7" x14ac:dyDescent="0.35">
      <c r="A1608" s="7" t="s">
        <v>238</v>
      </c>
      <c r="B1608" s="7" t="s">
        <v>1025</v>
      </c>
      <c r="C1608" s="77" t="s">
        <v>1026</v>
      </c>
      <c r="D1608" s="10">
        <v>45962</v>
      </c>
      <c r="E1608" s="11" t="s">
        <v>314</v>
      </c>
      <c r="F1608" s="7" t="s">
        <v>867</v>
      </c>
      <c r="G1608" s="7" t="s">
        <v>1170</v>
      </c>
    </row>
    <row r="1609" spans="1:7" x14ac:dyDescent="0.35">
      <c r="A1609" s="7" t="s">
        <v>1183</v>
      </c>
      <c r="B1609" s="7" t="s">
        <v>1025</v>
      </c>
      <c r="C1609" s="77" t="s">
        <v>1026</v>
      </c>
      <c r="D1609" s="10">
        <v>45962</v>
      </c>
      <c r="E1609" s="11" t="s">
        <v>314</v>
      </c>
      <c r="F1609" s="7" t="s">
        <v>867</v>
      </c>
      <c r="G1609" s="7" t="s">
        <v>1170</v>
      </c>
    </row>
    <row r="1610" spans="1:7" x14ac:dyDescent="0.35">
      <c r="A1610" s="7" t="s">
        <v>1189</v>
      </c>
      <c r="B1610" s="7" t="s">
        <v>1025</v>
      </c>
      <c r="C1610" s="77" t="s">
        <v>1026</v>
      </c>
      <c r="D1610" s="10">
        <v>45962</v>
      </c>
      <c r="E1610" s="11" t="s">
        <v>314</v>
      </c>
      <c r="F1610" s="7" t="s">
        <v>867</v>
      </c>
      <c r="G1610" s="7" t="s">
        <v>1170</v>
      </c>
    </row>
    <row r="1611" spans="1:7" x14ac:dyDescent="0.35">
      <c r="A1611" s="7" t="s">
        <v>10</v>
      </c>
      <c r="B1611" s="7" t="s">
        <v>1025</v>
      </c>
      <c r="C1611" s="77" t="s">
        <v>1026</v>
      </c>
      <c r="D1611" s="10">
        <v>45962</v>
      </c>
      <c r="E1611" s="11" t="s">
        <v>314</v>
      </c>
      <c r="F1611" s="7" t="s">
        <v>867</v>
      </c>
      <c r="G1611" s="7" t="s">
        <v>1170</v>
      </c>
    </row>
    <row r="1612" spans="1:7" x14ac:dyDescent="0.35">
      <c r="A1612" s="7" t="s">
        <v>1188</v>
      </c>
      <c r="B1612" s="7" t="s">
        <v>1025</v>
      </c>
      <c r="C1612" s="77" t="s">
        <v>1026</v>
      </c>
      <c r="D1612" s="10">
        <v>45962</v>
      </c>
      <c r="E1612" s="11" t="s">
        <v>314</v>
      </c>
      <c r="F1612" s="7" t="s">
        <v>867</v>
      </c>
      <c r="G1612" s="7" t="s">
        <v>1170</v>
      </c>
    </row>
    <row r="1613" spans="1:7" x14ac:dyDescent="0.35">
      <c r="A1613" s="7" t="s">
        <v>172</v>
      </c>
      <c r="B1613" s="7" t="s">
        <v>1025</v>
      </c>
      <c r="C1613" s="77" t="s">
        <v>1026</v>
      </c>
      <c r="D1613" s="10">
        <v>45962</v>
      </c>
      <c r="E1613" s="11" t="s">
        <v>314</v>
      </c>
      <c r="F1613" s="7" t="s">
        <v>867</v>
      </c>
      <c r="G1613" s="7" t="s">
        <v>1170</v>
      </c>
    </row>
    <row r="1614" spans="1:7" x14ac:dyDescent="0.35">
      <c r="A1614" s="7" t="s">
        <v>1185</v>
      </c>
      <c r="B1614" s="7" t="s">
        <v>1025</v>
      </c>
      <c r="C1614" s="77" t="s">
        <v>1026</v>
      </c>
      <c r="D1614" s="10">
        <v>45962</v>
      </c>
      <c r="E1614" s="11" t="s">
        <v>314</v>
      </c>
      <c r="F1614" s="7" t="s">
        <v>867</v>
      </c>
      <c r="G1614" s="7" t="s">
        <v>1170</v>
      </c>
    </row>
    <row r="1615" spans="1:7" x14ac:dyDescent="0.35">
      <c r="A1615" s="7" t="s">
        <v>1152</v>
      </c>
      <c r="B1615" s="7" t="s">
        <v>1025</v>
      </c>
      <c r="C1615" s="77" t="s">
        <v>1026</v>
      </c>
      <c r="D1615" s="10">
        <v>45962</v>
      </c>
      <c r="E1615" s="11" t="s">
        <v>314</v>
      </c>
      <c r="F1615" s="7" t="s">
        <v>19</v>
      </c>
      <c r="G1615" s="7"/>
    </row>
    <row r="1616" spans="1:7" x14ac:dyDescent="0.35">
      <c r="A1616" s="77" t="s">
        <v>1186</v>
      </c>
      <c r="B1616" s="77" t="s">
        <v>1025</v>
      </c>
      <c r="C1616" s="77" t="s">
        <v>1026</v>
      </c>
      <c r="D1616" s="78">
        <v>45962</v>
      </c>
      <c r="E1616" s="79" t="s">
        <v>314</v>
      </c>
      <c r="F1616" s="77" t="s">
        <v>867</v>
      </c>
      <c r="G1616" s="77" t="s">
        <v>1170</v>
      </c>
    </row>
    <row r="1617" spans="1:7" x14ac:dyDescent="0.35">
      <c r="A1617" s="77" t="s">
        <v>1187</v>
      </c>
      <c r="B1617" s="77" t="s">
        <v>1025</v>
      </c>
      <c r="C1617" s="77" t="s">
        <v>1026</v>
      </c>
      <c r="D1617" s="78">
        <v>45962</v>
      </c>
      <c r="E1617" s="79" t="s">
        <v>314</v>
      </c>
      <c r="F1617" s="77" t="s">
        <v>867</v>
      </c>
      <c r="G1617" s="77" t="s">
        <v>1170</v>
      </c>
    </row>
    <row r="1618" spans="1:7" x14ac:dyDescent="0.35">
      <c r="A1618" s="77" t="s">
        <v>239</v>
      </c>
      <c r="B1618" s="77" t="s">
        <v>1025</v>
      </c>
      <c r="C1618" s="77" t="s">
        <v>1026</v>
      </c>
      <c r="D1618" s="78">
        <v>45962</v>
      </c>
      <c r="E1618" s="79" t="s">
        <v>314</v>
      </c>
      <c r="F1618" s="77" t="s">
        <v>867</v>
      </c>
      <c r="G1618" s="77" t="s">
        <v>1170</v>
      </c>
    </row>
    <row r="1619" spans="1:7" x14ac:dyDescent="0.35">
      <c r="A1619" s="77" t="s">
        <v>1178</v>
      </c>
      <c r="B1619" s="77" t="s">
        <v>1025</v>
      </c>
      <c r="C1619" s="77" t="s">
        <v>1026</v>
      </c>
      <c r="D1619" s="78">
        <v>45962</v>
      </c>
      <c r="E1619" s="79" t="s">
        <v>314</v>
      </c>
      <c r="F1619" s="77" t="s">
        <v>88</v>
      </c>
      <c r="G1619" s="77" t="s">
        <v>22</v>
      </c>
    </row>
    <row r="1620" spans="1:7" x14ac:dyDescent="0.35">
      <c r="A1620" s="77" t="s">
        <v>1177</v>
      </c>
      <c r="B1620" s="77" t="s">
        <v>1025</v>
      </c>
      <c r="C1620" s="77" t="s">
        <v>1026</v>
      </c>
      <c r="D1620" s="78">
        <v>45962</v>
      </c>
      <c r="E1620" s="79" t="s">
        <v>314</v>
      </c>
      <c r="F1620" s="77" t="s">
        <v>88</v>
      </c>
      <c r="G1620" s="77" t="s">
        <v>22</v>
      </c>
    </row>
    <row r="1621" spans="1:7" x14ac:dyDescent="0.35">
      <c r="A1621" s="77" t="s">
        <v>172</v>
      </c>
      <c r="B1621" s="77" t="s">
        <v>1025</v>
      </c>
      <c r="C1621" s="77" t="s">
        <v>1026</v>
      </c>
      <c r="D1621" s="78">
        <v>45962</v>
      </c>
      <c r="E1621" s="79" t="s">
        <v>314</v>
      </c>
      <c r="F1621" s="77" t="s">
        <v>1080</v>
      </c>
      <c r="G1621" s="77"/>
    </row>
    <row r="1622" spans="1:7" x14ac:dyDescent="0.35">
      <c r="A1622" s="77" t="s">
        <v>1189</v>
      </c>
      <c r="B1622" s="77" t="s">
        <v>1025</v>
      </c>
      <c r="C1622" s="77" t="s">
        <v>1026</v>
      </c>
      <c r="D1622" s="78">
        <v>45962</v>
      </c>
      <c r="E1622" s="79" t="s">
        <v>314</v>
      </c>
      <c r="F1622" s="77" t="s">
        <v>1080</v>
      </c>
      <c r="G1622" s="77"/>
    </row>
    <row r="1623" spans="1:7" x14ac:dyDescent="0.35">
      <c r="A1623" s="77" t="s">
        <v>350</v>
      </c>
      <c r="B1623" s="77" t="s">
        <v>1025</v>
      </c>
      <c r="C1623" s="77" t="s">
        <v>1026</v>
      </c>
      <c r="D1623" s="78">
        <v>45962</v>
      </c>
      <c r="E1623" s="79" t="s">
        <v>314</v>
      </c>
      <c r="F1623" s="77" t="s">
        <v>1080</v>
      </c>
      <c r="G1623" s="77"/>
    </row>
    <row r="1624" spans="1:7" x14ac:dyDescent="0.35">
      <c r="A1624" s="77" t="s">
        <v>914</v>
      </c>
      <c r="B1624" s="77" t="s">
        <v>1025</v>
      </c>
      <c r="C1624" s="77" t="s">
        <v>1026</v>
      </c>
      <c r="D1624" s="78">
        <v>45964</v>
      </c>
      <c r="E1624" s="79" t="s">
        <v>314</v>
      </c>
      <c r="F1624" s="77" t="s">
        <v>1080</v>
      </c>
      <c r="G1624" s="77"/>
    </row>
    <row r="1625" spans="1:7" x14ac:dyDescent="0.35">
      <c r="A1625" s="77" t="s">
        <v>434</v>
      </c>
      <c r="B1625" s="77" t="s">
        <v>1025</v>
      </c>
      <c r="C1625" s="77" t="s">
        <v>1026</v>
      </c>
      <c r="D1625" s="78">
        <v>45964</v>
      </c>
      <c r="E1625" s="79" t="s">
        <v>314</v>
      </c>
      <c r="F1625" s="77" t="s">
        <v>1080</v>
      </c>
      <c r="G1625" s="77"/>
    </row>
    <row r="1626" spans="1:7" x14ac:dyDescent="0.35">
      <c r="A1626" s="77" t="s">
        <v>494</v>
      </c>
      <c r="B1626" s="77" t="s">
        <v>1025</v>
      </c>
      <c r="C1626" s="77" t="s">
        <v>1026</v>
      </c>
      <c r="D1626" s="78">
        <v>45964</v>
      </c>
      <c r="E1626" s="79" t="s">
        <v>314</v>
      </c>
      <c r="F1626" s="77" t="s">
        <v>1080</v>
      </c>
      <c r="G1626" s="77"/>
    </row>
    <row r="1627" spans="1:7" x14ac:dyDescent="0.35">
      <c r="A1627" s="77" t="s">
        <v>1169</v>
      </c>
      <c r="B1627" s="77" t="s">
        <v>1025</v>
      </c>
      <c r="C1627" s="77" t="s">
        <v>1026</v>
      </c>
      <c r="D1627" s="78">
        <v>45964</v>
      </c>
      <c r="E1627" s="79" t="s">
        <v>314</v>
      </c>
      <c r="F1627" s="77" t="s">
        <v>1080</v>
      </c>
      <c r="G1627" s="77"/>
    </row>
    <row r="1628" spans="1:7" x14ac:dyDescent="0.35">
      <c r="A1628" s="7" t="s">
        <v>1204</v>
      </c>
      <c r="B1628" s="7" t="s">
        <v>1025</v>
      </c>
      <c r="C1628" s="77" t="s">
        <v>1026</v>
      </c>
      <c r="D1628" s="10">
        <v>45965</v>
      </c>
      <c r="E1628" s="11" t="s">
        <v>314</v>
      </c>
      <c r="F1628" s="7" t="s">
        <v>877</v>
      </c>
      <c r="G1628" s="7"/>
    </row>
    <row r="1629" spans="1:7" x14ac:dyDescent="0.35">
      <c r="A1629" s="7" t="s">
        <v>1193</v>
      </c>
      <c r="B1629" s="66" t="s">
        <v>1025</v>
      </c>
      <c r="C1629" s="77" t="s">
        <v>1026</v>
      </c>
      <c r="D1629" s="67">
        <v>45965</v>
      </c>
      <c r="E1629" s="68" t="s">
        <v>314</v>
      </c>
      <c r="F1629" s="66" t="s">
        <v>867</v>
      </c>
      <c r="G1629" s="7" t="s">
        <v>1170</v>
      </c>
    </row>
    <row r="1630" spans="1:7" x14ac:dyDescent="0.35">
      <c r="A1630" s="7" t="s">
        <v>595</v>
      </c>
      <c r="B1630" s="7" t="s">
        <v>1025</v>
      </c>
      <c r="C1630" s="77" t="s">
        <v>1026</v>
      </c>
      <c r="D1630" s="10">
        <v>45965</v>
      </c>
      <c r="E1630" s="11" t="s">
        <v>314</v>
      </c>
      <c r="F1630" s="7" t="s">
        <v>877</v>
      </c>
      <c r="G1630" s="7"/>
    </row>
    <row r="1631" spans="1:7" x14ac:dyDescent="0.35">
      <c r="A1631" s="7" t="s">
        <v>226</v>
      </c>
      <c r="B1631" s="7" t="s">
        <v>1025</v>
      </c>
      <c r="C1631" s="77" t="s">
        <v>1026</v>
      </c>
      <c r="D1631" s="10">
        <v>45965</v>
      </c>
      <c r="E1631" s="11" t="s">
        <v>314</v>
      </c>
      <c r="F1631" s="7" t="s">
        <v>877</v>
      </c>
      <c r="G1631" s="7"/>
    </row>
    <row r="1632" spans="1:7" x14ac:dyDescent="0.35">
      <c r="A1632" s="7" t="s">
        <v>1094</v>
      </c>
      <c r="B1632" s="7" t="s">
        <v>1025</v>
      </c>
      <c r="C1632" s="77" t="s">
        <v>1026</v>
      </c>
      <c r="D1632" s="10">
        <v>45965</v>
      </c>
      <c r="E1632" s="11" t="s">
        <v>314</v>
      </c>
      <c r="F1632" s="7" t="s">
        <v>877</v>
      </c>
      <c r="G1632" s="7"/>
    </row>
    <row r="1633" spans="1:7" x14ac:dyDescent="0.35">
      <c r="A1633" s="77" t="s">
        <v>599</v>
      </c>
      <c r="B1633" s="77" t="s">
        <v>1025</v>
      </c>
      <c r="C1633" s="77" t="s">
        <v>1026</v>
      </c>
      <c r="D1633" s="78">
        <v>45965</v>
      </c>
      <c r="E1633" s="79" t="s">
        <v>314</v>
      </c>
      <c r="F1633" s="77" t="s">
        <v>867</v>
      </c>
      <c r="G1633" s="77"/>
    </row>
    <row r="1634" spans="1:7" x14ac:dyDescent="0.35">
      <c r="A1634" s="77" t="s">
        <v>1153</v>
      </c>
      <c r="B1634" s="77" t="s">
        <v>1025</v>
      </c>
      <c r="C1634" s="77" t="s">
        <v>1026</v>
      </c>
      <c r="D1634" s="78">
        <v>45965</v>
      </c>
      <c r="E1634" s="79" t="s">
        <v>314</v>
      </c>
      <c r="F1634" s="7" t="s">
        <v>1084</v>
      </c>
      <c r="G1634" s="77"/>
    </row>
    <row r="1635" spans="1:7" x14ac:dyDescent="0.35">
      <c r="A1635" s="77" t="s">
        <v>829</v>
      </c>
      <c r="B1635" s="77" t="s">
        <v>1025</v>
      </c>
      <c r="C1635" s="77" t="s">
        <v>1026</v>
      </c>
      <c r="D1635" s="78">
        <v>45965</v>
      </c>
      <c r="E1635" s="79" t="s">
        <v>314</v>
      </c>
      <c r="F1635" s="77" t="s">
        <v>877</v>
      </c>
      <c r="G1635" s="77"/>
    </row>
    <row r="1636" spans="1:7" x14ac:dyDescent="0.35">
      <c r="A1636" s="77" t="s">
        <v>1204</v>
      </c>
      <c r="B1636" s="77" t="s">
        <v>1025</v>
      </c>
      <c r="C1636" s="77" t="s">
        <v>1026</v>
      </c>
      <c r="D1636" s="78">
        <v>45965</v>
      </c>
      <c r="E1636" s="79" t="s">
        <v>314</v>
      </c>
      <c r="F1636" s="77" t="s">
        <v>1080</v>
      </c>
      <c r="G1636" s="77"/>
    </row>
    <row r="1637" spans="1:7" x14ac:dyDescent="0.35">
      <c r="A1637" s="77" t="s">
        <v>1062</v>
      </c>
      <c r="B1637" s="77" t="s">
        <v>1025</v>
      </c>
      <c r="C1637" s="77" t="s">
        <v>1026</v>
      </c>
      <c r="D1637" s="78">
        <v>45965</v>
      </c>
      <c r="E1637" s="79" t="s">
        <v>314</v>
      </c>
      <c r="F1637" s="77" t="s">
        <v>1080</v>
      </c>
      <c r="G1637" s="77"/>
    </row>
    <row r="1638" spans="1:7" x14ac:dyDescent="0.35">
      <c r="A1638" s="7" t="s">
        <v>1154</v>
      </c>
      <c r="B1638" s="7" t="s">
        <v>1025</v>
      </c>
      <c r="C1638" s="77" t="s">
        <v>1026</v>
      </c>
      <c r="D1638" s="10">
        <v>45966</v>
      </c>
      <c r="E1638" s="11" t="s">
        <v>314</v>
      </c>
      <c r="F1638" s="7" t="s">
        <v>19</v>
      </c>
      <c r="G1638" s="7"/>
    </row>
    <row r="1639" spans="1:7" x14ac:dyDescent="0.35">
      <c r="A1639" s="7" t="s">
        <v>1110</v>
      </c>
      <c r="B1639" s="7" t="s">
        <v>896</v>
      </c>
      <c r="C1639" s="7" t="s">
        <v>897</v>
      </c>
      <c r="D1639" s="10">
        <v>45966</v>
      </c>
      <c r="E1639" s="11" t="s">
        <v>314</v>
      </c>
      <c r="F1639" s="7" t="s">
        <v>19</v>
      </c>
      <c r="G1639" s="7"/>
    </row>
    <row r="1640" spans="1:7" x14ac:dyDescent="0.35">
      <c r="A1640" s="7" t="s">
        <v>227</v>
      </c>
      <c r="B1640" s="7" t="s">
        <v>1025</v>
      </c>
      <c r="C1640" s="77" t="s">
        <v>1026</v>
      </c>
      <c r="D1640" s="10">
        <v>45966</v>
      </c>
      <c r="E1640" s="11" t="s">
        <v>314</v>
      </c>
      <c r="F1640" s="7" t="s">
        <v>877</v>
      </c>
      <c r="G1640" s="7"/>
    </row>
    <row r="1641" spans="1:7" x14ac:dyDescent="0.35">
      <c r="A1641" s="7" t="s">
        <v>229</v>
      </c>
      <c r="B1641" s="7" t="s">
        <v>1025</v>
      </c>
      <c r="C1641" s="77" t="s">
        <v>1026</v>
      </c>
      <c r="D1641" s="10">
        <v>45966</v>
      </c>
      <c r="E1641" s="11" t="s">
        <v>314</v>
      </c>
      <c r="F1641" s="7" t="s">
        <v>877</v>
      </c>
      <c r="G1641" s="7"/>
    </row>
    <row r="1642" spans="1:7" x14ac:dyDescent="0.35">
      <c r="A1642" s="7" t="s">
        <v>1205</v>
      </c>
      <c r="B1642" s="7" t="s">
        <v>1025</v>
      </c>
      <c r="C1642" s="77" t="s">
        <v>1026</v>
      </c>
      <c r="D1642" s="10">
        <v>45966</v>
      </c>
      <c r="E1642" s="11" t="s">
        <v>314</v>
      </c>
      <c r="F1642" s="7" t="s">
        <v>877</v>
      </c>
      <c r="G1642" s="7"/>
    </row>
    <row r="1643" spans="1:7" x14ac:dyDescent="0.35">
      <c r="A1643" s="7" t="s">
        <v>228</v>
      </c>
      <c r="B1643" s="7" t="s">
        <v>1025</v>
      </c>
      <c r="C1643" s="77" t="s">
        <v>1026</v>
      </c>
      <c r="D1643" s="10">
        <v>45966</v>
      </c>
      <c r="E1643" s="11" t="s">
        <v>314</v>
      </c>
      <c r="F1643" s="7" t="s">
        <v>877</v>
      </c>
      <c r="G1643" s="7"/>
    </row>
    <row r="1644" spans="1:7" x14ac:dyDescent="0.35">
      <c r="A1644" s="7" t="s">
        <v>236</v>
      </c>
      <c r="B1644" s="7" t="s">
        <v>1025</v>
      </c>
      <c r="C1644" s="77" t="s">
        <v>1026</v>
      </c>
      <c r="D1644" s="10">
        <v>45966</v>
      </c>
      <c r="E1644" s="11" t="s">
        <v>314</v>
      </c>
      <c r="F1644" s="7" t="s">
        <v>877</v>
      </c>
      <c r="G1644" s="7"/>
    </row>
    <row r="1645" spans="1:7" x14ac:dyDescent="0.35">
      <c r="A1645" s="7" t="s">
        <v>1014</v>
      </c>
      <c r="B1645" s="7" t="s">
        <v>1025</v>
      </c>
      <c r="C1645" s="77" t="s">
        <v>1026</v>
      </c>
      <c r="D1645" s="10">
        <v>45966</v>
      </c>
      <c r="E1645" s="11" t="s">
        <v>314</v>
      </c>
      <c r="F1645" s="7" t="s">
        <v>877</v>
      </c>
      <c r="G1645" s="7"/>
    </row>
    <row r="1646" spans="1:7" x14ac:dyDescent="0.35">
      <c r="A1646" s="7" t="s">
        <v>322</v>
      </c>
      <c r="B1646" s="7" t="s">
        <v>1025</v>
      </c>
      <c r="C1646" s="77" t="s">
        <v>1026</v>
      </c>
      <c r="D1646" s="10">
        <v>45966</v>
      </c>
      <c r="E1646" s="11" t="s">
        <v>314</v>
      </c>
      <c r="F1646" s="7" t="s">
        <v>877</v>
      </c>
      <c r="G1646" s="7"/>
    </row>
    <row r="1647" spans="1:7" x14ac:dyDescent="0.35">
      <c r="A1647" s="7" t="s">
        <v>940</v>
      </c>
      <c r="B1647" s="7" t="s">
        <v>1025</v>
      </c>
      <c r="C1647" s="77" t="s">
        <v>1026</v>
      </c>
      <c r="D1647" s="10">
        <v>45966</v>
      </c>
      <c r="E1647" s="11" t="s">
        <v>314</v>
      </c>
      <c r="F1647" s="7" t="s">
        <v>877</v>
      </c>
      <c r="G1647" s="7"/>
    </row>
    <row r="1648" spans="1:7" x14ac:dyDescent="0.35">
      <c r="A1648" s="77" t="s">
        <v>167</v>
      </c>
      <c r="B1648" s="77" t="s">
        <v>1025</v>
      </c>
      <c r="C1648" s="77" t="s">
        <v>1026</v>
      </c>
      <c r="D1648" s="78">
        <v>45966</v>
      </c>
      <c r="E1648" s="79" t="s">
        <v>314</v>
      </c>
      <c r="F1648" s="77" t="s">
        <v>877</v>
      </c>
      <c r="G1648" s="77"/>
    </row>
    <row r="1649" spans="1:7" x14ac:dyDescent="0.35">
      <c r="A1649" s="77" t="s">
        <v>229</v>
      </c>
      <c r="B1649" s="77" t="s">
        <v>1025</v>
      </c>
      <c r="C1649" s="77" t="s">
        <v>1026</v>
      </c>
      <c r="D1649" s="78">
        <v>45966</v>
      </c>
      <c r="E1649" s="79" t="s">
        <v>314</v>
      </c>
      <c r="F1649" s="77" t="s">
        <v>1080</v>
      </c>
      <c r="G1649" s="77"/>
    </row>
    <row r="1650" spans="1:7" x14ac:dyDescent="0.35">
      <c r="A1650" s="77" t="s">
        <v>227</v>
      </c>
      <c r="B1650" s="77" t="s">
        <v>1025</v>
      </c>
      <c r="C1650" s="77" t="s">
        <v>1026</v>
      </c>
      <c r="D1650" s="78">
        <v>45966</v>
      </c>
      <c r="E1650" s="79" t="s">
        <v>314</v>
      </c>
      <c r="F1650" s="77" t="s">
        <v>1080</v>
      </c>
      <c r="G1650" s="77"/>
    </row>
    <row r="1651" spans="1:7" x14ac:dyDescent="0.35">
      <c r="A1651" s="77" t="s">
        <v>167</v>
      </c>
      <c r="B1651" s="77" t="s">
        <v>1025</v>
      </c>
      <c r="C1651" s="77" t="s">
        <v>1026</v>
      </c>
      <c r="D1651" s="78">
        <v>45966</v>
      </c>
      <c r="E1651" s="79" t="s">
        <v>314</v>
      </c>
      <c r="F1651" s="77" t="s">
        <v>1080</v>
      </c>
      <c r="G1651" s="77"/>
    </row>
    <row r="1652" spans="1:7" x14ac:dyDescent="0.35">
      <c r="A1652" s="77" t="s">
        <v>1014</v>
      </c>
      <c r="B1652" s="77" t="s">
        <v>1025</v>
      </c>
      <c r="C1652" s="77" t="s">
        <v>1026</v>
      </c>
      <c r="D1652" s="78">
        <v>45966</v>
      </c>
      <c r="E1652" s="79" t="s">
        <v>314</v>
      </c>
      <c r="F1652" s="77" t="s">
        <v>1080</v>
      </c>
      <c r="G1652" s="77"/>
    </row>
    <row r="1653" spans="1:7" x14ac:dyDescent="0.35">
      <c r="A1653" s="7" t="s">
        <v>1125</v>
      </c>
      <c r="B1653" s="7" t="s">
        <v>908</v>
      </c>
      <c r="C1653" s="7" t="s">
        <v>374</v>
      </c>
      <c r="D1653" s="10">
        <v>45967</v>
      </c>
      <c r="E1653" s="11" t="s">
        <v>314</v>
      </c>
      <c r="F1653" s="7" t="s">
        <v>19</v>
      </c>
      <c r="G1653" s="7"/>
    </row>
    <row r="1654" spans="1:7" x14ac:dyDescent="0.35">
      <c r="A1654" s="77" t="s">
        <v>1206</v>
      </c>
      <c r="B1654" s="77" t="s">
        <v>1025</v>
      </c>
      <c r="C1654" s="77" t="s">
        <v>1026</v>
      </c>
      <c r="D1654" s="78">
        <v>45967</v>
      </c>
      <c r="E1654" s="79" t="s">
        <v>314</v>
      </c>
      <c r="F1654" s="77" t="s">
        <v>1080</v>
      </c>
      <c r="G1654" s="77"/>
    </row>
    <row r="1655" spans="1:7" x14ac:dyDescent="0.35">
      <c r="A1655" s="77" t="s">
        <v>1218</v>
      </c>
      <c r="B1655" s="77" t="s">
        <v>1025</v>
      </c>
      <c r="C1655" s="77" t="s">
        <v>1026</v>
      </c>
      <c r="D1655" s="78">
        <v>45967</v>
      </c>
      <c r="E1655" s="79" t="s">
        <v>314</v>
      </c>
      <c r="F1655" s="77" t="s">
        <v>1080</v>
      </c>
      <c r="G1655" s="77"/>
    </row>
    <row r="1656" spans="1:7" x14ac:dyDescent="0.35">
      <c r="A1656" s="77" t="s">
        <v>1199</v>
      </c>
      <c r="B1656" s="77" t="s">
        <v>1025</v>
      </c>
      <c r="C1656" s="77" t="s">
        <v>1026</v>
      </c>
      <c r="D1656" s="78">
        <v>45967</v>
      </c>
      <c r="E1656" s="79" t="s">
        <v>314</v>
      </c>
      <c r="F1656" s="77" t="s">
        <v>1080</v>
      </c>
      <c r="G1656" s="77"/>
    </row>
    <row r="1657" spans="1:7" x14ac:dyDescent="0.35">
      <c r="A1657" s="77" t="s">
        <v>1194</v>
      </c>
      <c r="B1657" s="77" t="s">
        <v>1025</v>
      </c>
      <c r="C1657" s="77" t="s">
        <v>1026</v>
      </c>
      <c r="D1657" s="78">
        <v>45967</v>
      </c>
      <c r="E1657" s="79" t="s">
        <v>314</v>
      </c>
      <c r="F1657" s="77" t="s">
        <v>1080</v>
      </c>
      <c r="G1657" s="77"/>
    </row>
    <row r="1658" spans="1:7" x14ac:dyDescent="0.35">
      <c r="A1658" s="77" t="s">
        <v>1210</v>
      </c>
      <c r="B1658" s="77" t="s">
        <v>1025</v>
      </c>
      <c r="C1658" s="77" t="s">
        <v>1026</v>
      </c>
      <c r="D1658" s="78">
        <v>45967</v>
      </c>
      <c r="E1658" s="79" t="s">
        <v>314</v>
      </c>
      <c r="F1658" s="77" t="s">
        <v>1080</v>
      </c>
      <c r="G1658" s="77"/>
    </row>
    <row r="1659" spans="1:7" x14ac:dyDescent="0.35">
      <c r="A1659" s="77" t="s">
        <v>1211</v>
      </c>
      <c r="B1659" s="77" t="s">
        <v>1025</v>
      </c>
      <c r="C1659" s="77" t="s">
        <v>1026</v>
      </c>
      <c r="D1659" s="78">
        <v>45967</v>
      </c>
      <c r="E1659" s="79" t="s">
        <v>314</v>
      </c>
      <c r="F1659" s="77" t="s">
        <v>1080</v>
      </c>
      <c r="G1659" s="77"/>
    </row>
    <row r="1660" spans="1:7" x14ac:dyDescent="0.35">
      <c r="A1660" s="77" t="s">
        <v>230</v>
      </c>
      <c r="B1660" s="77" t="s">
        <v>1025</v>
      </c>
      <c r="C1660" s="77" t="s">
        <v>1026</v>
      </c>
      <c r="D1660" s="78">
        <v>45967</v>
      </c>
      <c r="E1660" s="79" t="s">
        <v>314</v>
      </c>
      <c r="F1660" s="77" t="s">
        <v>1080</v>
      </c>
      <c r="G1660" s="77"/>
    </row>
    <row r="1661" spans="1:7" x14ac:dyDescent="0.35">
      <c r="A1661" s="77" t="s">
        <v>1191</v>
      </c>
      <c r="B1661" s="77" t="s">
        <v>1025</v>
      </c>
      <c r="C1661" s="77" t="s">
        <v>1026</v>
      </c>
      <c r="D1661" s="78">
        <v>45967</v>
      </c>
      <c r="E1661" s="79" t="s">
        <v>314</v>
      </c>
      <c r="F1661" s="77" t="s">
        <v>1080</v>
      </c>
      <c r="G1661" s="77"/>
    </row>
    <row r="1662" spans="1:7" x14ac:dyDescent="0.35">
      <c r="A1662" s="7" t="s">
        <v>1191</v>
      </c>
      <c r="B1662" s="7" t="s">
        <v>1025</v>
      </c>
      <c r="C1662" s="77" t="s">
        <v>1026</v>
      </c>
      <c r="D1662" s="10">
        <v>45968</v>
      </c>
      <c r="E1662" s="11" t="s">
        <v>314</v>
      </c>
      <c r="F1662" s="7" t="s">
        <v>871</v>
      </c>
      <c r="G1662" s="7" t="s">
        <v>891</v>
      </c>
    </row>
    <row r="1663" spans="1:7" x14ac:dyDescent="0.35">
      <c r="A1663" s="7" t="s">
        <v>1191</v>
      </c>
      <c r="B1663" s="7" t="s">
        <v>908</v>
      </c>
      <c r="C1663" s="7" t="s">
        <v>374</v>
      </c>
      <c r="D1663" s="10">
        <v>45968</v>
      </c>
      <c r="E1663" s="11" t="s">
        <v>314</v>
      </c>
      <c r="F1663" s="7" t="s">
        <v>872</v>
      </c>
      <c r="G1663" s="7" t="s">
        <v>317</v>
      </c>
    </row>
    <row r="1664" spans="1:7" x14ac:dyDescent="0.35">
      <c r="A1664" s="7" t="s">
        <v>230</v>
      </c>
      <c r="B1664" s="7" t="s">
        <v>1025</v>
      </c>
      <c r="C1664" s="77" t="s">
        <v>1026</v>
      </c>
      <c r="D1664" s="10">
        <v>45968</v>
      </c>
      <c r="E1664" s="11" t="s">
        <v>314</v>
      </c>
      <c r="F1664" s="7" t="s">
        <v>877</v>
      </c>
      <c r="G1664" s="7"/>
    </row>
    <row r="1665" spans="1:7" x14ac:dyDescent="0.35">
      <c r="A1665" s="7" t="s">
        <v>1194</v>
      </c>
      <c r="B1665" s="7" t="s">
        <v>1025</v>
      </c>
      <c r="C1665" s="77" t="s">
        <v>1026</v>
      </c>
      <c r="D1665" s="10">
        <v>45968</v>
      </c>
      <c r="E1665" s="11" t="s">
        <v>314</v>
      </c>
      <c r="F1665" s="7" t="s">
        <v>877</v>
      </c>
      <c r="G1665" s="7"/>
    </row>
    <row r="1666" spans="1:7" x14ac:dyDescent="0.35">
      <c r="A1666" s="7" t="s">
        <v>1210</v>
      </c>
      <c r="B1666" s="7" t="s">
        <v>1025</v>
      </c>
      <c r="C1666" s="77" t="s">
        <v>1026</v>
      </c>
      <c r="D1666" s="10">
        <v>45968</v>
      </c>
      <c r="E1666" s="11" t="s">
        <v>314</v>
      </c>
      <c r="F1666" s="7" t="s">
        <v>877</v>
      </c>
      <c r="G1666" s="7"/>
    </row>
    <row r="1667" spans="1:7" x14ac:dyDescent="0.35">
      <c r="A1667" s="7" t="s">
        <v>1211</v>
      </c>
      <c r="B1667" s="7" t="s">
        <v>1025</v>
      </c>
      <c r="C1667" s="77" t="s">
        <v>1026</v>
      </c>
      <c r="D1667" s="10">
        <v>45968</v>
      </c>
      <c r="E1667" s="11" t="s">
        <v>314</v>
      </c>
      <c r="F1667" s="7" t="s">
        <v>877</v>
      </c>
      <c r="G1667" s="7"/>
    </row>
    <row r="1668" spans="1:7" x14ac:dyDescent="0.35">
      <c r="A1668" s="7" t="s">
        <v>1218</v>
      </c>
      <c r="B1668" s="7" t="s">
        <v>1025</v>
      </c>
      <c r="C1668" s="77" t="s">
        <v>1026</v>
      </c>
      <c r="D1668" s="10">
        <v>45968</v>
      </c>
      <c r="E1668" s="11" t="s">
        <v>314</v>
      </c>
      <c r="F1668" s="7" t="s">
        <v>877</v>
      </c>
      <c r="G1668" s="7"/>
    </row>
    <row r="1669" spans="1:7" x14ac:dyDescent="0.35">
      <c r="A1669" s="7" t="s">
        <v>1206</v>
      </c>
      <c r="B1669" s="7" t="s">
        <v>1025</v>
      </c>
      <c r="C1669" s="77" t="s">
        <v>1026</v>
      </c>
      <c r="D1669" s="10">
        <v>45968</v>
      </c>
      <c r="E1669" s="11" t="s">
        <v>314</v>
      </c>
      <c r="F1669" s="7" t="s">
        <v>877</v>
      </c>
      <c r="G1669" s="7"/>
    </row>
    <row r="1670" spans="1:7" x14ac:dyDescent="0.35">
      <c r="A1670" s="7" t="s">
        <v>1195</v>
      </c>
      <c r="B1670" s="7" t="s">
        <v>1025</v>
      </c>
      <c r="C1670" s="77" t="s">
        <v>1026</v>
      </c>
      <c r="D1670" s="10">
        <v>45968</v>
      </c>
      <c r="E1670" s="11" t="s">
        <v>314</v>
      </c>
      <c r="F1670" s="7" t="s">
        <v>877</v>
      </c>
      <c r="G1670" s="7"/>
    </row>
    <row r="1671" spans="1:7" x14ac:dyDescent="0.35">
      <c r="A1671" s="7" t="s">
        <v>1207</v>
      </c>
      <c r="B1671" s="7" t="s">
        <v>1025</v>
      </c>
      <c r="C1671" s="77" t="s">
        <v>1026</v>
      </c>
      <c r="D1671" s="10">
        <v>45968</v>
      </c>
      <c r="E1671" s="11" t="s">
        <v>314</v>
      </c>
      <c r="F1671" s="7" t="s">
        <v>877</v>
      </c>
      <c r="G1671" s="7"/>
    </row>
    <row r="1672" spans="1:7" x14ac:dyDescent="0.35">
      <c r="A1672" s="7" t="s">
        <v>1062</v>
      </c>
      <c r="B1672" s="7" t="s">
        <v>1025</v>
      </c>
      <c r="C1672" s="77" t="s">
        <v>1026</v>
      </c>
      <c r="D1672" s="10">
        <v>45968</v>
      </c>
      <c r="E1672" s="11" t="s">
        <v>314</v>
      </c>
      <c r="F1672" s="7" t="s">
        <v>877</v>
      </c>
      <c r="G1672" s="7"/>
    </row>
    <row r="1673" spans="1:7" x14ac:dyDescent="0.35">
      <c r="A1673" s="7" t="s">
        <v>592</v>
      </c>
      <c r="B1673" s="7" t="s">
        <v>1025</v>
      </c>
      <c r="C1673" s="77" t="s">
        <v>1026</v>
      </c>
      <c r="D1673" s="10">
        <v>45968</v>
      </c>
      <c r="E1673" s="11" t="s">
        <v>314</v>
      </c>
      <c r="F1673" s="7" t="s">
        <v>877</v>
      </c>
      <c r="G1673" s="7"/>
    </row>
    <row r="1674" spans="1:7" x14ac:dyDescent="0.35">
      <c r="A1674" s="7" t="s">
        <v>1198</v>
      </c>
      <c r="B1674" s="7" t="s">
        <v>1025</v>
      </c>
      <c r="C1674" s="77" t="s">
        <v>1026</v>
      </c>
      <c r="D1674" s="10">
        <v>45968</v>
      </c>
      <c r="E1674" s="11" t="s">
        <v>314</v>
      </c>
      <c r="F1674" s="7" t="s">
        <v>877</v>
      </c>
      <c r="G1674" s="7"/>
    </row>
    <row r="1675" spans="1:7" x14ac:dyDescent="0.35">
      <c r="A1675" s="7" t="s">
        <v>320</v>
      </c>
      <c r="B1675" s="7" t="s">
        <v>1025</v>
      </c>
      <c r="C1675" s="77" t="s">
        <v>1026</v>
      </c>
      <c r="D1675" s="10">
        <v>45968</v>
      </c>
      <c r="E1675" s="11" t="s">
        <v>314</v>
      </c>
      <c r="F1675" s="7" t="s">
        <v>877</v>
      </c>
      <c r="G1675" s="7"/>
    </row>
    <row r="1676" spans="1:7" x14ac:dyDescent="0.35">
      <c r="A1676" s="7" t="s">
        <v>1212</v>
      </c>
      <c r="B1676" s="7" t="s">
        <v>1025</v>
      </c>
      <c r="C1676" s="77" t="s">
        <v>1026</v>
      </c>
      <c r="D1676" s="10">
        <v>45968</v>
      </c>
      <c r="E1676" s="11" t="s">
        <v>314</v>
      </c>
      <c r="F1676" s="7" t="s">
        <v>877</v>
      </c>
      <c r="G1676" s="7"/>
    </row>
    <row r="1677" spans="1:7" x14ac:dyDescent="0.35">
      <c r="A1677" s="7" t="s">
        <v>1199</v>
      </c>
      <c r="B1677" s="7" t="s">
        <v>1025</v>
      </c>
      <c r="C1677" s="77" t="s">
        <v>1026</v>
      </c>
      <c r="D1677" s="10">
        <v>45968</v>
      </c>
      <c r="E1677" s="11" t="s">
        <v>314</v>
      </c>
      <c r="F1677" s="7" t="s">
        <v>877</v>
      </c>
      <c r="G1677" s="7"/>
    </row>
    <row r="1678" spans="1:7" x14ac:dyDescent="0.35">
      <c r="A1678" s="7" t="s">
        <v>1200</v>
      </c>
      <c r="B1678" s="7" t="s">
        <v>1025</v>
      </c>
      <c r="C1678" s="77" t="s">
        <v>1026</v>
      </c>
      <c r="D1678" s="10">
        <v>45968</v>
      </c>
      <c r="E1678" s="11" t="s">
        <v>314</v>
      </c>
      <c r="F1678" s="7" t="s">
        <v>877</v>
      </c>
      <c r="G1678" s="7"/>
    </row>
    <row r="1679" spans="1:7" x14ac:dyDescent="0.35">
      <c r="A1679" s="77" t="s">
        <v>1213</v>
      </c>
      <c r="B1679" s="77" t="s">
        <v>1025</v>
      </c>
      <c r="C1679" s="77" t="s">
        <v>1026</v>
      </c>
      <c r="D1679" s="78">
        <v>45968</v>
      </c>
      <c r="E1679" s="79" t="s">
        <v>314</v>
      </c>
      <c r="F1679" s="77" t="s">
        <v>877</v>
      </c>
      <c r="G1679" s="77"/>
    </row>
    <row r="1680" spans="1:7" x14ac:dyDescent="0.35">
      <c r="A1680" s="77" t="s">
        <v>324</v>
      </c>
      <c r="B1680" s="77" t="s">
        <v>1025</v>
      </c>
      <c r="C1680" s="77" t="s">
        <v>1026</v>
      </c>
      <c r="D1680" s="78">
        <v>45968</v>
      </c>
      <c r="E1680" s="79" t="s">
        <v>314</v>
      </c>
      <c r="F1680" s="77" t="s">
        <v>877</v>
      </c>
      <c r="G1680" s="77"/>
    </row>
    <row r="1681" spans="1:7" x14ac:dyDescent="0.35">
      <c r="A1681" s="77" t="s">
        <v>1207</v>
      </c>
      <c r="B1681" s="77" t="s">
        <v>1025</v>
      </c>
      <c r="C1681" s="77" t="s">
        <v>1026</v>
      </c>
      <c r="D1681" s="78">
        <v>45968</v>
      </c>
      <c r="E1681" s="79" t="s">
        <v>314</v>
      </c>
      <c r="F1681" s="77" t="s">
        <v>1080</v>
      </c>
      <c r="G1681" s="77"/>
    </row>
    <row r="1682" spans="1:7" x14ac:dyDescent="0.35">
      <c r="A1682" s="77" t="s">
        <v>1200</v>
      </c>
      <c r="B1682" s="77" t="s">
        <v>1025</v>
      </c>
      <c r="C1682" s="77" t="s">
        <v>1026</v>
      </c>
      <c r="D1682" s="78">
        <v>45968</v>
      </c>
      <c r="E1682" s="79" t="s">
        <v>314</v>
      </c>
      <c r="F1682" s="77" t="s">
        <v>1080</v>
      </c>
      <c r="G1682" s="77"/>
    </row>
    <row r="1683" spans="1:7" x14ac:dyDescent="0.35">
      <c r="A1683" s="77" t="s">
        <v>1198</v>
      </c>
      <c r="B1683" s="77" t="s">
        <v>1025</v>
      </c>
      <c r="C1683" s="77" t="s">
        <v>1026</v>
      </c>
      <c r="D1683" s="78">
        <v>45968</v>
      </c>
      <c r="E1683" s="79" t="s">
        <v>314</v>
      </c>
      <c r="F1683" s="77" t="s">
        <v>1080</v>
      </c>
      <c r="G1683" s="77"/>
    </row>
    <row r="1684" spans="1:7" x14ac:dyDescent="0.35">
      <c r="A1684" s="77" t="s">
        <v>1195</v>
      </c>
      <c r="B1684" s="77" t="s">
        <v>1025</v>
      </c>
      <c r="C1684" s="77" t="s">
        <v>1026</v>
      </c>
      <c r="D1684" s="78">
        <v>45968</v>
      </c>
      <c r="E1684" s="79" t="s">
        <v>314</v>
      </c>
      <c r="F1684" s="77" t="s">
        <v>1080</v>
      </c>
      <c r="G1684" s="77"/>
    </row>
    <row r="1685" spans="1:7" x14ac:dyDescent="0.35">
      <c r="A1685" s="77" t="s">
        <v>324</v>
      </c>
      <c r="B1685" s="77" t="s">
        <v>1025</v>
      </c>
      <c r="C1685" s="77" t="s">
        <v>1026</v>
      </c>
      <c r="D1685" s="78">
        <v>45968</v>
      </c>
      <c r="E1685" s="79" t="s">
        <v>314</v>
      </c>
      <c r="F1685" s="77" t="s">
        <v>1080</v>
      </c>
      <c r="G1685" s="77"/>
    </row>
    <row r="1686" spans="1:7" x14ac:dyDescent="0.35">
      <c r="A1686" s="77" t="s">
        <v>1213</v>
      </c>
      <c r="B1686" s="77" t="s">
        <v>1025</v>
      </c>
      <c r="C1686" s="77" t="s">
        <v>1026</v>
      </c>
      <c r="D1686" s="78">
        <v>45968</v>
      </c>
      <c r="E1686" s="79" t="s">
        <v>314</v>
      </c>
      <c r="F1686" s="77" t="s">
        <v>1080</v>
      </c>
      <c r="G1686" s="77"/>
    </row>
    <row r="1687" spans="1:7" x14ac:dyDescent="0.35">
      <c r="A1687" s="77" t="s">
        <v>1212</v>
      </c>
      <c r="B1687" s="77" t="s">
        <v>1025</v>
      </c>
      <c r="C1687" s="77" t="s">
        <v>1026</v>
      </c>
      <c r="D1687" s="78">
        <v>45968</v>
      </c>
      <c r="E1687" s="79" t="s">
        <v>314</v>
      </c>
      <c r="F1687" s="77" t="s">
        <v>1080</v>
      </c>
      <c r="G1687" s="77"/>
    </row>
    <row r="1688" spans="1:7" x14ac:dyDescent="0.35">
      <c r="A1688" s="69" t="s">
        <v>1166</v>
      </c>
      <c r="B1688" s="69" t="s">
        <v>1025</v>
      </c>
      <c r="C1688" s="77" t="s">
        <v>1026</v>
      </c>
      <c r="D1688" s="70">
        <v>45969</v>
      </c>
      <c r="E1688" s="71" t="s">
        <v>314</v>
      </c>
      <c r="F1688" s="69" t="s">
        <v>19</v>
      </c>
      <c r="G1688" s="69"/>
    </row>
    <row r="1689" spans="1:7" x14ac:dyDescent="0.35">
      <c r="A1689" s="7" t="s">
        <v>242</v>
      </c>
      <c r="B1689" s="7" t="s">
        <v>1025</v>
      </c>
      <c r="C1689" s="77" t="s">
        <v>1026</v>
      </c>
      <c r="D1689" s="10">
        <v>45969</v>
      </c>
      <c r="E1689" s="11" t="s">
        <v>314</v>
      </c>
      <c r="F1689" s="7" t="s">
        <v>877</v>
      </c>
      <c r="G1689" s="7"/>
    </row>
    <row r="1690" spans="1:7" x14ac:dyDescent="0.35">
      <c r="A1690" s="7" t="s">
        <v>1208</v>
      </c>
      <c r="B1690" s="7" t="s">
        <v>1025</v>
      </c>
      <c r="C1690" s="77" t="s">
        <v>1026</v>
      </c>
      <c r="D1690" s="10">
        <v>45969</v>
      </c>
      <c r="E1690" s="11" t="s">
        <v>314</v>
      </c>
      <c r="F1690" s="7" t="s">
        <v>877</v>
      </c>
      <c r="G1690" s="7"/>
    </row>
    <row r="1691" spans="1:7" x14ac:dyDescent="0.35">
      <c r="A1691" s="7" t="s">
        <v>1227</v>
      </c>
      <c r="B1691" s="7" t="s">
        <v>1025</v>
      </c>
      <c r="C1691" s="77" t="s">
        <v>1026</v>
      </c>
      <c r="D1691" s="10">
        <v>45969</v>
      </c>
      <c r="E1691" s="11" t="s">
        <v>314</v>
      </c>
      <c r="F1691" s="7" t="s">
        <v>867</v>
      </c>
      <c r="G1691" s="7" t="s">
        <v>1232</v>
      </c>
    </row>
    <row r="1692" spans="1:7" x14ac:dyDescent="0.35">
      <c r="A1692" s="7" t="s">
        <v>1216</v>
      </c>
      <c r="B1692" s="7" t="s">
        <v>1025</v>
      </c>
      <c r="C1692" s="77" t="s">
        <v>1026</v>
      </c>
      <c r="D1692" s="10">
        <v>45969</v>
      </c>
      <c r="E1692" s="11" t="s">
        <v>314</v>
      </c>
      <c r="F1692" s="7" t="s">
        <v>877</v>
      </c>
      <c r="G1692" s="7"/>
    </row>
    <row r="1693" spans="1:7" x14ac:dyDescent="0.35">
      <c r="A1693" s="7" t="s">
        <v>241</v>
      </c>
      <c r="B1693" s="7" t="s">
        <v>1025</v>
      </c>
      <c r="C1693" s="77" t="s">
        <v>1026</v>
      </c>
      <c r="D1693" s="10">
        <v>45969</v>
      </c>
      <c r="E1693" s="11" t="s">
        <v>314</v>
      </c>
      <c r="F1693" s="7" t="s">
        <v>877</v>
      </c>
      <c r="G1693" s="7"/>
    </row>
    <row r="1694" spans="1:7" x14ac:dyDescent="0.35">
      <c r="A1694" s="7" t="s">
        <v>1209</v>
      </c>
      <c r="B1694" s="7" t="s">
        <v>1025</v>
      </c>
      <c r="C1694" s="77" t="s">
        <v>1026</v>
      </c>
      <c r="D1694" s="10">
        <v>45969</v>
      </c>
      <c r="E1694" s="11" t="s">
        <v>314</v>
      </c>
      <c r="F1694" s="7" t="s">
        <v>877</v>
      </c>
      <c r="G1694" s="7"/>
    </row>
    <row r="1695" spans="1:7" x14ac:dyDescent="0.35">
      <c r="A1695" s="7" t="s">
        <v>612</v>
      </c>
      <c r="B1695" s="7" t="s">
        <v>1025</v>
      </c>
      <c r="C1695" s="77" t="s">
        <v>1026</v>
      </c>
      <c r="D1695" s="10">
        <v>45969</v>
      </c>
      <c r="E1695" s="11" t="s">
        <v>314</v>
      </c>
      <c r="F1695" s="7" t="s">
        <v>877</v>
      </c>
      <c r="G1695" s="7"/>
    </row>
    <row r="1696" spans="1:7" x14ac:dyDescent="0.35">
      <c r="A1696" s="7" t="s">
        <v>596</v>
      </c>
      <c r="B1696" s="7" t="s">
        <v>1025</v>
      </c>
      <c r="C1696" s="77" t="s">
        <v>1026</v>
      </c>
      <c r="D1696" s="10">
        <v>45969</v>
      </c>
      <c r="E1696" s="11" t="s">
        <v>314</v>
      </c>
      <c r="F1696" s="7" t="s">
        <v>867</v>
      </c>
      <c r="G1696" s="7" t="s">
        <v>1232</v>
      </c>
    </row>
    <row r="1697" spans="1:7" x14ac:dyDescent="0.35">
      <c r="A1697" s="7" t="s">
        <v>603</v>
      </c>
      <c r="B1697" s="7" t="s">
        <v>1025</v>
      </c>
      <c r="C1697" s="77" t="s">
        <v>1026</v>
      </c>
      <c r="D1697" s="10">
        <v>45969</v>
      </c>
      <c r="E1697" s="11" t="s">
        <v>314</v>
      </c>
      <c r="F1697" s="7" t="s">
        <v>867</v>
      </c>
      <c r="G1697" s="7" t="s">
        <v>1232</v>
      </c>
    </row>
    <row r="1698" spans="1:7" x14ac:dyDescent="0.35">
      <c r="A1698" s="7" t="s">
        <v>823</v>
      </c>
      <c r="B1698" s="7" t="s">
        <v>1025</v>
      </c>
      <c r="C1698" s="77" t="s">
        <v>1026</v>
      </c>
      <c r="D1698" s="10">
        <v>45969</v>
      </c>
      <c r="E1698" s="11" t="s">
        <v>314</v>
      </c>
      <c r="F1698" s="7" t="s">
        <v>877</v>
      </c>
      <c r="G1698" s="7"/>
    </row>
    <row r="1699" spans="1:7" x14ac:dyDescent="0.35">
      <c r="A1699" s="7" t="s">
        <v>824</v>
      </c>
      <c r="B1699" s="7" t="s">
        <v>1025</v>
      </c>
      <c r="C1699" s="77" t="s">
        <v>1026</v>
      </c>
      <c r="D1699" s="10">
        <v>45969</v>
      </c>
      <c r="E1699" s="11" t="s">
        <v>314</v>
      </c>
      <c r="F1699" s="7" t="s">
        <v>877</v>
      </c>
      <c r="G1699" s="7"/>
    </row>
    <row r="1700" spans="1:7" x14ac:dyDescent="0.35">
      <c r="A1700" s="77" t="s">
        <v>1220</v>
      </c>
      <c r="B1700" s="77" t="s">
        <v>1025</v>
      </c>
      <c r="C1700" s="77" t="s">
        <v>1026</v>
      </c>
      <c r="D1700" s="78">
        <v>45969</v>
      </c>
      <c r="E1700" s="79" t="s">
        <v>314</v>
      </c>
      <c r="F1700" s="77" t="s">
        <v>88</v>
      </c>
      <c r="G1700" s="77" t="s">
        <v>22</v>
      </c>
    </row>
    <row r="1701" spans="1:7" x14ac:dyDescent="0.35">
      <c r="A1701" s="77" t="s">
        <v>241</v>
      </c>
      <c r="B1701" s="77" t="s">
        <v>1025</v>
      </c>
      <c r="C1701" s="77" t="s">
        <v>1026</v>
      </c>
      <c r="D1701" s="78">
        <v>45969</v>
      </c>
      <c r="E1701" s="79" t="s">
        <v>314</v>
      </c>
      <c r="F1701" s="77" t="s">
        <v>1080</v>
      </c>
      <c r="G1701" s="77"/>
    </row>
    <row r="1702" spans="1:7" x14ac:dyDescent="0.35">
      <c r="A1702" s="77" t="s">
        <v>242</v>
      </c>
      <c r="B1702" s="77" t="s">
        <v>1025</v>
      </c>
      <c r="C1702" s="77" t="s">
        <v>1026</v>
      </c>
      <c r="D1702" s="78">
        <v>45969</v>
      </c>
      <c r="E1702" s="79" t="s">
        <v>314</v>
      </c>
      <c r="F1702" s="77" t="s">
        <v>1080</v>
      </c>
      <c r="G1702" s="77"/>
    </row>
    <row r="1703" spans="1:7" x14ac:dyDescent="0.35">
      <c r="A1703" s="77" t="s">
        <v>1209</v>
      </c>
      <c r="B1703" s="77" t="s">
        <v>1025</v>
      </c>
      <c r="C1703" s="77" t="s">
        <v>1026</v>
      </c>
      <c r="D1703" s="78">
        <v>45970</v>
      </c>
      <c r="E1703" s="79" t="s">
        <v>314</v>
      </c>
      <c r="F1703" s="77" t="s">
        <v>1080</v>
      </c>
      <c r="G1703" s="77"/>
    </row>
    <row r="1704" spans="1:7" x14ac:dyDescent="0.35">
      <c r="A1704" s="7" t="s">
        <v>256</v>
      </c>
      <c r="B1704" s="7" t="s">
        <v>1025</v>
      </c>
      <c r="C1704" s="77" t="s">
        <v>1026</v>
      </c>
      <c r="D1704" s="10">
        <v>45971</v>
      </c>
      <c r="E1704" s="11" t="s">
        <v>314</v>
      </c>
      <c r="F1704" s="7" t="s">
        <v>27</v>
      </c>
      <c r="G1704" s="7"/>
    </row>
    <row r="1705" spans="1:7" x14ac:dyDescent="0.35">
      <c r="A1705" s="7" t="s">
        <v>243</v>
      </c>
      <c r="B1705" s="7" t="s">
        <v>1025</v>
      </c>
      <c r="C1705" s="77" t="s">
        <v>1026</v>
      </c>
      <c r="D1705" s="10">
        <v>45971</v>
      </c>
      <c r="E1705" s="11" t="s">
        <v>314</v>
      </c>
      <c r="F1705" s="7" t="s">
        <v>877</v>
      </c>
      <c r="G1705" s="7"/>
    </row>
    <row r="1706" spans="1:7" x14ac:dyDescent="0.35">
      <c r="A1706" s="7" t="s">
        <v>1225</v>
      </c>
      <c r="B1706" s="66" t="s">
        <v>1025</v>
      </c>
      <c r="C1706" s="77" t="s">
        <v>1026</v>
      </c>
      <c r="D1706" s="67">
        <v>45971</v>
      </c>
      <c r="E1706" s="68" t="s">
        <v>314</v>
      </c>
      <c r="F1706" s="66" t="s">
        <v>867</v>
      </c>
      <c r="G1706" s="7" t="s">
        <v>1170</v>
      </c>
    </row>
    <row r="1707" spans="1:7" x14ac:dyDescent="0.35">
      <c r="A1707" s="7" t="s">
        <v>1192</v>
      </c>
      <c r="B1707" s="7" t="s">
        <v>908</v>
      </c>
      <c r="C1707" s="7" t="s">
        <v>374</v>
      </c>
      <c r="D1707" s="10">
        <v>45971</v>
      </c>
      <c r="E1707" s="11" t="s">
        <v>314</v>
      </c>
      <c r="F1707" s="7" t="s">
        <v>872</v>
      </c>
      <c r="G1707" s="7" t="s">
        <v>317</v>
      </c>
    </row>
    <row r="1708" spans="1:7" x14ac:dyDescent="0.35">
      <c r="A1708" s="7" t="s">
        <v>591</v>
      </c>
      <c r="B1708" s="7" t="s">
        <v>1025</v>
      </c>
      <c r="C1708" s="77" t="s">
        <v>1026</v>
      </c>
      <c r="D1708" s="10">
        <v>45971</v>
      </c>
      <c r="E1708" s="11" t="s">
        <v>314</v>
      </c>
      <c r="F1708" s="7" t="s">
        <v>894</v>
      </c>
      <c r="G1708" s="7" t="s">
        <v>15</v>
      </c>
    </row>
    <row r="1709" spans="1:7" x14ac:dyDescent="0.35">
      <c r="A1709" s="7" t="s">
        <v>591</v>
      </c>
      <c r="B1709" s="7" t="s">
        <v>1025</v>
      </c>
      <c r="C1709" s="77" t="s">
        <v>1026</v>
      </c>
      <c r="D1709" s="10">
        <v>45971</v>
      </c>
      <c r="E1709" s="11" t="s">
        <v>314</v>
      </c>
      <c r="F1709" s="7" t="s">
        <v>877</v>
      </c>
      <c r="G1709" s="7"/>
    </row>
    <row r="1710" spans="1:7" x14ac:dyDescent="0.35">
      <c r="A1710" s="7" t="s">
        <v>822</v>
      </c>
      <c r="B1710" s="7" t="s">
        <v>908</v>
      </c>
      <c r="C1710" s="7" t="s">
        <v>374</v>
      </c>
      <c r="D1710" s="10">
        <v>45971</v>
      </c>
      <c r="E1710" s="11" t="s">
        <v>314</v>
      </c>
      <c r="F1710" s="7" t="s">
        <v>872</v>
      </c>
      <c r="G1710" s="7" t="s">
        <v>317</v>
      </c>
    </row>
    <row r="1711" spans="1:7" x14ac:dyDescent="0.35">
      <c r="A1711" s="7" t="s">
        <v>1015</v>
      </c>
      <c r="B1711" s="7" t="s">
        <v>1025</v>
      </c>
      <c r="C1711" s="77" t="s">
        <v>1026</v>
      </c>
      <c r="D1711" s="10">
        <v>45971</v>
      </c>
      <c r="E1711" s="11" t="s">
        <v>314</v>
      </c>
      <c r="F1711" s="7" t="s">
        <v>877</v>
      </c>
      <c r="G1711" s="7"/>
    </row>
    <row r="1712" spans="1:7" x14ac:dyDescent="0.35">
      <c r="A1712" s="7" t="s">
        <v>739</v>
      </c>
      <c r="B1712" s="7" t="s">
        <v>1025</v>
      </c>
      <c r="C1712" s="77" t="s">
        <v>1026</v>
      </c>
      <c r="D1712" s="10">
        <v>45971</v>
      </c>
      <c r="E1712" s="11" t="s">
        <v>314</v>
      </c>
      <c r="F1712" s="7" t="s">
        <v>867</v>
      </c>
      <c r="G1712" s="7" t="s">
        <v>1232</v>
      </c>
    </row>
    <row r="1713" spans="1:7" x14ac:dyDescent="0.35">
      <c r="A1713" s="7" t="s">
        <v>742</v>
      </c>
      <c r="B1713" s="7" t="s">
        <v>1025</v>
      </c>
      <c r="C1713" s="77" t="s">
        <v>1026</v>
      </c>
      <c r="D1713" s="10">
        <v>45971</v>
      </c>
      <c r="E1713" s="11" t="s">
        <v>314</v>
      </c>
      <c r="F1713" s="7" t="s">
        <v>867</v>
      </c>
      <c r="G1713" s="7" t="s">
        <v>1232</v>
      </c>
    </row>
    <row r="1714" spans="1:7" x14ac:dyDescent="0.35">
      <c r="A1714" s="7" t="s">
        <v>1231</v>
      </c>
      <c r="B1714" s="7" t="s">
        <v>1025</v>
      </c>
      <c r="C1714" s="77" t="s">
        <v>1026</v>
      </c>
      <c r="D1714" s="10">
        <v>45971</v>
      </c>
      <c r="E1714" s="11" t="s">
        <v>314</v>
      </c>
      <c r="F1714" s="7" t="s">
        <v>867</v>
      </c>
      <c r="G1714" s="7" t="s">
        <v>1232</v>
      </c>
    </row>
    <row r="1715" spans="1:7" x14ac:dyDescent="0.35">
      <c r="A1715" s="77" t="s">
        <v>1192</v>
      </c>
      <c r="B1715" s="77" t="s">
        <v>1025</v>
      </c>
      <c r="C1715" s="77" t="s">
        <v>1026</v>
      </c>
      <c r="D1715" s="78">
        <v>45971</v>
      </c>
      <c r="E1715" s="79" t="s">
        <v>314</v>
      </c>
      <c r="F1715" s="77" t="s">
        <v>1080</v>
      </c>
      <c r="G1715" s="77"/>
    </row>
    <row r="1716" spans="1:7" x14ac:dyDescent="0.35">
      <c r="A1716" s="77" t="s">
        <v>256</v>
      </c>
      <c r="B1716" s="77" t="s">
        <v>1025</v>
      </c>
      <c r="C1716" s="77" t="s">
        <v>1026</v>
      </c>
      <c r="D1716" s="78">
        <v>45971</v>
      </c>
      <c r="E1716" s="79" t="s">
        <v>314</v>
      </c>
      <c r="F1716" s="77" t="s">
        <v>1080</v>
      </c>
      <c r="G1716" s="77"/>
    </row>
    <row r="1717" spans="1:7" x14ac:dyDescent="0.35">
      <c r="A1717" s="77" t="s">
        <v>243</v>
      </c>
      <c r="B1717" s="77" t="s">
        <v>1025</v>
      </c>
      <c r="C1717" s="77" t="s">
        <v>1026</v>
      </c>
      <c r="D1717" s="78">
        <v>45971</v>
      </c>
      <c r="E1717" s="79" t="s">
        <v>314</v>
      </c>
      <c r="F1717" s="77" t="s">
        <v>1080</v>
      </c>
      <c r="G1717" s="77"/>
    </row>
    <row r="1718" spans="1:7" x14ac:dyDescent="0.35">
      <c r="A1718" s="77" t="s">
        <v>822</v>
      </c>
      <c r="B1718" s="77" t="s">
        <v>1025</v>
      </c>
      <c r="C1718" s="77" t="s">
        <v>1026</v>
      </c>
      <c r="D1718" s="78">
        <v>45971</v>
      </c>
      <c r="E1718" s="79" t="s">
        <v>314</v>
      </c>
      <c r="F1718" s="77" t="s">
        <v>1080</v>
      </c>
      <c r="G1718" s="77"/>
    </row>
    <row r="1719" spans="1:7" x14ac:dyDescent="0.35">
      <c r="A1719" s="7" t="s">
        <v>1219</v>
      </c>
      <c r="B1719" s="7" t="s">
        <v>1025</v>
      </c>
      <c r="C1719" s="77" t="s">
        <v>1026</v>
      </c>
      <c r="D1719" s="10">
        <v>45972</v>
      </c>
      <c r="E1719" s="11" t="s">
        <v>314</v>
      </c>
      <c r="F1719" s="7" t="s">
        <v>27</v>
      </c>
      <c r="G1719" s="7"/>
    </row>
    <row r="1720" spans="1:7" x14ac:dyDescent="0.35">
      <c r="A1720" s="7" t="s">
        <v>409</v>
      </c>
      <c r="B1720" s="7" t="s">
        <v>1025</v>
      </c>
      <c r="C1720" s="77" t="s">
        <v>1026</v>
      </c>
      <c r="D1720" s="10">
        <v>45972</v>
      </c>
      <c r="E1720" s="11" t="s">
        <v>314</v>
      </c>
      <c r="F1720" s="7" t="s">
        <v>27</v>
      </c>
      <c r="G1720" s="7"/>
    </row>
    <row r="1721" spans="1:7" x14ac:dyDescent="0.35">
      <c r="A1721" s="77" t="s">
        <v>409</v>
      </c>
      <c r="B1721" s="77" t="s">
        <v>1025</v>
      </c>
      <c r="C1721" s="77" t="s">
        <v>1026</v>
      </c>
      <c r="D1721" s="78">
        <v>45972</v>
      </c>
      <c r="E1721" s="79" t="s">
        <v>314</v>
      </c>
      <c r="F1721" s="77" t="s">
        <v>1080</v>
      </c>
      <c r="G1721" s="77"/>
    </row>
    <row r="1722" spans="1:7" x14ac:dyDescent="0.35">
      <c r="A1722" s="77" t="s">
        <v>939</v>
      </c>
      <c r="B1722" s="77" t="s">
        <v>1025</v>
      </c>
      <c r="C1722" s="77" t="s">
        <v>1026</v>
      </c>
      <c r="D1722" s="78">
        <v>45973</v>
      </c>
      <c r="E1722" s="79" t="s">
        <v>314</v>
      </c>
      <c r="F1722" s="77" t="s">
        <v>1080</v>
      </c>
      <c r="G1722" s="77"/>
    </row>
    <row r="1723" spans="1:7" x14ac:dyDescent="0.35">
      <c r="A1723" s="77" t="s">
        <v>1126</v>
      </c>
      <c r="B1723" s="77" t="s">
        <v>1025</v>
      </c>
      <c r="C1723" s="77" t="s">
        <v>1026</v>
      </c>
      <c r="D1723" s="78">
        <v>45974</v>
      </c>
      <c r="E1723" s="79" t="s">
        <v>314</v>
      </c>
      <c r="F1723" s="77" t="s">
        <v>1080</v>
      </c>
      <c r="G1723" s="77"/>
    </row>
    <row r="1724" spans="1:7" x14ac:dyDescent="0.35">
      <c r="A1724" s="77" t="s">
        <v>1233</v>
      </c>
      <c r="B1724" s="77" t="s">
        <v>1025</v>
      </c>
      <c r="C1724" s="77" t="s">
        <v>1026</v>
      </c>
      <c r="D1724" s="78">
        <v>45974</v>
      </c>
      <c r="E1724" s="79" t="s">
        <v>314</v>
      </c>
      <c r="F1724" s="77" t="s">
        <v>1080</v>
      </c>
      <c r="G1724" s="77"/>
    </row>
    <row r="1725" spans="1:7" x14ac:dyDescent="0.35">
      <c r="A1725" s="77" t="s">
        <v>365</v>
      </c>
      <c r="B1725" s="77" t="s">
        <v>1025</v>
      </c>
      <c r="C1725" s="77" t="s">
        <v>1026</v>
      </c>
      <c r="D1725" s="78">
        <v>45974</v>
      </c>
      <c r="E1725" s="79" t="s">
        <v>314</v>
      </c>
      <c r="F1725" s="77" t="s">
        <v>1080</v>
      </c>
      <c r="G1725" s="77"/>
    </row>
    <row r="1726" spans="1:7" x14ac:dyDescent="0.35">
      <c r="A1726" s="77" t="s">
        <v>92</v>
      </c>
      <c r="B1726" s="77" t="s">
        <v>1025</v>
      </c>
      <c r="C1726" s="77" t="s">
        <v>1026</v>
      </c>
      <c r="D1726" s="78">
        <v>45974</v>
      </c>
      <c r="E1726" s="79" t="s">
        <v>314</v>
      </c>
      <c r="F1726" s="77" t="s">
        <v>1080</v>
      </c>
      <c r="G1726" s="77"/>
    </row>
    <row r="1727" spans="1:7" x14ac:dyDescent="0.35">
      <c r="A1727" s="77" t="s">
        <v>1223</v>
      </c>
      <c r="B1727" s="77" t="s">
        <v>1025</v>
      </c>
      <c r="C1727" s="77" t="s">
        <v>1026</v>
      </c>
      <c r="D1727" s="78">
        <v>45974</v>
      </c>
      <c r="E1727" s="79" t="s">
        <v>314</v>
      </c>
      <c r="F1727" s="77" t="s">
        <v>1080</v>
      </c>
      <c r="G1727" s="77"/>
    </row>
    <row r="1728" spans="1:7" x14ac:dyDescent="0.35">
      <c r="A1728" s="77" t="s">
        <v>1163</v>
      </c>
      <c r="B1728" s="77" t="s">
        <v>1025</v>
      </c>
      <c r="C1728" s="77" t="s">
        <v>1026</v>
      </c>
      <c r="D1728" s="78">
        <v>45974</v>
      </c>
      <c r="E1728" s="79" t="s">
        <v>314</v>
      </c>
      <c r="F1728" s="77" t="s">
        <v>1080</v>
      </c>
      <c r="G1728" s="77"/>
    </row>
    <row r="1729" spans="1:7" x14ac:dyDescent="0.35">
      <c r="A1729" s="72" t="s">
        <v>1233</v>
      </c>
      <c r="B1729" s="7" t="s">
        <v>1025</v>
      </c>
      <c r="C1729" s="77" t="s">
        <v>1026</v>
      </c>
      <c r="D1729" s="10">
        <v>45975</v>
      </c>
      <c r="E1729" s="11" t="s">
        <v>314</v>
      </c>
      <c r="F1729" s="7" t="s">
        <v>894</v>
      </c>
      <c r="G1729" s="7" t="s">
        <v>15</v>
      </c>
    </row>
    <row r="1730" spans="1:7" x14ac:dyDescent="0.35">
      <c r="A1730" s="72" t="s">
        <v>1233</v>
      </c>
      <c r="B1730" s="7" t="s">
        <v>1025</v>
      </c>
      <c r="C1730" s="77" t="s">
        <v>1026</v>
      </c>
      <c r="D1730" s="10">
        <v>45975</v>
      </c>
      <c r="E1730" s="11" t="s">
        <v>314</v>
      </c>
      <c r="F1730" s="7" t="s">
        <v>872</v>
      </c>
      <c r="G1730" s="7" t="s">
        <v>317</v>
      </c>
    </row>
    <row r="1731" spans="1:7" x14ac:dyDescent="0.35">
      <c r="A1731" s="7" t="s">
        <v>92</v>
      </c>
      <c r="B1731" s="66" t="s">
        <v>1025</v>
      </c>
      <c r="C1731" s="77" t="s">
        <v>1026</v>
      </c>
      <c r="D1731" s="67">
        <v>45975</v>
      </c>
      <c r="E1731" s="68" t="s">
        <v>314</v>
      </c>
      <c r="F1731" s="66" t="s">
        <v>867</v>
      </c>
      <c r="G1731" s="7" t="s">
        <v>1170</v>
      </c>
    </row>
    <row r="1732" spans="1:7" x14ac:dyDescent="0.35">
      <c r="A1732" s="7" t="s">
        <v>1126</v>
      </c>
      <c r="B1732" s="7" t="s">
        <v>1025</v>
      </c>
      <c r="C1732" s="77" t="s">
        <v>1026</v>
      </c>
      <c r="D1732" s="10">
        <v>45975</v>
      </c>
      <c r="E1732" s="11" t="s">
        <v>314</v>
      </c>
      <c r="F1732" s="7" t="s">
        <v>871</v>
      </c>
      <c r="G1732" s="7" t="s">
        <v>891</v>
      </c>
    </row>
    <row r="1733" spans="1:7" x14ac:dyDescent="0.35">
      <c r="A1733" s="7" t="s">
        <v>1126</v>
      </c>
      <c r="B1733" s="7" t="s">
        <v>908</v>
      </c>
      <c r="C1733" s="7" t="s">
        <v>374</v>
      </c>
      <c r="D1733" s="10">
        <v>45975</v>
      </c>
      <c r="E1733" s="11" t="s">
        <v>314</v>
      </c>
      <c r="F1733" s="7" t="s">
        <v>872</v>
      </c>
      <c r="G1733" s="7" t="s">
        <v>317</v>
      </c>
    </row>
    <row r="1734" spans="1:7" x14ac:dyDescent="0.35">
      <c r="A1734" s="7" t="s">
        <v>1190</v>
      </c>
      <c r="B1734" s="7" t="s">
        <v>1025</v>
      </c>
      <c r="C1734" s="77" t="s">
        <v>1026</v>
      </c>
      <c r="D1734" s="10">
        <v>45975</v>
      </c>
      <c r="E1734" s="11" t="s">
        <v>314</v>
      </c>
      <c r="F1734" s="7" t="s">
        <v>871</v>
      </c>
      <c r="G1734" s="7" t="s">
        <v>891</v>
      </c>
    </row>
    <row r="1735" spans="1:7" x14ac:dyDescent="0.35">
      <c r="A1735" s="7" t="s">
        <v>266</v>
      </c>
      <c r="B1735" s="7" t="s">
        <v>1025</v>
      </c>
      <c r="C1735" s="77" t="s">
        <v>1026</v>
      </c>
      <c r="D1735" s="10">
        <v>45975</v>
      </c>
      <c r="E1735" s="11" t="s">
        <v>314</v>
      </c>
      <c r="F1735" s="7" t="s">
        <v>871</v>
      </c>
      <c r="G1735" s="7" t="s">
        <v>891</v>
      </c>
    </row>
    <row r="1736" spans="1:7" x14ac:dyDescent="0.35">
      <c r="A1736" s="7" t="s">
        <v>280</v>
      </c>
      <c r="B1736" s="7" t="s">
        <v>1025</v>
      </c>
      <c r="C1736" s="77" t="s">
        <v>1026</v>
      </c>
      <c r="D1736" s="10">
        <v>45975</v>
      </c>
      <c r="E1736" s="11" t="s">
        <v>314</v>
      </c>
      <c r="F1736" s="7" t="s">
        <v>871</v>
      </c>
      <c r="G1736" s="7" t="s">
        <v>891</v>
      </c>
    </row>
    <row r="1737" spans="1:7" x14ac:dyDescent="0.35">
      <c r="A1737" s="7" t="s">
        <v>632</v>
      </c>
      <c r="B1737" s="7" t="s">
        <v>1025</v>
      </c>
      <c r="C1737" s="77" t="s">
        <v>1026</v>
      </c>
      <c r="D1737" s="10">
        <v>45975</v>
      </c>
      <c r="E1737" s="11" t="s">
        <v>314</v>
      </c>
      <c r="F1737" s="7" t="s">
        <v>867</v>
      </c>
      <c r="G1737" s="7" t="s">
        <v>1232</v>
      </c>
    </row>
    <row r="1738" spans="1:7" x14ac:dyDescent="0.35">
      <c r="A1738" s="7" t="s">
        <v>538</v>
      </c>
      <c r="B1738" s="7" t="s">
        <v>1025</v>
      </c>
      <c r="C1738" s="77" t="s">
        <v>1026</v>
      </c>
      <c r="D1738" s="10">
        <v>45975</v>
      </c>
      <c r="E1738" s="11" t="s">
        <v>314</v>
      </c>
      <c r="F1738" s="7" t="s">
        <v>894</v>
      </c>
      <c r="G1738" s="7" t="s">
        <v>15</v>
      </c>
    </row>
    <row r="1739" spans="1:7" x14ac:dyDescent="0.35">
      <c r="A1739" s="7" t="s">
        <v>538</v>
      </c>
      <c r="B1739" s="7" t="s">
        <v>908</v>
      </c>
      <c r="C1739" s="7" t="s">
        <v>374</v>
      </c>
      <c r="D1739" s="10">
        <v>45975</v>
      </c>
      <c r="E1739" s="11" t="s">
        <v>314</v>
      </c>
      <c r="F1739" s="7" t="s">
        <v>872</v>
      </c>
      <c r="G1739" s="7" t="s">
        <v>317</v>
      </c>
    </row>
    <row r="1740" spans="1:7" x14ac:dyDescent="0.35">
      <c r="A1740" s="7" t="s">
        <v>1221</v>
      </c>
      <c r="B1740" s="7" t="s">
        <v>1025</v>
      </c>
      <c r="C1740" s="77" t="s">
        <v>1026</v>
      </c>
      <c r="D1740" s="10">
        <v>45975</v>
      </c>
      <c r="E1740" s="11" t="s">
        <v>314</v>
      </c>
      <c r="F1740" s="7" t="s">
        <v>867</v>
      </c>
      <c r="G1740" s="7" t="s">
        <v>1232</v>
      </c>
    </row>
    <row r="1741" spans="1:7" x14ac:dyDescent="0.35">
      <c r="A1741" s="7" t="s">
        <v>1223</v>
      </c>
      <c r="B1741" s="66" t="s">
        <v>1025</v>
      </c>
      <c r="C1741" s="77" t="s">
        <v>1026</v>
      </c>
      <c r="D1741" s="67">
        <v>45975</v>
      </c>
      <c r="E1741" s="68" t="s">
        <v>314</v>
      </c>
      <c r="F1741" s="66" t="s">
        <v>867</v>
      </c>
      <c r="G1741" s="7" t="s">
        <v>1170</v>
      </c>
    </row>
    <row r="1742" spans="1:7" x14ac:dyDescent="0.35">
      <c r="A1742" s="7" t="s">
        <v>917</v>
      </c>
      <c r="B1742" s="7" t="s">
        <v>1025</v>
      </c>
      <c r="C1742" s="77" t="s">
        <v>1026</v>
      </c>
      <c r="D1742" s="10">
        <v>45975</v>
      </c>
      <c r="E1742" s="11" t="s">
        <v>314</v>
      </c>
      <c r="F1742" s="7" t="s">
        <v>867</v>
      </c>
      <c r="G1742" s="7" t="s">
        <v>1232</v>
      </c>
    </row>
    <row r="1743" spans="1:7" x14ac:dyDescent="0.35">
      <c r="A1743" s="7" t="s">
        <v>753</v>
      </c>
      <c r="B1743" s="7" t="s">
        <v>896</v>
      </c>
      <c r="C1743" s="7" t="s">
        <v>897</v>
      </c>
      <c r="D1743" s="10">
        <v>45975</v>
      </c>
      <c r="E1743" s="11" t="s">
        <v>314</v>
      </c>
      <c r="F1743" s="7" t="s">
        <v>19</v>
      </c>
      <c r="G1743" s="7"/>
    </row>
    <row r="1744" spans="1:7" x14ac:dyDescent="0.35">
      <c r="A1744" s="69" t="s">
        <v>1167</v>
      </c>
      <c r="B1744" s="69" t="s">
        <v>1025</v>
      </c>
      <c r="C1744" s="77" t="s">
        <v>1026</v>
      </c>
      <c r="D1744" s="70">
        <v>45975</v>
      </c>
      <c r="E1744" s="71" t="s">
        <v>314</v>
      </c>
      <c r="F1744" s="69" t="s">
        <v>19</v>
      </c>
      <c r="G1744" s="69"/>
    </row>
    <row r="1745" spans="1:7" x14ac:dyDescent="0.35">
      <c r="A1745" s="69" t="s">
        <v>1197</v>
      </c>
      <c r="B1745" s="69" t="s">
        <v>1025</v>
      </c>
      <c r="C1745" s="77" t="s">
        <v>1026</v>
      </c>
      <c r="D1745" s="70">
        <v>45975</v>
      </c>
      <c r="E1745" s="71" t="s">
        <v>314</v>
      </c>
      <c r="F1745" s="69" t="s">
        <v>19</v>
      </c>
      <c r="G1745" s="69"/>
    </row>
    <row r="1746" spans="1:7" x14ac:dyDescent="0.35">
      <c r="A1746" s="7" t="s">
        <v>1163</v>
      </c>
      <c r="B1746" s="66" t="s">
        <v>1025</v>
      </c>
      <c r="C1746" s="77" t="s">
        <v>1026</v>
      </c>
      <c r="D1746" s="67">
        <v>45975</v>
      </c>
      <c r="E1746" s="68" t="s">
        <v>314</v>
      </c>
      <c r="F1746" s="66" t="s">
        <v>867</v>
      </c>
      <c r="G1746" s="7" t="s">
        <v>1170</v>
      </c>
    </row>
    <row r="1747" spans="1:7" x14ac:dyDescent="0.35">
      <c r="A1747" s="7" t="s">
        <v>231</v>
      </c>
      <c r="B1747" s="66" t="s">
        <v>1025</v>
      </c>
      <c r="C1747" s="77" t="s">
        <v>1026</v>
      </c>
      <c r="D1747" s="67">
        <v>45975</v>
      </c>
      <c r="E1747" s="68" t="s">
        <v>314</v>
      </c>
      <c r="F1747" s="66" t="s">
        <v>867</v>
      </c>
      <c r="G1747" s="7" t="s">
        <v>1170</v>
      </c>
    </row>
    <row r="1748" spans="1:7" x14ac:dyDescent="0.35">
      <c r="A1748" s="7" t="s">
        <v>939</v>
      </c>
      <c r="B1748" s="7" t="s">
        <v>1025</v>
      </c>
      <c r="C1748" s="77" t="s">
        <v>1026</v>
      </c>
      <c r="D1748" s="10">
        <v>45975</v>
      </c>
      <c r="E1748" s="11" t="s">
        <v>314</v>
      </c>
      <c r="F1748" s="7" t="s">
        <v>877</v>
      </c>
      <c r="G1748" s="7"/>
    </row>
    <row r="1749" spans="1:7" x14ac:dyDescent="0.35">
      <c r="A1749" s="77" t="s">
        <v>365</v>
      </c>
      <c r="B1749" s="77" t="s">
        <v>1025</v>
      </c>
      <c r="C1749" s="77" t="s">
        <v>1026</v>
      </c>
      <c r="D1749" s="78">
        <v>45975</v>
      </c>
      <c r="E1749" s="79" t="s">
        <v>314</v>
      </c>
      <c r="F1749" s="77" t="s">
        <v>867</v>
      </c>
      <c r="G1749" s="77" t="s">
        <v>1170</v>
      </c>
    </row>
    <row r="1750" spans="1:7" x14ac:dyDescent="0.35">
      <c r="A1750" s="77" t="s">
        <v>1190</v>
      </c>
      <c r="B1750" s="77" t="s">
        <v>1025</v>
      </c>
      <c r="C1750" s="77" t="s">
        <v>1026</v>
      </c>
      <c r="D1750" s="78">
        <v>45975</v>
      </c>
      <c r="E1750" s="79" t="s">
        <v>314</v>
      </c>
      <c r="F1750" s="77" t="s">
        <v>1080</v>
      </c>
      <c r="G1750" s="77"/>
    </row>
    <row r="1751" spans="1:7" x14ac:dyDescent="0.35">
      <c r="A1751" s="77" t="s">
        <v>1214</v>
      </c>
      <c r="B1751" s="77" t="s">
        <v>1025</v>
      </c>
      <c r="C1751" s="77" t="s">
        <v>1026</v>
      </c>
      <c r="D1751" s="78">
        <v>45976</v>
      </c>
      <c r="E1751" s="79" t="s">
        <v>314</v>
      </c>
      <c r="F1751" s="77" t="s">
        <v>1080</v>
      </c>
      <c r="G1751" s="77"/>
    </row>
    <row r="1752" spans="1:7" x14ac:dyDescent="0.35">
      <c r="A1752" s="77" t="s">
        <v>1243</v>
      </c>
      <c r="B1752" s="77" t="s">
        <v>1025</v>
      </c>
      <c r="C1752" s="77" t="s">
        <v>1026</v>
      </c>
      <c r="D1752" s="78">
        <v>45976</v>
      </c>
      <c r="E1752" s="79" t="s">
        <v>314</v>
      </c>
      <c r="F1752" s="77" t="s">
        <v>1080</v>
      </c>
      <c r="G1752" s="77"/>
    </row>
    <row r="1753" spans="1:7" x14ac:dyDescent="0.35">
      <c r="A1753" s="77" t="s">
        <v>1244</v>
      </c>
      <c r="B1753" s="77" t="s">
        <v>1025</v>
      </c>
      <c r="C1753" s="77" t="s">
        <v>1026</v>
      </c>
      <c r="D1753" s="78">
        <v>45976</v>
      </c>
      <c r="E1753" s="79" t="s">
        <v>314</v>
      </c>
      <c r="F1753" s="77" t="s">
        <v>1080</v>
      </c>
      <c r="G1753" s="77"/>
    </row>
    <row r="1754" spans="1:7" x14ac:dyDescent="0.35">
      <c r="A1754" s="77" t="s">
        <v>1242</v>
      </c>
      <c r="B1754" s="77" t="s">
        <v>1025</v>
      </c>
      <c r="C1754" s="77" t="s">
        <v>1026</v>
      </c>
      <c r="D1754" s="78">
        <v>45978</v>
      </c>
      <c r="E1754" s="79" t="s">
        <v>314</v>
      </c>
      <c r="F1754" s="77" t="s">
        <v>1080</v>
      </c>
      <c r="G1754" s="77"/>
    </row>
    <row r="1755" spans="1:7" x14ac:dyDescent="0.35">
      <c r="A1755" s="77" t="s">
        <v>1203</v>
      </c>
      <c r="B1755" s="77" t="s">
        <v>1025</v>
      </c>
      <c r="C1755" s="77" t="s">
        <v>1026</v>
      </c>
      <c r="D1755" s="78">
        <v>45978</v>
      </c>
      <c r="E1755" s="79" t="s">
        <v>314</v>
      </c>
      <c r="F1755" s="77" t="s">
        <v>1080</v>
      </c>
      <c r="G1755" s="77"/>
    </row>
    <row r="1756" spans="1:7" x14ac:dyDescent="0.35">
      <c r="A1756" s="77" t="s">
        <v>1217</v>
      </c>
      <c r="B1756" s="77" t="s">
        <v>1025</v>
      </c>
      <c r="C1756" s="77" t="s">
        <v>1026</v>
      </c>
      <c r="D1756" s="78">
        <v>45978</v>
      </c>
      <c r="E1756" s="79" t="s">
        <v>314</v>
      </c>
      <c r="F1756" s="77" t="s">
        <v>1080</v>
      </c>
      <c r="G1756" s="77"/>
    </row>
    <row r="1757" spans="1:7" x14ac:dyDescent="0.35">
      <c r="A1757" s="77" t="s">
        <v>1239</v>
      </c>
      <c r="B1757" s="77" t="s">
        <v>1025</v>
      </c>
      <c r="C1757" s="77" t="s">
        <v>1026</v>
      </c>
      <c r="D1757" s="78">
        <v>45978</v>
      </c>
      <c r="E1757" s="79" t="s">
        <v>314</v>
      </c>
      <c r="F1757" s="77" t="s">
        <v>1080</v>
      </c>
      <c r="G1757" s="77"/>
    </row>
    <row r="1758" spans="1:7" x14ac:dyDescent="0.35">
      <c r="A1758" s="77" t="s">
        <v>1234</v>
      </c>
      <c r="B1758" s="77" t="s">
        <v>1025</v>
      </c>
      <c r="C1758" s="77" t="s">
        <v>1026</v>
      </c>
      <c r="D1758" s="78">
        <v>45978</v>
      </c>
      <c r="E1758" s="79" t="s">
        <v>314</v>
      </c>
      <c r="F1758" s="77" t="s">
        <v>1080</v>
      </c>
      <c r="G1758" s="77"/>
    </row>
    <row r="1759" spans="1:7" x14ac:dyDescent="0.35">
      <c r="A1759" s="77" t="s">
        <v>1245</v>
      </c>
      <c r="B1759" s="77" t="s">
        <v>1025</v>
      </c>
      <c r="C1759" s="77" t="s">
        <v>1026</v>
      </c>
      <c r="D1759" s="78">
        <v>45978</v>
      </c>
      <c r="E1759" s="79" t="s">
        <v>314</v>
      </c>
      <c r="F1759" s="77" t="s">
        <v>1080</v>
      </c>
      <c r="G1759" s="77"/>
    </row>
    <row r="1760" spans="1:7" x14ac:dyDescent="0.35">
      <c r="A1760" s="7" t="s">
        <v>1251</v>
      </c>
      <c r="B1760" s="7" t="s">
        <v>1025</v>
      </c>
      <c r="C1760" s="77" t="s">
        <v>1026</v>
      </c>
      <c r="D1760" s="10">
        <v>45979</v>
      </c>
      <c r="E1760" s="11" t="s">
        <v>314</v>
      </c>
      <c r="F1760" s="7" t="s">
        <v>871</v>
      </c>
      <c r="G1760" s="7" t="s">
        <v>891</v>
      </c>
    </row>
    <row r="1761" spans="1:7" x14ac:dyDescent="0.35">
      <c r="A1761" s="7" t="s">
        <v>1251</v>
      </c>
      <c r="B1761" s="7" t="s">
        <v>1025</v>
      </c>
      <c r="C1761" s="77" t="s">
        <v>1026</v>
      </c>
      <c r="D1761" s="10">
        <v>45979</v>
      </c>
      <c r="E1761" s="11" t="s">
        <v>314</v>
      </c>
      <c r="F1761" s="7" t="s">
        <v>19</v>
      </c>
      <c r="G1761" s="7"/>
    </row>
    <row r="1762" spans="1:7" x14ac:dyDescent="0.35">
      <c r="A1762" s="7" t="s">
        <v>1251</v>
      </c>
      <c r="B1762" s="7" t="s">
        <v>1025</v>
      </c>
      <c r="C1762" s="77" t="s">
        <v>1026</v>
      </c>
      <c r="D1762" s="10">
        <v>45979</v>
      </c>
      <c r="E1762" s="11" t="s">
        <v>314</v>
      </c>
      <c r="F1762" s="7" t="s">
        <v>872</v>
      </c>
      <c r="G1762" s="7" t="s">
        <v>317</v>
      </c>
    </row>
    <row r="1763" spans="1:7" x14ac:dyDescent="0.35">
      <c r="A1763" s="7" t="s">
        <v>1201</v>
      </c>
      <c r="B1763" s="7" t="s">
        <v>1025</v>
      </c>
      <c r="C1763" s="77" t="s">
        <v>1026</v>
      </c>
      <c r="D1763" s="10">
        <v>45979</v>
      </c>
      <c r="E1763" s="11" t="s">
        <v>314</v>
      </c>
      <c r="F1763" s="7" t="s">
        <v>894</v>
      </c>
      <c r="G1763" s="7" t="s">
        <v>15</v>
      </c>
    </row>
    <row r="1764" spans="1:7" x14ac:dyDescent="0.35">
      <c r="A1764" s="7" t="s">
        <v>1201</v>
      </c>
      <c r="B1764" s="7" t="s">
        <v>908</v>
      </c>
      <c r="C1764" s="7" t="s">
        <v>374</v>
      </c>
      <c r="D1764" s="10">
        <v>45979</v>
      </c>
      <c r="E1764" s="11" t="s">
        <v>314</v>
      </c>
      <c r="F1764" s="7" t="s">
        <v>872</v>
      </c>
      <c r="G1764" s="7" t="s">
        <v>317</v>
      </c>
    </row>
    <row r="1765" spans="1:7" x14ac:dyDescent="0.35">
      <c r="A1765" s="7" t="s">
        <v>1234</v>
      </c>
      <c r="B1765" s="7" t="s">
        <v>1025</v>
      </c>
      <c r="C1765" s="77" t="s">
        <v>1026</v>
      </c>
      <c r="D1765" s="10">
        <v>45979</v>
      </c>
      <c r="E1765" s="11" t="s">
        <v>314</v>
      </c>
      <c r="F1765" s="7" t="s">
        <v>894</v>
      </c>
      <c r="G1765" s="7" t="s">
        <v>15</v>
      </c>
    </row>
    <row r="1766" spans="1:7" x14ac:dyDescent="0.35">
      <c r="A1766" s="7" t="s">
        <v>1234</v>
      </c>
      <c r="B1766" s="7" t="s">
        <v>1025</v>
      </c>
      <c r="C1766" s="77" t="s">
        <v>1026</v>
      </c>
      <c r="D1766" s="10">
        <v>45979</v>
      </c>
      <c r="E1766" s="11" t="s">
        <v>314</v>
      </c>
      <c r="F1766" s="7" t="s">
        <v>872</v>
      </c>
      <c r="G1766" s="7" t="s">
        <v>317</v>
      </c>
    </row>
    <row r="1767" spans="1:7" x14ac:dyDescent="0.35">
      <c r="A1767" s="7" t="s">
        <v>1203</v>
      </c>
      <c r="B1767" s="7" t="s">
        <v>1025</v>
      </c>
      <c r="C1767" s="77" t="s">
        <v>1026</v>
      </c>
      <c r="D1767" s="10">
        <v>45979</v>
      </c>
      <c r="E1767" s="11" t="s">
        <v>314</v>
      </c>
      <c r="F1767" s="7" t="s">
        <v>894</v>
      </c>
      <c r="G1767" s="7" t="s">
        <v>15</v>
      </c>
    </row>
    <row r="1768" spans="1:7" x14ac:dyDescent="0.35">
      <c r="A1768" s="7" t="s">
        <v>1203</v>
      </c>
      <c r="B1768" s="7" t="s">
        <v>908</v>
      </c>
      <c r="C1768" s="7" t="s">
        <v>374</v>
      </c>
      <c r="D1768" s="10">
        <v>45979</v>
      </c>
      <c r="E1768" s="11" t="s">
        <v>314</v>
      </c>
      <c r="F1768" s="7" t="s">
        <v>872</v>
      </c>
      <c r="G1768" s="7" t="s">
        <v>317</v>
      </c>
    </row>
    <row r="1769" spans="1:7" x14ac:dyDescent="0.35">
      <c r="A1769" s="7" t="s">
        <v>242</v>
      </c>
      <c r="B1769" s="7" t="s">
        <v>1025</v>
      </c>
      <c r="C1769" s="77" t="s">
        <v>1026</v>
      </c>
      <c r="D1769" s="10">
        <v>45979</v>
      </c>
      <c r="E1769" s="11" t="s">
        <v>314</v>
      </c>
      <c r="F1769" s="7" t="s">
        <v>867</v>
      </c>
      <c r="G1769" s="7" t="s">
        <v>1170</v>
      </c>
    </row>
    <row r="1770" spans="1:7" x14ac:dyDescent="0.35">
      <c r="A1770" s="7" t="s">
        <v>1242</v>
      </c>
      <c r="B1770" s="7" t="s">
        <v>1025</v>
      </c>
      <c r="C1770" s="77" t="s">
        <v>1026</v>
      </c>
      <c r="D1770" s="10">
        <v>45979</v>
      </c>
      <c r="E1770" s="11" t="s">
        <v>314</v>
      </c>
      <c r="F1770" s="7" t="s">
        <v>872</v>
      </c>
      <c r="G1770" s="7" t="s">
        <v>317</v>
      </c>
    </row>
    <row r="1771" spans="1:7" x14ac:dyDescent="0.35">
      <c r="A1771" s="7" t="s">
        <v>1196</v>
      </c>
      <c r="B1771" s="7" t="s">
        <v>1025</v>
      </c>
      <c r="C1771" s="77" t="s">
        <v>1026</v>
      </c>
      <c r="D1771" s="10">
        <v>45979</v>
      </c>
      <c r="E1771" s="11" t="s">
        <v>314</v>
      </c>
      <c r="F1771" s="7" t="s">
        <v>19</v>
      </c>
      <c r="G1771" s="7"/>
    </row>
    <row r="1772" spans="1:7" x14ac:dyDescent="0.35">
      <c r="A1772" s="7" t="s">
        <v>1243</v>
      </c>
      <c r="B1772" s="7" t="s">
        <v>1025</v>
      </c>
      <c r="C1772" s="77" t="s">
        <v>1026</v>
      </c>
      <c r="D1772" s="10">
        <v>45979</v>
      </c>
      <c r="E1772" s="11" t="s">
        <v>314</v>
      </c>
      <c r="F1772" s="7" t="s">
        <v>867</v>
      </c>
      <c r="G1772" s="7" t="s">
        <v>1170</v>
      </c>
    </row>
    <row r="1773" spans="1:7" x14ac:dyDescent="0.35">
      <c r="A1773" s="7" t="s">
        <v>1224</v>
      </c>
      <c r="B1773" s="7" t="s">
        <v>1025</v>
      </c>
      <c r="C1773" s="77" t="s">
        <v>1026</v>
      </c>
      <c r="D1773" s="10">
        <v>45979</v>
      </c>
      <c r="E1773" s="11" t="s">
        <v>314</v>
      </c>
      <c r="F1773" s="7" t="s">
        <v>867</v>
      </c>
      <c r="G1773" s="7" t="s">
        <v>1170</v>
      </c>
    </row>
    <row r="1774" spans="1:7" x14ac:dyDescent="0.35">
      <c r="A1774" s="7" t="s">
        <v>1217</v>
      </c>
      <c r="B1774" s="7" t="s">
        <v>1025</v>
      </c>
      <c r="C1774" s="77" t="s">
        <v>1026</v>
      </c>
      <c r="D1774" s="10">
        <v>45979</v>
      </c>
      <c r="E1774" s="11" t="s">
        <v>314</v>
      </c>
      <c r="F1774" s="7" t="s">
        <v>877</v>
      </c>
      <c r="G1774" s="7"/>
    </row>
    <row r="1775" spans="1:7" x14ac:dyDescent="0.35">
      <c r="A1775" s="7" t="s">
        <v>1244</v>
      </c>
      <c r="B1775" s="7" t="s">
        <v>1025</v>
      </c>
      <c r="C1775" s="77" t="s">
        <v>1026</v>
      </c>
      <c r="D1775" s="10">
        <v>45979</v>
      </c>
      <c r="E1775" s="11" t="s">
        <v>314</v>
      </c>
      <c r="F1775" s="7" t="s">
        <v>867</v>
      </c>
      <c r="G1775" s="7" t="s">
        <v>1170</v>
      </c>
    </row>
    <row r="1776" spans="1:7" x14ac:dyDescent="0.35">
      <c r="A1776" s="7" t="s">
        <v>1226</v>
      </c>
      <c r="B1776" s="7" t="s">
        <v>1025</v>
      </c>
      <c r="C1776" s="77" t="s">
        <v>1026</v>
      </c>
      <c r="D1776" s="10">
        <v>45979</v>
      </c>
      <c r="E1776" s="11" t="s">
        <v>314</v>
      </c>
      <c r="F1776" s="7" t="s">
        <v>867</v>
      </c>
      <c r="G1776" s="7" t="s">
        <v>1170</v>
      </c>
    </row>
    <row r="1777" spans="1:7" x14ac:dyDescent="0.35">
      <c r="A1777" s="7" t="s">
        <v>1239</v>
      </c>
      <c r="B1777" s="7" t="s">
        <v>1025</v>
      </c>
      <c r="C1777" s="77" t="s">
        <v>1026</v>
      </c>
      <c r="D1777" s="10">
        <v>45979</v>
      </c>
      <c r="E1777" s="11" t="s">
        <v>314</v>
      </c>
      <c r="F1777" s="7" t="s">
        <v>871</v>
      </c>
      <c r="G1777" s="7" t="s">
        <v>891</v>
      </c>
    </row>
    <row r="1778" spans="1:7" x14ac:dyDescent="0.35">
      <c r="A1778" s="7" t="s">
        <v>1239</v>
      </c>
      <c r="B1778" s="7" t="s">
        <v>1025</v>
      </c>
      <c r="C1778" s="77" t="s">
        <v>1026</v>
      </c>
      <c r="D1778" s="10">
        <v>45979</v>
      </c>
      <c r="E1778" s="11" t="s">
        <v>314</v>
      </c>
      <c r="F1778" s="7" t="s">
        <v>894</v>
      </c>
      <c r="G1778" s="7" t="s">
        <v>15</v>
      </c>
    </row>
    <row r="1779" spans="1:7" x14ac:dyDescent="0.35">
      <c r="A1779" s="7" t="s">
        <v>1238</v>
      </c>
      <c r="B1779" s="7" t="s">
        <v>1025</v>
      </c>
      <c r="C1779" s="77" t="s">
        <v>1026</v>
      </c>
      <c r="D1779" s="10">
        <v>45979</v>
      </c>
      <c r="E1779" s="11" t="s">
        <v>314</v>
      </c>
      <c r="F1779" s="7" t="s">
        <v>871</v>
      </c>
      <c r="G1779" s="7" t="s">
        <v>891</v>
      </c>
    </row>
    <row r="1780" spans="1:7" x14ac:dyDescent="0.35">
      <c r="A1780" s="7" t="s">
        <v>1238</v>
      </c>
      <c r="B1780" s="7" t="s">
        <v>1025</v>
      </c>
      <c r="C1780" s="77" t="s">
        <v>1026</v>
      </c>
      <c r="D1780" s="10">
        <v>45979</v>
      </c>
      <c r="E1780" s="11" t="s">
        <v>314</v>
      </c>
      <c r="F1780" s="7" t="s">
        <v>894</v>
      </c>
      <c r="G1780" s="7" t="s">
        <v>15</v>
      </c>
    </row>
    <row r="1781" spans="1:7" x14ac:dyDescent="0.35">
      <c r="A1781" s="77" t="s">
        <v>1214</v>
      </c>
      <c r="B1781" s="77" t="s">
        <v>908</v>
      </c>
      <c r="C1781" s="77" t="s">
        <v>374</v>
      </c>
      <c r="D1781" s="78">
        <v>45979</v>
      </c>
      <c r="E1781" s="79" t="s">
        <v>314</v>
      </c>
      <c r="F1781" s="77" t="s">
        <v>872</v>
      </c>
      <c r="G1781" s="77" t="s">
        <v>317</v>
      </c>
    </row>
    <row r="1782" spans="1:7" x14ac:dyDescent="0.35">
      <c r="A1782" s="77" t="s">
        <v>1201</v>
      </c>
      <c r="B1782" s="77" t="s">
        <v>1025</v>
      </c>
      <c r="C1782" s="77" t="s">
        <v>1026</v>
      </c>
      <c r="D1782" s="78">
        <v>45979</v>
      </c>
      <c r="E1782" s="79" t="s">
        <v>314</v>
      </c>
      <c r="F1782" s="77" t="s">
        <v>1080</v>
      </c>
      <c r="G1782" s="77"/>
    </row>
    <row r="1783" spans="1:7" x14ac:dyDescent="0.35">
      <c r="A1783" s="77" t="s">
        <v>1238</v>
      </c>
      <c r="B1783" s="77" t="s">
        <v>1025</v>
      </c>
      <c r="C1783" s="77" t="s">
        <v>1026</v>
      </c>
      <c r="D1783" s="78">
        <v>45979</v>
      </c>
      <c r="E1783" s="79" t="s">
        <v>314</v>
      </c>
      <c r="F1783" s="77" t="s">
        <v>1080</v>
      </c>
      <c r="G1783" s="77"/>
    </row>
    <row r="1784" spans="1:7" x14ac:dyDescent="0.35">
      <c r="A1784" s="77" t="s">
        <v>1251</v>
      </c>
      <c r="B1784" s="77" t="s">
        <v>1025</v>
      </c>
      <c r="C1784" s="77" t="s">
        <v>1026</v>
      </c>
      <c r="D1784" s="78">
        <v>45979</v>
      </c>
      <c r="E1784" s="79" t="s">
        <v>314</v>
      </c>
      <c r="F1784" s="77" t="s">
        <v>1080</v>
      </c>
      <c r="G1784" s="77"/>
    </row>
    <row r="1785" spans="1:7" x14ac:dyDescent="0.35">
      <c r="A1785" s="77" t="s">
        <v>443</v>
      </c>
      <c r="B1785" s="77" t="s">
        <v>1025</v>
      </c>
      <c r="C1785" s="77" t="s">
        <v>1026</v>
      </c>
      <c r="D1785" s="78">
        <v>45979</v>
      </c>
      <c r="E1785" s="79" t="s">
        <v>314</v>
      </c>
      <c r="F1785" s="77" t="s">
        <v>1080</v>
      </c>
      <c r="G1785" s="77"/>
    </row>
    <row r="1786" spans="1:7" x14ac:dyDescent="0.35">
      <c r="A1786" s="77" t="s">
        <v>1237</v>
      </c>
      <c r="B1786" s="77" t="s">
        <v>1025</v>
      </c>
      <c r="C1786" s="77" t="s">
        <v>1026</v>
      </c>
      <c r="D1786" s="78">
        <v>45980</v>
      </c>
      <c r="E1786" s="79" t="s">
        <v>314</v>
      </c>
      <c r="F1786" s="77" t="s">
        <v>1080</v>
      </c>
      <c r="G1786" s="77"/>
    </row>
    <row r="1787" spans="1:7" x14ac:dyDescent="0.35">
      <c r="A1787" s="77" t="s">
        <v>1058</v>
      </c>
      <c r="B1787" s="77" t="s">
        <v>1025</v>
      </c>
      <c r="C1787" s="77" t="s">
        <v>1026</v>
      </c>
      <c r="D1787" s="78">
        <v>45980</v>
      </c>
      <c r="E1787" s="79" t="s">
        <v>314</v>
      </c>
      <c r="F1787" s="77" t="s">
        <v>1080</v>
      </c>
      <c r="G1787" s="77"/>
    </row>
    <row r="1788" spans="1:7" x14ac:dyDescent="0.35">
      <c r="A1788" s="77" t="s">
        <v>473</v>
      </c>
      <c r="B1788" s="77" t="s">
        <v>1025</v>
      </c>
      <c r="C1788" s="77" t="s">
        <v>1026</v>
      </c>
      <c r="D1788" s="78">
        <v>45980</v>
      </c>
      <c r="E1788" s="79" t="s">
        <v>314</v>
      </c>
      <c r="F1788" s="77" t="s">
        <v>1080</v>
      </c>
      <c r="G1788" s="77"/>
    </row>
    <row r="1789" spans="1:7" x14ac:dyDescent="0.35">
      <c r="A1789" s="7" t="s">
        <v>1247</v>
      </c>
      <c r="B1789" s="7" t="s">
        <v>1025</v>
      </c>
      <c r="C1789" s="77" t="s">
        <v>1026</v>
      </c>
      <c r="D1789" s="10">
        <v>45981</v>
      </c>
      <c r="E1789" s="11" t="s">
        <v>314</v>
      </c>
      <c r="F1789" s="7" t="s">
        <v>872</v>
      </c>
      <c r="G1789" s="7" t="s">
        <v>317</v>
      </c>
    </row>
    <row r="1790" spans="1:7" x14ac:dyDescent="0.35">
      <c r="A1790" s="7" t="s">
        <v>1252</v>
      </c>
      <c r="B1790" s="7" t="s">
        <v>1025</v>
      </c>
      <c r="C1790" s="77" t="s">
        <v>1026</v>
      </c>
      <c r="D1790" s="10">
        <v>45981</v>
      </c>
      <c r="E1790" s="11" t="s">
        <v>314</v>
      </c>
      <c r="F1790" s="7" t="s">
        <v>867</v>
      </c>
      <c r="G1790" s="7" t="s">
        <v>1170</v>
      </c>
    </row>
    <row r="1791" spans="1:7" x14ac:dyDescent="0.35">
      <c r="A1791" s="7" t="s">
        <v>1190</v>
      </c>
      <c r="B1791" s="7" t="s">
        <v>1025</v>
      </c>
      <c r="C1791" s="77" t="s">
        <v>1026</v>
      </c>
      <c r="D1791" s="10">
        <v>45981</v>
      </c>
      <c r="E1791" s="11" t="s">
        <v>314</v>
      </c>
      <c r="F1791" s="7" t="s">
        <v>867</v>
      </c>
      <c r="G1791" s="7" t="s">
        <v>1170</v>
      </c>
    </row>
    <row r="1792" spans="1:7" x14ac:dyDescent="0.35">
      <c r="A1792" s="7" t="s">
        <v>913</v>
      </c>
      <c r="B1792" s="7" t="s">
        <v>1025</v>
      </c>
      <c r="C1792" s="77" t="s">
        <v>1026</v>
      </c>
      <c r="D1792" s="10">
        <v>45981</v>
      </c>
      <c r="E1792" s="11" t="s">
        <v>314</v>
      </c>
      <c r="F1792" s="7" t="s">
        <v>867</v>
      </c>
      <c r="G1792" s="7" t="s">
        <v>1170</v>
      </c>
    </row>
    <row r="1793" spans="1:7" x14ac:dyDescent="0.35">
      <c r="A1793" s="7" t="s">
        <v>773</v>
      </c>
      <c r="B1793" s="7" t="s">
        <v>896</v>
      </c>
      <c r="C1793" s="7" t="s">
        <v>897</v>
      </c>
      <c r="D1793" s="10">
        <v>45981</v>
      </c>
      <c r="E1793" s="11" t="s">
        <v>314</v>
      </c>
      <c r="F1793" s="7" t="s">
        <v>19</v>
      </c>
      <c r="G1793" s="7"/>
    </row>
    <row r="1794" spans="1:7" x14ac:dyDescent="0.35">
      <c r="A1794" s="7" t="s">
        <v>1222</v>
      </c>
      <c r="B1794" s="7" t="s">
        <v>1025</v>
      </c>
      <c r="C1794" s="77" t="s">
        <v>1026</v>
      </c>
      <c r="D1794" s="10">
        <v>45981</v>
      </c>
      <c r="E1794" s="11" t="s">
        <v>314</v>
      </c>
      <c r="F1794" s="7" t="s">
        <v>867</v>
      </c>
      <c r="G1794" s="7" t="s">
        <v>1232</v>
      </c>
    </row>
    <row r="1795" spans="1:7" x14ac:dyDescent="0.35">
      <c r="A1795" s="7" t="s">
        <v>427</v>
      </c>
      <c r="B1795" s="7" t="s">
        <v>1025</v>
      </c>
      <c r="C1795" s="77" t="s">
        <v>1026</v>
      </c>
      <c r="D1795" s="10">
        <v>45981</v>
      </c>
      <c r="E1795" s="11" t="s">
        <v>314</v>
      </c>
      <c r="F1795" s="7" t="s">
        <v>867</v>
      </c>
      <c r="G1795" s="7" t="s">
        <v>1232</v>
      </c>
    </row>
    <row r="1796" spans="1:7" x14ac:dyDescent="0.35">
      <c r="A1796" s="7" t="s">
        <v>1250</v>
      </c>
      <c r="B1796" s="7" t="s">
        <v>1025</v>
      </c>
      <c r="C1796" s="77" t="s">
        <v>1026</v>
      </c>
      <c r="D1796" s="10">
        <v>45981</v>
      </c>
      <c r="E1796" s="11" t="s">
        <v>314</v>
      </c>
      <c r="F1796" s="7" t="s">
        <v>19</v>
      </c>
      <c r="G1796" s="7"/>
    </row>
    <row r="1797" spans="1:7" x14ac:dyDescent="0.35">
      <c r="A1797" s="7" t="s">
        <v>1058</v>
      </c>
      <c r="B1797" s="7" t="s">
        <v>1025</v>
      </c>
      <c r="C1797" s="77" t="s">
        <v>1026</v>
      </c>
      <c r="D1797" s="10">
        <v>45981</v>
      </c>
      <c r="E1797" s="11" t="s">
        <v>314</v>
      </c>
      <c r="F1797" s="7" t="s">
        <v>871</v>
      </c>
      <c r="G1797" s="7" t="s">
        <v>891</v>
      </c>
    </row>
    <row r="1798" spans="1:7" x14ac:dyDescent="0.35">
      <c r="A1798" s="7" t="s">
        <v>1058</v>
      </c>
      <c r="B1798" s="7" t="s">
        <v>1025</v>
      </c>
      <c r="C1798" s="77" t="s">
        <v>1026</v>
      </c>
      <c r="D1798" s="10">
        <v>45981</v>
      </c>
      <c r="E1798" s="11" t="s">
        <v>314</v>
      </c>
      <c r="F1798" s="7" t="s">
        <v>894</v>
      </c>
      <c r="G1798" s="7" t="s">
        <v>15</v>
      </c>
    </row>
    <row r="1799" spans="1:7" x14ac:dyDescent="0.35">
      <c r="A1799" s="7" t="s">
        <v>1237</v>
      </c>
      <c r="B1799" s="7" t="s">
        <v>1025</v>
      </c>
      <c r="C1799" s="77" t="s">
        <v>1026</v>
      </c>
      <c r="D1799" s="10">
        <v>45981</v>
      </c>
      <c r="E1799" s="11" t="s">
        <v>314</v>
      </c>
      <c r="F1799" s="7" t="s">
        <v>871</v>
      </c>
      <c r="G1799" s="7" t="s">
        <v>891</v>
      </c>
    </row>
    <row r="1800" spans="1:7" x14ac:dyDescent="0.35">
      <c r="A1800" s="74" t="s">
        <v>1237</v>
      </c>
      <c r="B1800" s="74" t="s">
        <v>1025</v>
      </c>
      <c r="C1800" s="77" t="s">
        <v>1026</v>
      </c>
      <c r="D1800" s="75">
        <v>45981</v>
      </c>
      <c r="E1800" s="76" t="s">
        <v>314</v>
      </c>
      <c r="F1800" s="74" t="s">
        <v>894</v>
      </c>
      <c r="G1800" s="74" t="s">
        <v>15</v>
      </c>
    </row>
    <row r="1801" spans="1:7" x14ac:dyDescent="0.35">
      <c r="A1801" s="77" t="s">
        <v>834</v>
      </c>
      <c r="B1801" s="77" t="s">
        <v>1025</v>
      </c>
      <c r="C1801" s="77" t="s">
        <v>1026</v>
      </c>
      <c r="D1801" s="78">
        <v>45981</v>
      </c>
      <c r="E1801" s="79" t="s">
        <v>314</v>
      </c>
      <c r="F1801" s="77" t="s">
        <v>877</v>
      </c>
      <c r="G1801" s="77"/>
    </row>
    <row r="1802" spans="1:7" x14ac:dyDescent="0.35">
      <c r="A1802" s="77" t="s">
        <v>324</v>
      </c>
      <c r="B1802" s="77" t="s">
        <v>1025</v>
      </c>
      <c r="C1802" s="77" t="s">
        <v>1026</v>
      </c>
      <c r="D1802" s="78">
        <v>45981</v>
      </c>
      <c r="E1802" s="79" t="s">
        <v>314</v>
      </c>
      <c r="F1802" s="77" t="s">
        <v>867</v>
      </c>
      <c r="G1802" s="77" t="s">
        <v>1170</v>
      </c>
    </row>
    <row r="1803" spans="1:7" x14ac:dyDescent="0.35">
      <c r="A1803" s="77" t="s">
        <v>1247</v>
      </c>
      <c r="B1803" s="77" t="s">
        <v>1025</v>
      </c>
      <c r="C1803" s="77" t="s">
        <v>1026</v>
      </c>
      <c r="D1803" s="78">
        <v>45981</v>
      </c>
      <c r="E1803" s="79" t="s">
        <v>314</v>
      </c>
      <c r="F1803" s="77" t="s">
        <v>1080</v>
      </c>
      <c r="G1803" s="77"/>
    </row>
    <row r="1804" spans="1:7" x14ac:dyDescent="0.35">
      <c r="A1804" s="77" t="s">
        <v>917</v>
      </c>
      <c r="B1804" s="77" t="s">
        <v>1025</v>
      </c>
      <c r="C1804" s="77" t="s">
        <v>1026</v>
      </c>
      <c r="D1804" s="78">
        <v>45981</v>
      </c>
      <c r="E1804" s="79" t="s">
        <v>314</v>
      </c>
      <c r="F1804" s="77" t="s">
        <v>1080</v>
      </c>
      <c r="G1804" s="77"/>
    </row>
    <row r="1805" spans="1:7" x14ac:dyDescent="0.35">
      <c r="A1805" s="77" t="s">
        <v>668</v>
      </c>
      <c r="B1805" s="77" t="s">
        <v>1025</v>
      </c>
      <c r="C1805" s="77" t="s">
        <v>1026</v>
      </c>
      <c r="D1805" s="78">
        <v>45981</v>
      </c>
      <c r="E1805" s="79" t="s">
        <v>314</v>
      </c>
      <c r="F1805" s="77" t="s">
        <v>1080</v>
      </c>
      <c r="G1805" s="77"/>
    </row>
    <row r="1806" spans="1:7" x14ac:dyDescent="0.35">
      <c r="A1806" s="77" t="s">
        <v>1256</v>
      </c>
      <c r="B1806" s="77" t="s">
        <v>1025</v>
      </c>
      <c r="C1806" s="77" t="s">
        <v>1026</v>
      </c>
      <c r="D1806" s="78">
        <v>45981</v>
      </c>
      <c r="E1806" s="79" t="s">
        <v>314</v>
      </c>
      <c r="F1806" s="77" t="s">
        <v>1080</v>
      </c>
      <c r="G1806" s="77"/>
    </row>
    <row r="1807" spans="1:7" x14ac:dyDescent="0.35">
      <c r="A1807" s="77" t="s">
        <v>468</v>
      </c>
      <c r="B1807" s="77" t="s">
        <v>1025</v>
      </c>
      <c r="C1807" s="77" t="s">
        <v>1026</v>
      </c>
      <c r="D1807" s="78">
        <v>45981</v>
      </c>
      <c r="E1807" s="79" t="s">
        <v>314</v>
      </c>
      <c r="F1807" s="77" t="s">
        <v>1080</v>
      </c>
      <c r="G1807" s="77"/>
    </row>
    <row r="1808" spans="1:7" x14ac:dyDescent="0.35">
      <c r="A1808" s="7" t="s">
        <v>1095</v>
      </c>
      <c r="B1808" s="7" t="s">
        <v>1025</v>
      </c>
      <c r="C1808" s="77" t="s">
        <v>1026</v>
      </c>
      <c r="D1808" s="10">
        <v>45982</v>
      </c>
      <c r="E1808" s="11" t="s">
        <v>314</v>
      </c>
      <c r="F1808" s="7" t="s">
        <v>88</v>
      </c>
      <c r="G1808" s="7" t="s">
        <v>88</v>
      </c>
    </row>
    <row r="1809" spans="1:7" x14ac:dyDescent="0.35">
      <c r="A1809" s="7" t="s">
        <v>989</v>
      </c>
      <c r="B1809" s="7" t="s">
        <v>1025</v>
      </c>
      <c r="C1809" s="77" t="s">
        <v>1026</v>
      </c>
      <c r="D1809" s="10">
        <v>45982</v>
      </c>
      <c r="E1809" s="11" t="s">
        <v>314</v>
      </c>
      <c r="F1809" s="7" t="s">
        <v>88</v>
      </c>
      <c r="G1809" s="7" t="s">
        <v>88</v>
      </c>
    </row>
    <row r="1810" spans="1:7" x14ac:dyDescent="0.35">
      <c r="A1810" s="77" t="s">
        <v>1240</v>
      </c>
      <c r="B1810" s="77" t="s">
        <v>1025</v>
      </c>
      <c r="C1810" s="77" t="s">
        <v>1026</v>
      </c>
      <c r="D1810" s="78">
        <v>45982</v>
      </c>
      <c r="E1810" s="79" t="s">
        <v>314</v>
      </c>
      <c r="F1810" s="77" t="s">
        <v>88</v>
      </c>
      <c r="G1810" s="77" t="s">
        <v>22</v>
      </c>
    </row>
    <row r="1811" spans="1:7" x14ac:dyDescent="0.35">
      <c r="A1811" s="77" t="s">
        <v>1235</v>
      </c>
      <c r="B1811" s="77" t="s">
        <v>1025</v>
      </c>
      <c r="C1811" s="77" t="s">
        <v>1026</v>
      </c>
      <c r="D1811" s="78">
        <v>45982</v>
      </c>
      <c r="E1811" s="79" t="s">
        <v>314</v>
      </c>
      <c r="F1811" s="77" t="s">
        <v>88</v>
      </c>
      <c r="G1811" s="77" t="s">
        <v>22</v>
      </c>
    </row>
    <row r="1812" spans="1:7" x14ac:dyDescent="0.35">
      <c r="A1812" s="77" t="s">
        <v>1236</v>
      </c>
      <c r="B1812" s="77" t="s">
        <v>1025</v>
      </c>
      <c r="C1812" s="77" t="s">
        <v>1026</v>
      </c>
      <c r="D1812" s="78">
        <v>45982</v>
      </c>
      <c r="E1812" s="79" t="s">
        <v>314</v>
      </c>
      <c r="F1812" s="77" t="s">
        <v>88</v>
      </c>
      <c r="G1812" s="77" t="s">
        <v>22</v>
      </c>
    </row>
    <row r="1813" spans="1:7" x14ac:dyDescent="0.35">
      <c r="A1813" s="77" t="s">
        <v>1241</v>
      </c>
      <c r="B1813" s="77" t="s">
        <v>1025</v>
      </c>
      <c r="C1813" s="77" t="s">
        <v>1026</v>
      </c>
      <c r="D1813" s="78">
        <v>45982</v>
      </c>
      <c r="E1813" s="79" t="s">
        <v>314</v>
      </c>
      <c r="F1813" s="77" t="s">
        <v>88</v>
      </c>
      <c r="G1813" s="77" t="s">
        <v>22</v>
      </c>
    </row>
    <row r="1814" spans="1:7" x14ac:dyDescent="0.35">
      <c r="A1814" s="77" t="s">
        <v>920</v>
      </c>
      <c r="B1814" s="77" t="s">
        <v>1025</v>
      </c>
      <c r="C1814" s="77" t="s">
        <v>1026</v>
      </c>
      <c r="D1814" s="78">
        <v>45982</v>
      </c>
      <c r="E1814" s="79" t="s">
        <v>314</v>
      </c>
      <c r="F1814" s="77" t="s">
        <v>1080</v>
      </c>
      <c r="G1814" s="77"/>
    </row>
    <row r="1815" spans="1:7" x14ac:dyDescent="0.35">
      <c r="A1815" s="77" t="s">
        <v>1253</v>
      </c>
      <c r="B1815" s="77" t="s">
        <v>1025</v>
      </c>
      <c r="C1815" s="77" t="s">
        <v>1026</v>
      </c>
      <c r="D1815" s="78">
        <v>45982</v>
      </c>
      <c r="E1815" s="79" t="s">
        <v>314</v>
      </c>
      <c r="F1815" s="77" t="s">
        <v>1080</v>
      </c>
      <c r="G1815" s="77"/>
    </row>
    <row r="1816" spans="1:7" x14ac:dyDescent="0.35">
      <c r="A1816" s="74" t="s">
        <v>948</v>
      </c>
      <c r="B1816" s="74" t="s">
        <v>1025</v>
      </c>
      <c r="C1816" s="77" t="s">
        <v>1026</v>
      </c>
      <c r="D1816" s="75">
        <v>45983</v>
      </c>
      <c r="E1816" s="76" t="s">
        <v>314</v>
      </c>
      <c r="F1816" s="74" t="s">
        <v>867</v>
      </c>
      <c r="G1816" s="74" t="s">
        <v>1170</v>
      </c>
    </row>
    <row r="1817" spans="1:7" x14ac:dyDescent="0.35">
      <c r="A1817" s="74" t="s">
        <v>473</v>
      </c>
      <c r="B1817" s="74" t="s">
        <v>1025</v>
      </c>
      <c r="C1817" s="77" t="s">
        <v>1026</v>
      </c>
      <c r="D1817" s="75">
        <v>45983</v>
      </c>
      <c r="E1817" s="76" t="s">
        <v>314</v>
      </c>
      <c r="F1817" s="74" t="s">
        <v>867</v>
      </c>
      <c r="G1817" s="74" t="s">
        <v>1170</v>
      </c>
    </row>
    <row r="1818" spans="1:7" x14ac:dyDescent="0.35">
      <c r="A1818" s="74" t="s">
        <v>468</v>
      </c>
      <c r="B1818" s="74" t="s">
        <v>1025</v>
      </c>
      <c r="C1818" s="77" t="s">
        <v>1026</v>
      </c>
      <c r="D1818" s="75">
        <v>45983</v>
      </c>
      <c r="E1818" s="76" t="s">
        <v>314</v>
      </c>
      <c r="F1818" s="74" t="s">
        <v>867</v>
      </c>
      <c r="G1818" s="74" t="s">
        <v>1170</v>
      </c>
    </row>
    <row r="1819" spans="1:7" x14ac:dyDescent="0.35">
      <c r="A1819" s="74" t="s">
        <v>1253</v>
      </c>
      <c r="B1819" s="74" t="s">
        <v>1025</v>
      </c>
      <c r="C1819" s="77" t="s">
        <v>1026</v>
      </c>
      <c r="D1819" s="75">
        <v>45983</v>
      </c>
      <c r="E1819" s="76" t="s">
        <v>314</v>
      </c>
      <c r="F1819" s="74" t="s">
        <v>867</v>
      </c>
      <c r="G1819" s="74" t="s">
        <v>1170</v>
      </c>
    </row>
    <row r="1820" spans="1:7" x14ac:dyDescent="0.35">
      <c r="A1820" s="74" t="s">
        <v>1256</v>
      </c>
      <c r="B1820" s="74" t="s">
        <v>1025</v>
      </c>
      <c r="C1820" s="77" t="s">
        <v>1026</v>
      </c>
      <c r="D1820" s="75">
        <v>45983</v>
      </c>
      <c r="E1820" s="76" t="s">
        <v>314</v>
      </c>
      <c r="F1820" s="74" t="s">
        <v>867</v>
      </c>
      <c r="G1820" s="74" t="s">
        <v>1170</v>
      </c>
    </row>
    <row r="1821" spans="1:7" x14ac:dyDescent="0.35">
      <c r="A1821" s="74" t="s">
        <v>663</v>
      </c>
      <c r="B1821" s="74" t="s">
        <v>1025</v>
      </c>
      <c r="C1821" s="77" t="s">
        <v>1026</v>
      </c>
      <c r="D1821" s="75">
        <v>45983</v>
      </c>
      <c r="E1821" s="76" t="s">
        <v>314</v>
      </c>
      <c r="F1821" s="74" t="s">
        <v>867</v>
      </c>
      <c r="G1821" s="74" t="s">
        <v>1170</v>
      </c>
    </row>
    <row r="1822" spans="1:7" x14ac:dyDescent="0.35">
      <c r="A1822" s="74" t="s">
        <v>1258</v>
      </c>
      <c r="B1822" s="74" t="s">
        <v>1025</v>
      </c>
      <c r="C1822" s="77" t="s">
        <v>1026</v>
      </c>
      <c r="D1822" s="75">
        <v>45983</v>
      </c>
      <c r="E1822" s="76" t="s">
        <v>314</v>
      </c>
      <c r="F1822" s="74" t="s">
        <v>867</v>
      </c>
      <c r="G1822" s="74" t="s">
        <v>1170</v>
      </c>
    </row>
    <row r="1823" spans="1:7" x14ac:dyDescent="0.35">
      <c r="A1823" s="74" t="s">
        <v>434</v>
      </c>
      <c r="B1823" s="74" t="s">
        <v>1025</v>
      </c>
      <c r="C1823" s="77" t="s">
        <v>1026</v>
      </c>
      <c r="D1823" s="75">
        <v>45983</v>
      </c>
      <c r="E1823" s="76" t="s">
        <v>314</v>
      </c>
      <c r="F1823" s="74" t="s">
        <v>867</v>
      </c>
      <c r="G1823" s="74" t="s">
        <v>1170</v>
      </c>
    </row>
    <row r="1824" spans="1:7" x14ac:dyDescent="0.35">
      <c r="A1824" s="77" t="s">
        <v>1257</v>
      </c>
      <c r="B1824" s="77" t="s">
        <v>1025</v>
      </c>
      <c r="C1824" s="77" t="s">
        <v>1026</v>
      </c>
      <c r="D1824" s="78">
        <v>45983</v>
      </c>
      <c r="E1824" s="79" t="s">
        <v>314</v>
      </c>
      <c r="F1824" s="77" t="s">
        <v>867</v>
      </c>
      <c r="G1824" s="77" t="s">
        <v>1170</v>
      </c>
    </row>
    <row r="1825" spans="1:7" x14ac:dyDescent="0.35">
      <c r="A1825" s="77" t="s">
        <v>829</v>
      </c>
      <c r="B1825" s="77" t="s">
        <v>1025</v>
      </c>
      <c r="C1825" s="77" t="s">
        <v>1026</v>
      </c>
      <c r="D1825" s="78">
        <v>45983</v>
      </c>
      <c r="E1825" s="79" t="s">
        <v>314</v>
      </c>
      <c r="F1825" s="77" t="s">
        <v>867</v>
      </c>
      <c r="G1825" s="77" t="s">
        <v>1170</v>
      </c>
    </row>
    <row r="1826" spans="1:7" x14ac:dyDescent="0.35">
      <c r="A1826" s="77" t="s">
        <v>1054</v>
      </c>
      <c r="B1826" s="77" t="s">
        <v>1025</v>
      </c>
      <c r="C1826" s="77" t="s">
        <v>1026</v>
      </c>
      <c r="D1826" s="78">
        <v>45983</v>
      </c>
      <c r="E1826" s="79" t="s">
        <v>314</v>
      </c>
      <c r="F1826" s="77" t="s">
        <v>1080</v>
      </c>
      <c r="G1826" s="77"/>
    </row>
    <row r="1827" spans="1:7" x14ac:dyDescent="0.35">
      <c r="A1827" s="77" t="s">
        <v>223</v>
      </c>
      <c r="B1827" s="77" t="s">
        <v>1025</v>
      </c>
      <c r="C1827" s="77" t="s">
        <v>1026</v>
      </c>
      <c r="D1827" s="78">
        <v>45983</v>
      </c>
      <c r="E1827" s="79" t="s">
        <v>314</v>
      </c>
      <c r="F1827" s="77" t="s">
        <v>1080</v>
      </c>
      <c r="G1827" s="77"/>
    </row>
    <row r="1828" spans="1:7" x14ac:dyDescent="0.35">
      <c r="A1828" s="77" t="s">
        <v>1273</v>
      </c>
      <c r="B1828" s="77" t="s">
        <v>1025</v>
      </c>
      <c r="C1828" s="77" t="s">
        <v>1026</v>
      </c>
      <c r="D1828" s="78">
        <v>45983</v>
      </c>
      <c r="E1828" s="79" t="s">
        <v>314</v>
      </c>
      <c r="F1828" s="77" t="s">
        <v>1080</v>
      </c>
      <c r="G1828" s="77"/>
    </row>
    <row r="1829" spans="1:7" x14ac:dyDescent="0.35">
      <c r="A1829" s="77" t="s">
        <v>1274</v>
      </c>
      <c r="B1829" s="77" t="s">
        <v>1025</v>
      </c>
      <c r="C1829" s="77" t="s">
        <v>1026</v>
      </c>
      <c r="D1829" s="78">
        <v>45983</v>
      </c>
      <c r="E1829" s="79" t="s">
        <v>314</v>
      </c>
      <c r="F1829" s="77" t="s">
        <v>1080</v>
      </c>
      <c r="G1829" s="77"/>
    </row>
    <row r="1830" spans="1:7" x14ac:dyDescent="0.35">
      <c r="A1830" s="77" t="s">
        <v>1264</v>
      </c>
      <c r="B1830" s="77" t="s">
        <v>1025</v>
      </c>
      <c r="C1830" s="77" t="s">
        <v>1026</v>
      </c>
      <c r="D1830" s="78">
        <v>45983</v>
      </c>
      <c r="E1830" s="79" t="s">
        <v>314</v>
      </c>
      <c r="F1830" s="77" t="s">
        <v>1080</v>
      </c>
      <c r="G1830" s="77"/>
    </row>
    <row r="1831" spans="1:7" x14ac:dyDescent="0.35">
      <c r="A1831" s="77" t="s">
        <v>1270</v>
      </c>
      <c r="B1831" s="77" t="s">
        <v>1025</v>
      </c>
      <c r="C1831" s="77" t="s">
        <v>1026</v>
      </c>
      <c r="D1831" s="78">
        <v>45983</v>
      </c>
      <c r="E1831" s="79" t="s">
        <v>314</v>
      </c>
      <c r="F1831" s="77" t="s">
        <v>1080</v>
      </c>
      <c r="G1831" s="77"/>
    </row>
    <row r="1832" spans="1:7" x14ac:dyDescent="0.35">
      <c r="A1832" s="77" t="s">
        <v>1271</v>
      </c>
      <c r="B1832" s="77" t="s">
        <v>1025</v>
      </c>
      <c r="C1832" s="77" t="s">
        <v>1026</v>
      </c>
      <c r="D1832" s="78">
        <v>45983</v>
      </c>
      <c r="E1832" s="79" t="s">
        <v>314</v>
      </c>
      <c r="F1832" s="77" t="s">
        <v>1080</v>
      </c>
      <c r="G1832" s="77"/>
    </row>
    <row r="1833" spans="1:7" x14ac:dyDescent="0.35">
      <c r="A1833" s="77" t="s">
        <v>1265</v>
      </c>
      <c r="B1833" s="77" t="s">
        <v>1025</v>
      </c>
      <c r="C1833" s="77" t="s">
        <v>1026</v>
      </c>
      <c r="D1833" s="78">
        <v>45983</v>
      </c>
      <c r="E1833" s="79" t="s">
        <v>314</v>
      </c>
      <c r="F1833" s="77" t="s">
        <v>1080</v>
      </c>
      <c r="G1833" s="77"/>
    </row>
    <row r="1834" spans="1:7" x14ac:dyDescent="0.35">
      <c r="A1834" s="77" t="s">
        <v>453</v>
      </c>
      <c r="B1834" s="77" t="s">
        <v>1025</v>
      </c>
      <c r="C1834" s="77" t="s">
        <v>1026</v>
      </c>
      <c r="D1834" s="78">
        <v>45983</v>
      </c>
      <c r="E1834" s="79" t="s">
        <v>314</v>
      </c>
      <c r="F1834" s="77" t="s">
        <v>1080</v>
      </c>
      <c r="G1834" s="77"/>
    </row>
    <row r="1835" spans="1:7" x14ac:dyDescent="0.35">
      <c r="A1835" s="77" t="s">
        <v>170</v>
      </c>
      <c r="B1835" s="77" t="s">
        <v>1025</v>
      </c>
      <c r="C1835" s="77" t="s">
        <v>1026</v>
      </c>
      <c r="D1835" s="78">
        <v>45984</v>
      </c>
      <c r="E1835" s="79" t="s">
        <v>314</v>
      </c>
      <c r="F1835" s="77" t="s">
        <v>1080</v>
      </c>
      <c r="G1835" s="77"/>
    </row>
    <row r="1836" spans="1:7" x14ac:dyDescent="0.35">
      <c r="A1836" s="77" t="s">
        <v>1261</v>
      </c>
      <c r="B1836" s="77" t="s">
        <v>1025</v>
      </c>
      <c r="C1836" s="77" t="s">
        <v>1026</v>
      </c>
      <c r="D1836" s="78">
        <v>45984</v>
      </c>
      <c r="E1836" s="79" t="s">
        <v>314</v>
      </c>
      <c r="F1836" s="77" t="s">
        <v>1080</v>
      </c>
      <c r="G1836" s="77"/>
    </row>
    <row r="1837" spans="1:7" x14ac:dyDescent="0.35">
      <c r="A1837" s="77" t="s">
        <v>483</v>
      </c>
      <c r="B1837" s="77" t="s">
        <v>1025</v>
      </c>
      <c r="C1837" s="77" t="s">
        <v>1026</v>
      </c>
      <c r="D1837" s="78">
        <v>45984</v>
      </c>
      <c r="E1837" s="79" t="s">
        <v>314</v>
      </c>
      <c r="F1837" s="77" t="s">
        <v>1080</v>
      </c>
      <c r="G1837" s="77"/>
    </row>
    <row r="1838" spans="1:7" x14ac:dyDescent="0.35">
      <c r="A1838" s="77" t="s">
        <v>445</v>
      </c>
      <c r="B1838" s="77" t="s">
        <v>1025</v>
      </c>
      <c r="C1838" s="77" t="s">
        <v>1026</v>
      </c>
      <c r="D1838" s="78">
        <v>45984</v>
      </c>
      <c r="E1838" s="79" t="s">
        <v>314</v>
      </c>
      <c r="F1838" s="77" t="s">
        <v>1080</v>
      </c>
      <c r="G1838" s="77"/>
    </row>
    <row r="1839" spans="1:7" x14ac:dyDescent="0.35">
      <c r="A1839" s="77" t="s">
        <v>87</v>
      </c>
      <c r="B1839" s="77" t="s">
        <v>1025</v>
      </c>
      <c r="C1839" s="77" t="s">
        <v>1026</v>
      </c>
      <c r="D1839" s="78">
        <v>45984</v>
      </c>
      <c r="E1839" s="79" t="s">
        <v>314</v>
      </c>
      <c r="F1839" s="77" t="s">
        <v>1080</v>
      </c>
      <c r="G1839" s="77"/>
    </row>
    <row r="1840" spans="1:7" x14ac:dyDescent="0.35">
      <c r="A1840" s="7" t="s">
        <v>445</v>
      </c>
      <c r="B1840" s="7" t="s">
        <v>1025</v>
      </c>
      <c r="C1840" s="77" t="s">
        <v>1026</v>
      </c>
      <c r="D1840" s="10">
        <v>45985</v>
      </c>
      <c r="E1840" s="11" t="s">
        <v>314</v>
      </c>
      <c r="F1840" s="7" t="s">
        <v>867</v>
      </c>
      <c r="G1840" s="7" t="s">
        <v>1260</v>
      </c>
    </row>
    <row r="1841" spans="1:7" x14ac:dyDescent="0.35">
      <c r="A1841" s="7" t="s">
        <v>87</v>
      </c>
      <c r="B1841" s="7" t="s">
        <v>1025</v>
      </c>
      <c r="C1841" s="77" t="s">
        <v>1026</v>
      </c>
      <c r="D1841" s="10">
        <v>45985</v>
      </c>
      <c r="E1841" s="11" t="s">
        <v>314</v>
      </c>
      <c r="F1841" s="7" t="s">
        <v>867</v>
      </c>
      <c r="G1841" s="7" t="s">
        <v>1260</v>
      </c>
    </row>
    <row r="1842" spans="1:7" x14ac:dyDescent="0.35">
      <c r="A1842" s="74" t="s">
        <v>1273</v>
      </c>
      <c r="B1842" s="74" t="s">
        <v>1025</v>
      </c>
      <c r="C1842" s="77" t="s">
        <v>1026</v>
      </c>
      <c r="D1842" s="75">
        <v>45985</v>
      </c>
      <c r="E1842" s="76" t="s">
        <v>314</v>
      </c>
      <c r="F1842" s="74" t="s">
        <v>867</v>
      </c>
      <c r="G1842" s="74" t="s">
        <v>1260</v>
      </c>
    </row>
    <row r="1843" spans="1:7" x14ac:dyDescent="0.35">
      <c r="A1843" s="74" t="s">
        <v>1264</v>
      </c>
      <c r="B1843" s="74" t="s">
        <v>1025</v>
      </c>
      <c r="C1843" s="77" t="s">
        <v>1026</v>
      </c>
      <c r="D1843" s="75">
        <v>45985</v>
      </c>
      <c r="E1843" s="76" t="s">
        <v>314</v>
      </c>
      <c r="F1843" s="74" t="s">
        <v>867</v>
      </c>
      <c r="G1843" s="74" t="s">
        <v>1260</v>
      </c>
    </row>
    <row r="1844" spans="1:7" x14ac:dyDescent="0.35">
      <c r="A1844" s="74" t="s">
        <v>1274</v>
      </c>
      <c r="B1844" s="74" t="s">
        <v>1025</v>
      </c>
      <c r="C1844" s="77" t="s">
        <v>1026</v>
      </c>
      <c r="D1844" s="75">
        <v>45985</v>
      </c>
      <c r="E1844" s="76" t="s">
        <v>314</v>
      </c>
      <c r="F1844" s="74" t="s">
        <v>867</v>
      </c>
      <c r="G1844" s="74" t="s">
        <v>1260</v>
      </c>
    </row>
    <row r="1845" spans="1:7" x14ac:dyDescent="0.35">
      <c r="A1845" s="7" t="s">
        <v>705</v>
      </c>
      <c r="B1845" s="7" t="s">
        <v>1025</v>
      </c>
      <c r="C1845" s="77" t="s">
        <v>1026</v>
      </c>
      <c r="D1845" s="10">
        <v>45985</v>
      </c>
      <c r="E1845" s="11" t="s">
        <v>314</v>
      </c>
      <c r="F1845" s="7" t="s">
        <v>867</v>
      </c>
      <c r="G1845" s="7" t="s">
        <v>1260</v>
      </c>
    </row>
    <row r="1846" spans="1:7" x14ac:dyDescent="0.35">
      <c r="A1846" s="74" t="s">
        <v>1271</v>
      </c>
      <c r="B1846" s="74" t="s">
        <v>1025</v>
      </c>
      <c r="C1846" s="77" t="s">
        <v>1026</v>
      </c>
      <c r="D1846" s="75">
        <v>45985</v>
      </c>
      <c r="E1846" s="76" t="s">
        <v>314</v>
      </c>
      <c r="F1846" s="74" t="s">
        <v>867</v>
      </c>
      <c r="G1846" s="74" t="s">
        <v>1260</v>
      </c>
    </row>
    <row r="1847" spans="1:7" x14ac:dyDescent="0.35">
      <c r="A1847" s="74" t="s">
        <v>1270</v>
      </c>
      <c r="B1847" s="74" t="s">
        <v>1025</v>
      </c>
      <c r="C1847" s="77" t="s">
        <v>1026</v>
      </c>
      <c r="D1847" s="75">
        <v>45985</v>
      </c>
      <c r="E1847" s="76" t="s">
        <v>314</v>
      </c>
      <c r="F1847" s="74" t="s">
        <v>867</v>
      </c>
      <c r="G1847" s="74" t="s">
        <v>1260</v>
      </c>
    </row>
    <row r="1848" spans="1:7" x14ac:dyDescent="0.35">
      <c r="A1848" s="7" t="s">
        <v>170</v>
      </c>
      <c r="B1848" s="7" t="s">
        <v>1025</v>
      </c>
      <c r="C1848" s="77" t="s">
        <v>1026</v>
      </c>
      <c r="D1848" s="10">
        <v>45985</v>
      </c>
      <c r="E1848" s="11" t="s">
        <v>314</v>
      </c>
      <c r="F1848" s="7" t="s">
        <v>867</v>
      </c>
      <c r="G1848" s="7" t="s">
        <v>1260</v>
      </c>
    </row>
    <row r="1849" spans="1:7" x14ac:dyDescent="0.35">
      <c r="A1849" s="74" t="s">
        <v>453</v>
      </c>
      <c r="B1849" s="74" t="s">
        <v>1025</v>
      </c>
      <c r="C1849" s="77" t="s">
        <v>1026</v>
      </c>
      <c r="D1849" s="75">
        <v>45985</v>
      </c>
      <c r="E1849" s="76" t="s">
        <v>314</v>
      </c>
      <c r="F1849" s="74" t="s">
        <v>867</v>
      </c>
      <c r="G1849" s="74" t="s">
        <v>1260</v>
      </c>
    </row>
    <row r="1850" spans="1:7" x14ac:dyDescent="0.35">
      <c r="A1850" s="7" t="s">
        <v>1261</v>
      </c>
      <c r="B1850" s="7" t="s">
        <v>1025</v>
      </c>
      <c r="C1850" s="77" t="s">
        <v>1026</v>
      </c>
      <c r="D1850" s="10">
        <v>45985</v>
      </c>
      <c r="E1850" s="11" t="s">
        <v>314</v>
      </c>
      <c r="F1850" s="7" t="s">
        <v>867</v>
      </c>
      <c r="G1850" s="7" t="s">
        <v>1260</v>
      </c>
    </row>
    <row r="1851" spans="1:7" x14ac:dyDescent="0.35">
      <c r="A1851" s="7" t="s">
        <v>483</v>
      </c>
      <c r="B1851" s="7" t="s">
        <v>1025</v>
      </c>
      <c r="C1851" s="77" t="s">
        <v>1026</v>
      </c>
      <c r="D1851" s="10">
        <v>45985</v>
      </c>
      <c r="E1851" s="11" t="s">
        <v>314</v>
      </c>
      <c r="F1851" s="7" t="s">
        <v>867</v>
      </c>
      <c r="G1851" s="7" t="s">
        <v>1260</v>
      </c>
    </row>
    <row r="1852" spans="1:7" x14ac:dyDescent="0.35">
      <c r="A1852" s="74" t="s">
        <v>1265</v>
      </c>
      <c r="B1852" s="74" t="s">
        <v>1025</v>
      </c>
      <c r="C1852" s="77" t="s">
        <v>1026</v>
      </c>
      <c r="D1852" s="75">
        <v>45985</v>
      </c>
      <c r="E1852" s="76" t="s">
        <v>314</v>
      </c>
      <c r="F1852" s="74" t="s">
        <v>867</v>
      </c>
      <c r="G1852" s="74" t="s">
        <v>1260</v>
      </c>
    </row>
    <row r="1853" spans="1:7" x14ac:dyDescent="0.35">
      <c r="A1853" s="7" t="s">
        <v>1175</v>
      </c>
      <c r="B1853" s="7" t="s">
        <v>1025</v>
      </c>
      <c r="C1853" s="77" t="s">
        <v>1026</v>
      </c>
      <c r="D1853" s="10">
        <v>45985</v>
      </c>
      <c r="E1853" s="11" t="s">
        <v>314</v>
      </c>
      <c r="F1853" s="7" t="s">
        <v>19</v>
      </c>
      <c r="G1853" s="7"/>
    </row>
    <row r="1854" spans="1:7" x14ac:dyDescent="0.35">
      <c r="A1854" s="7" t="s">
        <v>1054</v>
      </c>
      <c r="B1854" s="7" t="s">
        <v>1025</v>
      </c>
      <c r="C1854" s="77" t="s">
        <v>1026</v>
      </c>
      <c r="D1854" s="10">
        <v>45985</v>
      </c>
      <c r="E1854" s="11" t="s">
        <v>314</v>
      </c>
      <c r="F1854" s="7" t="s">
        <v>871</v>
      </c>
      <c r="G1854" s="7" t="s">
        <v>891</v>
      </c>
    </row>
    <row r="1855" spans="1:7" x14ac:dyDescent="0.35">
      <c r="A1855" s="74" t="s">
        <v>1054</v>
      </c>
      <c r="B1855" s="74" t="s">
        <v>1025</v>
      </c>
      <c r="C1855" s="77" t="s">
        <v>1026</v>
      </c>
      <c r="D1855" s="75">
        <v>45985</v>
      </c>
      <c r="E1855" s="76" t="s">
        <v>314</v>
      </c>
      <c r="F1855" s="74" t="s">
        <v>872</v>
      </c>
      <c r="G1855" s="74" t="s">
        <v>317</v>
      </c>
    </row>
    <row r="1856" spans="1:7" x14ac:dyDescent="0.35">
      <c r="A1856" s="7" t="s">
        <v>1054</v>
      </c>
      <c r="B1856" s="7" t="s">
        <v>896</v>
      </c>
      <c r="C1856" s="7" t="s">
        <v>897</v>
      </c>
      <c r="D1856" s="10">
        <v>45985</v>
      </c>
      <c r="E1856" s="11" t="s">
        <v>314</v>
      </c>
      <c r="F1856" s="7" t="s">
        <v>19</v>
      </c>
      <c r="G1856" s="7"/>
    </row>
    <row r="1857" spans="1:7" x14ac:dyDescent="0.35">
      <c r="A1857" s="7" t="s">
        <v>1248</v>
      </c>
      <c r="B1857" s="7" t="s">
        <v>1025</v>
      </c>
      <c r="C1857" s="77" t="s">
        <v>1026</v>
      </c>
      <c r="D1857" s="10">
        <v>45985</v>
      </c>
      <c r="E1857" s="11" t="s">
        <v>314</v>
      </c>
      <c r="F1857" s="7" t="s">
        <v>871</v>
      </c>
      <c r="G1857" s="7" t="s">
        <v>891</v>
      </c>
    </row>
    <row r="1858" spans="1:7" x14ac:dyDescent="0.35">
      <c r="A1858" s="7" t="s">
        <v>1248</v>
      </c>
      <c r="B1858" s="7" t="s">
        <v>1025</v>
      </c>
      <c r="C1858" s="77" t="s">
        <v>1026</v>
      </c>
      <c r="D1858" s="10">
        <v>45985</v>
      </c>
      <c r="E1858" s="11" t="s">
        <v>314</v>
      </c>
      <c r="F1858" s="7" t="s">
        <v>19</v>
      </c>
      <c r="G1858" s="7"/>
    </row>
    <row r="1859" spans="1:7" x14ac:dyDescent="0.35">
      <c r="A1859" s="7" t="s">
        <v>1284</v>
      </c>
      <c r="B1859" s="7" t="s">
        <v>1025</v>
      </c>
      <c r="C1859" s="77" t="s">
        <v>1026</v>
      </c>
      <c r="D1859" s="10">
        <v>45985</v>
      </c>
      <c r="E1859" s="11" t="s">
        <v>314</v>
      </c>
      <c r="F1859" s="7" t="s">
        <v>19</v>
      </c>
      <c r="G1859" s="7"/>
    </row>
    <row r="1860" spans="1:7" x14ac:dyDescent="0.35">
      <c r="A1860" s="7" t="s">
        <v>1071</v>
      </c>
      <c r="B1860" s="7" t="s">
        <v>1025</v>
      </c>
      <c r="C1860" s="77" t="s">
        <v>1026</v>
      </c>
      <c r="D1860" s="10">
        <v>45985</v>
      </c>
      <c r="E1860" s="11" t="s">
        <v>314</v>
      </c>
      <c r="F1860" s="7" t="s">
        <v>871</v>
      </c>
      <c r="G1860" s="7" t="s">
        <v>891</v>
      </c>
    </row>
    <row r="1861" spans="1:7" x14ac:dyDescent="0.35">
      <c r="A1861" s="7" t="s">
        <v>1071</v>
      </c>
      <c r="B1861" s="7" t="s">
        <v>1025</v>
      </c>
      <c r="C1861" s="77" t="s">
        <v>1026</v>
      </c>
      <c r="D1861" s="10">
        <v>45985</v>
      </c>
      <c r="E1861" s="11" t="s">
        <v>314</v>
      </c>
      <c r="F1861" s="7" t="s">
        <v>894</v>
      </c>
      <c r="G1861" s="7" t="s">
        <v>15</v>
      </c>
    </row>
    <row r="1862" spans="1:7" x14ac:dyDescent="0.35">
      <c r="A1862" s="7" t="s">
        <v>945</v>
      </c>
      <c r="B1862" s="7" t="s">
        <v>1025</v>
      </c>
      <c r="C1862" s="77" t="s">
        <v>1026</v>
      </c>
      <c r="D1862" s="10">
        <v>45985</v>
      </c>
      <c r="E1862" s="11" t="s">
        <v>314</v>
      </c>
      <c r="F1862" s="7" t="s">
        <v>871</v>
      </c>
      <c r="G1862" s="7" t="s">
        <v>891</v>
      </c>
    </row>
    <row r="1863" spans="1:7" x14ac:dyDescent="0.35">
      <c r="A1863" s="7" t="s">
        <v>945</v>
      </c>
      <c r="B1863" s="7" t="s">
        <v>1025</v>
      </c>
      <c r="C1863" s="77" t="s">
        <v>1026</v>
      </c>
      <c r="D1863" s="10">
        <v>45985</v>
      </c>
      <c r="E1863" s="11" t="s">
        <v>314</v>
      </c>
      <c r="F1863" s="7" t="s">
        <v>894</v>
      </c>
      <c r="G1863" s="7" t="s">
        <v>15</v>
      </c>
    </row>
    <row r="1864" spans="1:7" x14ac:dyDescent="0.35">
      <c r="A1864" s="77" t="s">
        <v>965</v>
      </c>
      <c r="B1864" s="77" t="s">
        <v>1025</v>
      </c>
      <c r="C1864" s="77" t="s">
        <v>1026</v>
      </c>
      <c r="D1864" s="78">
        <v>45985</v>
      </c>
      <c r="E1864" s="79" t="s">
        <v>314</v>
      </c>
      <c r="F1864" s="77" t="s">
        <v>1080</v>
      </c>
      <c r="G1864" s="77"/>
    </row>
    <row r="1865" spans="1:7" x14ac:dyDescent="0.35">
      <c r="A1865" s="77" t="s">
        <v>1248</v>
      </c>
      <c r="B1865" s="77" t="s">
        <v>1025</v>
      </c>
      <c r="C1865" s="77" t="s">
        <v>1026</v>
      </c>
      <c r="D1865" s="78">
        <v>45985</v>
      </c>
      <c r="E1865" s="79" t="s">
        <v>314</v>
      </c>
      <c r="F1865" s="77" t="s">
        <v>1080</v>
      </c>
      <c r="G1865" s="77"/>
    </row>
    <row r="1866" spans="1:7" x14ac:dyDescent="0.35">
      <c r="A1866" s="77" t="s">
        <v>1071</v>
      </c>
      <c r="B1866" s="77" t="s">
        <v>1025</v>
      </c>
      <c r="C1866" s="77" t="s">
        <v>1026</v>
      </c>
      <c r="D1866" s="78">
        <v>45985</v>
      </c>
      <c r="E1866" s="79" t="s">
        <v>314</v>
      </c>
      <c r="F1866" s="77" t="s">
        <v>1080</v>
      </c>
      <c r="G1866" s="77"/>
    </row>
    <row r="1867" spans="1:7" x14ac:dyDescent="0.35">
      <c r="A1867" s="77" t="s">
        <v>945</v>
      </c>
      <c r="B1867" s="77" t="s">
        <v>1025</v>
      </c>
      <c r="C1867" s="77" t="s">
        <v>1026</v>
      </c>
      <c r="D1867" s="78">
        <v>45985</v>
      </c>
      <c r="E1867" s="79" t="s">
        <v>314</v>
      </c>
      <c r="F1867" s="77" t="s">
        <v>1080</v>
      </c>
      <c r="G1867" s="77"/>
    </row>
    <row r="1868" spans="1:7" x14ac:dyDescent="0.35">
      <c r="A1868" s="77" t="s">
        <v>1280</v>
      </c>
      <c r="B1868" s="77" t="s">
        <v>1025</v>
      </c>
      <c r="C1868" s="77" t="s">
        <v>1026</v>
      </c>
      <c r="D1868" s="78">
        <v>45985</v>
      </c>
      <c r="E1868" s="79" t="s">
        <v>314</v>
      </c>
      <c r="F1868" s="77" t="s">
        <v>1080</v>
      </c>
      <c r="G1868" s="77"/>
    </row>
    <row r="1869" spans="1:7" x14ac:dyDescent="0.35">
      <c r="A1869" s="77" t="s">
        <v>1281</v>
      </c>
      <c r="B1869" s="77" t="s">
        <v>1025</v>
      </c>
      <c r="C1869" s="77" t="s">
        <v>1026</v>
      </c>
      <c r="D1869" s="78">
        <v>45985</v>
      </c>
      <c r="E1869" s="79" t="s">
        <v>314</v>
      </c>
      <c r="F1869" s="77" t="s">
        <v>1080</v>
      </c>
      <c r="G1869" s="77"/>
    </row>
    <row r="1870" spans="1:7" x14ac:dyDescent="0.35">
      <c r="A1870" s="77" t="s">
        <v>244</v>
      </c>
      <c r="B1870" s="77" t="s">
        <v>1025</v>
      </c>
      <c r="C1870" s="77" t="s">
        <v>1026</v>
      </c>
      <c r="D1870" s="78">
        <v>45985</v>
      </c>
      <c r="E1870" s="79" t="s">
        <v>314</v>
      </c>
      <c r="F1870" s="77" t="s">
        <v>1080</v>
      </c>
      <c r="G1870" s="77"/>
    </row>
    <row r="1871" spans="1:7" x14ac:dyDescent="0.35">
      <c r="A1871" s="77" t="s">
        <v>1254</v>
      </c>
      <c r="B1871" s="77" t="s">
        <v>1025</v>
      </c>
      <c r="C1871" s="77" t="s">
        <v>1026</v>
      </c>
      <c r="D1871" s="78">
        <v>45985</v>
      </c>
      <c r="E1871" s="79" t="s">
        <v>314</v>
      </c>
      <c r="F1871" s="77" t="s">
        <v>1080</v>
      </c>
      <c r="G1871" s="77"/>
    </row>
    <row r="1872" spans="1:7" x14ac:dyDescent="0.35">
      <c r="A1872" s="77" t="s">
        <v>1266</v>
      </c>
      <c r="B1872" s="77" t="s">
        <v>1025</v>
      </c>
      <c r="C1872" s="77" t="s">
        <v>1026</v>
      </c>
      <c r="D1872" s="78">
        <v>45985</v>
      </c>
      <c r="E1872" s="79" t="s">
        <v>314</v>
      </c>
      <c r="F1872" s="77" t="s">
        <v>1080</v>
      </c>
      <c r="G1872" s="77"/>
    </row>
    <row r="1873" spans="1:7" x14ac:dyDescent="0.35">
      <c r="A1873" s="77" t="s">
        <v>1263</v>
      </c>
      <c r="B1873" s="77" t="s">
        <v>1025</v>
      </c>
      <c r="C1873" s="77" t="s">
        <v>1026</v>
      </c>
      <c r="D1873" s="78">
        <v>45985</v>
      </c>
      <c r="E1873" s="79" t="s">
        <v>314</v>
      </c>
      <c r="F1873" s="77" t="s">
        <v>1080</v>
      </c>
      <c r="G1873" s="77"/>
    </row>
    <row r="1874" spans="1:7" x14ac:dyDescent="0.35">
      <c r="A1874" s="7" t="s">
        <v>1266</v>
      </c>
      <c r="B1874" s="7" t="s">
        <v>1025</v>
      </c>
      <c r="C1874" s="77" t="s">
        <v>1026</v>
      </c>
      <c r="D1874" s="10">
        <v>45986</v>
      </c>
      <c r="E1874" s="11" t="s">
        <v>314</v>
      </c>
      <c r="F1874" s="7" t="s">
        <v>867</v>
      </c>
      <c r="G1874" s="7" t="s">
        <v>1260</v>
      </c>
    </row>
    <row r="1875" spans="1:7" x14ac:dyDescent="0.35">
      <c r="A1875" s="7" t="s">
        <v>740</v>
      </c>
      <c r="B1875" s="7" t="s">
        <v>908</v>
      </c>
      <c r="C1875" s="7" t="s">
        <v>374</v>
      </c>
      <c r="D1875" s="10">
        <v>45986</v>
      </c>
      <c r="E1875" s="11" t="s">
        <v>314</v>
      </c>
      <c r="F1875" s="7" t="s">
        <v>872</v>
      </c>
      <c r="G1875" s="7" t="s">
        <v>317</v>
      </c>
    </row>
    <row r="1876" spans="1:7" x14ac:dyDescent="0.35">
      <c r="A1876" s="7" t="s">
        <v>1263</v>
      </c>
      <c r="B1876" s="7" t="s">
        <v>1025</v>
      </c>
      <c r="C1876" s="77" t="s">
        <v>1026</v>
      </c>
      <c r="D1876" s="10">
        <v>45986</v>
      </c>
      <c r="E1876" s="11" t="s">
        <v>314</v>
      </c>
      <c r="F1876" s="7" t="s">
        <v>867</v>
      </c>
      <c r="G1876" s="7" t="s">
        <v>1260</v>
      </c>
    </row>
    <row r="1877" spans="1:7" x14ac:dyDescent="0.35">
      <c r="A1877" s="7" t="s">
        <v>1280</v>
      </c>
      <c r="B1877" s="66" t="s">
        <v>1025</v>
      </c>
      <c r="C1877" s="77" t="s">
        <v>1026</v>
      </c>
      <c r="D1877" s="67">
        <v>45986</v>
      </c>
      <c r="E1877" s="68" t="s">
        <v>314</v>
      </c>
      <c r="F1877" s="66" t="s">
        <v>867</v>
      </c>
      <c r="G1877" s="7" t="s">
        <v>1170</v>
      </c>
    </row>
    <row r="1878" spans="1:7" x14ac:dyDescent="0.35">
      <c r="A1878" s="7" t="s">
        <v>1281</v>
      </c>
      <c r="B1878" s="66" t="s">
        <v>1025</v>
      </c>
      <c r="C1878" s="77" t="s">
        <v>1026</v>
      </c>
      <c r="D1878" s="67">
        <v>45986</v>
      </c>
      <c r="E1878" s="68" t="s">
        <v>314</v>
      </c>
      <c r="F1878" s="66" t="s">
        <v>867</v>
      </c>
      <c r="G1878" s="7" t="s">
        <v>1170</v>
      </c>
    </row>
    <row r="1879" spans="1:7" x14ac:dyDescent="0.35">
      <c r="A1879" s="7" t="s">
        <v>1149</v>
      </c>
      <c r="B1879" s="7" t="s">
        <v>908</v>
      </c>
      <c r="C1879" s="7" t="s">
        <v>374</v>
      </c>
      <c r="D1879" s="10">
        <v>45986</v>
      </c>
      <c r="E1879" s="11" t="s">
        <v>314</v>
      </c>
      <c r="F1879" s="7" t="s">
        <v>19</v>
      </c>
      <c r="G1879" s="7"/>
    </row>
    <row r="1880" spans="1:7" x14ac:dyDescent="0.35">
      <c r="A1880" s="7" t="s">
        <v>1254</v>
      </c>
      <c r="B1880" s="66" t="s">
        <v>1025</v>
      </c>
      <c r="C1880" s="77" t="s">
        <v>1026</v>
      </c>
      <c r="D1880" s="67">
        <v>45986</v>
      </c>
      <c r="E1880" s="68" t="s">
        <v>314</v>
      </c>
      <c r="F1880" s="66" t="s">
        <v>867</v>
      </c>
      <c r="G1880" s="7" t="s">
        <v>1170</v>
      </c>
    </row>
    <row r="1881" spans="1:7" x14ac:dyDescent="0.35">
      <c r="A1881" s="7" t="s">
        <v>1249</v>
      </c>
      <c r="B1881" s="7" t="s">
        <v>1025</v>
      </c>
      <c r="C1881" s="77" t="s">
        <v>1026</v>
      </c>
      <c r="D1881" s="10">
        <v>45986</v>
      </c>
      <c r="E1881" s="11" t="s">
        <v>314</v>
      </c>
      <c r="F1881" s="7" t="s">
        <v>19</v>
      </c>
      <c r="G1881" s="7"/>
    </row>
    <row r="1882" spans="1:7" x14ac:dyDescent="0.35">
      <c r="A1882" s="77" t="s">
        <v>244</v>
      </c>
      <c r="B1882" s="77" t="s">
        <v>1025</v>
      </c>
      <c r="C1882" s="77" t="s">
        <v>1026</v>
      </c>
      <c r="D1882" s="78">
        <v>45986</v>
      </c>
      <c r="E1882" s="79" t="s">
        <v>314</v>
      </c>
      <c r="F1882" s="77" t="s">
        <v>867</v>
      </c>
      <c r="G1882" s="77" t="s">
        <v>1170</v>
      </c>
    </row>
    <row r="1883" spans="1:7" x14ac:dyDescent="0.35">
      <c r="A1883" s="77" t="s">
        <v>167</v>
      </c>
      <c r="B1883" s="77" t="s">
        <v>1025</v>
      </c>
      <c r="C1883" s="77" t="s">
        <v>1026</v>
      </c>
      <c r="D1883" s="78">
        <v>45986</v>
      </c>
      <c r="E1883" s="79" t="s">
        <v>314</v>
      </c>
      <c r="F1883" s="77" t="s">
        <v>867</v>
      </c>
      <c r="G1883" s="77" t="s">
        <v>1170</v>
      </c>
    </row>
    <row r="1884" spans="1:7" x14ac:dyDescent="0.35">
      <c r="A1884" s="77" t="s">
        <v>223</v>
      </c>
      <c r="B1884" s="77" t="s">
        <v>1025</v>
      </c>
      <c r="C1884" s="77" t="s">
        <v>1026</v>
      </c>
      <c r="D1884" s="78">
        <v>45986</v>
      </c>
      <c r="E1884" s="79" t="s">
        <v>314</v>
      </c>
      <c r="F1884" s="77" t="s">
        <v>867</v>
      </c>
      <c r="G1884" s="77" t="s">
        <v>1170</v>
      </c>
    </row>
    <row r="1885" spans="1:7" x14ac:dyDescent="0.35">
      <c r="A1885" s="77" t="s">
        <v>1283</v>
      </c>
      <c r="B1885" s="77" t="s">
        <v>1025</v>
      </c>
      <c r="C1885" s="77" t="s">
        <v>1026</v>
      </c>
      <c r="D1885" s="78">
        <v>45986</v>
      </c>
      <c r="E1885" s="79" t="s">
        <v>314</v>
      </c>
      <c r="F1885" s="77" t="s">
        <v>88</v>
      </c>
      <c r="G1885" s="77" t="s">
        <v>22</v>
      </c>
    </row>
    <row r="1886" spans="1:7" x14ac:dyDescent="0.35">
      <c r="A1886" s="77" t="s">
        <v>485</v>
      </c>
      <c r="B1886" s="77" t="s">
        <v>1025</v>
      </c>
      <c r="C1886" s="77" t="s">
        <v>1026</v>
      </c>
      <c r="D1886" s="78">
        <v>45986</v>
      </c>
      <c r="E1886" s="79" t="s">
        <v>314</v>
      </c>
      <c r="F1886" s="77" t="s">
        <v>1080</v>
      </c>
      <c r="G1886" s="77"/>
    </row>
    <row r="1887" spans="1:7" x14ac:dyDescent="0.35">
      <c r="A1887" s="77" t="s">
        <v>234</v>
      </c>
      <c r="B1887" s="77" t="s">
        <v>1025</v>
      </c>
      <c r="C1887" s="77" t="s">
        <v>1026</v>
      </c>
      <c r="D1887" s="78">
        <v>45986</v>
      </c>
      <c r="E1887" s="79" t="s">
        <v>314</v>
      </c>
      <c r="F1887" s="77" t="s">
        <v>1080</v>
      </c>
      <c r="G1887" s="77"/>
    </row>
    <row r="1888" spans="1:7" x14ac:dyDescent="0.35">
      <c r="A1888" s="77" t="s">
        <v>1289</v>
      </c>
      <c r="B1888" s="77" t="s">
        <v>1025</v>
      </c>
      <c r="C1888" s="77" t="s">
        <v>1026</v>
      </c>
      <c r="D1888" s="78">
        <v>45986</v>
      </c>
      <c r="E1888" s="79" t="s">
        <v>314</v>
      </c>
      <c r="F1888" s="77" t="s">
        <v>1080</v>
      </c>
      <c r="G1888" s="77"/>
    </row>
    <row r="1889" spans="1:7" x14ac:dyDescent="0.35">
      <c r="A1889" s="77" t="s">
        <v>1291</v>
      </c>
      <c r="B1889" s="77" t="s">
        <v>1025</v>
      </c>
      <c r="C1889" s="77" t="s">
        <v>1026</v>
      </c>
      <c r="D1889" s="78">
        <v>45986</v>
      </c>
      <c r="E1889" s="79" t="s">
        <v>314</v>
      </c>
      <c r="F1889" s="77" t="s">
        <v>1080</v>
      </c>
      <c r="G1889" s="77"/>
    </row>
    <row r="1890" spans="1:7" x14ac:dyDescent="0.35">
      <c r="A1890" s="77" t="s">
        <v>718</v>
      </c>
      <c r="B1890" s="77" t="s">
        <v>1025</v>
      </c>
      <c r="C1890" s="77" t="s">
        <v>1026</v>
      </c>
      <c r="D1890" s="78">
        <v>45986</v>
      </c>
      <c r="E1890" s="79" t="s">
        <v>314</v>
      </c>
      <c r="F1890" s="77" t="s">
        <v>1080</v>
      </c>
      <c r="G1890" s="77"/>
    </row>
    <row r="1891" spans="1:7" x14ac:dyDescent="0.35">
      <c r="A1891" s="77" t="s">
        <v>1290</v>
      </c>
      <c r="B1891" s="77" t="s">
        <v>1025</v>
      </c>
      <c r="C1891" s="77" t="s">
        <v>1026</v>
      </c>
      <c r="D1891" s="78">
        <v>45986</v>
      </c>
      <c r="E1891" s="79" t="s">
        <v>314</v>
      </c>
      <c r="F1891" s="77" t="s">
        <v>1080</v>
      </c>
      <c r="G1891" s="77"/>
    </row>
    <row r="1892" spans="1:7" x14ac:dyDescent="0.35">
      <c r="A1892" s="77" t="s">
        <v>341</v>
      </c>
      <c r="B1892" s="77" t="s">
        <v>1025</v>
      </c>
      <c r="C1892" s="77" t="s">
        <v>1026</v>
      </c>
      <c r="D1892" s="78">
        <v>45986</v>
      </c>
      <c r="E1892" s="79" t="s">
        <v>314</v>
      </c>
      <c r="F1892" s="77" t="s">
        <v>1080</v>
      </c>
      <c r="G1892" s="77"/>
    </row>
    <row r="1893" spans="1:7" x14ac:dyDescent="0.35">
      <c r="A1893" s="77" t="s">
        <v>740</v>
      </c>
      <c r="B1893" s="77" t="s">
        <v>1025</v>
      </c>
      <c r="C1893" s="77" t="s">
        <v>1026</v>
      </c>
      <c r="D1893" s="78">
        <v>45986</v>
      </c>
      <c r="E1893" s="79" t="s">
        <v>314</v>
      </c>
      <c r="F1893" s="77" t="s">
        <v>1080</v>
      </c>
      <c r="G1893" s="77"/>
    </row>
    <row r="1894" spans="1:7" x14ac:dyDescent="0.35">
      <c r="A1894" s="7" t="s">
        <v>734</v>
      </c>
      <c r="B1894" s="7" t="s">
        <v>1025</v>
      </c>
      <c r="C1894" s="77" t="s">
        <v>1026</v>
      </c>
      <c r="D1894" s="10">
        <v>45987</v>
      </c>
      <c r="E1894" s="11" t="s">
        <v>314</v>
      </c>
      <c r="F1894" s="7" t="s">
        <v>867</v>
      </c>
      <c r="G1894" s="7" t="s">
        <v>1297</v>
      </c>
    </row>
    <row r="1895" spans="1:7" x14ac:dyDescent="0.35">
      <c r="A1895" s="77" t="s">
        <v>739</v>
      </c>
      <c r="B1895" s="77" t="s">
        <v>1025</v>
      </c>
      <c r="C1895" s="77" t="s">
        <v>1026</v>
      </c>
      <c r="D1895" s="78">
        <v>45987</v>
      </c>
      <c r="E1895" s="79" t="s">
        <v>314</v>
      </c>
      <c r="F1895" s="77" t="s">
        <v>1080</v>
      </c>
      <c r="G1895" s="77"/>
    </row>
    <row r="1896" spans="1:7" x14ac:dyDescent="0.35">
      <c r="A1896" s="77" t="s">
        <v>735</v>
      </c>
      <c r="B1896" s="77" t="s">
        <v>1025</v>
      </c>
      <c r="C1896" s="77" t="s">
        <v>1026</v>
      </c>
      <c r="D1896" s="78">
        <v>45987</v>
      </c>
      <c r="E1896" s="79" t="s">
        <v>314</v>
      </c>
      <c r="F1896" s="77" t="s">
        <v>1080</v>
      </c>
      <c r="G1896" s="77"/>
    </row>
    <row r="1897" spans="1:7" x14ac:dyDescent="0.35">
      <c r="A1897" s="77" t="s">
        <v>1313</v>
      </c>
      <c r="B1897" s="77" t="s">
        <v>1025</v>
      </c>
      <c r="C1897" s="77" t="s">
        <v>1026</v>
      </c>
      <c r="D1897" s="78">
        <v>45987</v>
      </c>
      <c r="E1897" s="79" t="s">
        <v>314</v>
      </c>
      <c r="F1897" s="77" t="s">
        <v>1080</v>
      </c>
      <c r="G1897" s="77"/>
    </row>
    <row r="1898" spans="1:7" x14ac:dyDescent="0.35">
      <c r="A1898" s="77" t="s">
        <v>665</v>
      </c>
      <c r="B1898" s="77" t="s">
        <v>1025</v>
      </c>
      <c r="C1898" s="77" t="s">
        <v>1026</v>
      </c>
      <c r="D1898" s="78">
        <v>45987</v>
      </c>
      <c r="E1898" s="79" t="s">
        <v>314</v>
      </c>
      <c r="F1898" s="77" t="s">
        <v>1080</v>
      </c>
      <c r="G1898" s="77"/>
    </row>
    <row r="1899" spans="1:7" x14ac:dyDescent="0.35">
      <c r="A1899" s="77" t="s">
        <v>1293</v>
      </c>
      <c r="B1899" s="77" t="s">
        <v>1025</v>
      </c>
      <c r="C1899" s="77" t="s">
        <v>1026</v>
      </c>
      <c r="D1899" s="78">
        <v>45987</v>
      </c>
      <c r="E1899" s="79" t="s">
        <v>314</v>
      </c>
      <c r="F1899" s="77" t="s">
        <v>1080</v>
      </c>
      <c r="G1899" s="77"/>
    </row>
    <row r="1900" spans="1:7" x14ac:dyDescent="0.35">
      <c r="A1900" s="77" t="s">
        <v>734</v>
      </c>
      <c r="B1900" s="77" t="s">
        <v>1025</v>
      </c>
      <c r="C1900" s="77" t="s">
        <v>1026</v>
      </c>
      <c r="D1900" s="78">
        <v>45987</v>
      </c>
      <c r="E1900" s="79" t="s">
        <v>314</v>
      </c>
      <c r="F1900" s="77" t="s">
        <v>1080</v>
      </c>
      <c r="G1900" s="77"/>
    </row>
    <row r="1901" spans="1:7" x14ac:dyDescent="0.35">
      <c r="A1901" s="77" t="s">
        <v>84</v>
      </c>
      <c r="B1901" s="77" t="s">
        <v>1025</v>
      </c>
      <c r="C1901" s="77" t="s">
        <v>1026</v>
      </c>
      <c r="D1901" s="78">
        <v>45987</v>
      </c>
      <c r="E1901" s="79" t="s">
        <v>314</v>
      </c>
      <c r="F1901" s="77" t="s">
        <v>1080</v>
      </c>
      <c r="G1901" s="77"/>
    </row>
    <row r="1902" spans="1:7" x14ac:dyDescent="0.35">
      <c r="A1902" s="77" t="s">
        <v>662</v>
      </c>
      <c r="B1902" s="77" t="s">
        <v>1025</v>
      </c>
      <c r="C1902" s="77" t="s">
        <v>1026</v>
      </c>
      <c r="D1902" s="78">
        <v>45987</v>
      </c>
      <c r="E1902" s="79" t="s">
        <v>314</v>
      </c>
      <c r="F1902" s="77" t="s">
        <v>1080</v>
      </c>
      <c r="G1902" s="77"/>
    </row>
    <row r="1903" spans="1:7" x14ac:dyDescent="0.35">
      <c r="A1903" s="77" t="s">
        <v>1292</v>
      </c>
      <c r="B1903" s="77" t="s">
        <v>1025</v>
      </c>
      <c r="C1903" s="77" t="s">
        <v>1026</v>
      </c>
      <c r="D1903" s="78">
        <v>45987</v>
      </c>
      <c r="E1903" s="79" t="s">
        <v>314</v>
      </c>
      <c r="F1903" s="77" t="s">
        <v>1080</v>
      </c>
      <c r="G1903" s="77"/>
    </row>
    <row r="1904" spans="1:7" x14ac:dyDescent="0.35">
      <c r="A1904" s="77" t="s">
        <v>1315</v>
      </c>
      <c r="B1904" s="77" t="s">
        <v>1025</v>
      </c>
      <c r="C1904" s="77" t="s">
        <v>1026</v>
      </c>
      <c r="D1904" s="78">
        <v>45987</v>
      </c>
      <c r="E1904" s="79" t="s">
        <v>314</v>
      </c>
      <c r="F1904" s="77" t="s">
        <v>1080</v>
      </c>
      <c r="G1904" s="77"/>
    </row>
    <row r="1905" spans="1:7" x14ac:dyDescent="0.35">
      <c r="A1905" s="77" t="s">
        <v>1276</v>
      </c>
      <c r="B1905" s="77" t="s">
        <v>1025</v>
      </c>
      <c r="C1905" s="77" t="s">
        <v>1026</v>
      </c>
      <c r="D1905" s="78">
        <v>45987</v>
      </c>
      <c r="E1905" s="79" t="s">
        <v>314</v>
      </c>
      <c r="F1905" s="77" t="s">
        <v>1080</v>
      </c>
      <c r="G1905" s="77"/>
    </row>
    <row r="1906" spans="1:7" x14ac:dyDescent="0.35">
      <c r="A1906" s="77" t="s">
        <v>1275</v>
      </c>
      <c r="B1906" s="77" t="s">
        <v>1025</v>
      </c>
      <c r="C1906" s="77" t="s">
        <v>1026</v>
      </c>
      <c r="D1906" s="78">
        <v>45987</v>
      </c>
      <c r="E1906" s="79" t="s">
        <v>314</v>
      </c>
      <c r="F1906" s="77" t="s">
        <v>1080</v>
      </c>
      <c r="G1906" s="77"/>
    </row>
    <row r="1907" spans="1:7" x14ac:dyDescent="0.35">
      <c r="A1907" s="77" t="s">
        <v>919</v>
      </c>
      <c r="B1907" s="77" t="s">
        <v>1025</v>
      </c>
      <c r="C1907" s="77" t="s">
        <v>1026</v>
      </c>
      <c r="D1907" s="78">
        <v>45988</v>
      </c>
      <c r="E1907" s="79" t="s">
        <v>314</v>
      </c>
      <c r="F1907" s="77" t="s">
        <v>1080</v>
      </c>
      <c r="G1907" s="77"/>
    </row>
    <row r="1908" spans="1:7" x14ac:dyDescent="0.35">
      <c r="A1908" s="77" t="s">
        <v>1129</v>
      </c>
      <c r="B1908" s="77" t="s">
        <v>1025</v>
      </c>
      <c r="C1908" s="77" t="s">
        <v>1026</v>
      </c>
      <c r="D1908" s="78">
        <v>45988</v>
      </c>
      <c r="E1908" s="79" t="s">
        <v>314</v>
      </c>
      <c r="F1908" s="77" t="s">
        <v>1080</v>
      </c>
      <c r="G1908" s="77"/>
    </row>
    <row r="1909" spans="1:7" x14ac:dyDescent="0.35">
      <c r="A1909" s="77" t="s">
        <v>421</v>
      </c>
      <c r="B1909" s="77" t="s">
        <v>1025</v>
      </c>
      <c r="C1909" s="77" t="s">
        <v>1026</v>
      </c>
      <c r="D1909" s="78">
        <v>45988</v>
      </c>
      <c r="E1909" s="79" t="s">
        <v>314</v>
      </c>
      <c r="F1909" s="77" t="s">
        <v>1080</v>
      </c>
      <c r="G1909" s="77"/>
    </row>
    <row r="1910" spans="1:7" x14ac:dyDescent="0.35">
      <c r="A1910" s="77" t="s">
        <v>1145</v>
      </c>
      <c r="B1910" s="77" t="s">
        <v>1025</v>
      </c>
      <c r="C1910" s="77" t="s">
        <v>1026</v>
      </c>
      <c r="D1910" s="78">
        <v>45988</v>
      </c>
      <c r="E1910" s="79" t="s">
        <v>314</v>
      </c>
      <c r="F1910" s="77" t="s">
        <v>1080</v>
      </c>
      <c r="G1910" s="77"/>
    </row>
    <row r="1911" spans="1:7" x14ac:dyDescent="0.35">
      <c r="A1911" s="77" t="s">
        <v>1182</v>
      </c>
      <c r="B1911" s="77" t="s">
        <v>1025</v>
      </c>
      <c r="C1911" s="77" t="s">
        <v>1026</v>
      </c>
      <c r="D1911" s="78">
        <v>45988</v>
      </c>
      <c r="E1911" s="79" t="s">
        <v>314</v>
      </c>
      <c r="F1911" s="77" t="s">
        <v>1080</v>
      </c>
      <c r="G1911" s="77"/>
    </row>
    <row r="1912" spans="1:7" x14ac:dyDescent="0.35">
      <c r="A1912" s="77" t="s">
        <v>1277</v>
      </c>
      <c r="B1912" s="77" t="s">
        <v>1025</v>
      </c>
      <c r="C1912" s="77" t="s">
        <v>1026</v>
      </c>
      <c r="D1912" s="78">
        <v>45988</v>
      </c>
      <c r="E1912" s="79" t="s">
        <v>314</v>
      </c>
      <c r="F1912" s="77" t="s">
        <v>1080</v>
      </c>
      <c r="G1912" s="77"/>
    </row>
    <row r="1913" spans="1:7" x14ac:dyDescent="0.35">
      <c r="A1913" s="77" t="s">
        <v>190</v>
      </c>
      <c r="B1913" s="77" t="s">
        <v>1025</v>
      </c>
      <c r="C1913" s="77" t="s">
        <v>1026</v>
      </c>
      <c r="D1913" s="78">
        <v>45988</v>
      </c>
      <c r="E1913" s="79" t="s">
        <v>314</v>
      </c>
      <c r="F1913" s="77" t="s">
        <v>1080</v>
      </c>
      <c r="G1913" s="77"/>
    </row>
    <row r="1914" spans="1:7" x14ac:dyDescent="0.35">
      <c r="A1914" s="77" t="s">
        <v>67</v>
      </c>
      <c r="B1914" s="77" t="s">
        <v>1025</v>
      </c>
      <c r="C1914" s="77" t="s">
        <v>1026</v>
      </c>
      <c r="D1914" s="78">
        <v>45988</v>
      </c>
      <c r="E1914" s="79" t="s">
        <v>314</v>
      </c>
      <c r="F1914" s="77" t="s">
        <v>1080</v>
      </c>
      <c r="G1914" s="77"/>
    </row>
    <row r="1915" spans="1:7" x14ac:dyDescent="0.35">
      <c r="A1915" s="77" t="s">
        <v>991</v>
      </c>
      <c r="B1915" s="77" t="s">
        <v>1025</v>
      </c>
      <c r="C1915" s="77" t="s">
        <v>1026</v>
      </c>
      <c r="D1915" s="78">
        <v>45988</v>
      </c>
      <c r="E1915" s="79" t="s">
        <v>314</v>
      </c>
      <c r="F1915" s="77" t="s">
        <v>1080</v>
      </c>
      <c r="G1915" s="77"/>
    </row>
    <row r="1916" spans="1:7" x14ac:dyDescent="0.35">
      <c r="A1916" s="77" t="s">
        <v>129</v>
      </c>
      <c r="B1916" s="77" t="s">
        <v>1025</v>
      </c>
      <c r="C1916" s="77" t="s">
        <v>1026</v>
      </c>
      <c r="D1916" s="78">
        <v>45988</v>
      </c>
      <c r="E1916" s="79" t="s">
        <v>314</v>
      </c>
      <c r="F1916" s="77" t="s">
        <v>1080</v>
      </c>
      <c r="G1916" s="77"/>
    </row>
    <row r="1917" spans="1:7" x14ac:dyDescent="0.35">
      <c r="A1917" s="77" t="s">
        <v>1311</v>
      </c>
      <c r="B1917" s="77" t="s">
        <v>1025</v>
      </c>
      <c r="C1917" s="77" t="s">
        <v>1026</v>
      </c>
      <c r="D1917" s="78">
        <v>45989</v>
      </c>
      <c r="E1917" s="79" t="s">
        <v>314</v>
      </c>
      <c r="F1917" s="77" t="s">
        <v>1080</v>
      </c>
      <c r="G1917" s="77"/>
    </row>
    <row r="1918" spans="1:7" x14ac:dyDescent="0.35">
      <c r="A1918" s="77" t="s">
        <v>1132</v>
      </c>
      <c r="B1918" s="77" t="s">
        <v>1025</v>
      </c>
      <c r="C1918" s="77" t="s">
        <v>1026</v>
      </c>
      <c r="D1918" s="78">
        <v>45989</v>
      </c>
      <c r="E1918" s="79" t="s">
        <v>314</v>
      </c>
      <c r="F1918" s="77" t="s">
        <v>1080</v>
      </c>
      <c r="G1918" s="77"/>
    </row>
    <row r="1919" spans="1:7" x14ac:dyDescent="0.35">
      <c r="A1919" s="77" t="s">
        <v>1310</v>
      </c>
      <c r="B1919" s="77" t="s">
        <v>1025</v>
      </c>
      <c r="C1919" s="77" t="s">
        <v>1026</v>
      </c>
      <c r="D1919" s="78">
        <v>45989</v>
      </c>
      <c r="E1919" s="79" t="s">
        <v>314</v>
      </c>
      <c r="F1919" s="77" t="s">
        <v>1080</v>
      </c>
      <c r="G1919" s="77"/>
    </row>
    <row r="1920" spans="1:7" x14ac:dyDescent="0.35">
      <c r="A1920" s="77" t="s">
        <v>1312</v>
      </c>
      <c r="B1920" s="77" t="s">
        <v>1025</v>
      </c>
      <c r="C1920" s="77" t="s">
        <v>1026</v>
      </c>
      <c r="D1920" s="78">
        <v>45989</v>
      </c>
      <c r="E1920" s="79" t="s">
        <v>314</v>
      </c>
      <c r="F1920" s="77" t="s">
        <v>1080</v>
      </c>
      <c r="G1920" s="77"/>
    </row>
    <row r="1921" spans="1:7" x14ac:dyDescent="0.35">
      <c r="A1921" s="77" t="s">
        <v>148</v>
      </c>
      <c r="B1921" s="77" t="s">
        <v>1025</v>
      </c>
      <c r="C1921" s="77" t="s">
        <v>1026</v>
      </c>
      <c r="D1921" s="78">
        <v>45989</v>
      </c>
      <c r="E1921" s="79" t="s">
        <v>314</v>
      </c>
      <c r="F1921" s="77" t="s">
        <v>1080</v>
      </c>
      <c r="G1921" s="77"/>
    </row>
    <row r="1922" spans="1:7" x14ac:dyDescent="0.35">
      <c r="A1922" s="77" t="s">
        <v>1131</v>
      </c>
      <c r="B1922" s="77" t="s">
        <v>1025</v>
      </c>
      <c r="C1922" s="77" t="s">
        <v>1026</v>
      </c>
      <c r="D1922" s="78">
        <v>45989</v>
      </c>
      <c r="E1922" s="79" t="s">
        <v>314</v>
      </c>
      <c r="F1922" s="77" t="s">
        <v>1080</v>
      </c>
      <c r="G1922" s="77"/>
    </row>
    <row r="1923" spans="1:7" x14ac:dyDescent="0.35">
      <c r="A1923" s="77" t="s">
        <v>80</v>
      </c>
      <c r="B1923" s="77" t="s">
        <v>1025</v>
      </c>
      <c r="C1923" s="77" t="s">
        <v>1026</v>
      </c>
      <c r="D1923" s="78">
        <v>45990</v>
      </c>
      <c r="E1923" s="79" t="s">
        <v>314</v>
      </c>
      <c r="F1923" s="77" t="s">
        <v>1080</v>
      </c>
      <c r="G1923" s="77"/>
    </row>
    <row r="1924" spans="1:7" x14ac:dyDescent="0.35">
      <c r="A1924" s="77" t="s">
        <v>1334</v>
      </c>
      <c r="B1924" s="77" t="s">
        <v>1025</v>
      </c>
      <c r="C1924" s="77" t="s">
        <v>1026</v>
      </c>
      <c r="D1924" s="78">
        <v>45990</v>
      </c>
      <c r="E1924" s="79" t="s">
        <v>314</v>
      </c>
      <c r="F1924" s="77" t="s">
        <v>1080</v>
      </c>
      <c r="G1924" s="77"/>
    </row>
    <row r="1925" spans="1:7" x14ac:dyDescent="0.35">
      <c r="A1925" s="77" t="s">
        <v>1215</v>
      </c>
      <c r="B1925" s="77" t="s">
        <v>1025</v>
      </c>
      <c r="C1925" s="77" t="s">
        <v>1026</v>
      </c>
      <c r="D1925" s="78">
        <v>45990</v>
      </c>
      <c r="E1925" s="79" t="s">
        <v>314</v>
      </c>
      <c r="F1925" s="77" t="s">
        <v>1080</v>
      </c>
      <c r="G1925" s="77"/>
    </row>
    <row r="1926" spans="1:7" x14ac:dyDescent="0.35">
      <c r="A1926" s="77" t="s">
        <v>1269</v>
      </c>
      <c r="B1926" s="77" t="s">
        <v>1025</v>
      </c>
      <c r="C1926" s="77" t="s">
        <v>1026</v>
      </c>
      <c r="D1926" s="78">
        <v>45990</v>
      </c>
      <c r="E1926" s="79" t="s">
        <v>314</v>
      </c>
      <c r="F1926" s="77" t="s">
        <v>1080</v>
      </c>
      <c r="G1926" s="77"/>
    </row>
    <row r="1927" spans="1:7" x14ac:dyDescent="0.35">
      <c r="A1927" s="77" t="s">
        <v>394</v>
      </c>
      <c r="B1927" s="77" t="s">
        <v>1025</v>
      </c>
      <c r="C1927" s="77" t="s">
        <v>1026</v>
      </c>
      <c r="D1927" s="78">
        <v>45990</v>
      </c>
      <c r="E1927" s="79" t="s">
        <v>314</v>
      </c>
      <c r="F1927" s="77" t="s">
        <v>1080</v>
      </c>
      <c r="G1927" s="77"/>
    </row>
    <row r="1928" spans="1:7" x14ac:dyDescent="0.35">
      <c r="A1928" s="77" t="s">
        <v>1215</v>
      </c>
      <c r="B1928" s="77" t="s">
        <v>1025</v>
      </c>
      <c r="C1928" s="77" t="s">
        <v>1026</v>
      </c>
      <c r="D1928" s="78">
        <v>45991</v>
      </c>
      <c r="E1928" s="79" t="s">
        <v>314</v>
      </c>
      <c r="F1928" s="77" t="s">
        <v>19</v>
      </c>
      <c r="G1928" s="77"/>
    </row>
    <row r="1929" spans="1:7" x14ac:dyDescent="0.35">
      <c r="A1929" s="77" t="s">
        <v>1305</v>
      </c>
      <c r="B1929" s="77" t="s">
        <v>1025</v>
      </c>
      <c r="C1929" s="77" t="s">
        <v>1026</v>
      </c>
      <c r="D1929" s="78">
        <v>45991</v>
      </c>
      <c r="E1929" s="79" t="s">
        <v>314</v>
      </c>
      <c r="F1929" s="77" t="s">
        <v>19</v>
      </c>
      <c r="G1929" s="77"/>
    </row>
    <row r="1930" spans="1:7" x14ac:dyDescent="0.35">
      <c r="A1930" s="7" t="s">
        <v>1276</v>
      </c>
      <c r="B1930" s="7" t="s">
        <v>1025</v>
      </c>
      <c r="C1930" s="77" t="s">
        <v>1026</v>
      </c>
      <c r="D1930" s="10">
        <v>45991</v>
      </c>
      <c r="E1930" s="11" t="s">
        <v>314</v>
      </c>
      <c r="F1930" s="7" t="s">
        <v>867</v>
      </c>
      <c r="G1930" s="7" t="s">
        <v>1260</v>
      </c>
    </row>
    <row r="1931" spans="1:7" x14ac:dyDescent="0.35">
      <c r="A1931" s="7" t="s">
        <v>735</v>
      </c>
      <c r="B1931" s="7" t="s">
        <v>1025</v>
      </c>
      <c r="C1931" s="77" t="s">
        <v>1026</v>
      </c>
      <c r="D1931" s="10">
        <v>45991</v>
      </c>
      <c r="E1931" s="11" t="s">
        <v>314</v>
      </c>
      <c r="F1931" s="7" t="s">
        <v>867</v>
      </c>
      <c r="G1931" s="7" t="s">
        <v>1260</v>
      </c>
    </row>
    <row r="1932" spans="1:7" x14ac:dyDescent="0.35">
      <c r="A1932" s="7" t="s">
        <v>1275</v>
      </c>
      <c r="B1932" s="7" t="s">
        <v>1025</v>
      </c>
      <c r="C1932" s="77" t="s">
        <v>1026</v>
      </c>
      <c r="D1932" s="10">
        <v>45991</v>
      </c>
      <c r="E1932" s="11" t="s">
        <v>314</v>
      </c>
      <c r="F1932" s="7" t="s">
        <v>867</v>
      </c>
      <c r="G1932" s="7" t="s">
        <v>1260</v>
      </c>
    </row>
    <row r="1933" spans="1:7" x14ac:dyDescent="0.35">
      <c r="A1933" s="7" t="s">
        <v>1246</v>
      </c>
      <c r="B1933" s="7" t="s">
        <v>1025</v>
      </c>
      <c r="C1933" s="77" t="s">
        <v>1026</v>
      </c>
      <c r="D1933" s="10">
        <v>45991</v>
      </c>
      <c r="E1933" s="11" t="s">
        <v>314</v>
      </c>
      <c r="F1933" s="7" t="s">
        <v>867</v>
      </c>
      <c r="G1933" s="7" t="s">
        <v>1170</v>
      </c>
    </row>
    <row r="1934" spans="1:7" x14ac:dyDescent="0.35">
      <c r="A1934" s="7" t="s">
        <v>1277</v>
      </c>
      <c r="B1934" s="7" t="s">
        <v>1025</v>
      </c>
      <c r="C1934" s="77" t="s">
        <v>1026</v>
      </c>
      <c r="D1934" s="10">
        <v>45991</v>
      </c>
      <c r="E1934" s="11" t="s">
        <v>314</v>
      </c>
      <c r="F1934" s="7" t="s">
        <v>867</v>
      </c>
      <c r="G1934" s="7" t="s">
        <v>1260</v>
      </c>
    </row>
    <row r="1935" spans="1:7" x14ac:dyDescent="0.35">
      <c r="A1935" s="7" t="s">
        <v>1269</v>
      </c>
      <c r="B1935" s="7" t="s">
        <v>1025</v>
      </c>
      <c r="C1935" s="77" t="s">
        <v>1026</v>
      </c>
      <c r="D1935" s="10">
        <v>45991</v>
      </c>
      <c r="E1935" s="11" t="s">
        <v>314</v>
      </c>
      <c r="F1935" s="7" t="s">
        <v>867</v>
      </c>
      <c r="G1935" s="7" t="s">
        <v>1260</v>
      </c>
    </row>
    <row r="1936" spans="1:7" x14ac:dyDescent="0.35">
      <c r="A1936" s="7" t="s">
        <v>190</v>
      </c>
      <c r="B1936" s="7" t="s">
        <v>1025</v>
      </c>
      <c r="C1936" s="77" t="s">
        <v>1026</v>
      </c>
      <c r="D1936" s="10">
        <v>45991</v>
      </c>
      <c r="E1936" s="11" t="s">
        <v>314</v>
      </c>
      <c r="F1936" s="7" t="s">
        <v>867</v>
      </c>
      <c r="G1936" s="7" t="s">
        <v>1260</v>
      </c>
    </row>
    <row r="1937" spans="1:7" x14ac:dyDescent="0.35">
      <c r="A1937" s="7" t="s">
        <v>129</v>
      </c>
      <c r="B1937" s="7" t="s">
        <v>1025</v>
      </c>
      <c r="C1937" s="77" t="s">
        <v>1026</v>
      </c>
      <c r="D1937" s="10">
        <v>45991</v>
      </c>
      <c r="E1937" s="68" t="s">
        <v>314</v>
      </c>
      <c r="F1937" s="66" t="s">
        <v>867</v>
      </c>
      <c r="G1937" s="7" t="s">
        <v>1332</v>
      </c>
    </row>
    <row r="1938" spans="1:7" x14ac:dyDescent="0.35">
      <c r="A1938" s="7" t="s">
        <v>693</v>
      </c>
      <c r="B1938" s="7" t="s">
        <v>1025</v>
      </c>
      <c r="C1938" s="77" t="s">
        <v>1026</v>
      </c>
      <c r="D1938" s="10">
        <v>45991</v>
      </c>
      <c r="E1938" s="11" t="s">
        <v>314</v>
      </c>
      <c r="F1938" s="7" t="s">
        <v>867</v>
      </c>
      <c r="G1938" s="7" t="s">
        <v>1297</v>
      </c>
    </row>
    <row r="1939" spans="1:7" x14ac:dyDescent="0.35">
      <c r="A1939" s="7" t="s">
        <v>729</v>
      </c>
      <c r="B1939" s="7" t="s">
        <v>1025</v>
      </c>
      <c r="C1939" s="77" t="s">
        <v>1026</v>
      </c>
      <c r="D1939" s="10">
        <v>45991</v>
      </c>
      <c r="E1939" s="11" t="s">
        <v>314</v>
      </c>
      <c r="F1939" s="7" t="s">
        <v>867</v>
      </c>
      <c r="G1939" s="7" t="s">
        <v>1297</v>
      </c>
    </row>
    <row r="1940" spans="1:7" x14ac:dyDescent="0.35">
      <c r="A1940" s="77" t="s">
        <v>991</v>
      </c>
      <c r="B1940" s="77" t="s">
        <v>1025</v>
      </c>
      <c r="C1940" s="77" t="s">
        <v>1026</v>
      </c>
      <c r="D1940" s="78">
        <v>45991</v>
      </c>
      <c r="E1940" s="79" t="s">
        <v>314</v>
      </c>
      <c r="F1940" s="77" t="s">
        <v>867</v>
      </c>
      <c r="G1940" s="77" t="s">
        <v>1170</v>
      </c>
    </row>
    <row r="1941" spans="1:7" x14ac:dyDescent="0.35">
      <c r="A1941" s="7" t="s">
        <v>67</v>
      </c>
      <c r="B1941" s="7" t="s">
        <v>1025</v>
      </c>
      <c r="C1941" s="77" t="s">
        <v>1026</v>
      </c>
      <c r="D1941" s="10">
        <v>45991</v>
      </c>
      <c r="E1941" s="11" t="s">
        <v>314</v>
      </c>
      <c r="F1941" s="7" t="s">
        <v>867</v>
      </c>
      <c r="G1941" s="7" t="s">
        <v>1260</v>
      </c>
    </row>
    <row r="1942" spans="1:7" x14ac:dyDescent="0.35">
      <c r="A1942" s="7" t="s">
        <v>728</v>
      </c>
      <c r="B1942" s="7" t="s">
        <v>1025</v>
      </c>
      <c r="C1942" s="77" t="s">
        <v>1026</v>
      </c>
      <c r="D1942" s="10">
        <v>45991</v>
      </c>
      <c r="E1942" s="11" t="s">
        <v>314</v>
      </c>
      <c r="F1942" s="7" t="s">
        <v>867</v>
      </c>
      <c r="G1942" s="7" t="s">
        <v>1297</v>
      </c>
    </row>
    <row r="1943" spans="1:7" x14ac:dyDescent="0.35">
      <c r="A1943" s="77" t="s">
        <v>485</v>
      </c>
      <c r="B1943" s="77" t="s">
        <v>1025</v>
      </c>
      <c r="C1943" s="77" t="s">
        <v>1026</v>
      </c>
      <c r="D1943" s="78">
        <v>45991</v>
      </c>
      <c r="E1943" s="79" t="s">
        <v>314</v>
      </c>
      <c r="F1943" s="77" t="s">
        <v>867</v>
      </c>
      <c r="G1943" s="77" t="s">
        <v>1170</v>
      </c>
    </row>
    <row r="1944" spans="1:7" x14ac:dyDescent="0.35">
      <c r="A1944" s="7" t="s">
        <v>394</v>
      </c>
      <c r="B1944" s="7" t="s">
        <v>1025</v>
      </c>
      <c r="C1944" s="77" t="s">
        <v>1026</v>
      </c>
      <c r="D1944" s="10">
        <v>45991</v>
      </c>
      <c r="E1944" s="11" t="s">
        <v>314</v>
      </c>
      <c r="F1944" s="7" t="s">
        <v>867</v>
      </c>
      <c r="G1944" s="7" t="s">
        <v>1232</v>
      </c>
    </row>
    <row r="1945" spans="1:7" x14ac:dyDescent="0.35">
      <c r="A1945" s="7" t="s">
        <v>727</v>
      </c>
      <c r="B1945" s="7" t="s">
        <v>1025</v>
      </c>
      <c r="C1945" s="77" t="s">
        <v>1026</v>
      </c>
      <c r="D1945" s="10">
        <v>45991</v>
      </c>
      <c r="E1945" s="11" t="s">
        <v>314</v>
      </c>
      <c r="F1945" s="7" t="s">
        <v>867</v>
      </c>
      <c r="G1945" s="7" t="s">
        <v>1297</v>
      </c>
    </row>
    <row r="1946" spans="1:7" x14ac:dyDescent="0.35">
      <c r="A1946" s="7" t="s">
        <v>80</v>
      </c>
      <c r="B1946" s="7" t="s">
        <v>1025</v>
      </c>
      <c r="C1946" s="77" t="s">
        <v>1026</v>
      </c>
      <c r="D1946" s="10">
        <v>45991</v>
      </c>
      <c r="E1946" s="11" t="s">
        <v>314</v>
      </c>
      <c r="F1946" s="7" t="s">
        <v>867</v>
      </c>
      <c r="G1946" s="7" t="s">
        <v>1297</v>
      </c>
    </row>
    <row r="1947" spans="1:7" x14ac:dyDescent="0.35">
      <c r="A1947" s="77" t="s">
        <v>234</v>
      </c>
      <c r="B1947" s="7" t="s">
        <v>1025</v>
      </c>
      <c r="C1947" s="77" t="s">
        <v>1026</v>
      </c>
      <c r="D1947" s="78">
        <v>45991</v>
      </c>
      <c r="E1947" s="79" t="s">
        <v>314</v>
      </c>
      <c r="F1947" s="77" t="s">
        <v>867</v>
      </c>
      <c r="G1947" s="77" t="s">
        <v>1170</v>
      </c>
    </row>
    <row r="1948" spans="1:7" x14ac:dyDescent="0.35">
      <c r="A1948" s="77" t="s">
        <v>1174</v>
      </c>
      <c r="B1948" s="77" t="s">
        <v>1025</v>
      </c>
      <c r="C1948" s="77" t="s">
        <v>1026</v>
      </c>
      <c r="D1948" s="78">
        <v>45991</v>
      </c>
      <c r="E1948" s="79" t="s">
        <v>314</v>
      </c>
      <c r="F1948" s="77" t="s">
        <v>19</v>
      </c>
      <c r="G1948" s="77"/>
    </row>
    <row r="1949" spans="1:7" x14ac:dyDescent="0.35">
      <c r="A1949" s="77" t="s">
        <v>1282</v>
      </c>
      <c r="B1949" s="77" t="s">
        <v>1025</v>
      </c>
      <c r="C1949" s="77" t="s">
        <v>1026</v>
      </c>
      <c r="D1949" s="78">
        <v>45991</v>
      </c>
      <c r="E1949" s="79" t="s">
        <v>314</v>
      </c>
      <c r="F1949" s="77" t="s">
        <v>19</v>
      </c>
      <c r="G1949" s="77"/>
    </row>
    <row r="1950" spans="1:7" x14ac:dyDescent="0.35">
      <c r="A1950" s="77" t="s">
        <v>1212</v>
      </c>
      <c r="B1950" s="77" t="s">
        <v>1025</v>
      </c>
      <c r="C1950" s="77" t="s">
        <v>1026</v>
      </c>
      <c r="D1950" s="78">
        <v>45991</v>
      </c>
      <c r="E1950" s="79" t="s">
        <v>314</v>
      </c>
      <c r="F1950" s="77" t="s">
        <v>867</v>
      </c>
      <c r="G1950" s="77" t="s">
        <v>1170</v>
      </c>
    </row>
    <row r="1951" spans="1:7" x14ac:dyDescent="0.35">
      <c r="A1951" s="77" t="s">
        <v>1239</v>
      </c>
      <c r="B1951" s="77" t="s">
        <v>1025</v>
      </c>
      <c r="C1951" s="77" t="s">
        <v>1026</v>
      </c>
      <c r="D1951" s="78">
        <v>45991</v>
      </c>
      <c r="E1951" s="79" t="s">
        <v>314</v>
      </c>
      <c r="F1951" s="77" t="s">
        <v>867</v>
      </c>
      <c r="G1951" s="77" t="s">
        <v>1170</v>
      </c>
    </row>
    <row r="1952" spans="1:7" x14ac:dyDescent="0.35">
      <c r="A1952" s="77" t="s">
        <v>1200</v>
      </c>
      <c r="B1952" s="77" t="s">
        <v>1025</v>
      </c>
      <c r="C1952" s="77" t="s">
        <v>1026</v>
      </c>
      <c r="D1952" s="78">
        <v>45991</v>
      </c>
      <c r="E1952" s="79" t="s">
        <v>314</v>
      </c>
      <c r="F1952" s="77" t="s">
        <v>867</v>
      </c>
      <c r="G1952" s="77" t="s">
        <v>1170</v>
      </c>
    </row>
    <row r="1953" spans="1:7" x14ac:dyDescent="0.35">
      <c r="A1953" s="77" t="s">
        <v>1238</v>
      </c>
      <c r="B1953" s="77" t="s">
        <v>1025</v>
      </c>
      <c r="C1953" s="77" t="s">
        <v>1026</v>
      </c>
      <c r="D1953" s="78">
        <v>45991</v>
      </c>
      <c r="E1953" s="79" t="s">
        <v>314</v>
      </c>
      <c r="F1953" s="77" t="s">
        <v>867</v>
      </c>
      <c r="G1953" s="77" t="s">
        <v>1170</v>
      </c>
    </row>
    <row r="1954" spans="1:7" x14ac:dyDescent="0.35">
      <c r="A1954" s="77" t="s">
        <v>1237</v>
      </c>
      <c r="B1954" s="77" t="s">
        <v>1025</v>
      </c>
      <c r="C1954" s="77" t="s">
        <v>1026</v>
      </c>
      <c r="D1954" s="78">
        <v>45991</v>
      </c>
      <c r="E1954" s="79" t="s">
        <v>314</v>
      </c>
      <c r="F1954" s="77" t="s">
        <v>867</v>
      </c>
      <c r="G1954" s="77" t="s">
        <v>1170</v>
      </c>
    </row>
    <row r="1955" spans="1:7" x14ac:dyDescent="0.35">
      <c r="A1955" s="77" t="s">
        <v>729</v>
      </c>
      <c r="B1955" s="77" t="s">
        <v>1025</v>
      </c>
      <c r="C1955" s="77" t="s">
        <v>1026</v>
      </c>
      <c r="D1955" s="78">
        <v>45991</v>
      </c>
      <c r="E1955" s="79" t="s">
        <v>314</v>
      </c>
      <c r="F1955" s="77" t="s">
        <v>1080</v>
      </c>
      <c r="G1955" s="77"/>
    </row>
    <row r="1956" spans="1:7" x14ac:dyDescent="0.35">
      <c r="A1956" s="77" t="s">
        <v>728</v>
      </c>
      <c r="B1956" s="77" t="s">
        <v>1025</v>
      </c>
      <c r="C1956" s="77" t="s">
        <v>1026</v>
      </c>
      <c r="D1956" s="78">
        <v>45991</v>
      </c>
      <c r="E1956" s="79" t="s">
        <v>314</v>
      </c>
      <c r="F1956" s="77" t="s">
        <v>1080</v>
      </c>
      <c r="G1956" s="77"/>
    </row>
    <row r="1957" spans="1:7" x14ac:dyDescent="0.35">
      <c r="A1957" s="77" t="s">
        <v>727</v>
      </c>
      <c r="B1957" s="77" t="s">
        <v>1025</v>
      </c>
      <c r="C1957" s="77" t="s">
        <v>1026</v>
      </c>
      <c r="D1957" s="78">
        <v>45991</v>
      </c>
      <c r="E1957" s="79" t="s">
        <v>314</v>
      </c>
      <c r="F1957" s="77" t="s">
        <v>1080</v>
      </c>
      <c r="G1957" s="77"/>
    </row>
    <row r="1958" spans="1:7" x14ac:dyDescent="0.35">
      <c r="A1958" s="77" t="s">
        <v>693</v>
      </c>
      <c r="B1958" s="77" t="s">
        <v>1025</v>
      </c>
      <c r="C1958" s="77" t="s">
        <v>1026</v>
      </c>
      <c r="D1958" s="78">
        <v>45991</v>
      </c>
      <c r="E1958" s="79" t="s">
        <v>314</v>
      </c>
      <c r="F1958" s="77" t="s">
        <v>1080</v>
      </c>
      <c r="G1958" s="77"/>
    </row>
    <row r="1959" spans="1:7" x14ac:dyDescent="0.35">
      <c r="A1959" s="77" t="s">
        <v>1288</v>
      </c>
      <c r="B1959" s="77" t="s">
        <v>1025</v>
      </c>
      <c r="C1959" s="77" t="s">
        <v>1026</v>
      </c>
      <c r="D1959" s="78">
        <v>45991</v>
      </c>
      <c r="E1959" s="79" t="s">
        <v>314</v>
      </c>
      <c r="F1959" s="77" t="s">
        <v>1080</v>
      </c>
      <c r="G1959" s="77"/>
    </row>
    <row r="1960" spans="1:7" x14ac:dyDescent="0.35">
      <c r="A1960" s="77" t="s">
        <v>1296</v>
      </c>
      <c r="B1960" s="77" t="s">
        <v>1025</v>
      </c>
      <c r="C1960" s="77" t="s">
        <v>1026</v>
      </c>
      <c r="D1960" s="78">
        <v>45991</v>
      </c>
      <c r="E1960" s="79" t="s">
        <v>314</v>
      </c>
      <c r="F1960" s="77" t="s">
        <v>1080</v>
      </c>
      <c r="G1960" s="77"/>
    </row>
    <row r="1961" spans="1:7" x14ac:dyDescent="0.35">
      <c r="A1961" s="77" t="s">
        <v>1202</v>
      </c>
      <c r="B1961" s="77" t="s">
        <v>1025</v>
      </c>
      <c r="C1961" s="77" t="s">
        <v>1026</v>
      </c>
      <c r="D1961" s="78">
        <v>45991</v>
      </c>
      <c r="E1961" s="79" t="s">
        <v>314</v>
      </c>
      <c r="F1961" s="77" t="s">
        <v>1080</v>
      </c>
      <c r="G1961" s="77"/>
    </row>
    <row r="1962" spans="1:7" x14ac:dyDescent="0.35">
      <c r="A1962" s="77" t="s">
        <v>1021</v>
      </c>
      <c r="B1962" s="77" t="s">
        <v>1025</v>
      </c>
      <c r="C1962" s="77" t="s">
        <v>1026</v>
      </c>
      <c r="D1962" s="78">
        <v>45991</v>
      </c>
      <c r="E1962" s="79" t="s">
        <v>314</v>
      </c>
      <c r="F1962" s="77" t="s">
        <v>1080</v>
      </c>
      <c r="G1962" s="77"/>
    </row>
    <row r="1963" spans="1:7" x14ac:dyDescent="0.35">
      <c r="A1963" s="74" t="s">
        <v>1022</v>
      </c>
      <c r="B1963" s="74" t="s">
        <v>908</v>
      </c>
      <c r="C1963" s="74" t="s">
        <v>374</v>
      </c>
      <c r="D1963" s="75">
        <v>45994</v>
      </c>
      <c r="E1963" s="76" t="s">
        <v>314</v>
      </c>
      <c r="F1963" s="74" t="s">
        <v>872</v>
      </c>
      <c r="G1963" s="74" t="s">
        <v>317</v>
      </c>
    </row>
    <row r="1964" spans="1:7" x14ac:dyDescent="0.35">
      <c r="A1964" s="7" t="s">
        <v>1022</v>
      </c>
      <c r="B1964" s="7" t="s">
        <v>1025</v>
      </c>
      <c r="C1964" s="77" t="s">
        <v>1026</v>
      </c>
      <c r="D1964" s="10">
        <v>45994</v>
      </c>
      <c r="E1964" s="11" t="s">
        <v>314</v>
      </c>
      <c r="F1964" s="7" t="s">
        <v>894</v>
      </c>
      <c r="G1964" s="7" t="s">
        <v>15</v>
      </c>
    </row>
    <row r="1965" spans="1:7" x14ac:dyDescent="0.35">
      <c r="A1965" s="74" t="s">
        <v>1021</v>
      </c>
      <c r="B1965" s="74" t="s">
        <v>908</v>
      </c>
      <c r="C1965" s="74" t="s">
        <v>374</v>
      </c>
      <c r="D1965" s="75">
        <v>45994</v>
      </c>
      <c r="E1965" s="76" t="s">
        <v>314</v>
      </c>
      <c r="F1965" s="74" t="s">
        <v>872</v>
      </c>
      <c r="G1965" s="74" t="s">
        <v>317</v>
      </c>
    </row>
    <row r="1966" spans="1:7" x14ac:dyDescent="0.35">
      <c r="A1966" s="7" t="s">
        <v>1021</v>
      </c>
      <c r="B1966" s="7" t="s">
        <v>1025</v>
      </c>
      <c r="C1966" s="77" t="s">
        <v>1026</v>
      </c>
      <c r="D1966" s="10">
        <v>45994</v>
      </c>
      <c r="E1966" s="11" t="s">
        <v>314</v>
      </c>
      <c r="F1966" s="7" t="s">
        <v>894</v>
      </c>
      <c r="G1966" s="7" t="s">
        <v>15</v>
      </c>
    </row>
    <row r="1967" spans="1:7" x14ac:dyDescent="0.35">
      <c r="A1967" s="7" t="s">
        <v>1215</v>
      </c>
      <c r="B1967" s="7" t="s">
        <v>1025</v>
      </c>
      <c r="C1967" s="77" t="s">
        <v>1026</v>
      </c>
      <c r="D1967" s="10">
        <v>45994</v>
      </c>
      <c r="E1967" s="11" t="s">
        <v>314</v>
      </c>
      <c r="F1967" s="7" t="s">
        <v>871</v>
      </c>
      <c r="G1967" s="7" t="s">
        <v>891</v>
      </c>
    </row>
    <row r="1968" spans="1:7" x14ac:dyDescent="0.35">
      <c r="A1968" s="74" t="s">
        <v>1310</v>
      </c>
      <c r="B1968" s="74" t="s">
        <v>908</v>
      </c>
      <c r="C1968" s="74" t="s">
        <v>374</v>
      </c>
      <c r="D1968" s="75">
        <v>45994</v>
      </c>
      <c r="E1968" s="76" t="s">
        <v>314</v>
      </c>
      <c r="F1968" s="74" t="s">
        <v>872</v>
      </c>
      <c r="G1968" s="74" t="s">
        <v>317</v>
      </c>
    </row>
    <row r="1969" spans="1:7" x14ac:dyDescent="0.35">
      <c r="A1969" s="7" t="s">
        <v>1310</v>
      </c>
      <c r="B1969" s="7" t="s">
        <v>1025</v>
      </c>
      <c r="C1969" s="77" t="s">
        <v>1026</v>
      </c>
      <c r="D1969" s="10">
        <v>45994</v>
      </c>
      <c r="E1969" s="11" t="s">
        <v>314</v>
      </c>
      <c r="F1969" s="7" t="s">
        <v>894</v>
      </c>
      <c r="G1969" s="7" t="s">
        <v>15</v>
      </c>
    </row>
    <row r="1970" spans="1:7" x14ac:dyDescent="0.35">
      <c r="A1970" s="74" t="s">
        <v>1179</v>
      </c>
      <c r="B1970" s="74" t="s">
        <v>908</v>
      </c>
      <c r="C1970" s="74" t="s">
        <v>374</v>
      </c>
      <c r="D1970" s="75">
        <v>45994</v>
      </c>
      <c r="E1970" s="76" t="s">
        <v>314</v>
      </c>
      <c r="F1970" s="74" t="s">
        <v>872</v>
      </c>
      <c r="G1970" s="74" t="s">
        <v>317</v>
      </c>
    </row>
    <row r="1971" spans="1:7" x14ac:dyDescent="0.35">
      <c r="A1971" s="7" t="s">
        <v>1179</v>
      </c>
      <c r="B1971" s="7" t="s">
        <v>1025</v>
      </c>
      <c r="C1971" s="77" t="s">
        <v>1026</v>
      </c>
      <c r="D1971" s="10">
        <v>45994</v>
      </c>
      <c r="E1971" s="11" t="s">
        <v>314</v>
      </c>
      <c r="F1971" s="7" t="s">
        <v>894</v>
      </c>
      <c r="G1971" s="7" t="s">
        <v>15</v>
      </c>
    </row>
    <row r="1972" spans="1:7" x14ac:dyDescent="0.35">
      <c r="A1972" s="74" t="s">
        <v>1202</v>
      </c>
      <c r="B1972" s="74" t="s">
        <v>908</v>
      </c>
      <c r="C1972" s="74" t="s">
        <v>374</v>
      </c>
      <c r="D1972" s="75">
        <v>45994</v>
      </c>
      <c r="E1972" s="76" t="s">
        <v>314</v>
      </c>
      <c r="F1972" s="74" t="s">
        <v>872</v>
      </c>
      <c r="G1972" s="74" t="s">
        <v>317</v>
      </c>
    </row>
    <row r="1973" spans="1:7" x14ac:dyDescent="0.35">
      <c r="A1973" s="7" t="s">
        <v>1202</v>
      </c>
      <c r="B1973" s="7" t="s">
        <v>1025</v>
      </c>
      <c r="C1973" s="77" t="s">
        <v>1026</v>
      </c>
      <c r="D1973" s="10">
        <v>45994</v>
      </c>
      <c r="E1973" s="11" t="s">
        <v>314</v>
      </c>
      <c r="F1973" s="7" t="s">
        <v>894</v>
      </c>
      <c r="G1973" s="7" t="s">
        <v>15</v>
      </c>
    </row>
    <row r="1974" spans="1:7" x14ac:dyDescent="0.35">
      <c r="A1974" s="7" t="s">
        <v>1182</v>
      </c>
      <c r="B1974" s="7" t="s">
        <v>1025</v>
      </c>
      <c r="C1974" s="77" t="s">
        <v>1026</v>
      </c>
      <c r="D1974" s="10">
        <v>45994</v>
      </c>
      <c r="E1974" s="11" t="s">
        <v>314</v>
      </c>
      <c r="F1974" s="7" t="s">
        <v>871</v>
      </c>
      <c r="G1974" s="7" t="s">
        <v>891</v>
      </c>
    </row>
    <row r="1975" spans="1:7" x14ac:dyDescent="0.35">
      <c r="A1975" s="7" t="s">
        <v>1182</v>
      </c>
      <c r="B1975" s="7" t="s">
        <v>1025</v>
      </c>
      <c r="C1975" s="77" t="s">
        <v>1026</v>
      </c>
      <c r="D1975" s="10">
        <v>45994</v>
      </c>
      <c r="E1975" s="11" t="s">
        <v>314</v>
      </c>
      <c r="F1975" s="7" t="s">
        <v>894</v>
      </c>
      <c r="G1975" s="7" t="s">
        <v>15</v>
      </c>
    </row>
    <row r="1976" spans="1:7" x14ac:dyDescent="0.35">
      <c r="A1976" s="74" t="s">
        <v>1300</v>
      </c>
      <c r="B1976" s="74" t="s">
        <v>908</v>
      </c>
      <c r="C1976" s="74" t="s">
        <v>374</v>
      </c>
      <c r="D1976" s="75">
        <v>45994</v>
      </c>
      <c r="E1976" s="76" t="s">
        <v>314</v>
      </c>
      <c r="F1976" s="74" t="s">
        <v>872</v>
      </c>
      <c r="G1976" s="74" t="s">
        <v>317</v>
      </c>
    </row>
    <row r="1977" spans="1:7" x14ac:dyDescent="0.35">
      <c r="A1977" s="7" t="s">
        <v>999</v>
      </c>
      <c r="B1977" s="74" t="s">
        <v>908</v>
      </c>
      <c r="C1977" s="74" t="s">
        <v>374</v>
      </c>
      <c r="D1977" s="75">
        <v>45994</v>
      </c>
      <c r="E1977" s="76" t="s">
        <v>314</v>
      </c>
      <c r="F1977" s="74" t="s">
        <v>872</v>
      </c>
      <c r="G1977" s="74" t="s">
        <v>317</v>
      </c>
    </row>
    <row r="1978" spans="1:7" x14ac:dyDescent="0.35">
      <c r="A1978" s="7" t="s">
        <v>1316</v>
      </c>
      <c r="B1978" s="7" t="s">
        <v>1025</v>
      </c>
      <c r="C1978" s="77" t="s">
        <v>1026</v>
      </c>
      <c r="D1978" s="10">
        <v>45994</v>
      </c>
      <c r="E1978" s="11" t="s">
        <v>314</v>
      </c>
      <c r="F1978" s="7" t="s">
        <v>871</v>
      </c>
      <c r="G1978" s="7" t="s">
        <v>891</v>
      </c>
    </row>
    <row r="1979" spans="1:7" x14ac:dyDescent="0.35">
      <c r="A1979" s="74" t="s">
        <v>1316</v>
      </c>
      <c r="B1979" s="74" t="s">
        <v>1025</v>
      </c>
      <c r="C1979" s="77" t="s">
        <v>1026</v>
      </c>
      <c r="D1979" s="75">
        <v>45994</v>
      </c>
      <c r="E1979" s="76" t="s">
        <v>314</v>
      </c>
      <c r="F1979" s="74" t="s">
        <v>872</v>
      </c>
      <c r="G1979" s="74" t="s">
        <v>317</v>
      </c>
    </row>
    <row r="1980" spans="1:7" x14ac:dyDescent="0.35">
      <c r="A1980" s="7" t="s">
        <v>1298</v>
      </c>
      <c r="B1980" s="7" t="s">
        <v>1025</v>
      </c>
      <c r="C1980" s="77" t="s">
        <v>1026</v>
      </c>
      <c r="D1980" s="10">
        <v>45994</v>
      </c>
      <c r="E1980" s="11" t="s">
        <v>314</v>
      </c>
      <c r="F1980" s="7" t="s">
        <v>871</v>
      </c>
      <c r="G1980" s="7" t="s">
        <v>891</v>
      </c>
    </row>
    <row r="1981" spans="1:7" x14ac:dyDescent="0.35">
      <c r="A1981" s="7" t="s">
        <v>1298</v>
      </c>
      <c r="B1981" s="7" t="s">
        <v>1025</v>
      </c>
      <c r="C1981" s="77" t="s">
        <v>1026</v>
      </c>
      <c r="D1981" s="10">
        <v>45994</v>
      </c>
      <c r="E1981" s="11" t="s">
        <v>314</v>
      </c>
      <c r="F1981" s="7" t="s">
        <v>894</v>
      </c>
      <c r="G1981" s="7" t="s">
        <v>15</v>
      </c>
    </row>
    <row r="1982" spans="1:7" x14ac:dyDescent="0.35">
      <c r="A1982" s="7" t="s">
        <v>1296</v>
      </c>
      <c r="B1982" s="7" t="s">
        <v>1025</v>
      </c>
      <c r="C1982" s="77" t="s">
        <v>1026</v>
      </c>
      <c r="D1982" s="10">
        <v>45994</v>
      </c>
      <c r="E1982" s="11" t="s">
        <v>314</v>
      </c>
      <c r="F1982" s="7" t="s">
        <v>871</v>
      </c>
      <c r="G1982" s="7" t="s">
        <v>891</v>
      </c>
    </row>
    <row r="1983" spans="1:7" x14ac:dyDescent="0.35">
      <c r="A1983" s="7" t="s">
        <v>1296</v>
      </c>
      <c r="B1983" s="7" t="s">
        <v>1025</v>
      </c>
      <c r="C1983" s="77" t="s">
        <v>1026</v>
      </c>
      <c r="D1983" s="10">
        <v>45994</v>
      </c>
      <c r="E1983" s="11" t="s">
        <v>314</v>
      </c>
      <c r="F1983" s="7" t="s">
        <v>894</v>
      </c>
      <c r="G1983" s="7" t="s">
        <v>15</v>
      </c>
    </row>
    <row r="1984" spans="1:7" x14ac:dyDescent="0.35">
      <c r="A1984" s="74" t="s">
        <v>523</v>
      </c>
      <c r="B1984" s="74" t="s">
        <v>908</v>
      </c>
      <c r="C1984" s="74" t="s">
        <v>374</v>
      </c>
      <c r="D1984" s="75">
        <v>45994</v>
      </c>
      <c r="E1984" s="76" t="s">
        <v>314</v>
      </c>
      <c r="F1984" s="74" t="s">
        <v>872</v>
      </c>
      <c r="G1984" s="74" t="s">
        <v>317</v>
      </c>
    </row>
    <row r="1985" spans="1:7" x14ac:dyDescent="0.35">
      <c r="A1985" s="7" t="s">
        <v>523</v>
      </c>
      <c r="B1985" s="7" t="s">
        <v>1025</v>
      </c>
      <c r="C1985" s="77" t="s">
        <v>1026</v>
      </c>
      <c r="D1985" s="10">
        <v>45994</v>
      </c>
      <c r="E1985" s="11" t="s">
        <v>314</v>
      </c>
      <c r="F1985" s="7" t="s">
        <v>894</v>
      </c>
      <c r="G1985" s="7" t="s">
        <v>15</v>
      </c>
    </row>
    <row r="1986" spans="1:7" x14ac:dyDescent="0.35">
      <c r="A1986" s="77" t="s">
        <v>738</v>
      </c>
      <c r="B1986" s="77" t="s">
        <v>1025</v>
      </c>
      <c r="C1986" s="77" t="s">
        <v>1026</v>
      </c>
      <c r="D1986" s="78">
        <v>45994</v>
      </c>
      <c r="E1986" s="79" t="s">
        <v>314</v>
      </c>
      <c r="F1986" s="77" t="s">
        <v>1080</v>
      </c>
      <c r="G1986" s="77"/>
    </row>
    <row r="1987" spans="1:7" x14ac:dyDescent="0.35">
      <c r="A1987" s="77" t="s">
        <v>999</v>
      </c>
      <c r="B1987" s="77" t="s">
        <v>1025</v>
      </c>
      <c r="C1987" s="77" t="s">
        <v>1026</v>
      </c>
      <c r="D1987" s="78">
        <v>45994</v>
      </c>
      <c r="E1987" s="79" t="s">
        <v>314</v>
      </c>
      <c r="F1987" s="77" t="s">
        <v>1080</v>
      </c>
      <c r="G1987" s="77"/>
    </row>
    <row r="1988" spans="1:7" x14ac:dyDescent="0.35">
      <c r="A1988" s="77" t="s">
        <v>1179</v>
      </c>
      <c r="B1988" s="77" t="s">
        <v>1025</v>
      </c>
      <c r="C1988" s="77" t="s">
        <v>1026</v>
      </c>
      <c r="D1988" s="78">
        <v>45994</v>
      </c>
      <c r="E1988" s="79" t="s">
        <v>314</v>
      </c>
      <c r="F1988" s="77" t="s">
        <v>1080</v>
      </c>
      <c r="G1988" s="77"/>
    </row>
    <row r="1989" spans="1:7" x14ac:dyDescent="0.35">
      <c r="A1989" s="77" t="s">
        <v>149</v>
      </c>
      <c r="B1989" s="77" t="s">
        <v>1025</v>
      </c>
      <c r="C1989" s="77" t="s">
        <v>1026</v>
      </c>
      <c r="D1989" s="78">
        <v>45994</v>
      </c>
      <c r="E1989" s="79" t="s">
        <v>314</v>
      </c>
      <c r="F1989" s="77" t="s">
        <v>1080</v>
      </c>
      <c r="G1989" s="77"/>
    </row>
    <row r="1990" spans="1:7" x14ac:dyDescent="0.35">
      <c r="A1990" s="7" t="s">
        <v>1180</v>
      </c>
      <c r="B1990" s="74" t="s">
        <v>908</v>
      </c>
      <c r="C1990" s="74" t="s">
        <v>374</v>
      </c>
      <c r="D1990" s="75">
        <v>45995</v>
      </c>
      <c r="E1990" s="76" t="s">
        <v>314</v>
      </c>
      <c r="F1990" s="74" t="s">
        <v>872</v>
      </c>
      <c r="G1990" s="74" t="s">
        <v>317</v>
      </c>
    </row>
    <row r="1991" spans="1:7" x14ac:dyDescent="0.35">
      <c r="A1991" s="7" t="s">
        <v>1180</v>
      </c>
      <c r="B1991" s="7" t="s">
        <v>1025</v>
      </c>
      <c r="C1991" s="77" t="s">
        <v>1026</v>
      </c>
      <c r="D1991" s="10">
        <v>45995</v>
      </c>
      <c r="E1991" s="11" t="s">
        <v>314</v>
      </c>
      <c r="F1991" s="7" t="s">
        <v>894</v>
      </c>
      <c r="G1991" s="7" t="s">
        <v>15</v>
      </c>
    </row>
    <row r="1992" spans="1:7" x14ac:dyDescent="0.35">
      <c r="A1992" s="7" t="s">
        <v>1319</v>
      </c>
      <c r="B1992" s="7" t="s">
        <v>1025</v>
      </c>
      <c r="C1992" s="77" t="s">
        <v>1026</v>
      </c>
      <c r="D1992" s="10">
        <v>45995</v>
      </c>
      <c r="E1992" s="11" t="s">
        <v>314</v>
      </c>
      <c r="F1992" s="7" t="s">
        <v>871</v>
      </c>
      <c r="G1992" s="7" t="s">
        <v>891</v>
      </c>
    </row>
    <row r="1993" spans="1:7" x14ac:dyDescent="0.35">
      <c r="A1993" s="7" t="s">
        <v>1319</v>
      </c>
      <c r="B1993" s="7" t="s">
        <v>1025</v>
      </c>
      <c r="C1993" s="77" t="s">
        <v>1026</v>
      </c>
      <c r="D1993" s="10">
        <v>45995</v>
      </c>
      <c r="E1993" s="11" t="s">
        <v>314</v>
      </c>
      <c r="F1993" s="7" t="s">
        <v>894</v>
      </c>
      <c r="G1993" s="7" t="s">
        <v>15</v>
      </c>
    </row>
    <row r="1994" spans="1:7" x14ac:dyDescent="0.35">
      <c r="A1994" s="7" t="s">
        <v>717</v>
      </c>
      <c r="B1994" s="7" t="s">
        <v>1025</v>
      </c>
      <c r="C1994" s="77" t="s">
        <v>1026</v>
      </c>
      <c r="D1994" s="10">
        <v>45995</v>
      </c>
      <c r="E1994" s="11" t="s">
        <v>314</v>
      </c>
      <c r="F1994" s="7" t="s">
        <v>867</v>
      </c>
      <c r="G1994" s="7" t="s">
        <v>1297</v>
      </c>
    </row>
    <row r="1995" spans="1:7" x14ac:dyDescent="0.35">
      <c r="A1995" s="7" t="s">
        <v>919</v>
      </c>
      <c r="B1995" s="7" t="s">
        <v>1025</v>
      </c>
      <c r="C1995" s="77" t="s">
        <v>1026</v>
      </c>
      <c r="D1995" s="10">
        <v>45995</v>
      </c>
      <c r="E1995" s="11" t="s">
        <v>314</v>
      </c>
      <c r="F1995" s="7" t="s">
        <v>867</v>
      </c>
      <c r="G1995" s="7" t="s">
        <v>1232</v>
      </c>
    </row>
    <row r="1996" spans="1:7" x14ac:dyDescent="0.35">
      <c r="A1996" s="7" t="s">
        <v>919</v>
      </c>
      <c r="B1996" s="7" t="s">
        <v>1025</v>
      </c>
      <c r="C1996" s="77" t="s">
        <v>1026</v>
      </c>
      <c r="D1996" s="10">
        <v>45995</v>
      </c>
      <c r="E1996" s="11" t="s">
        <v>314</v>
      </c>
      <c r="F1996" s="7" t="s">
        <v>867</v>
      </c>
      <c r="G1996" s="7" t="s">
        <v>1297</v>
      </c>
    </row>
    <row r="1997" spans="1:7" x14ac:dyDescent="0.35">
      <c r="A1997" s="7" t="s">
        <v>421</v>
      </c>
      <c r="B1997" s="7" t="s">
        <v>1025</v>
      </c>
      <c r="C1997" s="77" t="s">
        <v>1026</v>
      </c>
      <c r="D1997" s="10">
        <v>45995</v>
      </c>
      <c r="E1997" s="11" t="s">
        <v>314</v>
      </c>
      <c r="F1997" s="7" t="s">
        <v>867</v>
      </c>
      <c r="G1997" s="7" t="s">
        <v>1297</v>
      </c>
    </row>
    <row r="1998" spans="1:7" x14ac:dyDescent="0.35">
      <c r="A1998" s="7" t="s">
        <v>1325</v>
      </c>
      <c r="B1998" s="7" t="s">
        <v>1025</v>
      </c>
      <c r="C1998" s="77" t="s">
        <v>1026</v>
      </c>
      <c r="D1998" s="10">
        <v>45995</v>
      </c>
      <c r="E1998" s="11" t="s">
        <v>314</v>
      </c>
      <c r="F1998" s="7" t="s">
        <v>867</v>
      </c>
      <c r="G1998" s="7" t="s">
        <v>1232</v>
      </c>
    </row>
    <row r="1999" spans="1:7" x14ac:dyDescent="0.35">
      <c r="A1999" s="7" t="s">
        <v>1057</v>
      </c>
      <c r="B1999" s="7" t="s">
        <v>1025</v>
      </c>
      <c r="C1999" s="77" t="s">
        <v>1026</v>
      </c>
      <c r="D1999" s="10">
        <v>45995</v>
      </c>
      <c r="E1999" s="11" t="s">
        <v>314</v>
      </c>
      <c r="F1999" s="7" t="s">
        <v>871</v>
      </c>
      <c r="G1999" s="7" t="s">
        <v>891</v>
      </c>
    </row>
    <row r="2000" spans="1:7" x14ac:dyDescent="0.35">
      <c r="A2000" s="7" t="s">
        <v>1057</v>
      </c>
      <c r="B2000" s="7" t="s">
        <v>1025</v>
      </c>
      <c r="C2000" s="77" t="s">
        <v>1026</v>
      </c>
      <c r="D2000" s="10">
        <v>45995</v>
      </c>
      <c r="E2000" s="11" t="s">
        <v>314</v>
      </c>
      <c r="F2000" s="7" t="s">
        <v>894</v>
      </c>
      <c r="G2000" s="7" t="s">
        <v>15</v>
      </c>
    </row>
    <row r="2001" spans="1:7" x14ac:dyDescent="0.35">
      <c r="A2001" s="77" t="s">
        <v>1057</v>
      </c>
      <c r="B2001" s="77" t="s">
        <v>1025</v>
      </c>
      <c r="C2001" s="77" t="s">
        <v>1026</v>
      </c>
      <c r="D2001" s="78">
        <v>45995</v>
      </c>
      <c r="E2001" s="79" t="s">
        <v>314</v>
      </c>
      <c r="F2001" s="77" t="s">
        <v>1080</v>
      </c>
      <c r="G2001" s="77"/>
    </row>
    <row r="2002" spans="1:7" x14ac:dyDescent="0.35">
      <c r="A2002" s="77" t="s">
        <v>1319</v>
      </c>
      <c r="B2002" s="77" t="s">
        <v>1025</v>
      </c>
      <c r="C2002" s="77" t="s">
        <v>1026</v>
      </c>
      <c r="D2002" s="78">
        <v>45995</v>
      </c>
      <c r="E2002" s="79" t="s">
        <v>314</v>
      </c>
      <c r="F2002" s="77" t="s">
        <v>1080</v>
      </c>
      <c r="G2002" s="77"/>
    </row>
    <row r="2003" spans="1:7" x14ac:dyDescent="0.35">
      <c r="A2003" s="77" t="s">
        <v>1022</v>
      </c>
      <c r="B2003" s="77" t="s">
        <v>1025</v>
      </c>
      <c r="C2003" s="77" t="s">
        <v>1026</v>
      </c>
      <c r="D2003" s="78">
        <v>45995</v>
      </c>
      <c r="E2003" s="79" t="s">
        <v>314</v>
      </c>
      <c r="F2003" s="77" t="s">
        <v>1080</v>
      </c>
      <c r="G2003" s="77"/>
    </row>
    <row r="2004" spans="1:7" x14ac:dyDescent="0.35">
      <c r="A2004" s="77" t="s">
        <v>1180</v>
      </c>
      <c r="B2004" s="77" t="s">
        <v>1025</v>
      </c>
      <c r="C2004" s="77" t="s">
        <v>1026</v>
      </c>
      <c r="D2004" s="78">
        <v>45995</v>
      </c>
      <c r="E2004" s="79" t="s">
        <v>314</v>
      </c>
      <c r="F2004" s="77" t="s">
        <v>1080</v>
      </c>
      <c r="G2004" s="77"/>
    </row>
    <row r="2005" spans="1:7" x14ac:dyDescent="0.35">
      <c r="A2005" s="77" t="s">
        <v>1287</v>
      </c>
      <c r="B2005" s="77" t="s">
        <v>1025</v>
      </c>
      <c r="C2005" s="77" t="s">
        <v>1026</v>
      </c>
      <c r="D2005" s="78">
        <v>45995</v>
      </c>
      <c r="E2005" s="79" t="s">
        <v>314</v>
      </c>
      <c r="F2005" s="77" t="s">
        <v>1080</v>
      </c>
      <c r="G2005" s="77"/>
    </row>
    <row r="2006" spans="1:7" x14ac:dyDescent="0.35">
      <c r="A2006" s="77" t="s">
        <v>1286</v>
      </c>
      <c r="B2006" s="77" t="s">
        <v>1025</v>
      </c>
      <c r="C2006" s="77" t="s">
        <v>1026</v>
      </c>
      <c r="D2006" s="78">
        <v>45995</v>
      </c>
      <c r="E2006" s="79" t="s">
        <v>314</v>
      </c>
      <c r="F2006" s="77" t="s">
        <v>1080</v>
      </c>
      <c r="G2006" s="77"/>
    </row>
    <row r="2007" spans="1:7" x14ac:dyDescent="0.35">
      <c r="A2007" s="77" t="s">
        <v>1208</v>
      </c>
      <c r="B2007" s="77" t="s">
        <v>1025</v>
      </c>
      <c r="C2007" s="77" t="s">
        <v>1026</v>
      </c>
      <c r="D2007" s="78">
        <v>45995</v>
      </c>
      <c r="E2007" s="79" t="s">
        <v>314</v>
      </c>
      <c r="F2007" s="77" t="s">
        <v>1080</v>
      </c>
      <c r="G2007" s="77"/>
    </row>
    <row r="2008" spans="1:7" x14ac:dyDescent="0.35">
      <c r="A2008" s="7" t="s">
        <v>1331</v>
      </c>
      <c r="B2008" s="7" t="s">
        <v>1025</v>
      </c>
      <c r="C2008" s="77" t="s">
        <v>1026</v>
      </c>
      <c r="D2008" s="10">
        <v>45996</v>
      </c>
      <c r="E2008" s="11" t="s">
        <v>314</v>
      </c>
      <c r="F2008" s="7" t="s">
        <v>867</v>
      </c>
      <c r="G2008" s="7" t="s">
        <v>1232</v>
      </c>
    </row>
    <row r="2009" spans="1:7" x14ac:dyDescent="0.35">
      <c r="A2009" s="77" t="s">
        <v>1173</v>
      </c>
      <c r="B2009" s="77" t="s">
        <v>1025</v>
      </c>
      <c r="C2009" s="77" t="s">
        <v>1026</v>
      </c>
      <c r="D2009" s="78">
        <v>45996</v>
      </c>
      <c r="E2009" s="79" t="s">
        <v>314</v>
      </c>
      <c r="F2009" s="77" t="s">
        <v>19</v>
      </c>
      <c r="G2009" s="77"/>
    </row>
    <row r="2010" spans="1:7" x14ac:dyDescent="0.35">
      <c r="A2010" s="7" t="s">
        <v>149</v>
      </c>
      <c r="B2010" s="7" t="s">
        <v>1025</v>
      </c>
      <c r="C2010" s="77" t="s">
        <v>1026</v>
      </c>
      <c r="D2010" s="10">
        <v>45996</v>
      </c>
      <c r="E2010" s="11" t="s">
        <v>314</v>
      </c>
      <c r="F2010" s="7" t="s">
        <v>867</v>
      </c>
      <c r="G2010" s="7" t="s">
        <v>1232</v>
      </c>
    </row>
    <row r="2011" spans="1:7" x14ac:dyDescent="0.35">
      <c r="A2011" s="77" t="s">
        <v>1294</v>
      </c>
      <c r="B2011" s="77" t="s">
        <v>1025</v>
      </c>
      <c r="C2011" s="77" t="s">
        <v>1026</v>
      </c>
      <c r="D2011" s="78">
        <v>45996</v>
      </c>
      <c r="E2011" s="79" t="s">
        <v>314</v>
      </c>
      <c r="F2011" s="77" t="s">
        <v>867</v>
      </c>
      <c r="G2011" s="77" t="s">
        <v>1170</v>
      </c>
    </row>
    <row r="2012" spans="1:7" x14ac:dyDescent="0.35">
      <c r="A2012" s="7" t="s">
        <v>1330</v>
      </c>
      <c r="B2012" s="7" t="s">
        <v>1025</v>
      </c>
      <c r="C2012" s="77" t="s">
        <v>1026</v>
      </c>
      <c r="D2012" s="10">
        <v>45996</v>
      </c>
      <c r="E2012" s="11" t="s">
        <v>314</v>
      </c>
      <c r="F2012" s="7" t="s">
        <v>867</v>
      </c>
      <c r="G2012" s="7" t="s">
        <v>1232</v>
      </c>
    </row>
    <row r="2013" spans="1:7" x14ac:dyDescent="0.35">
      <c r="A2013" s="77" t="s">
        <v>984</v>
      </c>
      <c r="B2013" s="77" t="s">
        <v>1025</v>
      </c>
      <c r="C2013" s="77" t="s">
        <v>1026</v>
      </c>
      <c r="D2013" s="78">
        <v>45996</v>
      </c>
      <c r="E2013" s="79" t="s">
        <v>314</v>
      </c>
      <c r="F2013" s="77" t="s">
        <v>1080</v>
      </c>
      <c r="G2013" s="77"/>
    </row>
    <row r="2014" spans="1:7" x14ac:dyDescent="0.35">
      <c r="A2014" s="7" t="s">
        <v>1323</v>
      </c>
      <c r="B2014" s="7" t="s">
        <v>908</v>
      </c>
      <c r="C2014" s="7" t="s">
        <v>374</v>
      </c>
      <c r="D2014" s="10">
        <v>45997</v>
      </c>
      <c r="E2014" s="11" t="s">
        <v>314</v>
      </c>
      <c r="F2014" s="7" t="s">
        <v>872</v>
      </c>
      <c r="G2014" s="7" t="s">
        <v>317</v>
      </c>
    </row>
    <row r="2015" spans="1:7" x14ac:dyDescent="0.35">
      <c r="A2015" s="7" t="s">
        <v>1323</v>
      </c>
      <c r="B2015" s="7" t="s">
        <v>1025</v>
      </c>
      <c r="C2015" s="77" t="s">
        <v>1026</v>
      </c>
      <c r="D2015" s="10">
        <v>45997</v>
      </c>
      <c r="E2015" s="11" t="s">
        <v>314</v>
      </c>
      <c r="F2015" s="7" t="s">
        <v>894</v>
      </c>
      <c r="G2015" s="7" t="s">
        <v>15</v>
      </c>
    </row>
    <row r="2016" spans="1:7" x14ac:dyDescent="0.35">
      <c r="A2016" s="7" t="s">
        <v>1181</v>
      </c>
      <c r="B2016" s="7" t="s">
        <v>908</v>
      </c>
      <c r="C2016" s="7" t="s">
        <v>374</v>
      </c>
      <c r="D2016" s="10">
        <v>45997</v>
      </c>
      <c r="E2016" s="11" t="s">
        <v>314</v>
      </c>
      <c r="F2016" s="7" t="s">
        <v>872</v>
      </c>
      <c r="G2016" s="7" t="s">
        <v>317</v>
      </c>
    </row>
    <row r="2017" spans="1:7" x14ac:dyDescent="0.35">
      <c r="A2017" s="7" t="s">
        <v>1181</v>
      </c>
      <c r="B2017" s="7" t="s">
        <v>1025</v>
      </c>
      <c r="C2017" s="77" t="s">
        <v>1026</v>
      </c>
      <c r="D2017" s="10">
        <v>45997</v>
      </c>
      <c r="E2017" s="11" t="s">
        <v>314</v>
      </c>
      <c r="F2017" s="7" t="s">
        <v>894</v>
      </c>
      <c r="G2017" s="7" t="s">
        <v>15</v>
      </c>
    </row>
    <row r="2018" spans="1:7" x14ac:dyDescent="0.35">
      <c r="A2018" s="7" t="s">
        <v>1320</v>
      </c>
      <c r="B2018" s="74" t="s">
        <v>908</v>
      </c>
      <c r="C2018" s="74" t="s">
        <v>374</v>
      </c>
      <c r="D2018" s="75">
        <v>45997</v>
      </c>
      <c r="E2018" s="76" t="s">
        <v>314</v>
      </c>
      <c r="F2018" s="74" t="s">
        <v>872</v>
      </c>
      <c r="G2018" s="74" t="s">
        <v>317</v>
      </c>
    </row>
    <row r="2019" spans="1:7" x14ac:dyDescent="0.35">
      <c r="A2019" s="7" t="s">
        <v>1320</v>
      </c>
      <c r="B2019" s="7" t="s">
        <v>1025</v>
      </c>
      <c r="C2019" s="77" t="s">
        <v>1026</v>
      </c>
      <c r="D2019" s="10">
        <v>45997</v>
      </c>
      <c r="E2019" s="11" t="s">
        <v>314</v>
      </c>
      <c r="F2019" s="7" t="s">
        <v>894</v>
      </c>
      <c r="G2019" s="7" t="s">
        <v>15</v>
      </c>
    </row>
    <row r="2020" spans="1:7" x14ac:dyDescent="0.35">
      <c r="A2020" s="7" t="s">
        <v>984</v>
      </c>
      <c r="B2020" s="7" t="s">
        <v>1025</v>
      </c>
      <c r="C2020" s="77" t="s">
        <v>1026</v>
      </c>
      <c r="D2020" s="10">
        <v>45997</v>
      </c>
      <c r="E2020" s="11" t="s">
        <v>314</v>
      </c>
      <c r="F2020" s="7" t="s">
        <v>871</v>
      </c>
      <c r="G2020" s="7" t="s">
        <v>891</v>
      </c>
    </row>
    <row r="2021" spans="1:7" x14ac:dyDescent="0.35">
      <c r="A2021" s="7" t="s">
        <v>984</v>
      </c>
      <c r="B2021" s="7" t="s">
        <v>1025</v>
      </c>
      <c r="C2021" s="77" t="s">
        <v>1026</v>
      </c>
      <c r="D2021" s="10">
        <v>45997</v>
      </c>
      <c r="E2021" s="11" t="s">
        <v>314</v>
      </c>
      <c r="F2021" s="7" t="s">
        <v>894</v>
      </c>
      <c r="G2021" s="7" t="s">
        <v>15</v>
      </c>
    </row>
    <row r="2022" spans="1:7" x14ac:dyDescent="0.35">
      <c r="A2022" s="7" t="s">
        <v>1208</v>
      </c>
      <c r="B2022" s="7" t="s">
        <v>1025</v>
      </c>
      <c r="C2022" s="77" t="s">
        <v>1026</v>
      </c>
      <c r="D2022" s="10">
        <v>45997</v>
      </c>
      <c r="E2022" s="11" t="s">
        <v>314</v>
      </c>
      <c r="F2022" s="7" t="s">
        <v>867</v>
      </c>
      <c r="G2022" s="7" t="s">
        <v>1232</v>
      </c>
    </row>
    <row r="2023" spans="1:7" x14ac:dyDescent="0.35">
      <c r="A2023" s="7" t="s">
        <v>1228</v>
      </c>
      <c r="B2023" s="7" t="s">
        <v>1025</v>
      </c>
      <c r="C2023" s="77" t="s">
        <v>1026</v>
      </c>
      <c r="D2023" s="10">
        <v>45997</v>
      </c>
      <c r="E2023" s="11" t="s">
        <v>314</v>
      </c>
      <c r="F2023" s="7" t="s">
        <v>867</v>
      </c>
      <c r="G2023" s="7" t="s">
        <v>1232</v>
      </c>
    </row>
    <row r="2024" spans="1:7" x14ac:dyDescent="0.35">
      <c r="A2024" s="7" t="s">
        <v>1329</v>
      </c>
      <c r="B2024" s="7" t="s">
        <v>1025</v>
      </c>
      <c r="C2024" s="77" t="s">
        <v>1026</v>
      </c>
      <c r="D2024" s="10">
        <v>45997</v>
      </c>
      <c r="E2024" s="11" t="s">
        <v>314</v>
      </c>
      <c r="F2024" s="7" t="s">
        <v>867</v>
      </c>
      <c r="G2024" s="7" t="s">
        <v>1232</v>
      </c>
    </row>
    <row r="2025" spans="1:7" x14ac:dyDescent="0.35">
      <c r="A2025" s="7" t="s">
        <v>421</v>
      </c>
      <c r="B2025" s="7" t="s">
        <v>1025</v>
      </c>
      <c r="C2025" s="77" t="s">
        <v>1026</v>
      </c>
      <c r="D2025" s="10">
        <v>45997</v>
      </c>
      <c r="E2025" s="11" t="s">
        <v>314</v>
      </c>
      <c r="F2025" s="7" t="s">
        <v>867</v>
      </c>
      <c r="G2025" s="7" t="s">
        <v>1232</v>
      </c>
    </row>
    <row r="2026" spans="1:7" x14ac:dyDescent="0.35">
      <c r="A2026" s="7" t="s">
        <v>1007</v>
      </c>
      <c r="B2026" s="7" t="s">
        <v>1025</v>
      </c>
      <c r="C2026" s="77" t="s">
        <v>1026</v>
      </c>
      <c r="D2026" s="10">
        <v>45997</v>
      </c>
      <c r="E2026" s="11" t="s">
        <v>314</v>
      </c>
      <c r="F2026" s="7" t="s">
        <v>88</v>
      </c>
      <c r="G2026" s="7" t="s">
        <v>88</v>
      </c>
    </row>
    <row r="2027" spans="1:7" x14ac:dyDescent="0.35">
      <c r="A2027" s="7" t="s">
        <v>992</v>
      </c>
      <c r="B2027" s="7" t="s">
        <v>1025</v>
      </c>
      <c r="C2027" s="77" t="s">
        <v>1026</v>
      </c>
      <c r="D2027" s="10">
        <v>45997</v>
      </c>
      <c r="E2027" s="11" t="s">
        <v>314</v>
      </c>
      <c r="F2027" s="7" t="s">
        <v>88</v>
      </c>
      <c r="G2027" s="7" t="s">
        <v>88</v>
      </c>
    </row>
    <row r="2028" spans="1:7" x14ac:dyDescent="0.35">
      <c r="A2028" s="7" t="s">
        <v>1295</v>
      </c>
      <c r="B2028" s="7" t="s">
        <v>1025</v>
      </c>
      <c r="C2028" s="77" t="s">
        <v>1026</v>
      </c>
      <c r="D2028" s="10">
        <v>45997</v>
      </c>
      <c r="E2028" s="11" t="s">
        <v>314</v>
      </c>
      <c r="F2028" s="7" t="s">
        <v>867</v>
      </c>
      <c r="G2028" s="7" t="s">
        <v>1170</v>
      </c>
    </row>
    <row r="2029" spans="1:7" x14ac:dyDescent="0.35">
      <c r="A2029" s="7" t="s">
        <v>1053</v>
      </c>
      <c r="B2029" s="7" t="s">
        <v>1025</v>
      </c>
      <c r="C2029" s="77" t="s">
        <v>1026</v>
      </c>
      <c r="D2029" s="10">
        <v>45997</v>
      </c>
      <c r="E2029" s="11" t="s">
        <v>314</v>
      </c>
      <c r="F2029" s="7" t="s">
        <v>871</v>
      </c>
      <c r="G2029" s="7" t="s">
        <v>891</v>
      </c>
    </row>
    <row r="2030" spans="1:7" x14ac:dyDescent="0.35">
      <c r="A2030" s="7" t="s">
        <v>1053</v>
      </c>
      <c r="B2030" s="7" t="s">
        <v>1025</v>
      </c>
      <c r="C2030" s="77" t="s">
        <v>1026</v>
      </c>
      <c r="D2030" s="10">
        <v>45997</v>
      </c>
      <c r="E2030" s="11" t="s">
        <v>314</v>
      </c>
      <c r="F2030" s="7" t="s">
        <v>894</v>
      </c>
      <c r="G2030" s="7" t="s">
        <v>15</v>
      </c>
    </row>
    <row r="2031" spans="1:7" x14ac:dyDescent="0.35">
      <c r="A2031" s="7" t="s">
        <v>1229</v>
      </c>
      <c r="B2031" s="7" t="s">
        <v>1025</v>
      </c>
      <c r="C2031" s="77" t="s">
        <v>1026</v>
      </c>
      <c r="D2031" s="10">
        <v>45997</v>
      </c>
      <c r="E2031" s="11" t="s">
        <v>314</v>
      </c>
      <c r="F2031" s="7" t="s">
        <v>867</v>
      </c>
      <c r="G2031" s="7" t="s">
        <v>1232</v>
      </c>
    </row>
    <row r="2032" spans="1:7" x14ac:dyDescent="0.35">
      <c r="A2032" s="7" t="s">
        <v>1230</v>
      </c>
      <c r="B2032" s="7" t="s">
        <v>1025</v>
      </c>
      <c r="C2032" s="77" t="s">
        <v>1026</v>
      </c>
      <c r="D2032" s="10">
        <v>45997</v>
      </c>
      <c r="E2032" s="11" t="s">
        <v>314</v>
      </c>
      <c r="F2032" s="7" t="s">
        <v>867</v>
      </c>
      <c r="G2032" s="7" t="s">
        <v>1232</v>
      </c>
    </row>
    <row r="2033" spans="1:7" x14ac:dyDescent="0.35">
      <c r="A2033" s="77" t="s">
        <v>686</v>
      </c>
      <c r="B2033" s="77" t="s">
        <v>1025</v>
      </c>
      <c r="C2033" s="77" t="s">
        <v>1026</v>
      </c>
      <c r="D2033" s="78">
        <v>45997</v>
      </c>
      <c r="E2033" s="79" t="s">
        <v>314</v>
      </c>
      <c r="F2033" s="77" t="s">
        <v>1080</v>
      </c>
      <c r="G2033" s="77"/>
    </row>
    <row r="2034" spans="1:7" x14ac:dyDescent="0.35">
      <c r="A2034" s="77" t="s">
        <v>742</v>
      </c>
      <c r="B2034" s="77" t="s">
        <v>1025</v>
      </c>
      <c r="C2034" s="77" t="s">
        <v>1026</v>
      </c>
      <c r="D2034" s="78">
        <v>45997</v>
      </c>
      <c r="E2034" s="79" t="s">
        <v>314</v>
      </c>
      <c r="F2034" s="77" t="s">
        <v>1080</v>
      </c>
      <c r="G2034" s="77"/>
    </row>
    <row r="2035" spans="1:7" x14ac:dyDescent="0.35">
      <c r="A2035" s="77" t="s">
        <v>1181</v>
      </c>
      <c r="B2035" s="77" t="s">
        <v>1025</v>
      </c>
      <c r="C2035" s="77" t="s">
        <v>1026</v>
      </c>
      <c r="D2035" s="78">
        <v>45997</v>
      </c>
      <c r="E2035" s="79" t="s">
        <v>314</v>
      </c>
      <c r="F2035" s="77" t="s">
        <v>1080</v>
      </c>
      <c r="G2035" s="77"/>
    </row>
    <row r="2036" spans="1:7" x14ac:dyDescent="0.35">
      <c r="A2036" s="77" t="s">
        <v>717</v>
      </c>
      <c r="B2036" s="77" t="s">
        <v>1025</v>
      </c>
      <c r="C2036" s="77" t="s">
        <v>1026</v>
      </c>
      <c r="D2036" s="78">
        <v>45997</v>
      </c>
      <c r="E2036" s="79" t="s">
        <v>314</v>
      </c>
      <c r="F2036" s="77" t="s">
        <v>1080</v>
      </c>
      <c r="G2036" s="77"/>
    </row>
    <row r="2037" spans="1:7" x14ac:dyDescent="0.35">
      <c r="A2037" s="77" t="s">
        <v>1323</v>
      </c>
      <c r="B2037" s="77" t="s">
        <v>1025</v>
      </c>
      <c r="C2037" s="77" t="s">
        <v>1026</v>
      </c>
      <c r="D2037" s="78">
        <v>45997</v>
      </c>
      <c r="E2037" s="79" t="s">
        <v>314</v>
      </c>
      <c r="F2037" s="77" t="s">
        <v>1080</v>
      </c>
      <c r="G2037" s="77"/>
    </row>
    <row r="2038" spans="1:7" x14ac:dyDescent="0.35">
      <c r="A2038" s="77" t="s">
        <v>1320</v>
      </c>
      <c r="B2038" s="77" t="s">
        <v>1025</v>
      </c>
      <c r="C2038" s="77" t="s">
        <v>1026</v>
      </c>
      <c r="D2038" s="78">
        <v>45997</v>
      </c>
      <c r="E2038" s="79" t="s">
        <v>314</v>
      </c>
      <c r="F2038" s="77" t="s">
        <v>1080</v>
      </c>
      <c r="G2038" s="77"/>
    </row>
    <row r="2039" spans="1:7" x14ac:dyDescent="0.35">
      <c r="A2039" s="77" t="s">
        <v>1053</v>
      </c>
      <c r="B2039" s="77" t="s">
        <v>1025</v>
      </c>
      <c r="C2039" s="77" t="s">
        <v>1026</v>
      </c>
      <c r="D2039" s="78">
        <v>45997</v>
      </c>
      <c r="E2039" s="79" t="s">
        <v>314</v>
      </c>
      <c r="F2039" s="77" t="s">
        <v>1080</v>
      </c>
      <c r="G2039" s="77"/>
    </row>
    <row r="2040" spans="1:7" x14ac:dyDescent="0.35">
      <c r="A2040" s="77" t="s">
        <v>683</v>
      </c>
      <c r="B2040" s="77" t="s">
        <v>1025</v>
      </c>
      <c r="C2040" s="77" t="s">
        <v>1026</v>
      </c>
      <c r="D2040" s="78">
        <v>45997</v>
      </c>
      <c r="E2040" s="79" t="s">
        <v>314</v>
      </c>
      <c r="F2040" s="77" t="s">
        <v>1080</v>
      </c>
      <c r="G2040" s="77"/>
    </row>
    <row r="2041" spans="1:7" x14ac:dyDescent="0.35">
      <c r="A2041" s="77" t="s">
        <v>809</v>
      </c>
      <c r="B2041" s="77" t="s">
        <v>1025</v>
      </c>
      <c r="C2041" s="77" t="s">
        <v>1026</v>
      </c>
      <c r="D2041" s="78">
        <v>45997</v>
      </c>
      <c r="E2041" s="79" t="s">
        <v>314</v>
      </c>
      <c r="F2041" s="77" t="s">
        <v>1080</v>
      </c>
      <c r="G2041" s="77"/>
    </row>
    <row r="2042" spans="1:7" x14ac:dyDescent="0.35">
      <c r="A2042" s="77" t="s">
        <v>85</v>
      </c>
      <c r="B2042" s="77" t="s">
        <v>1025</v>
      </c>
      <c r="C2042" s="77" t="s">
        <v>1026</v>
      </c>
      <c r="D2042" s="78">
        <v>45997</v>
      </c>
      <c r="E2042" s="79" t="s">
        <v>314</v>
      </c>
      <c r="F2042" s="77" t="s">
        <v>1080</v>
      </c>
      <c r="G2042" s="77"/>
    </row>
    <row r="2043" spans="1:7" x14ac:dyDescent="0.35">
      <c r="A2043" s="77" t="s">
        <v>1272</v>
      </c>
      <c r="B2043" s="77" t="s">
        <v>1025</v>
      </c>
      <c r="C2043" s="77" t="s">
        <v>1026</v>
      </c>
      <c r="D2043" s="78">
        <v>45997</v>
      </c>
      <c r="E2043" s="79" t="s">
        <v>314</v>
      </c>
      <c r="F2043" s="77" t="s">
        <v>1080</v>
      </c>
      <c r="G2043" s="77"/>
    </row>
    <row r="2044" spans="1:7" x14ac:dyDescent="0.35">
      <c r="A2044" s="77" t="s">
        <v>1353</v>
      </c>
      <c r="B2044" s="77" t="s">
        <v>1025</v>
      </c>
      <c r="C2044" s="77" t="s">
        <v>1026</v>
      </c>
      <c r="D2044" s="78">
        <v>45999</v>
      </c>
      <c r="E2044" s="79" t="s">
        <v>314</v>
      </c>
      <c r="F2044" s="77" t="s">
        <v>1080</v>
      </c>
      <c r="G2044" s="77"/>
    </row>
    <row r="2045" spans="1:7" x14ac:dyDescent="0.35">
      <c r="A2045" s="77" t="s">
        <v>1106</v>
      </c>
      <c r="B2045" s="77" t="s">
        <v>1025</v>
      </c>
      <c r="C2045" s="77" t="s">
        <v>1026</v>
      </c>
      <c r="D2045" s="78">
        <v>45999</v>
      </c>
      <c r="E2045" s="79" t="s">
        <v>314</v>
      </c>
      <c r="F2045" s="77" t="s">
        <v>1080</v>
      </c>
      <c r="G2045" s="77"/>
    </row>
    <row r="2046" spans="1:7" x14ac:dyDescent="0.35">
      <c r="A2046" s="77" t="s">
        <v>1352</v>
      </c>
      <c r="B2046" s="77" t="s">
        <v>1025</v>
      </c>
      <c r="C2046" s="77" t="s">
        <v>1026</v>
      </c>
      <c r="D2046" s="78">
        <v>45999</v>
      </c>
      <c r="E2046" s="79" t="s">
        <v>314</v>
      </c>
      <c r="F2046" s="77" t="s">
        <v>1080</v>
      </c>
      <c r="G2046" s="77"/>
    </row>
    <row r="2047" spans="1:7" x14ac:dyDescent="0.35">
      <c r="A2047" s="77" t="s">
        <v>1351</v>
      </c>
      <c r="B2047" s="77" t="s">
        <v>1025</v>
      </c>
      <c r="C2047" s="77" t="s">
        <v>1026</v>
      </c>
      <c r="D2047" s="78">
        <v>45999</v>
      </c>
      <c r="E2047" s="79" t="s">
        <v>314</v>
      </c>
      <c r="F2047" s="77" t="s">
        <v>1080</v>
      </c>
      <c r="G2047" s="77"/>
    </row>
    <row r="2048" spans="1:7" x14ac:dyDescent="0.35">
      <c r="A2048" s="77" t="s">
        <v>456</v>
      </c>
      <c r="B2048" s="77" t="s">
        <v>1025</v>
      </c>
      <c r="C2048" s="77" t="s">
        <v>1026</v>
      </c>
      <c r="D2048" s="78">
        <v>45999</v>
      </c>
      <c r="E2048" s="79" t="s">
        <v>314</v>
      </c>
      <c r="F2048" s="77" t="s">
        <v>1080</v>
      </c>
      <c r="G2048" s="77"/>
    </row>
    <row r="2049" spans="1:7" x14ac:dyDescent="0.35">
      <c r="A2049" s="77" t="s">
        <v>177</v>
      </c>
      <c r="B2049" s="77" t="s">
        <v>1025</v>
      </c>
      <c r="C2049" s="77" t="s">
        <v>1026</v>
      </c>
      <c r="D2049" s="78">
        <v>45999</v>
      </c>
      <c r="E2049" s="79" t="s">
        <v>314</v>
      </c>
      <c r="F2049" s="77" t="s">
        <v>1080</v>
      </c>
      <c r="G2049" s="77"/>
    </row>
    <row r="2050" spans="1:7" x14ac:dyDescent="0.35">
      <c r="A2050" s="77" t="s">
        <v>997</v>
      </c>
      <c r="B2050" s="77" t="s">
        <v>1025</v>
      </c>
      <c r="C2050" s="77" t="s">
        <v>1026</v>
      </c>
      <c r="D2050" s="78">
        <v>45999</v>
      </c>
      <c r="E2050" s="79" t="s">
        <v>314</v>
      </c>
      <c r="F2050" s="77" t="s">
        <v>1080</v>
      </c>
      <c r="G2050" s="77"/>
    </row>
    <row r="2051" spans="1:7" x14ac:dyDescent="0.35">
      <c r="A2051" s="77" t="s">
        <v>1285</v>
      </c>
      <c r="B2051" s="77" t="s">
        <v>1025</v>
      </c>
      <c r="C2051" s="77" t="s">
        <v>1026</v>
      </c>
      <c r="D2051" s="78">
        <v>46000</v>
      </c>
      <c r="E2051" s="79" t="s">
        <v>314</v>
      </c>
      <c r="F2051" s="77" t="s">
        <v>1080</v>
      </c>
      <c r="G2051" s="77"/>
    </row>
    <row r="2052" spans="1:7" x14ac:dyDescent="0.35">
      <c r="A2052" s="77" t="s">
        <v>1002</v>
      </c>
      <c r="B2052" s="77" t="s">
        <v>1025</v>
      </c>
      <c r="C2052" s="77" t="s">
        <v>1026</v>
      </c>
      <c r="D2052" s="78">
        <v>46000</v>
      </c>
      <c r="E2052" s="79" t="s">
        <v>314</v>
      </c>
      <c r="F2052" s="77" t="s">
        <v>1080</v>
      </c>
      <c r="G2052" s="77"/>
    </row>
    <row r="2053" spans="1:7" x14ac:dyDescent="0.35">
      <c r="A2053" s="77" t="s">
        <v>89</v>
      </c>
      <c r="B2053" s="77" t="s">
        <v>1025</v>
      </c>
      <c r="C2053" s="77" t="s">
        <v>1026</v>
      </c>
      <c r="D2053" s="78">
        <v>46000</v>
      </c>
      <c r="E2053" s="79" t="s">
        <v>314</v>
      </c>
      <c r="F2053" s="77" t="s">
        <v>1080</v>
      </c>
      <c r="G2053" s="77"/>
    </row>
    <row r="2054" spans="1:7" x14ac:dyDescent="0.35">
      <c r="A2054" s="77" t="s">
        <v>1299</v>
      </c>
      <c r="B2054" s="77" t="s">
        <v>1025</v>
      </c>
      <c r="C2054" s="77" t="s">
        <v>1026</v>
      </c>
      <c r="D2054" s="78">
        <v>46000</v>
      </c>
      <c r="E2054" s="79" t="s">
        <v>314</v>
      </c>
      <c r="F2054" s="77" t="s">
        <v>1080</v>
      </c>
      <c r="G2054" s="77"/>
    </row>
    <row r="2055" spans="1:7" x14ac:dyDescent="0.35">
      <c r="A2055" s="77" t="s">
        <v>746</v>
      </c>
      <c r="B2055" s="77" t="s">
        <v>1025</v>
      </c>
      <c r="C2055" s="77" t="s">
        <v>1026</v>
      </c>
      <c r="D2055" s="78">
        <v>46000</v>
      </c>
      <c r="E2055" s="79" t="s">
        <v>314</v>
      </c>
      <c r="F2055" s="77" t="s">
        <v>1080</v>
      </c>
      <c r="G2055" s="77"/>
    </row>
    <row r="2056" spans="1:7" x14ac:dyDescent="0.35">
      <c r="A2056" s="77" t="s">
        <v>1350</v>
      </c>
      <c r="B2056" s="77" t="s">
        <v>1025</v>
      </c>
      <c r="C2056" s="77" t="s">
        <v>1026</v>
      </c>
      <c r="D2056" s="78">
        <v>46000</v>
      </c>
      <c r="E2056" s="79" t="s">
        <v>314</v>
      </c>
      <c r="F2056" s="77" t="s">
        <v>1080</v>
      </c>
      <c r="G2056" s="77"/>
    </row>
    <row r="2057" spans="1:7" x14ac:dyDescent="0.35">
      <c r="A2057" s="77" t="s">
        <v>1314</v>
      </c>
      <c r="B2057" s="77" t="s">
        <v>1025</v>
      </c>
      <c r="C2057" s="77" t="s">
        <v>1026</v>
      </c>
      <c r="D2057" s="78">
        <v>46000</v>
      </c>
      <c r="E2057" s="79" t="s">
        <v>314</v>
      </c>
      <c r="F2057" s="77" t="s">
        <v>1080</v>
      </c>
      <c r="G2057" s="77"/>
    </row>
    <row r="2058" spans="1:7" x14ac:dyDescent="0.35">
      <c r="A2058" s="77" t="s">
        <v>1044</v>
      </c>
      <c r="B2058" s="77" t="s">
        <v>1025</v>
      </c>
      <c r="C2058" s="77" t="s">
        <v>1026</v>
      </c>
      <c r="D2058" s="78">
        <v>46001</v>
      </c>
      <c r="E2058" s="79" t="s">
        <v>314</v>
      </c>
      <c r="F2058" s="77" t="s">
        <v>1080</v>
      </c>
      <c r="G2058" s="77"/>
    </row>
    <row r="2059" spans="1:7" x14ac:dyDescent="0.35">
      <c r="A2059" s="77" t="s">
        <v>1360</v>
      </c>
      <c r="B2059" s="77" t="s">
        <v>1025</v>
      </c>
      <c r="C2059" s="77" t="s">
        <v>1026</v>
      </c>
      <c r="D2059" s="78">
        <v>46001</v>
      </c>
      <c r="E2059" s="79" t="s">
        <v>314</v>
      </c>
      <c r="F2059" s="77" t="s">
        <v>1080</v>
      </c>
      <c r="G2059" s="77"/>
    </row>
    <row r="2060" spans="1:7" x14ac:dyDescent="0.35">
      <c r="A2060" s="77" t="s">
        <v>892</v>
      </c>
      <c r="B2060" s="77" t="s">
        <v>1025</v>
      </c>
      <c r="C2060" s="77" t="s">
        <v>1026</v>
      </c>
      <c r="D2060" s="78">
        <v>46001</v>
      </c>
      <c r="E2060" s="79" t="s">
        <v>314</v>
      </c>
      <c r="F2060" s="77" t="s">
        <v>1080</v>
      </c>
      <c r="G2060" s="77"/>
    </row>
    <row r="2061" spans="1:7" x14ac:dyDescent="0.35">
      <c r="A2061" s="77" t="s">
        <v>968</v>
      </c>
      <c r="B2061" s="77" t="s">
        <v>1025</v>
      </c>
      <c r="C2061" s="77" t="s">
        <v>1026</v>
      </c>
      <c r="D2061" s="78">
        <v>46001</v>
      </c>
      <c r="E2061" s="79" t="s">
        <v>314</v>
      </c>
      <c r="F2061" s="77" t="s">
        <v>1080</v>
      </c>
      <c r="G2061" s="77"/>
    </row>
    <row r="2062" spans="1:7" x14ac:dyDescent="0.35">
      <c r="A2062" s="77" t="s">
        <v>744</v>
      </c>
      <c r="B2062" s="77" t="s">
        <v>1025</v>
      </c>
      <c r="C2062" s="77" t="s">
        <v>1026</v>
      </c>
      <c r="D2062" s="78">
        <v>46001</v>
      </c>
      <c r="E2062" s="79" t="s">
        <v>314</v>
      </c>
      <c r="F2062" s="77" t="s">
        <v>1080</v>
      </c>
      <c r="G2062" s="77"/>
    </row>
    <row r="2063" spans="1:7" x14ac:dyDescent="0.35">
      <c r="A2063" s="7" t="s">
        <v>1016</v>
      </c>
      <c r="B2063" s="7" t="s">
        <v>1025</v>
      </c>
      <c r="C2063" s="77" t="s">
        <v>1026</v>
      </c>
      <c r="D2063" s="10">
        <v>46002</v>
      </c>
      <c r="E2063" s="11" t="s">
        <v>314</v>
      </c>
      <c r="F2063" s="7" t="s">
        <v>877</v>
      </c>
      <c r="G2063" s="7"/>
    </row>
    <row r="2064" spans="1:7" x14ac:dyDescent="0.35">
      <c r="A2064" s="7" t="s">
        <v>1299</v>
      </c>
      <c r="B2064" s="74" t="s">
        <v>908</v>
      </c>
      <c r="C2064" s="74" t="s">
        <v>374</v>
      </c>
      <c r="D2064" s="75">
        <v>46002</v>
      </c>
      <c r="E2064" s="76" t="s">
        <v>314</v>
      </c>
      <c r="F2064" s="74" t="s">
        <v>872</v>
      </c>
      <c r="G2064" s="74" t="s">
        <v>317</v>
      </c>
    </row>
    <row r="2065" spans="1:7" x14ac:dyDescent="0.35">
      <c r="A2065" s="7" t="s">
        <v>1299</v>
      </c>
      <c r="B2065" s="7" t="s">
        <v>1025</v>
      </c>
      <c r="C2065" s="77" t="s">
        <v>1026</v>
      </c>
      <c r="D2065" s="10">
        <v>46002</v>
      </c>
      <c r="E2065" s="11" t="s">
        <v>314</v>
      </c>
      <c r="F2065" s="7" t="s">
        <v>894</v>
      </c>
      <c r="G2065" s="7" t="s">
        <v>15</v>
      </c>
    </row>
    <row r="2066" spans="1:7" x14ac:dyDescent="0.35">
      <c r="A2066" s="7" t="s">
        <v>433</v>
      </c>
      <c r="B2066" s="7" t="s">
        <v>1025</v>
      </c>
      <c r="C2066" s="77" t="s">
        <v>1026</v>
      </c>
      <c r="D2066" s="10">
        <v>46002</v>
      </c>
      <c r="E2066" s="11" t="s">
        <v>314</v>
      </c>
      <c r="F2066" s="7" t="s">
        <v>867</v>
      </c>
      <c r="G2066" s="7" t="s">
        <v>1260</v>
      </c>
    </row>
    <row r="2067" spans="1:7" x14ac:dyDescent="0.35">
      <c r="A2067" s="7" t="s">
        <v>177</v>
      </c>
      <c r="B2067" s="7" t="s">
        <v>1025</v>
      </c>
      <c r="C2067" s="77" t="s">
        <v>1026</v>
      </c>
      <c r="D2067" s="10">
        <v>46002</v>
      </c>
      <c r="E2067" s="11" t="s">
        <v>314</v>
      </c>
      <c r="F2067" s="7" t="s">
        <v>867</v>
      </c>
      <c r="G2067" s="7" t="s">
        <v>1260</v>
      </c>
    </row>
    <row r="2068" spans="1:7" x14ac:dyDescent="0.35">
      <c r="A2068" s="7" t="s">
        <v>997</v>
      </c>
      <c r="B2068" s="7" t="s">
        <v>1025</v>
      </c>
      <c r="C2068" s="77" t="s">
        <v>1026</v>
      </c>
      <c r="D2068" s="10">
        <v>46002</v>
      </c>
      <c r="E2068" s="11" t="s">
        <v>314</v>
      </c>
      <c r="F2068" s="7" t="s">
        <v>867</v>
      </c>
      <c r="G2068" s="7" t="s">
        <v>1260</v>
      </c>
    </row>
    <row r="2069" spans="1:7" x14ac:dyDescent="0.35">
      <c r="A2069" s="77" t="s">
        <v>1255</v>
      </c>
      <c r="B2069" s="7" t="s">
        <v>1025</v>
      </c>
      <c r="C2069" s="77" t="s">
        <v>1026</v>
      </c>
      <c r="D2069" s="78">
        <v>46002</v>
      </c>
      <c r="E2069" s="79" t="s">
        <v>314</v>
      </c>
      <c r="F2069" s="77" t="s">
        <v>867</v>
      </c>
      <c r="G2069" s="77" t="s">
        <v>1170</v>
      </c>
    </row>
    <row r="2070" spans="1:7" x14ac:dyDescent="0.35">
      <c r="A2070" s="7" t="s">
        <v>1317</v>
      </c>
      <c r="B2070" s="7" t="s">
        <v>1025</v>
      </c>
      <c r="C2070" s="77" t="s">
        <v>1026</v>
      </c>
      <c r="D2070" s="10">
        <v>46002</v>
      </c>
      <c r="E2070" s="11" t="s">
        <v>314</v>
      </c>
      <c r="F2070" s="7" t="s">
        <v>894</v>
      </c>
      <c r="G2070" s="7" t="s">
        <v>15</v>
      </c>
    </row>
    <row r="2071" spans="1:7" x14ac:dyDescent="0.35">
      <c r="A2071" s="7" t="s">
        <v>270</v>
      </c>
      <c r="B2071" s="7" t="s">
        <v>1025</v>
      </c>
      <c r="C2071" s="77" t="s">
        <v>1026</v>
      </c>
      <c r="D2071" s="10">
        <v>46002</v>
      </c>
      <c r="E2071" s="11" t="s">
        <v>314</v>
      </c>
      <c r="F2071" s="7" t="s">
        <v>894</v>
      </c>
      <c r="G2071" s="7" t="s">
        <v>15</v>
      </c>
    </row>
    <row r="2072" spans="1:7" x14ac:dyDescent="0.35">
      <c r="A2072" s="7" t="s">
        <v>1285</v>
      </c>
      <c r="B2072" s="74" t="s">
        <v>908</v>
      </c>
      <c r="C2072" s="74" t="s">
        <v>374</v>
      </c>
      <c r="D2072" s="75">
        <v>46002</v>
      </c>
      <c r="E2072" s="76" t="s">
        <v>314</v>
      </c>
      <c r="F2072" s="74" t="s">
        <v>872</v>
      </c>
      <c r="G2072" s="74" t="s">
        <v>317</v>
      </c>
    </row>
    <row r="2073" spans="1:7" x14ac:dyDescent="0.35">
      <c r="A2073" s="7" t="s">
        <v>1285</v>
      </c>
      <c r="B2073" s="7" t="s">
        <v>1025</v>
      </c>
      <c r="C2073" s="77" t="s">
        <v>1026</v>
      </c>
      <c r="D2073" s="10">
        <v>46002</v>
      </c>
      <c r="E2073" s="11" t="s">
        <v>314</v>
      </c>
      <c r="F2073" s="7" t="s">
        <v>894</v>
      </c>
      <c r="G2073" s="7" t="s">
        <v>15</v>
      </c>
    </row>
    <row r="2074" spans="1:7" x14ac:dyDescent="0.35">
      <c r="A2074" s="7" t="s">
        <v>1002</v>
      </c>
      <c r="B2074" s="74" t="s">
        <v>908</v>
      </c>
      <c r="C2074" s="74" t="s">
        <v>374</v>
      </c>
      <c r="D2074" s="75">
        <v>46002</v>
      </c>
      <c r="E2074" s="76" t="s">
        <v>314</v>
      </c>
      <c r="F2074" s="74" t="s">
        <v>872</v>
      </c>
      <c r="G2074" s="74" t="s">
        <v>317</v>
      </c>
    </row>
    <row r="2075" spans="1:7" x14ac:dyDescent="0.35">
      <c r="A2075" s="7" t="s">
        <v>1002</v>
      </c>
      <c r="B2075" s="7" t="s">
        <v>1025</v>
      </c>
      <c r="C2075" s="77" t="s">
        <v>1026</v>
      </c>
      <c r="D2075" s="10">
        <v>46002</v>
      </c>
      <c r="E2075" s="11" t="s">
        <v>314</v>
      </c>
      <c r="F2075" s="7" t="s">
        <v>894</v>
      </c>
      <c r="G2075" s="7" t="s">
        <v>15</v>
      </c>
    </row>
    <row r="2076" spans="1:7" x14ac:dyDescent="0.35">
      <c r="A2076" s="7" t="s">
        <v>1279</v>
      </c>
      <c r="B2076" s="7" t="s">
        <v>1025</v>
      </c>
      <c r="C2076" s="77" t="s">
        <v>1026</v>
      </c>
      <c r="D2076" s="10">
        <v>46002</v>
      </c>
      <c r="E2076" s="11" t="s">
        <v>314</v>
      </c>
      <c r="F2076" s="7" t="s">
        <v>867</v>
      </c>
      <c r="G2076" s="7" t="s">
        <v>1260</v>
      </c>
    </row>
    <row r="2077" spans="1:7" x14ac:dyDescent="0.35">
      <c r="A2077" s="7" t="s">
        <v>943</v>
      </c>
      <c r="B2077" s="7" t="s">
        <v>1025</v>
      </c>
      <c r="C2077" s="77" t="s">
        <v>1026</v>
      </c>
      <c r="D2077" s="10">
        <v>46002</v>
      </c>
      <c r="E2077" s="11" t="s">
        <v>314</v>
      </c>
      <c r="F2077" s="7" t="s">
        <v>877</v>
      </c>
      <c r="G2077" s="7"/>
    </row>
    <row r="2078" spans="1:7" x14ac:dyDescent="0.35">
      <c r="A2078" s="7" t="s">
        <v>1227</v>
      </c>
      <c r="B2078" s="7" t="s">
        <v>1025</v>
      </c>
      <c r="C2078" s="77" t="s">
        <v>1026</v>
      </c>
      <c r="D2078" s="10">
        <v>46002</v>
      </c>
      <c r="E2078" s="11" t="s">
        <v>314</v>
      </c>
      <c r="F2078" s="7" t="s">
        <v>877</v>
      </c>
      <c r="G2078" s="7"/>
    </row>
    <row r="2079" spans="1:7" x14ac:dyDescent="0.35">
      <c r="A2079" s="7" t="s">
        <v>1360</v>
      </c>
      <c r="B2079" s="7" t="s">
        <v>1025</v>
      </c>
      <c r="C2079" s="77" t="s">
        <v>1026</v>
      </c>
      <c r="D2079" s="10">
        <v>46002</v>
      </c>
      <c r="E2079" s="11" t="s">
        <v>314</v>
      </c>
      <c r="F2079" s="7" t="s">
        <v>877</v>
      </c>
      <c r="G2079" s="7"/>
    </row>
    <row r="2080" spans="1:7" x14ac:dyDescent="0.35">
      <c r="A2080" s="7" t="s">
        <v>456</v>
      </c>
      <c r="B2080" s="7" t="s">
        <v>1025</v>
      </c>
      <c r="C2080" s="77" t="s">
        <v>1026</v>
      </c>
      <c r="D2080" s="10">
        <v>46002</v>
      </c>
      <c r="E2080" s="11" t="s">
        <v>314</v>
      </c>
      <c r="F2080" s="7" t="s">
        <v>867</v>
      </c>
      <c r="G2080" s="7" t="s">
        <v>1260</v>
      </c>
    </row>
    <row r="2081" spans="1:7" x14ac:dyDescent="0.35">
      <c r="A2081" s="7" t="s">
        <v>89</v>
      </c>
      <c r="B2081" s="7" t="s">
        <v>1025</v>
      </c>
      <c r="C2081" s="77" t="s">
        <v>1026</v>
      </c>
      <c r="D2081" s="75">
        <v>46002</v>
      </c>
      <c r="E2081" s="76" t="s">
        <v>314</v>
      </c>
      <c r="F2081" s="74" t="s">
        <v>872</v>
      </c>
      <c r="G2081" s="74" t="s">
        <v>317</v>
      </c>
    </row>
    <row r="2082" spans="1:7" x14ac:dyDescent="0.35">
      <c r="A2082" s="7" t="s">
        <v>490</v>
      </c>
      <c r="B2082" s="7" t="s">
        <v>1025</v>
      </c>
      <c r="C2082" s="77" t="s">
        <v>1026</v>
      </c>
      <c r="D2082" s="10">
        <v>46002</v>
      </c>
      <c r="E2082" s="11" t="s">
        <v>314</v>
      </c>
      <c r="F2082" s="7" t="s">
        <v>877</v>
      </c>
      <c r="G2082" s="7"/>
    </row>
    <row r="2083" spans="1:7" x14ac:dyDescent="0.35">
      <c r="A2083" s="7" t="s">
        <v>892</v>
      </c>
      <c r="B2083" s="7" t="s">
        <v>1025</v>
      </c>
      <c r="C2083" s="77" t="s">
        <v>1026</v>
      </c>
      <c r="D2083" s="10">
        <v>46002</v>
      </c>
      <c r="E2083" s="11" t="s">
        <v>314</v>
      </c>
      <c r="F2083" s="7" t="s">
        <v>877</v>
      </c>
      <c r="G2083" s="7"/>
    </row>
    <row r="2084" spans="1:7" x14ac:dyDescent="0.35">
      <c r="A2084" s="7" t="s">
        <v>756</v>
      </c>
      <c r="B2084" s="7" t="s">
        <v>896</v>
      </c>
      <c r="C2084" s="7" t="s">
        <v>897</v>
      </c>
      <c r="D2084" s="10">
        <v>46002</v>
      </c>
      <c r="E2084" s="11" t="s">
        <v>314</v>
      </c>
      <c r="F2084" s="7" t="s">
        <v>19</v>
      </c>
      <c r="G2084" s="7"/>
    </row>
    <row r="2085" spans="1:7" x14ac:dyDescent="0.35">
      <c r="A2085" s="7" t="s">
        <v>1349</v>
      </c>
      <c r="B2085" s="7" t="s">
        <v>1025</v>
      </c>
      <c r="C2085" s="77" t="s">
        <v>1026</v>
      </c>
      <c r="D2085" s="10">
        <v>46002</v>
      </c>
      <c r="E2085" s="11" t="s">
        <v>314</v>
      </c>
      <c r="F2085" s="7" t="s">
        <v>877</v>
      </c>
      <c r="G2085" s="7"/>
    </row>
    <row r="2086" spans="1:7" x14ac:dyDescent="0.35">
      <c r="A2086" s="7" t="s">
        <v>838</v>
      </c>
      <c r="B2086" s="7" t="s">
        <v>1025</v>
      </c>
      <c r="C2086" s="77" t="s">
        <v>1026</v>
      </c>
      <c r="D2086" s="10">
        <v>46002</v>
      </c>
      <c r="E2086" s="11" t="s">
        <v>314</v>
      </c>
      <c r="F2086" s="7" t="s">
        <v>877</v>
      </c>
      <c r="G2086" s="7"/>
    </row>
    <row r="2087" spans="1:7" x14ac:dyDescent="0.35">
      <c r="A2087" s="7" t="s">
        <v>930</v>
      </c>
      <c r="B2087" s="7" t="s">
        <v>1025</v>
      </c>
      <c r="C2087" s="77" t="s">
        <v>1026</v>
      </c>
      <c r="D2087" s="10">
        <v>46002</v>
      </c>
      <c r="E2087" s="11" t="s">
        <v>314</v>
      </c>
      <c r="F2087" s="7" t="s">
        <v>877</v>
      </c>
      <c r="G2087" s="7"/>
    </row>
    <row r="2088" spans="1:7" x14ac:dyDescent="0.35">
      <c r="A2088" s="7" t="s">
        <v>1326</v>
      </c>
      <c r="B2088" s="7" t="s">
        <v>1025</v>
      </c>
      <c r="C2088" s="77" t="s">
        <v>1026</v>
      </c>
      <c r="D2088" s="10">
        <v>46002</v>
      </c>
      <c r="E2088" s="11" t="s">
        <v>314</v>
      </c>
      <c r="F2088" s="7" t="s">
        <v>867</v>
      </c>
      <c r="G2088" s="7" t="s">
        <v>1232</v>
      </c>
    </row>
    <row r="2089" spans="1:7" x14ac:dyDescent="0.35">
      <c r="A2089" s="7" t="s">
        <v>968</v>
      </c>
      <c r="B2089" s="7" t="s">
        <v>1025</v>
      </c>
      <c r="C2089" s="77" t="s">
        <v>1026</v>
      </c>
      <c r="D2089" s="10">
        <v>46002</v>
      </c>
      <c r="E2089" s="11" t="s">
        <v>314</v>
      </c>
      <c r="F2089" s="7" t="s">
        <v>877</v>
      </c>
      <c r="G2089" s="7"/>
    </row>
    <row r="2090" spans="1:7" x14ac:dyDescent="0.35">
      <c r="A2090" s="77" t="s">
        <v>943</v>
      </c>
      <c r="B2090" s="77" t="s">
        <v>1025</v>
      </c>
      <c r="C2090" s="77" t="s">
        <v>1026</v>
      </c>
      <c r="D2090" s="78">
        <v>46002</v>
      </c>
      <c r="E2090" s="79" t="s">
        <v>314</v>
      </c>
      <c r="F2090" s="77" t="s">
        <v>1080</v>
      </c>
      <c r="G2090" s="77"/>
    </row>
    <row r="2091" spans="1:7" x14ac:dyDescent="0.35">
      <c r="A2091" s="77" t="s">
        <v>1227</v>
      </c>
      <c r="B2091" s="77" t="s">
        <v>1025</v>
      </c>
      <c r="C2091" s="77" t="s">
        <v>1026</v>
      </c>
      <c r="D2091" s="78">
        <v>46002</v>
      </c>
      <c r="E2091" s="79" t="s">
        <v>314</v>
      </c>
      <c r="F2091" s="77" t="s">
        <v>1080</v>
      </c>
      <c r="G2091" s="77"/>
    </row>
    <row r="2092" spans="1:7" x14ac:dyDescent="0.35">
      <c r="A2092" s="77" t="s">
        <v>1349</v>
      </c>
      <c r="B2092" s="77" t="s">
        <v>1025</v>
      </c>
      <c r="C2092" s="77" t="s">
        <v>1026</v>
      </c>
      <c r="D2092" s="78">
        <v>46002</v>
      </c>
      <c r="E2092" s="79" t="s">
        <v>314</v>
      </c>
      <c r="F2092" s="77" t="s">
        <v>1080</v>
      </c>
      <c r="G2092" s="77"/>
    </row>
    <row r="2093" spans="1:7" x14ac:dyDescent="0.35">
      <c r="A2093" s="77" t="s">
        <v>270</v>
      </c>
      <c r="B2093" s="77" t="s">
        <v>1025</v>
      </c>
      <c r="C2093" s="77" t="s">
        <v>1026</v>
      </c>
      <c r="D2093" s="78">
        <v>46002</v>
      </c>
      <c r="E2093" s="79" t="s">
        <v>314</v>
      </c>
      <c r="F2093" s="77" t="s">
        <v>1080</v>
      </c>
      <c r="G2093" s="77"/>
    </row>
    <row r="2094" spans="1:7" x14ac:dyDescent="0.35">
      <c r="A2094" s="77" t="s">
        <v>748</v>
      </c>
      <c r="B2094" s="77" t="s">
        <v>1025</v>
      </c>
      <c r="C2094" s="77" t="s">
        <v>1026</v>
      </c>
      <c r="D2094" s="78">
        <v>46002</v>
      </c>
      <c r="E2094" s="79" t="s">
        <v>314</v>
      </c>
      <c r="F2094" s="77" t="s">
        <v>1080</v>
      </c>
      <c r="G2094" s="77"/>
    </row>
    <row r="2095" spans="1:7" x14ac:dyDescent="0.35">
      <c r="A2095" s="77" t="s">
        <v>1123</v>
      </c>
      <c r="B2095" s="77" t="s">
        <v>1025</v>
      </c>
      <c r="C2095" s="77" t="s">
        <v>1026</v>
      </c>
      <c r="D2095" s="78">
        <v>46002</v>
      </c>
      <c r="E2095" s="79" t="s">
        <v>314</v>
      </c>
      <c r="F2095" s="77" t="s">
        <v>1080</v>
      </c>
      <c r="G2095" s="77"/>
    </row>
    <row r="2096" spans="1:7" x14ac:dyDescent="0.35">
      <c r="A2096" s="80" t="s">
        <v>1044</v>
      </c>
      <c r="B2096" s="80" t="s">
        <v>1025</v>
      </c>
      <c r="C2096" s="77" t="s">
        <v>1026</v>
      </c>
      <c r="D2096" s="81">
        <v>46003</v>
      </c>
      <c r="E2096" s="82" t="s">
        <v>314</v>
      </c>
      <c r="F2096" s="80" t="s">
        <v>871</v>
      </c>
      <c r="G2096" s="80" t="s">
        <v>891</v>
      </c>
    </row>
    <row r="2097" spans="1:7" x14ac:dyDescent="0.35">
      <c r="A2097" s="80" t="s">
        <v>1044</v>
      </c>
      <c r="B2097" s="80" t="s">
        <v>908</v>
      </c>
      <c r="C2097" s="80" t="s">
        <v>374</v>
      </c>
      <c r="D2097" s="81">
        <v>46003</v>
      </c>
      <c r="E2097" s="82" t="s">
        <v>314</v>
      </c>
      <c r="F2097" s="80" t="s">
        <v>19</v>
      </c>
      <c r="G2097" s="80"/>
    </row>
    <row r="2098" spans="1:7" x14ac:dyDescent="0.35">
      <c r="A2098" s="80" t="s">
        <v>1317</v>
      </c>
      <c r="B2098" s="80" t="s">
        <v>1025</v>
      </c>
      <c r="C2098" s="77" t="s">
        <v>1026</v>
      </c>
      <c r="D2098" s="81">
        <v>46003</v>
      </c>
      <c r="E2098" s="82" t="s">
        <v>314</v>
      </c>
      <c r="F2098" s="80" t="s">
        <v>871</v>
      </c>
      <c r="G2098" s="80" t="s">
        <v>891</v>
      </c>
    </row>
    <row r="2099" spans="1:7" x14ac:dyDescent="0.35">
      <c r="A2099" s="80" t="s">
        <v>1318</v>
      </c>
      <c r="B2099" s="80" t="s">
        <v>1025</v>
      </c>
      <c r="C2099" s="77" t="s">
        <v>1026</v>
      </c>
      <c r="D2099" s="81">
        <v>46003</v>
      </c>
      <c r="E2099" s="82" t="s">
        <v>314</v>
      </c>
      <c r="F2099" s="80" t="s">
        <v>871</v>
      </c>
      <c r="G2099" s="80" t="s">
        <v>891</v>
      </c>
    </row>
    <row r="2100" spans="1:7" x14ac:dyDescent="0.35">
      <c r="A2100" s="80" t="s">
        <v>1318</v>
      </c>
      <c r="B2100" s="80" t="s">
        <v>1025</v>
      </c>
      <c r="C2100" s="77" t="s">
        <v>1026</v>
      </c>
      <c r="D2100" s="81">
        <v>46003</v>
      </c>
      <c r="E2100" s="82" t="s">
        <v>314</v>
      </c>
      <c r="F2100" s="80" t="s">
        <v>894</v>
      </c>
      <c r="G2100" s="80" t="s">
        <v>15</v>
      </c>
    </row>
    <row r="2101" spans="1:7" x14ac:dyDescent="0.35">
      <c r="A2101" s="80" t="s">
        <v>270</v>
      </c>
      <c r="B2101" s="80" t="s">
        <v>1025</v>
      </c>
      <c r="C2101" s="77" t="s">
        <v>1026</v>
      </c>
      <c r="D2101" s="81">
        <v>46003</v>
      </c>
      <c r="E2101" s="82" t="s">
        <v>314</v>
      </c>
      <c r="F2101" s="80" t="s">
        <v>871</v>
      </c>
      <c r="G2101" s="80" t="s">
        <v>891</v>
      </c>
    </row>
    <row r="2102" spans="1:7" x14ac:dyDescent="0.35">
      <c r="A2102" s="80" t="s">
        <v>1123</v>
      </c>
      <c r="B2102" s="80" t="s">
        <v>1025</v>
      </c>
      <c r="C2102" s="77" t="s">
        <v>1026</v>
      </c>
      <c r="D2102" s="81">
        <v>46003</v>
      </c>
      <c r="E2102" s="82" t="s">
        <v>314</v>
      </c>
      <c r="F2102" s="80" t="s">
        <v>871</v>
      </c>
      <c r="G2102" s="80" t="s">
        <v>891</v>
      </c>
    </row>
    <row r="2103" spans="1:7" x14ac:dyDescent="0.35">
      <c r="A2103" s="80" t="s">
        <v>1123</v>
      </c>
      <c r="B2103" s="80" t="s">
        <v>908</v>
      </c>
      <c r="C2103" s="80" t="s">
        <v>374</v>
      </c>
      <c r="D2103" s="81">
        <v>46003</v>
      </c>
      <c r="E2103" s="82" t="s">
        <v>314</v>
      </c>
      <c r="F2103" s="80" t="s">
        <v>19</v>
      </c>
      <c r="G2103" s="80"/>
    </row>
    <row r="2104" spans="1:7" x14ac:dyDescent="0.35">
      <c r="A2104" s="7" t="s">
        <v>1123</v>
      </c>
      <c r="B2104" s="7" t="s">
        <v>1025</v>
      </c>
      <c r="C2104" s="77" t="s">
        <v>1026</v>
      </c>
      <c r="D2104" s="75">
        <v>46003</v>
      </c>
      <c r="E2104" s="76" t="s">
        <v>314</v>
      </c>
      <c r="F2104" s="74" t="s">
        <v>872</v>
      </c>
      <c r="G2104" s="74" t="s">
        <v>317</v>
      </c>
    </row>
    <row r="2105" spans="1:7" x14ac:dyDescent="0.35">
      <c r="A2105" s="77" t="s">
        <v>1321</v>
      </c>
      <c r="B2105" s="77" t="s">
        <v>1025</v>
      </c>
      <c r="C2105" s="77" t="s">
        <v>1026</v>
      </c>
      <c r="D2105" s="78">
        <v>46003</v>
      </c>
      <c r="E2105" s="79" t="s">
        <v>314</v>
      </c>
      <c r="F2105" s="77" t="s">
        <v>1080</v>
      </c>
      <c r="G2105" s="77"/>
    </row>
    <row r="2106" spans="1:7" x14ac:dyDescent="0.35">
      <c r="A2106" s="77" t="s">
        <v>1348</v>
      </c>
      <c r="B2106" s="77" t="s">
        <v>1025</v>
      </c>
      <c r="C2106" s="77" t="s">
        <v>1026</v>
      </c>
      <c r="D2106" s="78">
        <v>46003</v>
      </c>
      <c r="E2106" s="79" t="s">
        <v>314</v>
      </c>
      <c r="F2106" s="77" t="s">
        <v>1080</v>
      </c>
      <c r="G2106" s="77"/>
    </row>
    <row r="2107" spans="1:7" x14ac:dyDescent="0.35">
      <c r="A2107" s="77" t="s">
        <v>1300</v>
      </c>
      <c r="B2107" s="77" t="s">
        <v>1025</v>
      </c>
      <c r="C2107" s="77" t="s">
        <v>1026</v>
      </c>
      <c r="D2107" s="78">
        <v>46003</v>
      </c>
      <c r="E2107" s="79" t="s">
        <v>314</v>
      </c>
      <c r="F2107" s="77" t="s">
        <v>1080</v>
      </c>
      <c r="G2107" s="77"/>
    </row>
    <row r="2108" spans="1:7" x14ac:dyDescent="0.35">
      <c r="A2108" s="77" t="s">
        <v>1278</v>
      </c>
      <c r="B2108" s="77" t="s">
        <v>1025</v>
      </c>
      <c r="C2108" s="77" t="s">
        <v>1026</v>
      </c>
      <c r="D2108" s="78">
        <v>46003</v>
      </c>
      <c r="E2108" s="79" t="s">
        <v>314</v>
      </c>
      <c r="F2108" s="77" t="s">
        <v>1080</v>
      </c>
      <c r="G2108" s="77"/>
    </row>
    <row r="2109" spans="1:7" x14ac:dyDescent="0.35">
      <c r="A2109" s="77" t="s">
        <v>1262</v>
      </c>
      <c r="B2109" s="77" t="s">
        <v>1025</v>
      </c>
      <c r="C2109" s="77" t="s">
        <v>1026</v>
      </c>
      <c r="D2109" s="78">
        <v>46003</v>
      </c>
      <c r="E2109" s="79" t="s">
        <v>314</v>
      </c>
      <c r="F2109" s="77" t="s">
        <v>1080</v>
      </c>
      <c r="G2109" s="77"/>
    </row>
    <row r="2110" spans="1:7" x14ac:dyDescent="0.35">
      <c r="A2110" s="7" t="s">
        <v>1321</v>
      </c>
      <c r="B2110" s="74" t="s">
        <v>908</v>
      </c>
      <c r="C2110" s="74" t="s">
        <v>374</v>
      </c>
      <c r="D2110" s="75">
        <v>46004</v>
      </c>
      <c r="E2110" s="76" t="s">
        <v>314</v>
      </c>
      <c r="F2110" s="74" t="s">
        <v>872</v>
      </c>
      <c r="G2110" s="74" t="s">
        <v>317</v>
      </c>
    </row>
    <row r="2111" spans="1:7" x14ac:dyDescent="0.35">
      <c r="A2111" s="7" t="s">
        <v>1321</v>
      </c>
      <c r="B2111" s="7" t="s">
        <v>1025</v>
      </c>
      <c r="C2111" s="77" t="s">
        <v>1026</v>
      </c>
      <c r="D2111" s="10">
        <v>46004</v>
      </c>
      <c r="E2111" s="11" t="s">
        <v>314</v>
      </c>
      <c r="F2111" s="7" t="s">
        <v>894</v>
      </c>
      <c r="G2111" s="7" t="s">
        <v>15</v>
      </c>
    </row>
    <row r="2112" spans="1:7" x14ac:dyDescent="0.35">
      <c r="A2112" s="7" t="s">
        <v>1324</v>
      </c>
      <c r="B2112" s="74" t="s">
        <v>908</v>
      </c>
      <c r="C2112" s="74" t="s">
        <v>374</v>
      </c>
      <c r="D2112" s="75">
        <v>46004</v>
      </c>
      <c r="E2112" s="76" t="s">
        <v>314</v>
      </c>
      <c r="F2112" s="74" t="s">
        <v>872</v>
      </c>
      <c r="G2112" s="74" t="s">
        <v>317</v>
      </c>
    </row>
    <row r="2113" spans="1:7" x14ac:dyDescent="0.35">
      <c r="A2113" s="7" t="s">
        <v>1324</v>
      </c>
      <c r="B2113" s="7" t="s">
        <v>1025</v>
      </c>
      <c r="C2113" s="77" t="s">
        <v>1026</v>
      </c>
      <c r="D2113" s="10">
        <v>46004</v>
      </c>
      <c r="E2113" s="11" t="s">
        <v>314</v>
      </c>
      <c r="F2113" s="7" t="s">
        <v>894</v>
      </c>
      <c r="G2113" s="7" t="s">
        <v>15</v>
      </c>
    </row>
    <row r="2114" spans="1:7" x14ac:dyDescent="0.35">
      <c r="A2114" s="7" t="s">
        <v>1348</v>
      </c>
      <c r="B2114" s="7" t="s">
        <v>1025</v>
      </c>
      <c r="C2114" s="77" t="s">
        <v>1026</v>
      </c>
      <c r="D2114" s="10">
        <v>46004</v>
      </c>
      <c r="E2114" s="11" t="s">
        <v>314</v>
      </c>
      <c r="F2114" s="7" t="s">
        <v>877</v>
      </c>
      <c r="G2114" s="7"/>
    </row>
    <row r="2115" spans="1:7" x14ac:dyDescent="0.35">
      <c r="A2115" s="7" t="s">
        <v>223</v>
      </c>
      <c r="B2115" s="7" t="s">
        <v>1025</v>
      </c>
      <c r="C2115" s="77" t="s">
        <v>1026</v>
      </c>
      <c r="D2115" s="10">
        <v>46004</v>
      </c>
      <c r="E2115" s="11" t="s">
        <v>314</v>
      </c>
      <c r="F2115" s="7" t="s">
        <v>27</v>
      </c>
      <c r="G2115" s="7"/>
    </row>
    <row r="2116" spans="1:7" x14ac:dyDescent="0.35">
      <c r="A2116" s="77" t="s">
        <v>496</v>
      </c>
      <c r="B2116" s="77" t="s">
        <v>1025</v>
      </c>
      <c r="C2116" s="77" t="s">
        <v>1026</v>
      </c>
      <c r="D2116" s="78">
        <v>46004</v>
      </c>
      <c r="E2116" s="79" t="s">
        <v>314</v>
      </c>
      <c r="F2116" s="77" t="s">
        <v>1080</v>
      </c>
      <c r="G2116" s="77"/>
    </row>
    <row r="2117" spans="1:7" x14ac:dyDescent="0.35">
      <c r="A2117" s="77" t="s">
        <v>325</v>
      </c>
      <c r="B2117" s="77" t="s">
        <v>1025</v>
      </c>
      <c r="C2117" s="77" t="s">
        <v>1026</v>
      </c>
      <c r="D2117" s="78">
        <v>46004</v>
      </c>
      <c r="E2117" s="79" t="s">
        <v>314</v>
      </c>
      <c r="F2117" s="77" t="s">
        <v>1080</v>
      </c>
      <c r="G2117" s="77"/>
    </row>
    <row r="2118" spans="1:7" x14ac:dyDescent="0.35">
      <c r="A2118" s="77" t="s">
        <v>8</v>
      </c>
      <c r="B2118" s="77" t="s">
        <v>1025</v>
      </c>
      <c r="C2118" s="77" t="s">
        <v>1026</v>
      </c>
      <c r="D2118" s="78">
        <v>46004</v>
      </c>
      <c r="E2118" s="79" t="s">
        <v>314</v>
      </c>
      <c r="F2118" s="77" t="s">
        <v>1080</v>
      </c>
      <c r="G2118" s="77"/>
    </row>
    <row r="2119" spans="1:7" x14ac:dyDescent="0.35">
      <c r="A2119" s="77" t="s">
        <v>1345</v>
      </c>
      <c r="B2119" s="77" t="s">
        <v>1025</v>
      </c>
      <c r="C2119" s="77" t="s">
        <v>1026</v>
      </c>
      <c r="D2119" s="78">
        <v>46004</v>
      </c>
      <c r="E2119" s="79" t="s">
        <v>314</v>
      </c>
      <c r="F2119" s="77" t="s">
        <v>1080</v>
      </c>
      <c r="G2119" s="77"/>
    </row>
    <row r="2120" spans="1:7" x14ac:dyDescent="0.35">
      <c r="A2120" s="77" t="s">
        <v>91</v>
      </c>
      <c r="B2120" s="77" t="s">
        <v>1025</v>
      </c>
      <c r="C2120" s="77" t="s">
        <v>1026</v>
      </c>
      <c r="D2120" s="78">
        <v>46004</v>
      </c>
      <c r="E2120" s="79" t="s">
        <v>314</v>
      </c>
      <c r="F2120" s="77" t="s">
        <v>1080</v>
      </c>
      <c r="G2120" s="77"/>
    </row>
    <row r="2121" spans="1:7" x14ac:dyDescent="0.35">
      <c r="A2121" s="7" t="s">
        <v>496</v>
      </c>
      <c r="B2121" s="7" t="s">
        <v>1025</v>
      </c>
      <c r="C2121" s="77" t="s">
        <v>1026</v>
      </c>
      <c r="D2121" s="10">
        <v>46005</v>
      </c>
      <c r="E2121" s="11" t="s">
        <v>314</v>
      </c>
      <c r="F2121" s="7" t="s">
        <v>27</v>
      </c>
      <c r="G2121" s="7"/>
    </row>
    <row r="2122" spans="1:7" x14ac:dyDescent="0.35">
      <c r="A2122" s="88" t="s">
        <v>1345</v>
      </c>
      <c r="B2122" s="88" t="s">
        <v>1025</v>
      </c>
      <c r="C2122" s="77" t="s">
        <v>1026</v>
      </c>
      <c r="D2122" s="86">
        <v>46005</v>
      </c>
      <c r="E2122" s="87" t="s">
        <v>314</v>
      </c>
      <c r="F2122" s="88" t="s">
        <v>877</v>
      </c>
      <c r="G2122" s="88"/>
    </row>
    <row r="2123" spans="1:7" x14ac:dyDescent="0.35">
      <c r="A2123" s="7" t="s">
        <v>1346</v>
      </c>
      <c r="B2123" s="7" t="s">
        <v>1025</v>
      </c>
      <c r="C2123" s="77" t="s">
        <v>1026</v>
      </c>
      <c r="D2123" s="10">
        <v>46005</v>
      </c>
      <c r="E2123" s="11" t="s">
        <v>314</v>
      </c>
      <c r="F2123" s="7" t="s">
        <v>877</v>
      </c>
      <c r="G2123" s="7"/>
    </row>
    <row r="2124" spans="1:7" x14ac:dyDescent="0.35">
      <c r="A2124" s="88" t="s">
        <v>325</v>
      </c>
      <c r="B2124" s="88" t="s">
        <v>1025</v>
      </c>
      <c r="C2124" s="77" t="s">
        <v>1026</v>
      </c>
      <c r="D2124" s="86">
        <v>46005</v>
      </c>
      <c r="E2124" s="87" t="s">
        <v>314</v>
      </c>
      <c r="F2124" s="88" t="s">
        <v>877</v>
      </c>
      <c r="G2124" s="88"/>
    </row>
    <row r="2125" spans="1:7" x14ac:dyDescent="0.35">
      <c r="A2125" s="77" t="s">
        <v>653</v>
      </c>
      <c r="B2125" s="77" t="s">
        <v>1025</v>
      </c>
      <c r="C2125" s="77" t="s">
        <v>1026</v>
      </c>
      <c r="D2125" s="78">
        <v>46006</v>
      </c>
      <c r="E2125" s="79" t="s">
        <v>314</v>
      </c>
      <c r="F2125" s="77" t="s">
        <v>1080</v>
      </c>
      <c r="G2125" s="77"/>
    </row>
    <row r="2126" spans="1:7" x14ac:dyDescent="0.35">
      <c r="A2126" s="77" t="s">
        <v>836</v>
      </c>
      <c r="B2126" s="77" t="s">
        <v>1025</v>
      </c>
      <c r="C2126" s="77" t="s">
        <v>1026</v>
      </c>
      <c r="D2126" s="78">
        <v>46006</v>
      </c>
      <c r="E2126" s="79" t="s">
        <v>314</v>
      </c>
      <c r="F2126" s="77" t="s">
        <v>1080</v>
      </c>
      <c r="G2126" s="77"/>
    </row>
    <row r="2127" spans="1:7" x14ac:dyDescent="0.35">
      <c r="A2127" s="77" t="s">
        <v>1304</v>
      </c>
      <c r="B2127" s="77" t="s">
        <v>1025</v>
      </c>
      <c r="C2127" s="77" t="s">
        <v>1026</v>
      </c>
      <c r="D2127" s="78">
        <v>46006</v>
      </c>
      <c r="E2127" s="79" t="s">
        <v>314</v>
      </c>
      <c r="F2127" s="77" t="s">
        <v>1080</v>
      </c>
      <c r="G2127" s="77"/>
    </row>
    <row r="2128" spans="1:7" x14ac:dyDescent="0.35">
      <c r="A2128" s="77" t="s">
        <v>1342</v>
      </c>
      <c r="B2128" s="77" t="s">
        <v>1025</v>
      </c>
      <c r="C2128" s="77" t="s">
        <v>1026</v>
      </c>
      <c r="D2128" s="78">
        <v>46006</v>
      </c>
      <c r="E2128" s="79" t="s">
        <v>314</v>
      </c>
      <c r="F2128" s="77" t="s">
        <v>1080</v>
      </c>
      <c r="G2128" s="77"/>
    </row>
    <row r="2129" spans="1:7" x14ac:dyDescent="0.35">
      <c r="A2129" s="77" t="s">
        <v>1343</v>
      </c>
      <c r="B2129" s="77" t="s">
        <v>1025</v>
      </c>
      <c r="C2129" s="77" t="s">
        <v>1026</v>
      </c>
      <c r="D2129" s="78">
        <v>46006</v>
      </c>
      <c r="E2129" s="79" t="s">
        <v>314</v>
      </c>
      <c r="F2129" s="77" t="s">
        <v>1080</v>
      </c>
      <c r="G2129" s="77"/>
    </row>
    <row r="2130" spans="1:7" x14ac:dyDescent="0.35">
      <c r="A2130" s="88" t="s">
        <v>1306</v>
      </c>
      <c r="B2130" s="88" t="s">
        <v>1025</v>
      </c>
      <c r="C2130" s="77" t="s">
        <v>1026</v>
      </c>
      <c r="D2130" s="86">
        <v>46007</v>
      </c>
      <c r="E2130" s="87" t="s">
        <v>314</v>
      </c>
      <c r="F2130" s="88" t="s">
        <v>27</v>
      </c>
      <c r="G2130" s="88" t="s">
        <v>1370</v>
      </c>
    </row>
    <row r="2131" spans="1:7" x14ac:dyDescent="0.35">
      <c r="A2131" s="88" t="s">
        <v>1342</v>
      </c>
      <c r="B2131" s="88" t="s">
        <v>1025</v>
      </c>
      <c r="C2131" s="77" t="s">
        <v>1026</v>
      </c>
      <c r="D2131" s="86">
        <v>46007</v>
      </c>
      <c r="E2131" s="87" t="s">
        <v>314</v>
      </c>
      <c r="F2131" s="88" t="s">
        <v>877</v>
      </c>
      <c r="G2131" s="88"/>
    </row>
    <row r="2132" spans="1:7" x14ac:dyDescent="0.35">
      <c r="A2132" s="88" t="s">
        <v>1343</v>
      </c>
      <c r="B2132" s="88" t="s">
        <v>1025</v>
      </c>
      <c r="C2132" s="77" t="s">
        <v>1026</v>
      </c>
      <c r="D2132" s="86">
        <v>46007</v>
      </c>
      <c r="E2132" s="87" t="s">
        <v>314</v>
      </c>
      <c r="F2132" s="88" t="s">
        <v>877</v>
      </c>
      <c r="G2132" s="88"/>
    </row>
    <row r="2133" spans="1:7" x14ac:dyDescent="0.35">
      <c r="A2133" s="88" t="s">
        <v>1055</v>
      </c>
      <c r="B2133" s="88" t="s">
        <v>1025</v>
      </c>
      <c r="C2133" s="77" t="s">
        <v>1026</v>
      </c>
      <c r="D2133" s="86">
        <v>46007</v>
      </c>
      <c r="E2133" s="87" t="s">
        <v>314</v>
      </c>
      <c r="F2133" s="88" t="s">
        <v>877</v>
      </c>
      <c r="G2133" s="88"/>
    </row>
    <row r="2134" spans="1:7" x14ac:dyDescent="0.35">
      <c r="A2134" s="88" t="s">
        <v>1344</v>
      </c>
      <c r="B2134" s="88" t="s">
        <v>1025</v>
      </c>
      <c r="C2134" s="77" t="s">
        <v>1026</v>
      </c>
      <c r="D2134" s="86">
        <v>46007</v>
      </c>
      <c r="E2134" s="87" t="s">
        <v>314</v>
      </c>
      <c r="F2134" s="88" t="s">
        <v>877</v>
      </c>
      <c r="G2134" s="88"/>
    </row>
    <row r="2135" spans="1:7" x14ac:dyDescent="0.35">
      <c r="A2135" s="88" t="s">
        <v>1309</v>
      </c>
      <c r="B2135" s="88" t="s">
        <v>1025</v>
      </c>
      <c r="C2135" s="77" t="s">
        <v>1026</v>
      </c>
      <c r="D2135" s="86">
        <v>46007</v>
      </c>
      <c r="E2135" s="87" t="s">
        <v>314</v>
      </c>
      <c r="F2135" s="88" t="s">
        <v>27</v>
      </c>
      <c r="G2135" s="88" t="s">
        <v>1370</v>
      </c>
    </row>
    <row r="2136" spans="1:7" x14ac:dyDescent="0.35">
      <c r="A2136" s="88" t="s">
        <v>1133</v>
      </c>
      <c r="B2136" s="88" t="s">
        <v>1025</v>
      </c>
      <c r="C2136" s="77" t="s">
        <v>1026</v>
      </c>
      <c r="D2136" s="86">
        <v>46007</v>
      </c>
      <c r="E2136" s="87" t="s">
        <v>314</v>
      </c>
      <c r="F2136" s="88" t="s">
        <v>27</v>
      </c>
      <c r="G2136" s="88" t="s">
        <v>1370</v>
      </c>
    </row>
    <row r="2137" spans="1:7" x14ac:dyDescent="0.35">
      <c r="A2137" s="88" t="s">
        <v>8</v>
      </c>
      <c r="B2137" s="88" t="s">
        <v>1025</v>
      </c>
      <c r="C2137" s="77" t="s">
        <v>1026</v>
      </c>
      <c r="D2137" s="86">
        <v>46007</v>
      </c>
      <c r="E2137" s="87" t="s">
        <v>314</v>
      </c>
      <c r="F2137" s="88" t="s">
        <v>27</v>
      </c>
      <c r="G2137" s="88" t="s">
        <v>1370</v>
      </c>
    </row>
    <row r="2138" spans="1:7" x14ac:dyDescent="0.35">
      <c r="A2138" s="88" t="s">
        <v>254</v>
      </c>
      <c r="B2138" s="88" t="s">
        <v>1025</v>
      </c>
      <c r="C2138" s="77" t="s">
        <v>1026</v>
      </c>
      <c r="D2138" s="86">
        <v>46007</v>
      </c>
      <c r="E2138" s="87" t="s">
        <v>314</v>
      </c>
      <c r="F2138" s="88" t="s">
        <v>27</v>
      </c>
      <c r="G2138" s="88" t="s">
        <v>1370</v>
      </c>
    </row>
    <row r="2139" spans="1:7" x14ac:dyDescent="0.35">
      <c r="A2139" s="88" t="s">
        <v>1304</v>
      </c>
      <c r="B2139" s="88" t="s">
        <v>1025</v>
      </c>
      <c r="C2139" s="77" t="s">
        <v>1026</v>
      </c>
      <c r="D2139" s="86">
        <v>46007</v>
      </c>
      <c r="E2139" s="87" t="s">
        <v>314</v>
      </c>
      <c r="F2139" s="88" t="s">
        <v>27</v>
      </c>
      <c r="G2139" s="88" t="s">
        <v>1370</v>
      </c>
    </row>
    <row r="2140" spans="1:7" x14ac:dyDescent="0.35">
      <c r="A2140" s="88" t="s">
        <v>1302</v>
      </c>
      <c r="B2140" s="88" t="s">
        <v>1025</v>
      </c>
      <c r="C2140" s="77" t="s">
        <v>1026</v>
      </c>
      <c r="D2140" s="86">
        <v>46007</v>
      </c>
      <c r="E2140" s="87" t="s">
        <v>314</v>
      </c>
      <c r="F2140" s="88" t="s">
        <v>27</v>
      </c>
      <c r="G2140" s="88" t="s">
        <v>1370</v>
      </c>
    </row>
    <row r="2141" spans="1:7" x14ac:dyDescent="0.35">
      <c r="A2141" s="88" t="s">
        <v>1134</v>
      </c>
      <c r="B2141" s="88" t="s">
        <v>1025</v>
      </c>
      <c r="C2141" s="77" t="s">
        <v>1026</v>
      </c>
      <c r="D2141" s="86">
        <v>46007</v>
      </c>
      <c r="E2141" s="87" t="s">
        <v>314</v>
      </c>
      <c r="F2141" s="88" t="s">
        <v>27</v>
      </c>
      <c r="G2141" s="88" t="s">
        <v>1370</v>
      </c>
    </row>
    <row r="2142" spans="1:7" x14ac:dyDescent="0.35">
      <c r="A2142" s="88" t="s">
        <v>597</v>
      </c>
      <c r="B2142" s="88" t="s">
        <v>1025</v>
      </c>
      <c r="C2142" s="77" t="s">
        <v>1026</v>
      </c>
      <c r="D2142" s="86">
        <v>46007</v>
      </c>
      <c r="E2142" s="87" t="s">
        <v>314</v>
      </c>
      <c r="F2142" s="88" t="s">
        <v>27</v>
      </c>
      <c r="G2142" s="88" t="s">
        <v>1370</v>
      </c>
    </row>
    <row r="2143" spans="1:7" x14ac:dyDescent="0.35">
      <c r="A2143" s="88" t="s">
        <v>1073</v>
      </c>
      <c r="B2143" s="88" t="s">
        <v>1025</v>
      </c>
      <c r="C2143" s="77" t="s">
        <v>1026</v>
      </c>
      <c r="D2143" s="86">
        <v>46007</v>
      </c>
      <c r="E2143" s="87" t="s">
        <v>314</v>
      </c>
      <c r="F2143" s="88" t="s">
        <v>27</v>
      </c>
      <c r="G2143" s="88" t="s">
        <v>1370</v>
      </c>
    </row>
    <row r="2144" spans="1:7" x14ac:dyDescent="0.35">
      <c r="A2144" s="88" t="s">
        <v>1347</v>
      </c>
      <c r="B2144" s="88" t="s">
        <v>1025</v>
      </c>
      <c r="C2144" s="77" t="s">
        <v>1026</v>
      </c>
      <c r="D2144" s="86">
        <v>46007</v>
      </c>
      <c r="E2144" s="87" t="s">
        <v>314</v>
      </c>
      <c r="F2144" s="88" t="s">
        <v>877</v>
      </c>
      <c r="G2144" s="88"/>
    </row>
    <row r="2145" spans="1:7" x14ac:dyDescent="0.35">
      <c r="A2145" s="88" t="s">
        <v>1114</v>
      </c>
      <c r="B2145" s="88" t="s">
        <v>1025</v>
      </c>
      <c r="C2145" s="77" t="s">
        <v>1026</v>
      </c>
      <c r="D2145" s="86">
        <v>46007</v>
      </c>
      <c r="E2145" s="87" t="s">
        <v>314</v>
      </c>
      <c r="F2145" s="88" t="s">
        <v>871</v>
      </c>
      <c r="G2145" s="88" t="s">
        <v>891</v>
      </c>
    </row>
    <row r="2146" spans="1:7" x14ac:dyDescent="0.35">
      <c r="A2146" s="88" t="s">
        <v>1114</v>
      </c>
      <c r="B2146" s="88" t="s">
        <v>1025</v>
      </c>
      <c r="C2146" s="77" t="s">
        <v>1026</v>
      </c>
      <c r="D2146" s="86">
        <v>46007</v>
      </c>
      <c r="E2146" s="87" t="s">
        <v>314</v>
      </c>
      <c r="F2146" s="88" t="s">
        <v>19</v>
      </c>
      <c r="G2146" s="88"/>
    </row>
    <row r="2147" spans="1:7" x14ac:dyDescent="0.35">
      <c r="A2147" s="77" t="s">
        <v>1133</v>
      </c>
      <c r="B2147" s="77" t="s">
        <v>1025</v>
      </c>
      <c r="C2147" s="77" t="s">
        <v>1026</v>
      </c>
      <c r="D2147" s="78">
        <v>46007</v>
      </c>
      <c r="E2147" s="79" t="s">
        <v>314</v>
      </c>
      <c r="F2147" s="77" t="s">
        <v>1080</v>
      </c>
      <c r="G2147" s="77"/>
    </row>
    <row r="2148" spans="1:7" x14ac:dyDescent="0.35">
      <c r="A2148" s="77" t="s">
        <v>1309</v>
      </c>
      <c r="B2148" s="77" t="s">
        <v>1025</v>
      </c>
      <c r="C2148" s="77" t="s">
        <v>1026</v>
      </c>
      <c r="D2148" s="78">
        <v>46007</v>
      </c>
      <c r="E2148" s="79" t="s">
        <v>314</v>
      </c>
      <c r="F2148" s="77" t="s">
        <v>1080</v>
      </c>
      <c r="G2148" s="77"/>
    </row>
    <row r="2149" spans="1:7" x14ac:dyDescent="0.35">
      <c r="A2149" s="77" t="s">
        <v>1306</v>
      </c>
      <c r="B2149" s="77" t="s">
        <v>1025</v>
      </c>
      <c r="C2149" s="77" t="s">
        <v>1026</v>
      </c>
      <c r="D2149" s="78">
        <v>46007</v>
      </c>
      <c r="E2149" s="79" t="s">
        <v>314</v>
      </c>
      <c r="F2149" s="77" t="s">
        <v>1080</v>
      </c>
      <c r="G2149" s="77"/>
    </row>
    <row r="2150" spans="1:7" x14ac:dyDescent="0.35">
      <c r="A2150" s="77" t="s">
        <v>1366</v>
      </c>
      <c r="B2150" s="77" t="s">
        <v>1025</v>
      </c>
      <c r="C2150" s="77" t="s">
        <v>1026</v>
      </c>
      <c r="D2150" s="78">
        <v>46007</v>
      </c>
      <c r="E2150" s="79" t="s">
        <v>314</v>
      </c>
      <c r="F2150" s="77" t="s">
        <v>1080</v>
      </c>
      <c r="G2150" s="77"/>
    </row>
    <row r="2151" spans="1:7" x14ac:dyDescent="0.35">
      <c r="A2151" s="88" t="s">
        <v>1278</v>
      </c>
      <c r="B2151" s="88" t="s">
        <v>1025</v>
      </c>
      <c r="C2151" s="77" t="s">
        <v>1026</v>
      </c>
      <c r="D2151" s="86">
        <v>46008</v>
      </c>
      <c r="E2151" s="87" t="s">
        <v>314</v>
      </c>
      <c r="F2151" s="88" t="s">
        <v>867</v>
      </c>
      <c r="G2151" s="88" t="s">
        <v>1260</v>
      </c>
    </row>
    <row r="2152" spans="1:7" x14ac:dyDescent="0.35">
      <c r="A2152" s="88" t="s">
        <v>653</v>
      </c>
      <c r="B2152" s="88" t="s">
        <v>1025</v>
      </c>
      <c r="C2152" s="77" t="s">
        <v>1026</v>
      </c>
      <c r="D2152" s="86">
        <v>46008</v>
      </c>
      <c r="E2152" s="87" t="s">
        <v>314</v>
      </c>
      <c r="F2152" s="88" t="s">
        <v>867</v>
      </c>
      <c r="G2152" s="88" t="s">
        <v>1232</v>
      </c>
    </row>
    <row r="2153" spans="1:7" x14ac:dyDescent="0.35">
      <c r="A2153" s="88" t="s">
        <v>1366</v>
      </c>
      <c r="B2153" s="88" t="s">
        <v>1025</v>
      </c>
      <c r="C2153" s="77" t="s">
        <v>1026</v>
      </c>
      <c r="D2153" s="86">
        <v>46008</v>
      </c>
      <c r="E2153" s="87" t="s">
        <v>314</v>
      </c>
      <c r="F2153" s="88" t="s">
        <v>867</v>
      </c>
      <c r="G2153" s="88" t="s">
        <v>1232</v>
      </c>
    </row>
    <row r="2154" spans="1:7" x14ac:dyDescent="0.35">
      <c r="A2154" s="88" t="s">
        <v>836</v>
      </c>
      <c r="B2154" s="88" t="s">
        <v>1025</v>
      </c>
      <c r="C2154" s="77" t="s">
        <v>1026</v>
      </c>
      <c r="D2154" s="86">
        <v>46008</v>
      </c>
      <c r="E2154" s="87" t="s">
        <v>314</v>
      </c>
      <c r="F2154" s="88" t="s">
        <v>867</v>
      </c>
      <c r="G2154" s="88" t="s">
        <v>1232</v>
      </c>
    </row>
    <row r="2155" spans="1:7" x14ac:dyDescent="0.35">
      <c r="A2155" s="7" t="s">
        <v>1142</v>
      </c>
      <c r="B2155" s="80" t="s">
        <v>1025</v>
      </c>
      <c r="C2155" s="77" t="s">
        <v>1026</v>
      </c>
      <c r="D2155" s="81">
        <v>46008</v>
      </c>
      <c r="E2155" s="82" t="s">
        <v>314</v>
      </c>
      <c r="F2155" s="80" t="s">
        <v>19</v>
      </c>
      <c r="G2155" s="80"/>
    </row>
    <row r="2156" spans="1:7" x14ac:dyDescent="0.35">
      <c r="A2156" s="88" t="s">
        <v>1364</v>
      </c>
      <c r="B2156" s="88" t="s">
        <v>1025</v>
      </c>
      <c r="C2156" s="77" t="s">
        <v>1026</v>
      </c>
      <c r="D2156" s="86">
        <v>46008</v>
      </c>
      <c r="E2156" s="87" t="s">
        <v>314</v>
      </c>
      <c r="F2156" s="88" t="s">
        <v>27</v>
      </c>
      <c r="G2156" s="88" t="s">
        <v>1370</v>
      </c>
    </row>
    <row r="2157" spans="1:7" x14ac:dyDescent="0.35">
      <c r="A2157" s="7" t="s">
        <v>531</v>
      </c>
      <c r="B2157" s="7" t="s">
        <v>1025</v>
      </c>
      <c r="C2157" s="77" t="s">
        <v>1026</v>
      </c>
      <c r="D2157" s="10">
        <v>46008</v>
      </c>
      <c r="E2157" s="11" t="s">
        <v>314</v>
      </c>
      <c r="F2157" s="7" t="s">
        <v>867</v>
      </c>
      <c r="G2157" s="7" t="s">
        <v>1232</v>
      </c>
    </row>
    <row r="2158" spans="1:7" x14ac:dyDescent="0.35">
      <c r="A2158" s="89" t="s">
        <v>1308</v>
      </c>
      <c r="B2158" s="89" t="s">
        <v>1025</v>
      </c>
      <c r="C2158" s="77" t="s">
        <v>1026</v>
      </c>
      <c r="D2158" s="90">
        <v>46008</v>
      </c>
      <c r="E2158" s="91" t="s">
        <v>314</v>
      </c>
      <c r="F2158" s="89" t="s">
        <v>27</v>
      </c>
      <c r="G2158" s="89" t="s">
        <v>1370</v>
      </c>
    </row>
    <row r="2159" spans="1:7" x14ac:dyDescent="0.35">
      <c r="A2159" s="88" t="s">
        <v>636</v>
      </c>
      <c r="B2159" s="88" t="s">
        <v>1025</v>
      </c>
      <c r="C2159" s="77" t="s">
        <v>1026</v>
      </c>
      <c r="D2159" s="86">
        <v>46008</v>
      </c>
      <c r="E2159" s="87" t="s">
        <v>314</v>
      </c>
      <c r="F2159" s="88" t="s">
        <v>27</v>
      </c>
      <c r="G2159" s="88" t="s">
        <v>1370</v>
      </c>
    </row>
    <row r="2160" spans="1:7" x14ac:dyDescent="0.35">
      <c r="A2160" s="88" t="s">
        <v>730</v>
      </c>
      <c r="B2160" s="88" t="s">
        <v>1025</v>
      </c>
      <c r="C2160" s="77" t="s">
        <v>1026</v>
      </c>
      <c r="D2160" s="86">
        <v>46008</v>
      </c>
      <c r="E2160" s="87" t="s">
        <v>314</v>
      </c>
      <c r="F2160" s="88" t="s">
        <v>867</v>
      </c>
      <c r="G2160" s="88" t="s">
        <v>1260</v>
      </c>
    </row>
    <row r="2161" spans="1:7" x14ac:dyDescent="0.35">
      <c r="A2161" s="88" t="s">
        <v>1301</v>
      </c>
      <c r="B2161" s="88" t="s">
        <v>1025</v>
      </c>
      <c r="C2161" s="77" t="s">
        <v>1026</v>
      </c>
      <c r="D2161" s="86">
        <v>46008</v>
      </c>
      <c r="E2161" s="87" t="s">
        <v>314</v>
      </c>
      <c r="F2161" s="88" t="s">
        <v>27</v>
      </c>
      <c r="G2161" s="88" t="s">
        <v>1370</v>
      </c>
    </row>
    <row r="2162" spans="1:7" x14ac:dyDescent="0.35">
      <c r="A2162" s="89" t="s">
        <v>1061</v>
      </c>
      <c r="B2162" s="89" t="s">
        <v>1025</v>
      </c>
      <c r="C2162" s="77" t="s">
        <v>1026</v>
      </c>
      <c r="D2162" s="90">
        <v>46008</v>
      </c>
      <c r="E2162" s="91" t="s">
        <v>314</v>
      </c>
      <c r="F2162" s="89" t="s">
        <v>27</v>
      </c>
      <c r="G2162" s="89" t="s">
        <v>1370</v>
      </c>
    </row>
    <row r="2163" spans="1:7" x14ac:dyDescent="0.35">
      <c r="A2163" s="88" t="s">
        <v>686</v>
      </c>
      <c r="B2163" s="88" t="s">
        <v>1025</v>
      </c>
      <c r="C2163" s="77" t="s">
        <v>1026</v>
      </c>
      <c r="D2163" s="86">
        <v>46008</v>
      </c>
      <c r="E2163" s="87" t="s">
        <v>314</v>
      </c>
      <c r="F2163" s="88" t="s">
        <v>867</v>
      </c>
      <c r="G2163" s="88" t="s">
        <v>1260</v>
      </c>
    </row>
    <row r="2164" spans="1:7" x14ac:dyDescent="0.35">
      <c r="A2164" s="77" t="s">
        <v>1301</v>
      </c>
      <c r="B2164" s="77" t="s">
        <v>1025</v>
      </c>
      <c r="C2164" s="77" t="s">
        <v>1026</v>
      </c>
      <c r="D2164" s="78">
        <v>46008</v>
      </c>
      <c r="E2164" s="79" t="s">
        <v>314</v>
      </c>
      <c r="F2164" s="77" t="s">
        <v>1080</v>
      </c>
      <c r="G2164" s="77"/>
    </row>
    <row r="2165" spans="1:7" x14ac:dyDescent="0.35">
      <c r="A2165" s="77" t="s">
        <v>636</v>
      </c>
      <c r="B2165" s="77" t="s">
        <v>1025</v>
      </c>
      <c r="C2165" s="77" t="s">
        <v>1026</v>
      </c>
      <c r="D2165" s="78">
        <v>46008</v>
      </c>
      <c r="E2165" s="79" t="s">
        <v>314</v>
      </c>
      <c r="F2165" s="77" t="s">
        <v>1080</v>
      </c>
      <c r="G2165" s="77"/>
    </row>
    <row r="2166" spans="1:7" x14ac:dyDescent="0.35">
      <c r="A2166" s="77" t="s">
        <v>986</v>
      </c>
      <c r="B2166" s="77" t="s">
        <v>1025</v>
      </c>
      <c r="C2166" s="77" t="s">
        <v>1026</v>
      </c>
      <c r="D2166" s="78">
        <v>46008</v>
      </c>
      <c r="E2166" s="79" t="s">
        <v>314</v>
      </c>
      <c r="F2166" s="77" t="s">
        <v>1080</v>
      </c>
      <c r="G2166" s="77"/>
    </row>
    <row r="2167" spans="1:7" x14ac:dyDescent="0.35">
      <c r="A2167" s="77" t="s">
        <v>926</v>
      </c>
      <c r="B2167" s="77" t="s">
        <v>1025</v>
      </c>
      <c r="C2167" s="77" t="s">
        <v>1026</v>
      </c>
      <c r="D2167" s="78">
        <v>46008</v>
      </c>
      <c r="E2167" s="79" t="s">
        <v>314</v>
      </c>
      <c r="F2167" s="77" t="s">
        <v>1080</v>
      </c>
      <c r="G2167" s="77"/>
    </row>
    <row r="2168" spans="1:7" x14ac:dyDescent="0.35">
      <c r="A2168" s="89" t="s">
        <v>91</v>
      </c>
      <c r="B2168" s="89" t="s">
        <v>1025</v>
      </c>
      <c r="C2168" s="77" t="s">
        <v>1026</v>
      </c>
      <c r="D2168" s="90">
        <v>46009</v>
      </c>
      <c r="E2168" s="91" t="s">
        <v>314</v>
      </c>
      <c r="F2168" s="89" t="s">
        <v>867</v>
      </c>
      <c r="G2168" s="89"/>
    </row>
    <row r="2169" spans="1:7" x14ac:dyDescent="0.35">
      <c r="A2169" s="7" t="s">
        <v>926</v>
      </c>
      <c r="B2169" s="7" t="s">
        <v>1025</v>
      </c>
      <c r="C2169" s="77" t="s">
        <v>1026</v>
      </c>
      <c r="D2169" s="10">
        <v>46009</v>
      </c>
      <c r="E2169" s="11" t="s">
        <v>314</v>
      </c>
      <c r="F2169" s="7" t="s">
        <v>867</v>
      </c>
      <c r="G2169" s="7" t="s">
        <v>1232</v>
      </c>
    </row>
    <row r="2170" spans="1:7" x14ac:dyDescent="0.35">
      <c r="A2170" s="89" t="s">
        <v>1327</v>
      </c>
      <c r="B2170" s="89" t="s">
        <v>1025</v>
      </c>
      <c r="C2170" s="77" t="s">
        <v>1026</v>
      </c>
      <c r="D2170" s="90">
        <v>46009</v>
      </c>
      <c r="E2170" s="91" t="s">
        <v>314</v>
      </c>
      <c r="F2170" s="89" t="s">
        <v>867</v>
      </c>
      <c r="G2170" s="89" t="s">
        <v>1232</v>
      </c>
    </row>
    <row r="2171" spans="1:7" x14ac:dyDescent="0.35">
      <c r="A2171" s="7" t="s">
        <v>833</v>
      </c>
      <c r="B2171" s="80" t="s">
        <v>896</v>
      </c>
      <c r="C2171" s="80" t="s">
        <v>897</v>
      </c>
      <c r="D2171" s="81">
        <v>46009</v>
      </c>
      <c r="E2171" s="82" t="s">
        <v>314</v>
      </c>
      <c r="F2171" s="80" t="s">
        <v>19</v>
      </c>
      <c r="G2171" s="80"/>
    </row>
    <row r="2172" spans="1:7" x14ac:dyDescent="0.35">
      <c r="A2172" s="89" t="s">
        <v>1262</v>
      </c>
      <c r="B2172" s="89" t="s">
        <v>1025</v>
      </c>
      <c r="C2172" s="77" t="s">
        <v>1026</v>
      </c>
      <c r="D2172" s="90">
        <v>46009</v>
      </c>
      <c r="E2172" s="91" t="s">
        <v>314</v>
      </c>
      <c r="F2172" s="89" t="s">
        <v>867</v>
      </c>
      <c r="G2172" s="89" t="s">
        <v>1260</v>
      </c>
    </row>
    <row r="2173" spans="1:7" x14ac:dyDescent="0.35">
      <c r="A2173" s="7" t="s">
        <v>986</v>
      </c>
      <c r="B2173" s="7" t="s">
        <v>1025</v>
      </c>
      <c r="C2173" s="77" t="s">
        <v>1026</v>
      </c>
      <c r="D2173" s="10">
        <v>46009</v>
      </c>
      <c r="E2173" s="11" t="s">
        <v>314</v>
      </c>
      <c r="F2173" s="7" t="s">
        <v>867</v>
      </c>
      <c r="G2173" s="7" t="s">
        <v>1232</v>
      </c>
    </row>
    <row r="2174" spans="1:7" x14ac:dyDescent="0.35">
      <c r="A2174" s="7" t="s">
        <v>1328</v>
      </c>
      <c r="B2174" s="7" t="s">
        <v>1025</v>
      </c>
      <c r="C2174" s="77" t="s">
        <v>1026</v>
      </c>
      <c r="D2174" s="10">
        <v>46009</v>
      </c>
      <c r="E2174" s="11" t="s">
        <v>314</v>
      </c>
      <c r="F2174" s="7" t="s">
        <v>867</v>
      </c>
      <c r="G2174" s="7" t="s">
        <v>1232</v>
      </c>
    </row>
    <row r="2175" spans="1:7" x14ac:dyDescent="0.35">
      <c r="A2175" s="77" t="s">
        <v>1367</v>
      </c>
      <c r="B2175" s="77" t="s">
        <v>1025</v>
      </c>
      <c r="C2175" s="77" t="s">
        <v>1026</v>
      </c>
      <c r="D2175" s="78">
        <v>46009</v>
      </c>
      <c r="E2175" s="79" t="s">
        <v>314</v>
      </c>
      <c r="F2175" s="77" t="s">
        <v>1080</v>
      </c>
      <c r="G2175" s="77"/>
    </row>
    <row r="2176" spans="1:7" x14ac:dyDescent="0.35">
      <c r="A2176" s="77" t="s">
        <v>262</v>
      </c>
      <c r="B2176" s="7" t="s">
        <v>1025</v>
      </c>
      <c r="C2176" s="77" t="s">
        <v>1026</v>
      </c>
      <c r="D2176" s="78">
        <v>46011</v>
      </c>
      <c r="E2176" s="79" t="s">
        <v>314</v>
      </c>
      <c r="F2176" s="77" t="s">
        <v>867</v>
      </c>
      <c r="G2176" s="77"/>
    </row>
    <row r="2177" spans="1:7" x14ac:dyDescent="0.35">
      <c r="A2177" s="89" t="s">
        <v>1337</v>
      </c>
      <c r="B2177" s="89" t="s">
        <v>1025</v>
      </c>
      <c r="C2177" s="77" t="s">
        <v>1026</v>
      </c>
      <c r="D2177" s="90">
        <v>46011</v>
      </c>
      <c r="E2177" s="91" t="s">
        <v>314</v>
      </c>
      <c r="F2177" s="89" t="s">
        <v>27</v>
      </c>
      <c r="G2177" s="89" t="s">
        <v>1382</v>
      </c>
    </row>
    <row r="2178" spans="1:7" x14ac:dyDescent="0.35">
      <c r="A2178" s="89" t="s">
        <v>1267</v>
      </c>
      <c r="B2178" s="89" t="s">
        <v>1025</v>
      </c>
      <c r="C2178" s="77" t="s">
        <v>1026</v>
      </c>
      <c r="D2178" s="90">
        <v>46011</v>
      </c>
      <c r="E2178" s="91" t="s">
        <v>314</v>
      </c>
      <c r="F2178" s="89" t="s">
        <v>867</v>
      </c>
      <c r="G2178" s="89" t="s">
        <v>1260</v>
      </c>
    </row>
    <row r="2179" spans="1:7" x14ac:dyDescent="0.35">
      <c r="A2179" s="89" t="s">
        <v>553</v>
      </c>
      <c r="B2179" s="89" t="s">
        <v>1025</v>
      </c>
      <c r="C2179" s="77" t="s">
        <v>1026</v>
      </c>
      <c r="D2179" s="90">
        <v>46011</v>
      </c>
      <c r="E2179" s="91" t="s">
        <v>314</v>
      </c>
      <c r="F2179" s="89" t="s">
        <v>27</v>
      </c>
      <c r="G2179" s="89" t="s">
        <v>1370</v>
      </c>
    </row>
    <row r="2180" spans="1:7" x14ac:dyDescent="0.35">
      <c r="A2180" s="89" t="s">
        <v>554</v>
      </c>
      <c r="B2180" s="89" t="s">
        <v>1025</v>
      </c>
      <c r="C2180" s="77" t="s">
        <v>1026</v>
      </c>
      <c r="D2180" s="90">
        <v>46011</v>
      </c>
      <c r="E2180" s="91" t="s">
        <v>314</v>
      </c>
      <c r="F2180" s="89" t="s">
        <v>27</v>
      </c>
      <c r="G2180" s="89" t="s">
        <v>1370</v>
      </c>
    </row>
    <row r="2181" spans="1:7" x14ac:dyDescent="0.35">
      <c r="A2181" s="77" t="s">
        <v>1371</v>
      </c>
      <c r="B2181" s="7" t="s">
        <v>1025</v>
      </c>
      <c r="C2181" s="77" t="s">
        <v>1026</v>
      </c>
      <c r="D2181" s="78">
        <v>46011</v>
      </c>
      <c r="E2181" s="79" t="s">
        <v>314</v>
      </c>
      <c r="F2181" s="77" t="s">
        <v>867</v>
      </c>
      <c r="G2181" s="77"/>
    </row>
    <row r="2182" spans="1:7" x14ac:dyDescent="0.35">
      <c r="A2182" s="77" t="s">
        <v>1336</v>
      </c>
      <c r="B2182" s="7" t="s">
        <v>1025</v>
      </c>
      <c r="C2182" s="77" t="s">
        <v>1026</v>
      </c>
      <c r="D2182" s="78">
        <v>46011</v>
      </c>
      <c r="E2182" s="79" t="s">
        <v>314</v>
      </c>
      <c r="F2182" s="77" t="s">
        <v>19</v>
      </c>
      <c r="G2182" s="77"/>
    </row>
    <row r="2183" spans="1:7" x14ac:dyDescent="0.35">
      <c r="A2183" s="77" t="s">
        <v>1361</v>
      </c>
      <c r="B2183" s="7" t="s">
        <v>1025</v>
      </c>
      <c r="C2183" s="77" t="s">
        <v>1026</v>
      </c>
      <c r="D2183" s="78">
        <v>46011</v>
      </c>
      <c r="E2183" s="79" t="s">
        <v>314</v>
      </c>
      <c r="F2183" s="77" t="s">
        <v>19</v>
      </c>
      <c r="G2183" s="77"/>
    </row>
    <row r="2184" spans="1:7" x14ac:dyDescent="0.35">
      <c r="A2184" s="77" t="s">
        <v>791</v>
      </c>
      <c r="B2184" s="7" t="s">
        <v>1025</v>
      </c>
      <c r="C2184" s="77" t="s">
        <v>1026</v>
      </c>
      <c r="D2184" s="78">
        <v>46011</v>
      </c>
      <c r="E2184" s="79" t="s">
        <v>314</v>
      </c>
      <c r="F2184" s="77" t="s">
        <v>867</v>
      </c>
      <c r="G2184" s="77" t="s">
        <v>1170</v>
      </c>
    </row>
    <row r="2185" spans="1:7" x14ac:dyDescent="0.35">
      <c r="A2185" s="89" t="s">
        <v>1136</v>
      </c>
      <c r="B2185" s="89" t="s">
        <v>1025</v>
      </c>
      <c r="C2185" s="77" t="s">
        <v>1026</v>
      </c>
      <c r="D2185" s="90">
        <v>46011</v>
      </c>
      <c r="E2185" s="91" t="s">
        <v>314</v>
      </c>
      <c r="F2185" s="89" t="s">
        <v>27</v>
      </c>
      <c r="G2185" s="89" t="s">
        <v>1370</v>
      </c>
    </row>
    <row r="2186" spans="1:7" x14ac:dyDescent="0.35">
      <c r="A2186" s="89" t="s">
        <v>1137</v>
      </c>
      <c r="B2186" s="89" t="s">
        <v>1025</v>
      </c>
      <c r="C2186" s="77" t="s">
        <v>1026</v>
      </c>
      <c r="D2186" s="90">
        <v>46011</v>
      </c>
      <c r="E2186" s="91" t="s">
        <v>314</v>
      </c>
      <c r="F2186" s="89" t="s">
        <v>27</v>
      </c>
      <c r="G2186" s="89" t="s">
        <v>1370</v>
      </c>
    </row>
    <row r="2187" spans="1:7" x14ac:dyDescent="0.35">
      <c r="A2187" s="89" t="s">
        <v>765</v>
      </c>
      <c r="B2187" s="89" t="s">
        <v>1025</v>
      </c>
      <c r="C2187" s="77" t="s">
        <v>1026</v>
      </c>
      <c r="D2187" s="90">
        <v>46011</v>
      </c>
      <c r="E2187" s="91" t="s">
        <v>314</v>
      </c>
      <c r="F2187" s="89" t="s">
        <v>27</v>
      </c>
      <c r="G2187" s="89" t="s">
        <v>1382</v>
      </c>
    </row>
    <row r="2188" spans="1:7" x14ac:dyDescent="0.35">
      <c r="A2188" s="77" t="s">
        <v>1381</v>
      </c>
      <c r="B2188" s="77" t="s">
        <v>1025</v>
      </c>
      <c r="C2188" s="77" t="s">
        <v>1026</v>
      </c>
      <c r="D2188" s="78">
        <v>46011</v>
      </c>
      <c r="E2188" s="79" t="s">
        <v>314</v>
      </c>
      <c r="F2188" s="77" t="s">
        <v>88</v>
      </c>
      <c r="G2188" s="77" t="s">
        <v>22</v>
      </c>
    </row>
    <row r="2189" spans="1:7" x14ac:dyDescent="0.35">
      <c r="A2189" s="77" t="s">
        <v>1267</v>
      </c>
      <c r="B2189" s="77" t="s">
        <v>1025</v>
      </c>
      <c r="C2189" s="77" t="s">
        <v>1026</v>
      </c>
      <c r="D2189" s="78">
        <v>46011</v>
      </c>
      <c r="E2189" s="79" t="s">
        <v>314</v>
      </c>
      <c r="F2189" s="77" t="s">
        <v>1080</v>
      </c>
      <c r="G2189" s="77"/>
    </row>
    <row r="2190" spans="1:7" x14ac:dyDescent="0.35">
      <c r="A2190" s="77" t="s">
        <v>1137</v>
      </c>
      <c r="B2190" s="77" t="s">
        <v>1025</v>
      </c>
      <c r="C2190" s="77" t="s">
        <v>1026</v>
      </c>
      <c r="D2190" s="78">
        <v>46011</v>
      </c>
      <c r="E2190" s="79" t="s">
        <v>314</v>
      </c>
      <c r="F2190" s="77" t="s">
        <v>1080</v>
      </c>
      <c r="G2190" s="77"/>
    </row>
    <row r="2191" spans="1:7" x14ac:dyDescent="0.35">
      <c r="A2191" s="77" t="s">
        <v>1337</v>
      </c>
      <c r="B2191" s="77" t="s">
        <v>1025</v>
      </c>
      <c r="C2191" s="77" t="s">
        <v>1026</v>
      </c>
      <c r="D2191" s="78">
        <v>46011</v>
      </c>
      <c r="E2191" s="79" t="s">
        <v>314</v>
      </c>
      <c r="F2191" s="77" t="s">
        <v>1080</v>
      </c>
      <c r="G2191" s="77"/>
    </row>
    <row r="2192" spans="1:7" x14ac:dyDescent="0.35">
      <c r="A2192" s="77" t="s">
        <v>1303</v>
      </c>
      <c r="B2192" s="77" t="s">
        <v>1025</v>
      </c>
      <c r="C2192" s="77" t="s">
        <v>1026</v>
      </c>
      <c r="D2192" s="78">
        <v>46011</v>
      </c>
      <c r="E2192" s="79" t="s">
        <v>314</v>
      </c>
      <c r="F2192" s="77" t="s">
        <v>1080</v>
      </c>
      <c r="G2192" s="77"/>
    </row>
    <row r="2193" spans="1:7" x14ac:dyDescent="0.35">
      <c r="A2193" s="77" t="s">
        <v>1363</v>
      </c>
      <c r="B2193" s="77" t="s">
        <v>1025</v>
      </c>
      <c r="C2193" s="77" t="s">
        <v>1026</v>
      </c>
      <c r="D2193" s="78">
        <v>46011</v>
      </c>
      <c r="E2193" s="79" t="s">
        <v>314</v>
      </c>
      <c r="F2193" s="77" t="s">
        <v>1080</v>
      </c>
      <c r="G2193" s="77"/>
    </row>
    <row r="2194" spans="1:7" x14ac:dyDescent="0.35">
      <c r="A2194" s="89" t="s">
        <v>1338</v>
      </c>
      <c r="B2194" s="89" t="s">
        <v>1025</v>
      </c>
      <c r="C2194" s="77" t="s">
        <v>1026</v>
      </c>
      <c r="D2194" s="90">
        <v>46012</v>
      </c>
      <c r="E2194" s="91" t="s">
        <v>314</v>
      </c>
      <c r="F2194" s="89" t="s">
        <v>27</v>
      </c>
      <c r="G2194" s="89" t="s">
        <v>1382</v>
      </c>
    </row>
    <row r="2195" spans="1:7" x14ac:dyDescent="0.35">
      <c r="A2195" s="89" t="s">
        <v>1341</v>
      </c>
      <c r="B2195" s="89" t="s">
        <v>1025</v>
      </c>
      <c r="C2195" s="77" t="s">
        <v>1026</v>
      </c>
      <c r="D2195" s="90">
        <v>46012</v>
      </c>
      <c r="E2195" s="91" t="s">
        <v>314</v>
      </c>
      <c r="F2195" s="89" t="s">
        <v>27</v>
      </c>
      <c r="G2195" s="89" t="s">
        <v>1382</v>
      </c>
    </row>
    <row r="2196" spans="1:7" x14ac:dyDescent="0.35">
      <c r="A2196" s="89" t="s">
        <v>1357</v>
      </c>
      <c r="B2196" s="89" t="s">
        <v>1025</v>
      </c>
      <c r="C2196" s="77" t="s">
        <v>1026</v>
      </c>
      <c r="D2196" s="90">
        <v>46012</v>
      </c>
      <c r="E2196" s="91" t="s">
        <v>314</v>
      </c>
      <c r="F2196" s="89" t="s">
        <v>27</v>
      </c>
      <c r="G2196" s="89" t="s">
        <v>1382</v>
      </c>
    </row>
    <row r="2197" spans="1:7" x14ac:dyDescent="0.35">
      <c r="A2197" s="89" t="s">
        <v>1358</v>
      </c>
      <c r="B2197" s="89" t="s">
        <v>1025</v>
      </c>
      <c r="C2197" s="77" t="s">
        <v>1026</v>
      </c>
      <c r="D2197" s="90">
        <v>46012</v>
      </c>
      <c r="E2197" s="91" t="s">
        <v>314</v>
      </c>
      <c r="F2197" s="89" t="s">
        <v>27</v>
      </c>
      <c r="G2197" s="89" t="s">
        <v>1382</v>
      </c>
    </row>
    <row r="2198" spans="1:7" x14ac:dyDescent="0.35">
      <c r="A2198" s="89" t="s">
        <v>1307</v>
      </c>
      <c r="B2198" s="89" t="s">
        <v>1025</v>
      </c>
      <c r="C2198" s="77" t="s">
        <v>1026</v>
      </c>
      <c r="D2198" s="90">
        <v>46012</v>
      </c>
      <c r="E2198" s="91" t="s">
        <v>314</v>
      </c>
      <c r="F2198" s="89" t="s">
        <v>27</v>
      </c>
      <c r="G2198" s="89" t="s">
        <v>1370</v>
      </c>
    </row>
    <row r="2199" spans="1:7" x14ac:dyDescent="0.35">
      <c r="A2199" s="89" t="s">
        <v>1354</v>
      </c>
      <c r="B2199" s="89" t="s">
        <v>1025</v>
      </c>
      <c r="C2199" s="77" t="s">
        <v>1026</v>
      </c>
      <c r="D2199" s="90">
        <v>46012</v>
      </c>
      <c r="E2199" s="91" t="s">
        <v>314</v>
      </c>
      <c r="F2199" s="89" t="s">
        <v>27</v>
      </c>
      <c r="G2199" s="89" t="s">
        <v>1382</v>
      </c>
    </row>
    <row r="2200" spans="1:7" x14ac:dyDescent="0.35">
      <c r="A2200" s="89" t="s">
        <v>1339</v>
      </c>
      <c r="B2200" s="89" t="s">
        <v>1025</v>
      </c>
      <c r="C2200" s="77" t="s">
        <v>1026</v>
      </c>
      <c r="D2200" s="90">
        <v>46012</v>
      </c>
      <c r="E2200" s="91" t="s">
        <v>314</v>
      </c>
      <c r="F2200" s="89" t="s">
        <v>27</v>
      </c>
      <c r="G2200" s="89" t="s">
        <v>1382</v>
      </c>
    </row>
    <row r="2201" spans="1:7" x14ac:dyDescent="0.35">
      <c r="A2201" s="89" t="s">
        <v>1356</v>
      </c>
      <c r="B2201" s="89" t="s">
        <v>1025</v>
      </c>
      <c r="C2201" s="77" t="s">
        <v>1026</v>
      </c>
      <c r="D2201" s="90">
        <v>46012</v>
      </c>
      <c r="E2201" s="91" t="s">
        <v>314</v>
      </c>
      <c r="F2201" s="89" t="s">
        <v>27</v>
      </c>
      <c r="G2201" s="89" t="s">
        <v>1382</v>
      </c>
    </row>
    <row r="2202" spans="1:7" x14ac:dyDescent="0.35">
      <c r="A2202" s="89" t="s">
        <v>1303</v>
      </c>
      <c r="B2202" s="89" t="s">
        <v>1025</v>
      </c>
      <c r="C2202" s="77" t="s">
        <v>1026</v>
      </c>
      <c r="D2202" s="90">
        <v>46012</v>
      </c>
      <c r="E2202" s="91" t="s">
        <v>314</v>
      </c>
      <c r="F2202" s="89" t="s">
        <v>27</v>
      </c>
      <c r="G2202" s="89" t="s">
        <v>1370</v>
      </c>
    </row>
    <row r="2203" spans="1:7" x14ac:dyDescent="0.35">
      <c r="A2203" s="77" t="s">
        <v>217</v>
      </c>
      <c r="B2203" s="77" t="s">
        <v>1025</v>
      </c>
      <c r="C2203" s="77" t="s">
        <v>1026</v>
      </c>
      <c r="D2203" s="78">
        <v>46012</v>
      </c>
      <c r="E2203" s="79" t="s">
        <v>314</v>
      </c>
      <c r="F2203" s="77" t="s">
        <v>1080</v>
      </c>
      <c r="G2203" s="77"/>
    </row>
    <row r="2204" spans="1:7" x14ac:dyDescent="0.35">
      <c r="A2204" s="77" t="s">
        <v>1372</v>
      </c>
      <c r="B2204" s="77" t="s">
        <v>1025</v>
      </c>
      <c r="C2204" s="77" t="s">
        <v>1026</v>
      </c>
      <c r="D2204" s="78">
        <v>46012</v>
      </c>
      <c r="E2204" s="79" t="s">
        <v>314</v>
      </c>
      <c r="F2204" s="77" t="s">
        <v>1080</v>
      </c>
      <c r="G2204" s="77"/>
    </row>
    <row r="2205" spans="1:7" x14ac:dyDescent="0.35">
      <c r="A2205" s="77" t="s">
        <v>1307</v>
      </c>
      <c r="B2205" s="77" t="s">
        <v>1025</v>
      </c>
      <c r="C2205" s="77" t="s">
        <v>1026</v>
      </c>
      <c r="D2205" s="78">
        <v>46012</v>
      </c>
      <c r="E2205" s="79" t="s">
        <v>314</v>
      </c>
      <c r="F2205" s="77" t="s">
        <v>1080</v>
      </c>
      <c r="G2205" s="77"/>
    </row>
    <row r="2206" spans="1:7" x14ac:dyDescent="0.35">
      <c r="A2206" s="77" t="s">
        <v>1338</v>
      </c>
      <c r="B2206" s="77" t="s">
        <v>1025</v>
      </c>
      <c r="C2206" s="77" t="s">
        <v>1026</v>
      </c>
      <c r="D2206" s="78">
        <v>46012</v>
      </c>
      <c r="E2206" s="79" t="s">
        <v>314</v>
      </c>
      <c r="F2206" s="77" t="s">
        <v>1080</v>
      </c>
      <c r="G2206" s="77"/>
    </row>
    <row r="2207" spans="1:7" x14ac:dyDescent="0.35">
      <c r="A2207" s="77" t="s">
        <v>1339</v>
      </c>
      <c r="B2207" s="77" t="s">
        <v>1025</v>
      </c>
      <c r="C2207" s="77" t="s">
        <v>1026</v>
      </c>
      <c r="D2207" s="78">
        <v>46012</v>
      </c>
      <c r="E2207" s="79" t="s">
        <v>314</v>
      </c>
      <c r="F2207" s="77" t="s">
        <v>1080</v>
      </c>
      <c r="G2207" s="77"/>
    </row>
    <row r="2208" spans="1:7" x14ac:dyDescent="0.35">
      <c r="A2208" s="77" t="s">
        <v>1341</v>
      </c>
      <c r="B2208" s="77" t="s">
        <v>1025</v>
      </c>
      <c r="C2208" s="77" t="s">
        <v>1026</v>
      </c>
      <c r="D2208" s="78">
        <v>46012</v>
      </c>
      <c r="E2208" s="79" t="s">
        <v>314</v>
      </c>
      <c r="F2208" s="77" t="s">
        <v>1080</v>
      </c>
      <c r="G2208" s="77"/>
    </row>
    <row r="2209" spans="1:7" x14ac:dyDescent="0.35">
      <c r="A2209" s="77" t="s">
        <v>1356</v>
      </c>
      <c r="B2209" s="77" t="s">
        <v>1025</v>
      </c>
      <c r="C2209" s="77" t="s">
        <v>1026</v>
      </c>
      <c r="D2209" s="78">
        <v>46012</v>
      </c>
      <c r="E2209" s="79" t="s">
        <v>314</v>
      </c>
      <c r="F2209" s="77" t="s">
        <v>1080</v>
      </c>
      <c r="G2209" s="77"/>
    </row>
    <row r="2210" spans="1:7" x14ac:dyDescent="0.35">
      <c r="A2210" s="77" t="s">
        <v>1357</v>
      </c>
      <c r="B2210" s="77" t="s">
        <v>1025</v>
      </c>
      <c r="C2210" s="77" t="s">
        <v>1026</v>
      </c>
      <c r="D2210" s="78">
        <v>46012</v>
      </c>
      <c r="E2210" s="79" t="s">
        <v>314</v>
      </c>
      <c r="F2210" s="77" t="s">
        <v>1080</v>
      </c>
      <c r="G2210" s="77"/>
    </row>
    <row r="2211" spans="1:7" x14ac:dyDescent="0.35">
      <c r="A2211" s="77" t="s">
        <v>1358</v>
      </c>
      <c r="B2211" s="77" t="s">
        <v>1025</v>
      </c>
      <c r="C2211" s="77" t="s">
        <v>1026</v>
      </c>
      <c r="D2211" s="78">
        <v>46012</v>
      </c>
      <c r="E2211" s="79" t="s">
        <v>314</v>
      </c>
      <c r="F2211" s="77" t="s">
        <v>1080</v>
      </c>
      <c r="G2211" s="77"/>
    </row>
    <row r="2212" spans="1:7" x14ac:dyDescent="0.35">
      <c r="A2212" s="77" t="s">
        <v>1354</v>
      </c>
      <c r="B2212" s="77" t="s">
        <v>1025</v>
      </c>
      <c r="C2212" s="77" t="s">
        <v>1026</v>
      </c>
      <c r="D2212" s="78">
        <v>46012</v>
      </c>
      <c r="E2212" s="79" t="s">
        <v>314</v>
      </c>
      <c r="F2212" s="77" t="s">
        <v>1080</v>
      </c>
      <c r="G2212" s="77"/>
    </row>
    <row r="2213" spans="1:7" x14ac:dyDescent="0.35">
      <c r="A2213" s="77" t="s">
        <v>730</v>
      </c>
      <c r="B2213" s="77" t="s">
        <v>1025</v>
      </c>
      <c r="C2213" s="77" t="s">
        <v>1026</v>
      </c>
      <c r="D2213" s="78">
        <v>46012</v>
      </c>
      <c r="E2213" s="79" t="s">
        <v>314</v>
      </c>
      <c r="F2213" s="77" t="s">
        <v>1080</v>
      </c>
      <c r="G2213" s="77"/>
    </row>
    <row r="2214" spans="1:7" x14ac:dyDescent="0.35">
      <c r="A2214" s="77" t="s">
        <v>696</v>
      </c>
      <c r="B2214" s="77" t="s">
        <v>1025</v>
      </c>
      <c r="C2214" s="77" t="s">
        <v>1026</v>
      </c>
      <c r="D2214" s="78">
        <v>46012</v>
      </c>
      <c r="E2214" s="79" t="s">
        <v>314</v>
      </c>
      <c r="F2214" s="77" t="s">
        <v>1080</v>
      </c>
      <c r="G2214" s="77"/>
    </row>
    <row r="2215" spans="1:7" x14ac:dyDescent="0.35">
      <c r="A2215" s="89" t="s">
        <v>695</v>
      </c>
      <c r="B2215" s="89" t="s">
        <v>1025</v>
      </c>
      <c r="C2215" s="77" t="s">
        <v>1026</v>
      </c>
      <c r="D2215" s="90">
        <v>46013</v>
      </c>
      <c r="E2215" s="91" t="s">
        <v>314</v>
      </c>
      <c r="F2215" s="89" t="s">
        <v>867</v>
      </c>
      <c r="G2215" s="89"/>
    </row>
    <row r="2216" spans="1:7" x14ac:dyDescent="0.35">
      <c r="A2216" s="89" t="s">
        <v>695</v>
      </c>
      <c r="B2216" s="89" t="s">
        <v>896</v>
      </c>
      <c r="C2216" s="77" t="s">
        <v>897</v>
      </c>
      <c r="D2216" s="90">
        <v>46013</v>
      </c>
      <c r="E2216" s="91" t="s">
        <v>314</v>
      </c>
      <c r="F2216" s="89" t="s">
        <v>27</v>
      </c>
      <c r="G2216" s="89"/>
    </row>
    <row r="2217" spans="1:7" x14ac:dyDescent="0.35">
      <c r="A2217" s="7" t="s">
        <v>1322</v>
      </c>
      <c r="B2217" s="74" t="s">
        <v>908</v>
      </c>
      <c r="C2217" s="74" t="s">
        <v>374</v>
      </c>
      <c r="D2217" s="75">
        <v>46013</v>
      </c>
      <c r="E2217" s="76" t="s">
        <v>314</v>
      </c>
      <c r="F2217" s="74" t="s">
        <v>872</v>
      </c>
      <c r="G2217" s="74" t="s">
        <v>317</v>
      </c>
    </row>
    <row r="2218" spans="1:7" x14ac:dyDescent="0.35">
      <c r="A2218" s="7" t="s">
        <v>1322</v>
      </c>
      <c r="B2218" s="7" t="s">
        <v>1025</v>
      </c>
      <c r="C2218" s="77" t="s">
        <v>1026</v>
      </c>
      <c r="D2218" s="10">
        <v>46013</v>
      </c>
      <c r="E2218" s="11" t="s">
        <v>314</v>
      </c>
      <c r="F2218" s="7" t="s">
        <v>894</v>
      </c>
      <c r="G2218" s="7" t="s">
        <v>15</v>
      </c>
    </row>
    <row r="2219" spans="1:7" x14ac:dyDescent="0.35">
      <c r="A2219" s="7" t="s">
        <v>1355</v>
      </c>
      <c r="B2219" s="89" t="s">
        <v>1025</v>
      </c>
      <c r="C2219" s="77" t="s">
        <v>1026</v>
      </c>
      <c r="D2219" s="90">
        <v>46013</v>
      </c>
      <c r="E2219" s="91" t="s">
        <v>314</v>
      </c>
      <c r="F2219" s="89" t="s">
        <v>27</v>
      </c>
      <c r="G2219" s="89" t="s">
        <v>1382</v>
      </c>
    </row>
    <row r="2220" spans="1:7" x14ac:dyDescent="0.35">
      <c r="A2220" s="7" t="s">
        <v>40</v>
      </c>
      <c r="B2220" s="74" t="s">
        <v>908</v>
      </c>
      <c r="C2220" s="74" t="s">
        <v>374</v>
      </c>
      <c r="D2220" s="75">
        <v>46013</v>
      </c>
      <c r="E2220" s="76" t="s">
        <v>314</v>
      </c>
      <c r="F2220" s="74" t="s">
        <v>872</v>
      </c>
      <c r="G2220" s="74" t="s">
        <v>317</v>
      </c>
    </row>
    <row r="2221" spans="1:7" x14ac:dyDescent="0.35">
      <c r="A2221" s="7" t="s">
        <v>40</v>
      </c>
      <c r="B2221" s="7" t="s">
        <v>1025</v>
      </c>
      <c r="C2221" s="77" t="s">
        <v>1026</v>
      </c>
      <c r="D2221" s="10">
        <v>46013</v>
      </c>
      <c r="E2221" s="11" t="s">
        <v>314</v>
      </c>
      <c r="F2221" s="7" t="s">
        <v>894</v>
      </c>
      <c r="G2221" s="7" t="s">
        <v>15</v>
      </c>
    </row>
    <row r="2222" spans="1:7" x14ac:dyDescent="0.35">
      <c r="A2222" s="7" t="s">
        <v>411</v>
      </c>
      <c r="B2222" s="88" t="s">
        <v>1025</v>
      </c>
      <c r="C2222" s="77" t="s">
        <v>1026</v>
      </c>
      <c r="D2222" s="86">
        <v>46013</v>
      </c>
      <c r="E2222" s="87" t="s">
        <v>314</v>
      </c>
      <c r="F2222" s="88" t="s">
        <v>877</v>
      </c>
      <c r="G2222" s="88"/>
    </row>
    <row r="2223" spans="1:7" x14ac:dyDescent="0.35">
      <c r="A2223" s="7" t="s">
        <v>1135</v>
      </c>
      <c r="B2223" s="89" t="s">
        <v>1025</v>
      </c>
      <c r="C2223" s="77" t="s">
        <v>1026</v>
      </c>
      <c r="D2223" s="90">
        <v>46013</v>
      </c>
      <c r="E2223" s="91" t="s">
        <v>314</v>
      </c>
      <c r="F2223" s="89" t="s">
        <v>27</v>
      </c>
      <c r="G2223" s="89" t="s">
        <v>1370</v>
      </c>
    </row>
    <row r="2224" spans="1:7" x14ac:dyDescent="0.35">
      <c r="A2224" s="77" t="s">
        <v>40</v>
      </c>
      <c r="B2224" s="77" t="s">
        <v>1025</v>
      </c>
      <c r="C2224" s="77" t="s">
        <v>1026</v>
      </c>
      <c r="D2224" s="78">
        <v>46013</v>
      </c>
      <c r="E2224" s="79" t="s">
        <v>314</v>
      </c>
      <c r="F2224" s="77" t="s">
        <v>1080</v>
      </c>
      <c r="G2224" s="77"/>
    </row>
    <row r="2225" spans="1:7" x14ac:dyDescent="0.35">
      <c r="A2225" s="77" t="s">
        <v>695</v>
      </c>
      <c r="B2225" s="77" t="s">
        <v>1025</v>
      </c>
      <c r="C2225" s="77" t="s">
        <v>1026</v>
      </c>
      <c r="D2225" s="78">
        <v>46013</v>
      </c>
      <c r="E2225" s="79" t="s">
        <v>314</v>
      </c>
      <c r="F2225" s="77" t="s">
        <v>1080</v>
      </c>
      <c r="G2225" s="77"/>
    </row>
    <row r="2226" spans="1:7" x14ac:dyDescent="0.35">
      <c r="A2226" s="77" t="s">
        <v>1355</v>
      </c>
      <c r="B2226" s="77" t="s">
        <v>1025</v>
      </c>
      <c r="C2226" s="77" t="s">
        <v>1026</v>
      </c>
      <c r="D2226" s="78">
        <v>46013</v>
      </c>
      <c r="E2226" s="79" t="s">
        <v>314</v>
      </c>
      <c r="F2226" s="77" t="s">
        <v>1080</v>
      </c>
      <c r="G2226" s="77"/>
    </row>
    <row r="2227" spans="1:7" x14ac:dyDescent="0.35">
      <c r="A2227" s="77" t="s">
        <v>1379</v>
      </c>
      <c r="B2227" s="77" t="s">
        <v>1025</v>
      </c>
      <c r="C2227" s="77" t="s">
        <v>1026</v>
      </c>
      <c r="D2227" s="78">
        <v>46013</v>
      </c>
      <c r="E2227" s="79" t="s">
        <v>314</v>
      </c>
      <c r="F2227" s="77" t="s">
        <v>1080</v>
      </c>
      <c r="G2227" s="77"/>
    </row>
    <row r="2228" spans="1:7" x14ac:dyDescent="0.35">
      <c r="A2228" s="77" t="s">
        <v>1385</v>
      </c>
      <c r="B2228" s="77" t="s">
        <v>1025</v>
      </c>
      <c r="C2228" s="77" t="s">
        <v>1026</v>
      </c>
      <c r="D2228" s="78">
        <v>46013</v>
      </c>
      <c r="E2228" s="79" t="s">
        <v>314</v>
      </c>
      <c r="F2228" s="77" t="s">
        <v>1080</v>
      </c>
      <c r="G2228" s="77"/>
    </row>
    <row r="2229" spans="1:7" x14ac:dyDescent="0.35">
      <c r="A2229" s="77" t="s">
        <v>1374</v>
      </c>
      <c r="B2229" s="77" t="s">
        <v>1025</v>
      </c>
      <c r="C2229" s="77" t="s">
        <v>1026</v>
      </c>
      <c r="D2229" s="78">
        <v>46013</v>
      </c>
      <c r="E2229" s="79" t="s">
        <v>314</v>
      </c>
      <c r="F2229" s="77" t="s">
        <v>1080</v>
      </c>
      <c r="G2229" s="77"/>
    </row>
    <row r="2230" spans="1:7" x14ac:dyDescent="0.35">
      <c r="A2230" s="77" t="s">
        <v>1377</v>
      </c>
      <c r="B2230" s="77" t="s">
        <v>1025</v>
      </c>
      <c r="C2230" s="77" t="s">
        <v>1026</v>
      </c>
      <c r="D2230" s="78">
        <v>46013</v>
      </c>
      <c r="E2230" s="79" t="s">
        <v>314</v>
      </c>
      <c r="F2230" s="77" t="s">
        <v>1080</v>
      </c>
      <c r="G2230" s="77"/>
    </row>
    <row r="2231" spans="1:7" x14ac:dyDescent="0.35">
      <c r="A2231" s="7" t="s">
        <v>1359</v>
      </c>
      <c r="B2231" s="89" t="s">
        <v>1025</v>
      </c>
      <c r="C2231" s="77" t="s">
        <v>1026</v>
      </c>
      <c r="D2231" s="90">
        <v>46014</v>
      </c>
      <c r="E2231" s="91" t="s">
        <v>314</v>
      </c>
      <c r="F2231" s="89" t="s">
        <v>27</v>
      </c>
      <c r="G2231" s="89" t="s">
        <v>1382</v>
      </c>
    </row>
    <row r="2232" spans="1:7" x14ac:dyDescent="0.35">
      <c r="A2232" s="77" t="s">
        <v>1368</v>
      </c>
      <c r="B2232" s="77" t="s">
        <v>1025</v>
      </c>
      <c r="C2232" s="77" t="s">
        <v>1026</v>
      </c>
      <c r="D2232" s="78">
        <v>46014</v>
      </c>
      <c r="E2232" s="79" t="s">
        <v>314</v>
      </c>
      <c r="F2232" s="77" t="s">
        <v>1080</v>
      </c>
      <c r="G2232" s="77"/>
    </row>
    <row r="2233" spans="1:7" x14ac:dyDescent="0.35">
      <c r="A2233" s="77" t="s">
        <v>39</v>
      </c>
      <c r="B2233" s="77" t="s">
        <v>1025</v>
      </c>
      <c r="C2233" s="77" t="s">
        <v>1026</v>
      </c>
      <c r="D2233" s="78">
        <v>46014</v>
      </c>
      <c r="E2233" s="79" t="s">
        <v>314</v>
      </c>
      <c r="F2233" s="77" t="s">
        <v>1080</v>
      </c>
      <c r="G2233" s="77"/>
    </row>
    <row r="2234" spans="1:7" x14ac:dyDescent="0.35">
      <c r="A2234" s="77" t="s">
        <v>1322</v>
      </c>
      <c r="B2234" s="77" t="s">
        <v>1025</v>
      </c>
      <c r="C2234" s="77" t="s">
        <v>1026</v>
      </c>
      <c r="D2234" s="78">
        <v>46014</v>
      </c>
      <c r="E2234" s="79" t="s">
        <v>314</v>
      </c>
      <c r="F2234" s="77" t="s">
        <v>1080</v>
      </c>
      <c r="G2234" s="77"/>
    </row>
    <row r="2235" spans="1:7" x14ac:dyDescent="0.35">
      <c r="A2235" s="77" t="s">
        <v>1359</v>
      </c>
      <c r="B2235" s="77" t="s">
        <v>1025</v>
      </c>
      <c r="C2235" s="77" t="s">
        <v>1026</v>
      </c>
      <c r="D2235" s="78">
        <v>46014</v>
      </c>
      <c r="E2235" s="79" t="s">
        <v>314</v>
      </c>
      <c r="F2235" s="77" t="s">
        <v>1080</v>
      </c>
      <c r="G2235" s="77"/>
    </row>
    <row r="2236" spans="1:7" x14ac:dyDescent="0.35">
      <c r="A2236" s="77" t="s">
        <v>293</v>
      </c>
      <c r="B2236" s="77" t="s">
        <v>1025</v>
      </c>
      <c r="C2236" s="77" t="s">
        <v>1026</v>
      </c>
      <c r="D2236" s="78">
        <v>46014</v>
      </c>
      <c r="E2236" s="79" t="s">
        <v>314</v>
      </c>
      <c r="F2236" s="77" t="s">
        <v>1080</v>
      </c>
      <c r="G2236" s="77"/>
    </row>
    <row r="2237" spans="1:7" x14ac:dyDescent="0.35">
      <c r="A2237" s="77" t="s">
        <v>1268</v>
      </c>
      <c r="B2237" s="77" t="s">
        <v>1025</v>
      </c>
      <c r="C2237" s="77" t="s">
        <v>1026</v>
      </c>
      <c r="D2237" s="78">
        <v>46014</v>
      </c>
      <c r="E2237" s="79" t="s">
        <v>314</v>
      </c>
      <c r="F2237" s="77" t="s">
        <v>1080</v>
      </c>
      <c r="G2237" s="77"/>
    </row>
    <row r="2238" spans="1:7" x14ac:dyDescent="0.35">
      <c r="A2238" s="77" t="s">
        <v>1378</v>
      </c>
      <c r="B2238" s="77" t="s">
        <v>1025</v>
      </c>
      <c r="C2238" s="77" t="s">
        <v>1026</v>
      </c>
      <c r="D2238" s="78">
        <v>46015</v>
      </c>
      <c r="E2238" s="79" t="s">
        <v>314</v>
      </c>
      <c r="F2238" s="77" t="s">
        <v>1080</v>
      </c>
      <c r="G2238" s="77"/>
    </row>
    <row r="2239" spans="1:7" x14ac:dyDescent="0.35">
      <c r="A2239" s="77" t="s">
        <v>1376</v>
      </c>
      <c r="B2239" s="77" t="s">
        <v>1025</v>
      </c>
      <c r="C2239" s="77" t="s">
        <v>1026</v>
      </c>
      <c r="D2239" s="78">
        <v>46015</v>
      </c>
      <c r="E2239" s="79" t="s">
        <v>314</v>
      </c>
      <c r="F2239" s="77" t="s">
        <v>1080</v>
      </c>
      <c r="G2239" s="77"/>
    </row>
    <row r="2240" spans="1:7" x14ac:dyDescent="0.35">
      <c r="A2240" s="77" t="s">
        <v>1365</v>
      </c>
      <c r="B2240" s="7" t="s">
        <v>1025</v>
      </c>
      <c r="C2240" s="77" t="s">
        <v>1026</v>
      </c>
      <c r="D2240" s="78">
        <v>46016</v>
      </c>
      <c r="E2240" s="79" t="s">
        <v>314</v>
      </c>
      <c r="F2240" s="77" t="s">
        <v>19</v>
      </c>
      <c r="G2240" s="77"/>
    </row>
    <row r="2241" spans="1:7" x14ac:dyDescent="0.35">
      <c r="A2241" s="89" t="s">
        <v>290</v>
      </c>
      <c r="B2241" s="89" t="s">
        <v>1025</v>
      </c>
      <c r="C2241" s="77" t="s">
        <v>1026</v>
      </c>
      <c r="D2241" s="90">
        <v>46016</v>
      </c>
      <c r="E2241" s="91" t="s">
        <v>314</v>
      </c>
      <c r="F2241" s="89" t="s">
        <v>867</v>
      </c>
      <c r="G2241" s="89"/>
    </row>
    <row r="2242" spans="1:7" x14ac:dyDescent="0.35">
      <c r="A2242" s="7" t="s">
        <v>1312</v>
      </c>
      <c r="B2242" s="89" t="s">
        <v>1025</v>
      </c>
      <c r="C2242" s="77" t="s">
        <v>1026</v>
      </c>
      <c r="D2242" s="75">
        <v>46016</v>
      </c>
      <c r="E2242" s="76" t="s">
        <v>314</v>
      </c>
      <c r="F2242" s="74" t="s">
        <v>872</v>
      </c>
      <c r="G2242" s="74" t="s">
        <v>317</v>
      </c>
    </row>
    <row r="2243" spans="1:7" x14ac:dyDescent="0.35">
      <c r="A2243" s="89" t="s">
        <v>1372</v>
      </c>
      <c r="B2243" s="89" t="s">
        <v>1025</v>
      </c>
      <c r="C2243" s="77" t="s">
        <v>1026</v>
      </c>
      <c r="D2243" s="90">
        <v>46016</v>
      </c>
      <c r="E2243" s="91" t="s">
        <v>314</v>
      </c>
      <c r="F2243" s="89" t="s">
        <v>867</v>
      </c>
      <c r="G2243" s="89"/>
    </row>
    <row r="2244" spans="1:7" x14ac:dyDescent="0.35">
      <c r="A2244" s="89" t="s">
        <v>1272</v>
      </c>
      <c r="B2244" s="89" t="s">
        <v>1025</v>
      </c>
      <c r="C2244" s="77" t="s">
        <v>1026</v>
      </c>
      <c r="D2244" s="90">
        <v>46016</v>
      </c>
      <c r="E2244" s="91" t="s">
        <v>314</v>
      </c>
      <c r="F2244" s="89" t="s">
        <v>867</v>
      </c>
      <c r="G2244" s="89" t="s">
        <v>1260</v>
      </c>
    </row>
    <row r="2245" spans="1:7" x14ac:dyDescent="0.35">
      <c r="A2245" s="89" t="s">
        <v>97</v>
      </c>
      <c r="B2245" s="89" t="s">
        <v>1025</v>
      </c>
      <c r="C2245" s="77" t="s">
        <v>1026</v>
      </c>
      <c r="D2245" s="90">
        <v>46016</v>
      </c>
      <c r="E2245" s="91" t="s">
        <v>314</v>
      </c>
      <c r="F2245" s="89" t="s">
        <v>867</v>
      </c>
      <c r="G2245" s="89"/>
    </row>
    <row r="2246" spans="1:7" x14ac:dyDescent="0.35">
      <c r="A2246" s="89" t="s">
        <v>1268</v>
      </c>
      <c r="B2246" s="89" t="s">
        <v>1025</v>
      </c>
      <c r="C2246" s="77" t="s">
        <v>1026</v>
      </c>
      <c r="D2246" s="90">
        <v>46016</v>
      </c>
      <c r="E2246" s="91" t="s">
        <v>314</v>
      </c>
      <c r="F2246" s="89" t="s">
        <v>867</v>
      </c>
      <c r="G2246" s="89" t="s">
        <v>1260</v>
      </c>
    </row>
    <row r="2247" spans="1:7" x14ac:dyDescent="0.35">
      <c r="A2247" s="89" t="s">
        <v>1203</v>
      </c>
      <c r="B2247" s="89" t="s">
        <v>1025</v>
      </c>
      <c r="C2247" s="77" t="s">
        <v>1026</v>
      </c>
      <c r="D2247" s="90">
        <v>46016</v>
      </c>
      <c r="E2247" s="91" t="s">
        <v>314</v>
      </c>
      <c r="F2247" s="89" t="s">
        <v>867</v>
      </c>
      <c r="G2247" s="89"/>
    </row>
    <row r="2248" spans="1:7" x14ac:dyDescent="0.35">
      <c r="A2248" s="89" t="s">
        <v>293</v>
      </c>
      <c r="B2248" s="89" t="s">
        <v>1025</v>
      </c>
      <c r="C2248" s="77" t="s">
        <v>1026</v>
      </c>
      <c r="D2248" s="90">
        <v>46016</v>
      </c>
      <c r="E2248" s="91" t="s">
        <v>314</v>
      </c>
      <c r="F2248" s="89" t="s">
        <v>867</v>
      </c>
      <c r="G2248" s="89"/>
    </row>
    <row r="2249" spans="1:7" x14ac:dyDescent="0.35">
      <c r="A2249" s="89" t="s">
        <v>385</v>
      </c>
      <c r="B2249" s="89" t="s">
        <v>1025</v>
      </c>
      <c r="C2249" s="77" t="s">
        <v>1026</v>
      </c>
      <c r="D2249" s="90">
        <v>46016</v>
      </c>
      <c r="E2249" s="91" t="s">
        <v>314</v>
      </c>
      <c r="F2249" s="89" t="s">
        <v>867</v>
      </c>
      <c r="G2249" s="89"/>
    </row>
    <row r="2250" spans="1:7" x14ac:dyDescent="0.35">
      <c r="A2250" s="89" t="s">
        <v>1374</v>
      </c>
      <c r="B2250" s="89" t="s">
        <v>1025</v>
      </c>
      <c r="C2250" s="77" t="s">
        <v>1026</v>
      </c>
      <c r="D2250" s="90">
        <v>46016</v>
      </c>
      <c r="E2250" s="91" t="s">
        <v>314</v>
      </c>
      <c r="F2250" s="89" t="s">
        <v>867</v>
      </c>
      <c r="G2250" s="89"/>
    </row>
    <row r="2251" spans="1:7" x14ac:dyDescent="0.35">
      <c r="A2251" s="89" t="s">
        <v>692</v>
      </c>
      <c r="B2251" s="89" t="s">
        <v>1025</v>
      </c>
      <c r="C2251" s="77" t="s">
        <v>1026</v>
      </c>
      <c r="D2251" s="90">
        <v>46016</v>
      </c>
      <c r="E2251" s="91" t="s">
        <v>314</v>
      </c>
      <c r="F2251" s="89" t="s">
        <v>867</v>
      </c>
      <c r="G2251" s="89" t="s">
        <v>1260</v>
      </c>
    </row>
    <row r="2252" spans="1:7" x14ac:dyDescent="0.35">
      <c r="A2252" s="80" t="s">
        <v>1000</v>
      </c>
      <c r="B2252" s="80" t="s">
        <v>1025</v>
      </c>
      <c r="C2252" s="77" t="s">
        <v>1026</v>
      </c>
      <c r="D2252" s="81">
        <v>46016</v>
      </c>
      <c r="E2252" s="82" t="s">
        <v>314</v>
      </c>
      <c r="F2252" s="80" t="s">
        <v>871</v>
      </c>
      <c r="G2252" s="80" t="s">
        <v>891</v>
      </c>
    </row>
    <row r="2253" spans="1:7" x14ac:dyDescent="0.35">
      <c r="A2253" s="7" t="s">
        <v>1000</v>
      </c>
      <c r="B2253" s="74" t="s">
        <v>908</v>
      </c>
      <c r="C2253" s="74" t="s">
        <v>374</v>
      </c>
      <c r="D2253" s="75">
        <v>46016</v>
      </c>
      <c r="E2253" s="76" t="s">
        <v>314</v>
      </c>
      <c r="F2253" s="74" t="s">
        <v>872</v>
      </c>
      <c r="G2253" s="74" t="s">
        <v>317</v>
      </c>
    </row>
    <row r="2254" spans="1:7" x14ac:dyDescent="0.35">
      <c r="A2254" s="89" t="s">
        <v>249</v>
      </c>
      <c r="B2254" s="89" t="s">
        <v>1025</v>
      </c>
      <c r="C2254" s="77" t="s">
        <v>1026</v>
      </c>
      <c r="D2254" s="90">
        <v>46016</v>
      </c>
      <c r="E2254" s="91" t="s">
        <v>314</v>
      </c>
      <c r="F2254" s="89" t="s">
        <v>867</v>
      </c>
      <c r="G2254" s="89" t="s">
        <v>1260</v>
      </c>
    </row>
    <row r="2255" spans="1:7" x14ac:dyDescent="0.35">
      <c r="A2255" s="89" t="s">
        <v>1091</v>
      </c>
      <c r="B2255" s="89" t="s">
        <v>896</v>
      </c>
      <c r="C2255" s="77" t="s">
        <v>897</v>
      </c>
      <c r="D2255" s="90">
        <v>46016</v>
      </c>
      <c r="E2255" s="91" t="s">
        <v>314</v>
      </c>
      <c r="F2255" s="89" t="s">
        <v>867</v>
      </c>
      <c r="G2255" s="89"/>
    </row>
    <row r="2256" spans="1:7" x14ac:dyDescent="0.35">
      <c r="A2256" s="7" t="s">
        <v>1127</v>
      </c>
      <c r="B2256" s="80" t="s">
        <v>908</v>
      </c>
      <c r="C2256" s="77" t="s">
        <v>374</v>
      </c>
      <c r="D2256" s="81">
        <v>46016</v>
      </c>
      <c r="E2256" s="82" t="s">
        <v>314</v>
      </c>
      <c r="F2256" s="80" t="s">
        <v>19</v>
      </c>
      <c r="G2256" s="80"/>
    </row>
    <row r="2257" spans="1:7" x14ac:dyDescent="0.35">
      <c r="A2257" s="89" t="s">
        <v>1085</v>
      </c>
      <c r="B2257" s="89" t="s">
        <v>1025</v>
      </c>
      <c r="C2257" s="77" t="s">
        <v>1026</v>
      </c>
      <c r="D2257" s="90">
        <v>46016</v>
      </c>
      <c r="E2257" s="91" t="s">
        <v>314</v>
      </c>
      <c r="F2257" s="89" t="s">
        <v>867</v>
      </c>
      <c r="G2257" s="89"/>
    </row>
    <row r="2258" spans="1:7" x14ac:dyDescent="0.35">
      <c r="A2258" s="89" t="s">
        <v>1087</v>
      </c>
      <c r="B2258" s="89" t="s">
        <v>1025</v>
      </c>
      <c r="C2258" s="77" t="s">
        <v>1026</v>
      </c>
      <c r="D2258" s="90">
        <v>46016</v>
      </c>
      <c r="E2258" s="91" t="s">
        <v>314</v>
      </c>
      <c r="F2258" s="89" t="s">
        <v>867</v>
      </c>
      <c r="G2258" s="89"/>
    </row>
    <row r="2259" spans="1:7" x14ac:dyDescent="0.35">
      <c r="A2259" s="77" t="s">
        <v>443</v>
      </c>
      <c r="B2259" s="7" t="s">
        <v>1025</v>
      </c>
      <c r="C2259" s="77" t="s">
        <v>1026</v>
      </c>
      <c r="D2259" s="78">
        <v>46016</v>
      </c>
      <c r="E2259" s="79" t="s">
        <v>314</v>
      </c>
      <c r="F2259" s="77" t="s">
        <v>867</v>
      </c>
      <c r="G2259" s="77" t="s">
        <v>1170</v>
      </c>
    </row>
    <row r="2260" spans="1:7" x14ac:dyDescent="0.35">
      <c r="A2260" s="77" t="s">
        <v>1367</v>
      </c>
      <c r="B2260" s="7" t="s">
        <v>1025</v>
      </c>
      <c r="C2260" s="77" t="s">
        <v>1026</v>
      </c>
      <c r="D2260" s="78">
        <v>46016</v>
      </c>
      <c r="E2260" s="79" t="s">
        <v>314</v>
      </c>
      <c r="F2260" s="77" t="s">
        <v>867</v>
      </c>
      <c r="G2260" s="77" t="s">
        <v>1170</v>
      </c>
    </row>
    <row r="2261" spans="1:7" x14ac:dyDescent="0.35">
      <c r="A2261" s="89" t="s">
        <v>1375</v>
      </c>
      <c r="B2261" s="89" t="s">
        <v>1025</v>
      </c>
      <c r="C2261" s="77" t="s">
        <v>1026</v>
      </c>
      <c r="D2261" s="90">
        <v>46016</v>
      </c>
      <c r="E2261" s="91" t="s">
        <v>314</v>
      </c>
      <c r="F2261" s="89" t="s">
        <v>867</v>
      </c>
      <c r="G2261" s="89"/>
    </row>
    <row r="2262" spans="1:7" x14ac:dyDescent="0.35">
      <c r="A2262" s="7" t="s">
        <v>593</v>
      </c>
      <c r="B2262" s="7" t="s">
        <v>1025</v>
      </c>
      <c r="C2262" s="77" t="s">
        <v>1026</v>
      </c>
      <c r="D2262" s="10">
        <v>46016</v>
      </c>
      <c r="E2262" s="11" t="s">
        <v>314</v>
      </c>
      <c r="F2262" s="7" t="s">
        <v>867</v>
      </c>
      <c r="G2262" s="7" t="s">
        <v>1232</v>
      </c>
    </row>
    <row r="2263" spans="1:7" x14ac:dyDescent="0.35">
      <c r="A2263" s="77" t="s">
        <v>1245</v>
      </c>
      <c r="B2263" s="7" t="s">
        <v>1025</v>
      </c>
      <c r="C2263" s="77" t="s">
        <v>1026</v>
      </c>
      <c r="D2263" s="78">
        <v>46016</v>
      </c>
      <c r="E2263" s="79" t="s">
        <v>314</v>
      </c>
      <c r="F2263" s="77" t="s">
        <v>867</v>
      </c>
      <c r="G2263" s="77" t="s">
        <v>1170</v>
      </c>
    </row>
    <row r="2264" spans="1:7" x14ac:dyDescent="0.35">
      <c r="A2264" s="7" t="s">
        <v>1373</v>
      </c>
      <c r="B2264" s="7" t="s">
        <v>1025</v>
      </c>
      <c r="C2264" s="77" t="s">
        <v>1026</v>
      </c>
      <c r="D2264" s="78">
        <v>46016</v>
      </c>
      <c r="E2264" s="79" t="s">
        <v>314</v>
      </c>
      <c r="F2264" s="77" t="s">
        <v>867</v>
      </c>
      <c r="G2264" s="77" t="s">
        <v>1170</v>
      </c>
    </row>
    <row r="2265" spans="1:7" x14ac:dyDescent="0.35">
      <c r="A2265" s="7" t="s">
        <v>1376</v>
      </c>
      <c r="B2265" s="89" t="s">
        <v>1025</v>
      </c>
      <c r="C2265" s="77" t="s">
        <v>1026</v>
      </c>
      <c r="D2265" s="75">
        <v>46016</v>
      </c>
      <c r="E2265" s="76" t="s">
        <v>314</v>
      </c>
      <c r="F2265" s="74" t="s">
        <v>872</v>
      </c>
      <c r="G2265" s="74" t="s">
        <v>317</v>
      </c>
    </row>
    <row r="2266" spans="1:7" x14ac:dyDescent="0.35">
      <c r="A2266" s="7" t="s">
        <v>595</v>
      </c>
      <c r="B2266" s="7" t="s">
        <v>1025</v>
      </c>
      <c r="C2266" s="77" t="s">
        <v>1026</v>
      </c>
      <c r="D2266" s="10">
        <v>46016</v>
      </c>
      <c r="E2266" s="11" t="s">
        <v>314</v>
      </c>
      <c r="F2266" s="7" t="s">
        <v>867</v>
      </c>
      <c r="G2266" s="7" t="s">
        <v>1232</v>
      </c>
    </row>
    <row r="2267" spans="1:7" x14ac:dyDescent="0.35">
      <c r="A2267" s="77" t="s">
        <v>1335</v>
      </c>
      <c r="B2267" s="7" t="s">
        <v>1025</v>
      </c>
      <c r="C2267" s="77" t="s">
        <v>1026</v>
      </c>
      <c r="D2267" s="78">
        <v>46016</v>
      </c>
      <c r="E2267" s="79" t="s">
        <v>314</v>
      </c>
      <c r="F2267" s="77" t="s">
        <v>19</v>
      </c>
      <c r="G2267" s="77"/>
    </row>
    <row r="2268" spans="1:7" x14ac:dyDescent="0.35">
      <c r="A2268" s="77" t="s">
        <v>1362</v>
      </c>
      <c r="B2268" s="7" t="s">
        <v>1025</v>
      </c>
      <c r="C2268" s="77" t="s">
        <v>1026</v>
      </c>
      <c r="D2268" s="78">
        <v>46016</v>
      </c>
      <c r="E2268" s="79" t="s">
        <v>314</v>
      </c>
      <c r="F2268" s="77" t="s">
        <v>19</v>
      </c>
      <c r="G2268" s="77"/>
    </row>
    <row r="2269" spans="1:7" x14ac:dyDescent="0.35">
      <c r="A2269" s="77" t="s">
        <v>1333</v>
      </c>
      <c r="B2269" s="7" t="s">
        <v>1025</v>
      </c>
      <c r="C2269" s="77" t="s">
        <v>1026</v>
      </c>
      <c r="D2269" s="78">
        <v>46016</v>
      </c>
      <c r="E2269" s="79" t="s">
        <v>314</v>
      </c>
      <c r="F2269" s="77" t="s">
        <v>19</v>
      </c>
      <c r="G2269" s="77"/>
    </row>
    <row r="2270" spans="1:7" x14ac:dyDescent="0.35">
      <c r="A2270" s="7" t="s">
        <v>1380</v>
      </c>
      <c r="B2270" s="89" t="s">
        <v>1025</v>
      </c>
      <c r="C2270" s="77" t="s">
        <v>1026</v>
      </c>
      <c r="D2270" s="90">
        <v>46016</v>
      </c>
      <c r="E2270" s="91" t="s">
        <v>314</v>
      </c>
      <c r="F2270" s="89" t="s">
        <v>27</v>
      </c>
      <c r="G2270" s="89"/>
    </row>
    <row r="2271" spans="1:7" x14ac:dyDescent="0.35">
      <c r="A2271" s="7" t="s">
        <v>683</v>
      </c>
      <c r="B2271" s="7" t="s">
        <v>1025</v>
      </c>
      <c r="C2271" s="77" t="s">
        <v>1026</v>
      </c>
      <c r="D2271" s="10">
        <v>46016</v>
      </c>
      <c r="E2271" s="11" t="s">
        <v>314</v>
      </c>
      <c r="F2271" s="7" t="s">
        <v>867</v>
      </c>
      <c r="G2271" s="7" t="s">
        <v>1232</v>
      </c>
    </row>
    <row r="2272" spans="1:7" x14ac:dyDescent="0.35">
      <c r="A2272" s="7" t="s">
        <v>809</v>
      </c>
      <c r="B2272" s="7" t="s">
        <v>1025</v>
      </c>
      <c r="C2272" s="77" t="s">
        <v>1026</v>
      </c>
      <c r="D2272" s="10">
        <v>46016</v>
      </c>
      <c r="E2272" s="11" t="s">
        <v>314</v>
      </c>
      <c r="F2272" s="7" t="s">
        <v>867</v>
      </c>
      <c r="G2272" s="7" t="s">
        <v>1232</v>
      </c>
    </row>
    <row r="2273" spans="1:7" x14ac:dyDescent="0.35">
      <c r="A2273" s="7" t="s">
        <v>718</v>
      </c>
      <c r="B2273" s="7" t="s">
        <v>1025</v>
      </c>
      <c r="C2273" s="77" t="s">
        <v>1026</v>
      </c>
      <c r="D2273" s="10">
        <v>46016</v>
      </c>
      <c r="E2273" s="11" t="s">
        <v>314</v>
      </c>
      <c r="F2273" s="7" t="s">
        <v>867</v>
      </c>
      <c r="G2273" s="7" t="s">
        <v>1232</v>
      </c>
    </row>
    <row r="2274" spans="1:7" x14ac:dyDescent="0.35">
      <c r="A2274" s="7" t="s">
        <v>85</v>
      </c>
      <c r="B2274" s="7" t="s">
        <v>1025</v>
      </c>
      <c r="C2274" s="77" t="s">
        <v>1026</v>
      </c>
      <c r="D2274" s="10">
        <v>46016</v>
      </c>
      <c r="E2274" s="11" t="s">
        <v>314</v>
      </c>
      <c r="F2274" s="7" t="s">
        <v>867</v>
      </c>
      <c r="G2274" s="7" t="s">
        <v>1232</v>
      </c>
    </row>
    <row r="2275" spans="1:7" x14ac:dyDescent="0.35">
      <c r="A2275" s="7" t="s">
        <v>1383</v>
      </c>
      <c r="B2275" s="7" t="s">
        <v>1025</v>
      </c>
      <c r="C2275" s="7" t="s">
        <v>1026</v>
      </c>
      <c r="D2275" s="10">
        <v>46016</v>
      </c>
      <c r="E2275" s="11" t="s">
        <v>314</v>
      </c>
      <c r="F2275" s="7" t="s">
        <v>1080</v>
      </c>
      <c r="G2275" s="7"/>
    </row>
    <row r="2276" spans="1:7" x14ac:dyDescent="0.35">
      <c r="A2276" s="7" t="s">
        <v>1176</v>
      </c>
      <c r="B2276" s="7" t="s">
        <v>1025</v>
      </c>
      <c r="C2276" s="7" t="s">
        <v>1026</v>
      </c>
      <c r="D2276" s="10">
        <v>46016</v>
      </c>
      <c r="E2276" s="11" t="s">
        <v>314</v>
      </c>
      <c r="F2276" s="7" t="s">
        <v>1080</v>
      </c>
      <c r="G2276" s="7"/>
    </row>
    <row r="2277" spans="1:7" x14ac:dyDescent="0.35">
      <c r="A2277" s="77" t="s">
        <v>1373</v>
      </c>
      <c r="B2277" s="77" t="s">
        <v>1025</v>
      </c>
      <c r="C2277" s="77" t="s">
        <v>1026</v>
      </c>
      <c r="D2277" s="78">
        <v>46016</v>
      </c>
      <c r="E2277" s="79" t="s">
        <v>314</v>
      </c>
      <c r="F2277" s="77" t="s">
        <v>1080</v>
      </c>
      <c r="G2277" s="77"/>
    </row>
    <row r="2278" spans="1:7" x14ac:dyDescent="0.35">
      <c r="A2278" s="7" t="s">
        <v>1312</v>
      </c>
      <c r="B2278" s="7" t="s">
        <v>1025</v>
      </c>
      <c r="C2278" s="77" t="s">
        <v>1026</v>
      </c>
      <c r="D2278" s="10">
        <v>46017</v>
      </c>
      <c r="E2278" s="11" t="s">
        <v>314</v>
      </c>
      <c r="F2278" s="7" t="s">
        <v>894</v>
      </c>
      <c r="G2278" s="7" t="s">
        <v>15</v>
      </c>
    </row>
    <row r="2279" spans="1:7" x14ac:dyDescent="0.35">
      <c r="A2279" s="7" t="s">
        <v>1311</v>
      </c>
      <c r="B2279" s="74" t="s">
        <v>908</v>
      </c>
      <c r="C2279" s="74" t="s">
        <v>374</v>
      </c>
      <c r="D2279" s="75">
        <v>46017</v>
      </c>
      <c r="E2279" s="76" t="s">
        <v>314</v>
      </c>
      <c r="F2279" s="74" t="s">
        <v>872</v>
      </c>
      <c r="G2279" s="74" t="s">
        <v>317</v>
      </c>
    </row>
    <row r="2280" spans="1:7" x14ac:dyDescent="0.35">
      <c r="A2280" s="7" t="s">
        <v>1311</v>
      </c>
      <c r="B2280" s="7" t="s">
        <v>1025</v>
      </c>
      <c r="C2280" s="77" t="s">
        <v>1026</v>
      </c>
      <c r="D2280" s="10">
        <v>46017</v>
      </c>
      <c r="E2280" s="11" t="s">
        <v>314</v>
      </c>
      <c r="F2280" s="7" t="s">
        <v>894</v>
      </c>
      <c r="G2280" s="7" t="s">
        <v>15</v>
      </c>
    </row>
    <row r="2281" spans="1:7" x14ac:dyDescent="0.35">
      <c r="A2281" s="7" t="s">
        <v>1383</v>
      </c>
      <c r="B2281" s="7" t="s">
        <v>1025</v>
      </c>
      <c r="C2281" s="77" t="s">
        <v>1026</v>
      </c>
      <c r="D2281" s="10">
        <v>46017</v>
      </c>
      <c r="E2281" s="11" t="s">
        <v>314</v>
      </c>
      <c r="F2281" s="7" t="s">
        <v>894</v>
      </c>
      <c r="G2281" s="7" t="s">
        <v>15</v>
      </c>
    </row>
    <row r="2282" spans="1:7" x14ac:dyDescent="0.35">
      <c r="A2282" s="7" t="s">
        <v>1383</v>
      </c>
      <c r="B2282" s="89" t="s">
        <v>908</v>
      </c>
      <c r="C2282" s="77" t="s">
        <v>374</v>
      </c>
      <c r="D2282" s="75">
        <v>46017</v>
      </c>
      <c r="E2282" s="76" t="s">
        <v>314</v>
      </c>
      <c r="F2282" s="74" t="s">
        <v>872</v>
      </c>
      <c r="G2282" s="74" t="s">
        <v>317</v>
      </c>
    </row>
    <row r="2283" spans="1:7" x14ac:dyDescent="0.35">
      <c r="A2283" s="7" t="s">
        <v>1340</v>
      </c>
      <c r="B2283" s="89" t="s">
        <v>1025</v>
      </c>
      <c r="C2283" s="77" t="s">
        <v>1026</v>
      </c>
      <c r="D2283" s="90">
        <v>46017</v>
      </c>
      <c r="E2283" s="91" t="s">
        <v>314</v>
      </c>
      <c r="F2283" s="89" t="s">
        <v>27</v>
      </c>
      <c r="G2283" s="89" t="s">
        <v>1382</v>
      </c>
    </row>
    <row r="2284" spans="1:7" x14ac:dyDescent="0.35">
      <c r="A2284" s="7" t="s">
        <v>1376</v>
      </c>
      <c r="B2284" s="7" t="s">
        <v>1025</v>
      </c>
      <c r="C2284" s="77" t="s">
        <v>1026</v>
      </c>
      <c r="D2284" s="10">
        <v>46017</v>
      </c>
      <c r="E2284" s="11" t="s">
        <v>314</v>
      </c>
      <c r="F2284" s="7" t="s">
        <v>894</v>
      </c>
      <c r="G2284" s="7" t="s">
        <v>15</v>
      </c>
    </row>
    <row r="2285" spans="1:7" x14ac:dyDescent="0.35">
      <c r="A2285" s="7" t="s">
        <v>1176</v>
      </c>
      <c r="B2285" s="80" t="s">
        <v>1025</v>
      </c>
      <c r="C2285" s="77" t="s">
        <v>1026</v>
      </c>
      <c r="D2285" s="81">
        <v>46017</v>
      </c>
      <c r="E2285" s="82" t="s">
        <v>314</v>
      </c>
      <c r="F2285" s="80" t="s">
        <v>871</v>
      </c>
      <c r="G2285" s="80" t="s">
        <v>891</v>
      </c>
    </row>
    <row r="2286" spans="1:7" x14ac:dyDescent="0.35">
      <c r="A2286" s="7" t="s">
        <v>1176</v>
      </c>
      <c r="B2286" s="7" t="s">
        <v>1025</v>
      </c>
      <c r="C2286" s="77" t="s">
        <v>1026</v>
      </c>
      <c r="D2286" s="78">
        <v>46017</v>
      </c>
      <c r="E2286" s="79" t="s">
        <v>314</v>
      </c>
      <c r="F2286" s="77" t="s">
        <v>19</v>
      </c>
      <c r="G2286" s="77"/>
    </row>
    <row r="2287" spans="1:7" x14ac:dyDescent="0.35">
      <c r="A2287" s="7" t="s">
        <v>1369</v>
      </c>
      <c r="B2287" s="80" t="s">
        <v>1025</v>
      </c>
      <c r="C2287" s="77" t="s">
        <v>1026</v>
      </c>
      <c r="D2287" s="81">
        <v>46017</v>
      </c>
      <c r="E2287" s="82" t="s">
        <v>314</v>
      </c>
      <c r="F2287" s="80" t="s">
        <v>871</v>
      </c>
      <c r="G2287" s="80" t="s">
        <v>891</v>
      </c>
    </row>
    <row r="2288" spans="1:7" x14ac:dyDescent="0.35">
      <c r="A2288" s="7" t="s">
        <v>1369</v>
      </c>
      <c r="B2288" s="7" t="s">
        <v>1025</v>
      </c>
      <c r="C2288" s="77" t="s">
        <v>1026</v>
      </c>
      <c r="D2288" s="10">
        <v>46017</v>
      </c>
      <c r="E2288" s="11" t="s">
        <v>314</v>
      </c>
      <c r="F2288" s="7" t="s">
        <v>894</v>
      </c>
      <c r="G2288" s="7" t="s">
        <v>15</v>
      </c>
    </row>
    <row r="2289" spans="1:7" x14ac:dyDescent="0.35">
      <c r="A2289" s="7" t="s">
        <v>967</v>
      </c>
      <c r="B2289" s="89" t="s">
        <v>1025</v>
      </c>
      <c r="C2289" s="77" t="s">
        <v>1026</v>
      </c>
      <c r="D2289" s="90">
        <v>46017</v>
      </c>
      <c r="E2289" s="91" t="s">
        <v>314</v>
      </c>
      <c r="F2289" s="89" t="s">
        <v>877</v>
      </c>
      <c r="G2289" s="89"/>
    </row>
    <row r="2290" spans="1:7" x14ac:dyDescent="0.35">
      <c r="A2290" s="7" t="s">
        <v>966</v>
      </c>
      <c r="B2290" s="89" t="s">
        <v>1025</v>
      </c>
      <c r="C2290" s="77" t="s">
        <v>1026</v>
      </c>
      <c r="D2290" s="90">
        <v>46017</v>
      </c>
      <c r="E2290" s="91" t="s">
        <v>314</v>
      </c>
      <c r="F2290" s="89" t="s">
        <v>877</v>
      </c>
      <c r="G2290" s="89"/>
    </row>
    <row r="2291" spans="1:7" x14ac:dyDescent="0.35">
      <c r="A2291" s="7" t="s">
        <v>85</v>
      </c>
      <c r="B2291" s="89" t="s">
        <v>1025</v>
      </c>
      <c r="C2291" s="77" t="s">
        <v>1026</v>
      </c>
      <c r="D2291" s="90">
        <v>46017</v>
      </c>
      <c r="E2291" s="91" t="s">
        <v>314</v>
      </c>
      <c r="F2291" s="89" t="s">
        <v>877</v>
      </c>
      <c r="G2291" s="89"/>
    </row>
    <row r="2292" spans="1:7" x14ac:dyDescent="0.35">
      <c r="A2292" s="7" t="s">
        <v>1112</v>
      </c>
      <c r="B2292" s="7" t="s">
        <v>1025</v>
      </c>
      <c r="C2292" s="7" t="s">
        <v>1026</v>
      </c>
      <c r="D2292" s="10">
        <v>46018</v>
      </c>
      <c r="E2292" s="11" t="s">
        <v>314</v>
      </c>
      <c r="F2292" s="7" t="s">
        <v>1080</v>
      </c>
      <c r="G2292" s="7"/>
    </row>
    <row r="2293" spans="1:7" x14ac:dyDescent="0.35">
      <c r="A2293" s="7" t="s">
        <v>1369</v>
      </c>
      <c r="B2293" s="7" t="s">
        <v>1025</v>
      </c>
      <c r="C2293" s="7" t="s">
        <v>1026</v>
      </c>
      <c r="D2293" s="10">
        <v>46018</v>
      </c>
      <c r="E2293" s="11" t="s">
        <v>314</v>
      </c>
      <c r="F2293" s="7" t="s">
        <v>1080</v>
      </c>
      <c r="G2293" s="7"/>
    </row>
    <row r="2294" spans="1:7" x14ac:dyDescent="0.35">
      <c r="A2294" s="7" t="s">
        <v>1001</v>
      </c>
      <c r="B2294" s="80" t="s">
        <v>1025</v>
      </c>
      <c r="C2294" s="77" t="s">
        <v>1026</v>
      </c>
      <c r="D2294" s="81">
        <v>46020</v>
      </c>
      <c r="E2294" s="82" t="s">
        <v>314</v>
      </c>
      <c r="F2294" s="80" t="s">
        <v>871</v>
      </c>
      <c r="G2294" s="80" t="s">
        <v>891</v>
      </c>
    </row>
    <row r="2295" spans="1:7" x14ac:dyDescent="0.35">
      <c r="A2295" s="7" t="s">
        <v>1001</v>
      </c>
      <c r="B2295" s="89" t="s">
        <v>908</v>
      </c>
      <c r="C2295" s="77" t="s">
        <v>374</v>
      </c>
      <c r="D2295" s="75">
        <v>46020</v>
      </c>
      <c r="E2295" s="76" t="s">
        <v>314</v>
      </c>
      <c r="F2295" s="74" t="s">
        <v>872</v>
      </c>
      <c r="G2295" s="74" t="s">
        <v>317</v>
      </c>
    </row>
    <row r="2296" spans="1:7" x14ac:dyDescent="0.35">
      <c r="A2296" s="7" t="s">
        <v>1150</v>
      </c>
      <c r="B2296" s="80" t="s">
        <v>1025</v>
      </c>
      <c r="C2296" s="77" t="s">
        <v>1026</v>
      </c>
      <c r="D2296" s="81">
        <v>46020</v>
      </c>
      <c r="E2296" s="82" t="s">
        <v>314</v>
      </c>
      <c r="F2296" s="80" t="s">
        <v>871</v>
      </c>
      <c r="G2296" s="80" t="s">
        <v>891</v>
      </c>
    </row>
    <row r="2297" spans="1:7" x14ac:dyDescent="0.35">
      <c r="A2297" s="7" t="s">
        <v>1150</v>
      </c>
      <c r="B2297" s="7" t="s">
        <v>1025</v>
      </c>
      <c r="C2297" s="77" t="s">
        <v>1026</v>
      </c>
      <c r="D2297" s="78">
        <v>46020</v>
      </c>
      <c r="E2297" s="79" t="s">
        <v>314</v>
      </c>
      <c r="F2297" s="77" t="s">
        <v>19</v>
      </c>
      <c r="G2297" s="77"/>
    </row>
    <row r="2298" spans="1:7" x14ac:dyDescent="0.35">
      <c r="A2298" s="7" t="s">
        <v>1384</v>
      </c>
      <c r="B2298" s="7" t="s">
        <v>1025</v>
      </c>
      <c r="C2298" s="7" t="s">
        <v>1026</v>
      </c>
      <c r="D2298" s="10">
        <v>46020</v>
      </c>
      <c r="E2298" s="11" t="s">
        <v>314</v>
      </c>
      <c r="F2298" s="7" t="s">
        <v>1080</v>
      </c>
      <c r="G2298" s="7"/>
    </row>
    <row r="2299" spans="1:7" x14ac:dyDescent="0.35">
      <c r="A2299" s="7" t="s">
        <v>2115</v>
      </c>
      <c r="B2299" s="221" t="s">
        <v>1025</v>
      </c>
      <c r="C2299" s="77" t="s">
        <v>1026</v>
      </c>
      <c r="D2299" s="222">
        <v>46024</v>
      </c>
      <c r="E2299" s="223" t="s">
        <v>1980</v>
      </c>
      <c r="F2299" s="221" t="s">
        <v>19</v>
      </c>
      <c r="G2299" s="7"/>
    </row>
    <row r="2300" spans="1:7" x14ac:dyDescent="0.35">
      <c r="A2300" s="7" t="s">
        <v>2116</v>
      </c>
      <c r="B2300" s="7" t="s">
        <v>1025</v>
      </c>
      <c r="C2300" s="77" t="s">
        <v>1026</v>
      </c>
      <c r="D2300" s="222">
        <v>46024</v>
      </c>
      <c r="E2300" s="223" t="s">
        <v>1980</v>
      </c>
      <c r="F2300" s="221" t="s">
        <v>19</v>
      </c>
      <c r="G2300" s="7"/>
    </row>
    <row r="2301" spans="1:7" x14ac:dyDescent="0.35">
      <c r="A2301" s="7" t="s">
        <v>1384</v>
      </c>
      <c r="B2301" s="7" t="s">
        <v>1025</v>
      </c>
      <c r="C2301" s="77" t="s">
        <v>1026</v>
      </c>
      <c r="D2301" s="10">
        <v>46025</v>
      </c>
      <c r="E2301" s="11" t="s">
        <v>1980</v>
      </c>
      <c r="F2301" s="7" t="s">
        <v>894</v>
      </c>
      <c r="G2301" s="7" t="s">
        <v>15</v>
      </c>
    </row>
    <row r="2302" spans="1:7" x14ac:dyDescent="0.35">
      <c r="A2302" s="7" t="s">
        <v>1385</v>
      </c>
      <c r="B2302" s="7" t="s">
        <v>1025</v>
      </c>
      <c r="C2302" s="77" t="s">
        <v>1026</v>
      </c>
      <c r="D2302" s="10">
        <v>46025</v>
      </c>
      <c r="E2302" s="11" t="s">
        <v>1980</v>
      </c>
      <c r="F2302" s="7" t="s">
        <v>872</v>
      </c>
      <c r="G2302" s="7" t="s">
        <v>317</v>
      </c>
    </row>
    <row r="2303" spans="1:7" x14ac:dyDescent="0.35">
      <c r="A2303" s="7" t="s">
        <v>2018</v>
      </c>
      <c r="B2303" s="7" t="s">
        <v>1025</v>
      </c>
      <c r="C2303" s="77" t="s">
        <v>1026</v>
      </c>
      <c r="D2303" s="10">
        <v>46029</v>
      </c>
      <c r="E2303" s="11" t="s">
        <v>1980</v>
      </c>
      <c r="F2303" s="7" t="s">
        <v>871</v>
      </c>
      <c r="G2303" s="80" t="s">
        <v>891</v>
      </c>
    </row>
    <row r="2304" spans="1:7" x14ac:dyDescent="0.35">
      <c r="A2304" s="7" t="s">
        <v>1384</v>
      </c>
      <c r="B2304" s="7" t="s">
        <v>908</v>
      </c>
      <c r="C2304" s="77" t="s">
        <v>374</v>
      </c>
      <c r="D2304" s="10">
        <v>46030</v>
      </c>
      <c r="E2304" s="11" t="s">
        <v>1980</v>
      </c>
      <c r="F2304" s="7" t="s">
        <v>872</v>
      </c>
      <c r="G2304" s="7" t="s">
        <v>317</v>
      </c>
    </row>
    <row r="2305" spans="1:7" x14ac:dyDescent="0.35">
      <c r="A2305" s="89" t="s">
        <v>2136</v>
      </c>
      <c r="B2305" s="7" t="s">
        <v>1025</v>
      </c>
      <c r="C2305" s="77" t="s">
        <v>1026</v>
      </c>
      <c r="D2305" s="90">
        <v>46032</v>
      </c>
      <c r="E2305" s="11" t="s">
        <v>1980</v>
      </c>
      <c r="F2305" s="7" t="s">
        <v>88</v>
      </c>
      <c r="G2305" s="7" t="s">
        <v>2139</v>
      </c>
    </row>
    <row r="2306" spans="1:7" x14ac:dyDescent="0.35">
      <c r="A2306" s="89" t="s">
        <v>2138</v>
      </c>
      <c r="B2306" s="7" t="s">
        <v>1025</v>
      </c>
      <c r="C2306" s="77" t="s">
        <v>1026</v>
      </c>
      <c r="D2306" s="90">
        <v>46032</v>
      </c>
      <c r="E2306" s="11" t="s">
        <v>1980</v>
      </c>
      <c r="F2306" s="7" t="s">
        <v>88</v>
      </c>
      <c r="G2306" s="7" t="s">
        <v>2139</v>
      </c>
    </row>
    <row r="2307" spans="1:7" x14ac:dyDescent="0.35">
      <c r="A2307" s="7" t="s">
        <v>2004</v>
      </c>
      <c r="B2307" s="7" t="s">
        <v>1025</v>
      </c>
      <c r="C2307" s="77" t="s">
        <v>1026</v>
      </c>
      <c r="D2307" s="222">
        <v>46049</v>
      </c>
      <c r="E2307" s="223" t="s">
        <v>1980</v>
      </c>
      <c r="F2307" s="221" t="s">
        <v>19</v>
      </c>
      <c r="G2307" s="7"/>
    </row>
    <row r="2308" spans="1:7" x14ac:dyDescent="0.35">
      <c r="A2308" s="7" t="s">
        <v>2004</v>
      </c>
      <c r="B2308" s="7" t="s">
        <v>1025</v>
      </c>
      <c r="C2308" s="77" t="s">
        <v>1026</v>
      </c>
      <c r="D2308" s="10">
        <v>46050</v>
      </c>
      <c r="E2308" s="11" t="s">
        <v>1980</v>
      </c>
      <c r="F2308" s="7" t="s">
        <v>871</v>
      </c>
      <c r="G2308" s="80" t="s">
        <v>891</v>
      </c>
    </row>
    <row r="2309" spans="1:7" x14ac:dyDescent="0.35">
      <c r="A2309" s="7" t="s">
        <v>2004</v>
      </c>
      <c r="B2309" s="7" t="s">
        <v>1025</v>
      </c>
      <c r="C2309" s="77" t="s">
        <v>1026</v>
      </c>
      <c r="D2309" s="10">
        <v>46050</v>
      </c>
      <c r="E2309" s="11" t="s">
        <v>1980</v>
      </c>
      <c r="F2309" s="7" t="s">
        <v>872</v>
      </c>
      <c r="G2309" s="7" t="s">
        <v>317</v>
      </c>
    </row>
    <row r="2310" spans="1:7" x14ac:dyDescent="0.35">
      <c r="A2310" s="7" t="s">
        <v>919</v>
      </c>
      <c r="B2310" s="7" t="s">
        <v>1025</v>
      </c>
      <c r="C2310" s="77" t="s">
        <v>1026</v>
      </c>
      <c r="D2310" s="10">
        <v>46051</v>
      </c>
      <c r="E2310" s="11" t="s">
        <v>1980</v>
      </c>
      <c r="F2310" s="7" t="s">
        <v>894</v>
      </c>
      <c r="G2310" s="7" t="s">
        <v>15</v>
      </c>
    </row>
    <row r="2311" spans="1:7" x14ac:dyDescent="0.35">
      <c r="A2311" s="7" t="s">
        <v>971</v>
      </c>
      <c r="B2311" s="7" t="s">
        <v>1025</v>
      </c>
      <c r="C2311" s="77" t="s">
        <v>1026</v>
      </c>
      <c r="D2311" s="10">
        <v>46051</v>
      </c>
      <c r="E2311" s="11" t="s">
        <v>1980</v>
      </c>
      <c r="F2311" s="7" t="s">
        <v>894</v>
      </c>
      <c r="G2311" s="7" t="s">
        <v>15</v>
      </c>
    </row>
    <row r="2312" spans="1:7" x14ac:dyDescent="0.35">
      <c r="A2312" s="7" t="s">
        <v>975</v>
      </c>
      <c r="B2312" s="7" t="s">
        <v>1025</v>
      </c>
      <c r="C2312" s="77" t="s">
        <v>1026</v>
      </c>
      <c r="D2312" s="10">
        <v>46051</v>
      </c>
      <c r="E2312" s="11" t="s">
        <v>1980</v>
      </c>
      <c r="F2312" s="7" t="s">
        <v>894</v>
      </c>
      <c r="G2312" s="7" t="s">
        <v>15</v>
      </c>
    </row>
    <row r="2313" spans="1:7" x14ac:dyDescent="0.35">
      <c r="A2313" s="7" t="s">
        <v>949</v>
      </c>
      <c r="B2313" s="7" t="s">
        <v>1025</v>
      </c>
      <c r="C2313" s="77" t="s">
        <v>1026</v>
      </c>
      <c r="D2313" s="10">
        <v>46051</v>
      </c>
      <c r="E2313" s="11" t="s">
        <v>1980</v>
      </c>
      <c r="F2313" s="7" t="s">
        <v>894</v>
      </c>
      <c r="G2313" s="7" t="s">
        <v>15</v>
      </c>
    </row>
    <row r="2314" spans="1:7" x14ac:dyDescent="0.35">
      <c r="A2314" s="7" t="s">
        <v>1168</v>
      </c>
      <c r="B2314" s="7" t="s">
        <v>1025</v>
      </c>
      <c r="C2314" s="77" t="s">
        <v>1026</v>
      </c>
      <c r="D2314" s="10">
        <v>46051</v>
      </c>
      <c r="E2314" s="11" t="s">
        <v>1980</v>
      </c>
      <c r="F2314" s="7" t="s">
        <v>894</v>
      </c>
      <c r="G2314" s="7" t="s">
        <v>15</v>
      </c>
    </row>
    <row r="2315" spans="1:7" x14ac:dyDescent="0.35">
      <c r="A2315" s="7" t="s">
        <v>948</v>
      </c>
      <c r="B2315" s="7" t="s">
        <v>1025</v>
      </c>
      <c r="C2315" s="77" t="s">
        <v>1026</v>
      </c>
      <c r="D2315" s="10">
        <v>46051</v>
      </c>
      <c r="E2315" s="11" t="s">
        <v>1980</v>
      </c>
      <c r="F2315" s="7" t="s">
        <v>894</v>
      </c>
      <c r="G2315" s="7" t="s">
        <v>15</v>
      </c>
    </row>
    <row r="2316" spans="1:7" x14ac:dyDescent="0.35">
      <c r="A2316" s="7" t="s">
        <v>1985</v>
      </c>
      <c r="B2316" s="7" t="s">
        <v>896</v>
      </c>
      <c r="C2316" s="77" t="s">
        <v>897</v>
      </c>
      <c r="D2316" s="10">
        <v>46057</v>
      </c>
      <c r="E2316" s="11" t="s">
        <v>1980</v>
      </c>
      <c r="F2316" s="7" t="s">
        <v>871</v>
      </c>
      <c r="G2316" s="80" t="s">
        <v>891</v>
      </c>
    </row>
    <row r="2317" spans="1:7" x14ac:dyDescent="0.35">
      <c r="A2317" s="7" t="s">
        <v>2007</v>
      </c>
      <c r="B2317" s="7" t="s">
        <v>1025</v>
      </c>
      <c r="C2317" s="7" t="s">
        <v>1026</v>
      </c>
      <c r="D2317" s="10">
        <v>46063</v>
      </c>
      <c r="E2317" s="11" t="s">
        <v>1980</v>
      </c>
      <c r="F2317" s="7" t="s">
        <v>19</v>
      </c>
      <c r="G2317" s="7"/>
    </row>
    <row r="2318" spans="1:7" x14ac:dyDescent="0.35">
      <c r="A2318" s="7" t="s">
        <v>2010</v>
      </c>
      <c r="B2318" s="7" t="s">
        <v>1025</v>
      </c>
      <c r="C2318" s="7" t="s">
        <v>1026</v>
      </c>
      <c r="D2318" s="10">
        <v>46063</v>
      </c>
      <c r="E2318" s="11" t="s">
        <v>1980</v>
      </c>
      <c r="F2318" s="7" t="s">
        <v>19</v>
      </c>
      <c r="G2318" s="7"/>
    </row>
    <row r="2319" spans="1:7" x14ac:dyDescent="0.35">
      <c r="A2319" s="7" t="s">
        <v>2011</v>
      </c>
      <c r="B2319" s="7" t="s">
        <v>1025</v>
      </c>
      <c r="C2319" s="7" t="s">
        <v>1026</v>
      </c>
      <c r="D2319" s="10">
        <v>46063</v>
      </c>
      <c r="E2319" s="11" t="s">
        <v>1980</v>
      </c>
      <c r="F2319" s="7" t="s">
        <v>19</v>
      </c>
      <c r="G2319" s="7"/>
    </row>
    <row r="2320" spans="1:7" x14ac:dyDescent="0.35">
      <c r="A2320" s="7" t="s">
        <v>2007</v>
      </c>
      <c r="B2320" s="7" t="s">
        <v>1025</v>
      </c>
      <c r="C2320" s="7" t="s">
        <v>1026</v>
      </c>
      <c r="D2320" s="10">
        <v>46063</v>
      </c>
      <c r="E2320" s="11" t="s">
        <v>1980</v>
      </c>
      <c r="F2320" s="7" t="s">
        <v>871</v>
      </c>
      <c r="G2320" s="7" t="s">
        <v>891</v>
      </c>
    </row>
    <row r="2321" spans="1:7" x14ac:dyDescent="0.35">
      <c r="A2321" s="7" t="s">
        <v>2010</v>
      </c>
      <c r="B2321" s="7" t="s">
        <v>1025</v>
      </c>
      <c r="C2321" s="7" t="s">
        <v>1026</v>
      </c>
      <c r="D2321" s="10">
        <v>46063</v>
      </c>
      <c r="E2321" s="11" t="s">
        <v>1980</v>
      </c>
      <c r="F2321" s="7" t="s">
        <v>871</v>
      </c>
      <c r="G2321" s="7" t="s">
        <v>891</v>
      </c>
    </row>
    <row r="2322" spans="1:7" x14ac:dyDescent="0.35">
      <c r="A2322" s="7" t="s">
        <v>2011</v>
      </c>
      <c r="B2322" s="7" t="s">
        <v>1025</v>
      </c>
      <c r="C2322" s="7" t="s">
        <v>1026</v>
      </c>
      <c r="D2322" s="10">
        <v>46063</v>
      </c>
      <c r="E2322" s="11" t="s">
        <v>1980</v>
      </c>
      <c r="F2322" s="7" t="s">
        <v>871</v>
      </c>
      <c r="G2322" s="7" t="s">
        <v>891</v>
      </c>
    </row>
    <row r="2323" spans="1:7" x14ac:dyDescent="0.35">
      <c r="A2323" s="7" t="s">
        <v>2009</v>
      </c>
      <c r="B2323" s="7" t="s">
        <v>1025</v>
      </c>
      <c r="C2323" s="7" t="s">
        <v>1026</v>
      </c>
      <c r="D2323" s="10">
        <v>46064</v>
      </c>
      <c r="E2323" s="11" t="s">
        <v>1980</v>
      </c>
      <c r="F2323" s="7" t="s">
        <v>19</v>
      </c>
      <c r="G2323" s="7"/>
    </row>
    <row r="2324" spans="1:7" x14ac:dyDescent="0.35">
      <c r="A2324" s="7" t="s">
        <v>2005</v>
      </c>
      <c r="B2324" s="7" t="s">
        <v>1025</v>
      </c>
      <c r="C2324" s="7" t="s">
        <v>1026</v>
      </c>
      <c r="D2324" s="10">
        <v>46064</v>
      </c>
      <c r="E2324" s="11" t="s">
        <v>1980</v>
      </c>
      <c r="F2324" s="7" t="s">
        <v>19</v>
      </c>
      <c r="G2324" s="7"/>
    </row>
    <row r="2325" spans="1:7" x14ac:dyDescent="0.35">
      <c r="A2325" s="7" t="s">
        <v>2009</v>
      </c>
      <c r="B2325" s="7" t="s">
        <v>1025</v>
      </c>
      <c r="C2325" s="7" t="s">
        <v>1026</v>
      </c>
      <c r="D2325" s="10">
        <v>46064</v>
      </c>
      <c r="E2325" s="11" t="s">
        <v>1980</v>
      </c>
      <c r="F2325" s="7" t="s">
        <v>871</v>
      </c>
      <c r="G2325" s="7" t="s">
        <v>891</v>
      </c>
    </row>
    <row r="2326" spans="1:7" x14ac:dyDescent="0.35">
      <c r="A2326" s="7" t="s">
        <v>2005</v>
      </c>
      <c r="B2326" s="7" t="s">
        <v>1025</v>
      </c>
      <c r="C2326" s="7" t="s">
        <v>1026</v>
      </c>
      <c r="D2326" s="10">
        <v>46064</v>
      </c>
      <c r="E2326" s="11" t="s">
        <v>1980</v>
      </c>
      <c r="F2326" s="7" t="s">
        <v>871</v>
      </c>
      <c r="G2326" s="7" t="s">
        <v>891</v>
      </c>
    </row>
    <row r="2327" spans="1:7" x14ac:dyDescent="0.35">
      <c r="A2327" s="7" t="s">
        <v>2117</v>
      </c>
      <c r="B2327" s="7" t="s">
        <v>908</v>
      </c>
      <c r="C2327" s="77" t="s">
        <v>374</v>
      </c>
      <c r="D2327" s="10">
        <v>46066</v>
      </c>
      <c r="E2327" s="11" t="s">
        <v>1980</v>
      </c>
      <c r="F2327" s="7" t="s">
        <v>872</v>
      </c>
      <c r="G2327" s="7" t="s">
        <v>317</v>
      </c>
    </row>
    <row r="2328" spans="1:7" x14ac:dyDescent="0.35">
      <c r="A2328" s="7" t="s">
        <v>937</v>
      </c>
      <c r="B2328" s="7" t="s">
        <v>1025</v>
      </c>
      <c r="C2328" s="7" t="s">
        <v>1026</v>
      </c>
      <c r="D2328" s="10">
        <v>46066</v>
      </c>
      <c r="E2328" s="11" t="s">
        <v>1980</v>
      </c>
      <c r="F2328" s="7" t="s">
        <v>872</v>
      </c>
      <c r="G2328" s="7" t="s">
        <v>317</v>
      </c>
    </row>
    <row r="2329" spans="1:7" x14ac:dyDescent="0.35">
      <c r="A2329" s="7" t="s">
        <v>1087</v>
      </c>
      <c r="B2329" s="7" t="s">
        <v>1025</v>
      </c>
      <c r="C2329" s="77" t="s">
        <v>1026</v>
      </c>
      <c r="D2329" s="10">
        <v>46066</v>
      </c>
      <c r="E2329" s="11" t="s">
        <v>1980</v>
      </c>
      <c r="F2329" s="7" t="s">
        <v>894</v>
      </c>
      <c r="G2329" s="7" t="s">
        <v>15</v>
      </c>
    </row>
    <row r="2330" spans="1:7" x14ac:dyDescent="0.35">
      <c r="A2330" s="7" t="s">
        <v>2006</v>
      </c>
      <c r="B2330" s="7" t="s">
        <v>1025</v>
      </c>
      <c r="C2330" s="7" t="s">
        <v>1026</v>
      </c>
      <c r="D2330" s="10">
        <v>46066</v>
      </c>
      <c r="E2330" s="11" t="s">
        <v>1980</v>
      </c>
      <c r="F2330" s="7" t="s">
        <v>19</v>
      </c>
      <c r="G2330" s="7"/>
    </row>
    <row r="2331" spans="1:7" x14ac:dyDescent="0.35">
      <c r="A2331" s="7" t="s">
        <v>2008</v>
      </c>
      <c r="B2331" s="7" t="s">
        <v>1025</v>
      </c>
      <c r="C2331" s="7" t="s">
        <v>1026</v>
      </c>
      <c r="D2331" s="10">
        <v>46066</v>
      </c>
      <c r="E2331" s="11" t="s">
        <v>1980</v>
      </c>
      <c r="F2331" s="7" t="s">
        <v>19</v>
      </c>
      <c r="G2331" s="7"/>
    </row>
    <row r="2332" spans="1:7" x14ac:dyDescent="0.35">
      <c r="A2332" s="7" t="s">
        <v>2117</v>
      </c>
      <c r="B2332" s="7" t="s">
        <v>1025</v>
      </c>
      <c r="C2332" s="7" t="s">
        <v>1026</v>
      </c>
      <c r="D2332" s="10">
        <v>46066</v>
      </c>
      <c r="E2332" s="11" t="s">
        <v>1980</v>
      </c>
      <c r="F2332" s="7" t="s">
        <v>871</v>
      </c>
      <c r="G2332" s="7" t="s">
        <v>891</v>
      </c>
    </row>
    <row r="2333" spans="1:7" x14ac:dyDescent="0.35">
      <c r="A2333" s="7" t="s">
        <v>764</v>
      </c>
      <c r="B2333" s="7" t="s">
        <v>896</v>
      </c>
      <c r="C2333" s="7" t="s">
        <v>897</v>
      </c>
      <c r="D2333" s="10">
        <v>46066</v>
      </c>
      <c r="E2333" s="11" t="s">
        <v>1980</v>
      </c>
      <c r="F2333" s="7" t="s">
        <v>871</v>
      </c>
      <c r="G2333" s="7" t="s">
        <v>891</v>
      </c>
    </row>
    <row r="2334" spans="1:7" x14ac:dyDescent="0.35">
      <c r="A2334" s="7" t="s">
        <v>2006</v>
      </c>
      <c r="B2334" s="7" t="s">
        <v>1025</v>
      </c>
      <c r="C2334" s="7" t="s">
        <v>1026</v>
      </c>
      <c r="D2334" s="10">
        <v>46066</v>
      </c>
      <c r="E2334" s="11" t="s">
        <v>1980</v>
      </c>
      <c r="F2334" s="7" t="s">
        <v>871</v>
      </c>
      <c r="G2334" s="7" t="s">
        <v>891</v>
      </c>
    </row>
    <row r="2335" spans="1:7" x14ac:dyDescent="0.35">
      <c r="A2335" s="7" t="s">
        <v>2008</v>
      </c>
      <c r="B2335" s="7" t="s">
        <v>1025</v>
      </c>
      <c r="C2335" s="7" t="s">
        <v>1026</v>
      </c>
      <c r="D2335" s="10">
        <v>46066</v>
      </c>
      <c r="E2335" s="11" t="s">
        <v>1980</v>
      </c>
      <c r="F2335" s="7" t="s">
        <v>871</v>
      </c>
      <c r="G2335" s="7" t="s">
        <v>891</v>
      </c>
    </row>
    <row r="2336" spans="1:7" x14ac:dyDescent="0.35">
      <c r="A2336" s="7" t="s">
        <v>957</v>
      </c>
      <c r="B2336" s="7" t="s">
        <v>1025</v>
      </c>
      <c r="C2336" s="7" t="s">
        <v>1026</v>
      </c>
      <c r="D2336" s="10">
        <v>46066</v>
      </c>
      <c r="E2336" s="11" t="s">
        <v>1980</v>
      </c>
      <c r="F2336" s="7" t="s">
        <v>871</v>
      </c>
      <c r="G2336" s="7" t="s">
        <v>891</v>
      </c>
    </row>
    <row r="2337" spans="1:7" x14ac:dyDescent="0.35">
      <c r="A2337" s="7" t="s">
        <v>1087</v>
      </c>
      <c r="B2337" s="7" t="s">
        <v>896</v>
      </c>
      <c r="C2337" s="7" t="s">
        <v>897</v>
      </c>
      <c r="D2337" s="10">
        <v>46066</v>
      </c>
      <c r="E2337" s="11" t="s">
        <v>1980</v>
      </c>
      <c r="F2337" s="7" t="s">
        <v>871</v>
      </c>
      <c r="G2337" s="7" t="s">
        <v>891</v>
      </c>
    </row>
    <row r="2338" spans="1:7" x14ac:dyDescent="0.35">
      <c r="A2338" s="7" t="s">
        <v>1158</v>
      </c>
      <c r="B2338" s="7" t="s">
        <v>896</v>
      </c>
      <c r="C2338" s="7" t="s">
        <v>897</v>
      </c>
      <c r="D2338" s="10">
        <v>46066</v>
      </c>
      <c r="E2338" s="11" t="s">
        <v>1980</v>
      </c>
      <c r="F2338" s="7" t="s">
        <v>871</v>
      </c>
      <c r="G2338" s="7" t="s">
        <v>891</v>
      </c>
    </row>
    <row r="2339" spans="1:7" x14ac:dyDescent="0.35">
      <c r="A2339" s="7" t="s">
        <v>1371</v>
      </c>
      <c r="B2339" s="7" t="s">
        <v>1025</v>
      </c>
      <c r="C2339" s="7" t="s">
        <v>1026</v>
      </c>
      <c r="D2339" s="10">
        <v>46066</v>
      </c>
      <c r="E2339" s="11" t="s">
        <v>1980</v>
      </c>
      <c r="F2339" s="7" t="s">
        <v>871</v>
      </c>
      <c r="G2339" s="7" t="s">
        <v>891</v>
      </c>
    </row>
    <row r="2340" spans="1:7" x14ac:dyDescent="0.35">
      <c r="A2340" s="7" t="s">
        <v>559</v>
      </c>
      <c r="B2340" s="7" t="s">
        <v>1025</v>
      </c>
      <c r="C2340" s="7" t="s">
        <v>1026</v>
      </c>
      <c r="D2340" s="10">
        <v>46066</v>
      </c>
      <c r="E2340" s="11" t="s">
        <v>1980</v>
      </c>
      <c r="F2340" s="7" t="s">
        <v>871</v>
      </c>
      <c r="G2340" s="7" t="s">
        <v>891</v>
      </c>
    </row>
    <row r="2341" spans="1:7" x14ac:dyDescent="0.35">
      <c r="A2341" s="7" t="s">
        <v>937</v>
      </c>
      <c r="B2341" s="7" t="s">
        <v>1025</v>
      </c>
      <c r="C2341" s="7" t="s">
        <v>1026</v>
      </c>
      <c r="D2341" s="10">
        <v>46066</v>
      </c>
      <c r="E2341" s="11" t="s">
        <v>1980</v>
      </c>
      <c r="F2341" s="7" t="s">
        <v>871</v>
      </c>
      <c r="G2341" s="7" t="s">
        <v>891</v>
      </c>
    </row>
    <row r="2342" spans="1:7" x14ac:dyDescent="0.35">
      <c r="A2342" s="7" t="s">
        <v>396</v>
      </c>
      <c r="B2342" s="7" t="s">
        <v>1025</v>
      </c>
      <c r="C2342" s="7" t="s">
        <v>1026</v>
      </c>
      <c r="D2342" s="10">
        <v>46069</v>
      </c>
      <c r="E2342" s="11" t="s">
        <v>1980</v>
      </c>
      <c r="F2342" s="7" t="s">
        <v>871</v>
      </c>
      <c r="G2342" s="7" t="s">
        <v>891</v>
      </c>
    </row>
    <row r="2343" spans="1:7" x14ac:dyDescent="0.35">
      <c r="A2343" s="7" t="s">
        <v>396</v>
      </c>
      <c r="B2343" s="7" t="s">
        <v>1025</v>
      </c>
      <c r="C2343" s="7" t="s">
        <v>1026</v>
      </c>
      <c r="D2343" s="10">
        <v>46069</v>
      </c>
      <c r="E2343" s="11" t="s">
        <v>1980</v>
      </c>
      <c r="F2343" s="7" t="s">
        <v>872</v>
      </c>
      <c r="G2343" s="7" t="s">
        <v>317</v>
      </c>
    </row>
    <row r="2344" spans="1:7" x14ac:dyDescent="0.35">
      <c r="A2344" s="7" t="s">
        <v>1994</v>
      </c>
      <c r="B2344" s="7" t="s">
        <v>896</v>
      </c>
      <c r="C2344" s="7" t="s">
        <v>897</v>
      </c>
      <c r="D2344" s="10">
        <v>46069</v>
      </c>
      <c r="E2344" s="11" t="s">
        <v>1980</v>
      </c>
      <c r="F2344" s="7" t="s">
        <v>871</v>
      </c>
      <c r="G2344" s="7" t="s">
        <v>891</v>
      </c>
    </row>
  </sheetData>
  <autoFilter ref="A2:G2344" xr:uid="{EE34B3F8-BC79-4D55-82A4-D53CC14C8220}"/>
  <phoneticPr fontId="1" type="noConversion"/>
  <dataValidations disablePrompts="1" count="3">
    <dataValidation type="list" allowBlank="1" showInputMessage="1" showErrorMessage="1" sqref="G224" xr:uid="{A5471ACA-8CC2-4377-B387-147642680F45}">
      <formula1>"New SRAN, New 5G-n41 Re-use, New 5G -n78, New 5G -n78/IPAA+, 5G Expansion-Band Swap, 5G Expansion-2CC, 5G HW Conversion, DC Swap, Relocation, Dismantling, RDV Deployment, Antenna Cutover (5G), 5G Expansion-3CC, 5G-NR FDD-Model 1, 5G-NR FDD-Model 2"</formula1>
    </dataValidation>
    <dataValidation type="list" allowBlank="1" showInputMessage="1" showErrorMessage="1" sqref="F1124" xr:uid="{9785336A-2A6B-4443-92C4-E293E61B7E41}">
      <formula1>"New SRAN, New 5G-n41 Re-use, New 5G -n78, New 5G -n78/IPAA+, 5G Expansion-Band Swap, 5G Expansion-2CC, 5G HW Conversion, DC Swap, Relocation, Dismantling, RDV Deployment, Antenna Cutover (5G), 5G Expansion-3CC"</formula1>
    </dataValidation>
    <dataValidation type="list" allowBlank="1" showInputMessage="1" showErrorMessage="1" sqref="F7:F8 F10 G292:G293 G228 F16" xr:uid="{64A58676-9565-4504-A999-1D1C18C14CE7}">
      <formula1>#REF!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 Services&amp;HW</vt:lpstr>
      <vt:lpstr>BoQ Models-Hafedh</vt:lpstr>
      <vt:lpstr>PO-LIs Mapping</vt:lpstr>
      <vt:lpstr>POs distribution</vt:lpstr>
      <vt:lpstr>PO distribution sites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Asaad Attia Eissa (Nokia)</dc:creator>
  <cp:keywords/>
  <dc:description/>
  <cp:lastModifiedBy>Islam Asaad Attia Eissa (Nokia)</cp:lastModifiedBy>
  <cp:revision/>
  <dcterms:created xsi:type="dcterms:W3CDTF">2024-02-02T07:09:04Z</dcterms:created>
  <dcterms:modified xsi:type="dcterms:W3CDTF">2026-02-17T08:16:41Z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