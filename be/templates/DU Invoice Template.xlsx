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WORK\BOQ\be\templates\"/>
    </mc:Choice>
  </mc:AlternateContent>
  <xr:revisionPtr revIDLastSave="0" documentId="13_ncr:1_{185EBDCD-A30B-4A6E-83D8-DD2CE3664994}" xr6:coauthVersionLast="47" xr6:coauthVersionMax="47" xr10:uidLastSave="{00000000-0000-0000-0000-000000000000}"/>
  <bookViews>
    <workbookView xWindow="-110" yWindow="-110" windowWidth="19420" windowHeight="10300" tabRatio="602" xr2:uid="{00000000-000D-0000-FFFF-FFFF00000000}"/>
  </bookViews>
  <sheets>
    <sheet name="Invoice" sheetId="13" r:id="rId1"/>
  </sheets>
  <definedNames>
    <definedName name="_xlnm.Print_Area" localSheetId="0">Invoice!$A$1:$J$79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6" i="13" l="1"/>
  <c r="E95" i="13" l="1"/>
  <c r="E77" i="13"/>
  <c r="E94" i="13" l="1"/>
  <c r="E87" i="13"/>
  <c r="D49" i="13" l="1"/>
  <c r="C226" i="13" l="1"/>
  <c r="C134" i="13"/>
  <c r="C118" i="13"/>
  <c r="C102" i="13"/>
  <c r="F96" i="13"/>
  <c r="E96" i="13"/>
  <c r="C95" i="13"/>
  <c r="A95" i="13"/>
  <c r="C94" i="13"/>
  <c r="A94" i="13"/>
  <c r="C93" i="13"/>
  <c r="A93" i="13"/>
  <c r="E92" i="13"/>
  <c r="A92" i="13"/>
  <c r="A90" i="13"/>
  <c r="F88" i="13"/>
  <c r="E88" i="13"/>
  <c r="C87" i="13"/>
  <c r="A87" i="13"/>
  <c r="E86" i="13"/>
  <c r="C86" i="13"/>
  <c r="A86" i="13"/>
  <c r="C85" i="13"/>
  <c r="A85" i="13"/>
  <c r="E84" i="13"/>
  <c r="A84" i="13"/>
  <c r="A82" i="13"/>
  <c r="F78" i="13"/>
  <c r="E78" i="13"/>
  <c r="C77" i="13"/>
  <c r="A77" i="13"/>
  <c r="C76" i="13"/>
  <c r="A76" i="13"/>
  <c r="C75" i="13"/>
  <c r="A75" i="13"/>
  <c r="E74" i="13"/>
  <c r="A74" i="13"/>
  <c r="A72" i="13"/>
  <c r="J69" i="13"/>
  <c r="J71" i="13" s="1"/>
  <c r="I69" i="13"/>
  <c r="I71" i="13" s="1"/>
  <c r="G69" i="13"/>
  <c r="B1" i="13" s="1"/>
  <c r="G7" i="13"/>
  <c r="E6" i="13"/>
  <c r="C6" i="13"/>
  <c r="E5" i="13"/>
  <c r="C5" i="13"/>
  <c r="E3" i="13"/>
  <c r="E57" i="13" l="1"/>
  <c r="C49" i="13"/>
  <c r="D51" i="13"/>
  <c r="D52" i="13" s="1"/>
  <c r="D110" i="13"/>
  <c r="D126" i="13"/>
  <c r="D142" i="13"/>
  <c r="G71" i="13"/>
  <c r="B239" i="13"/>
  <c r="B254" i="13"/>
  <c r="B266" i="13"/>
  <c r="B102" i="13"/>
  <c r="D102" i="13" s="1"/>
  <c r="B118" i="13"/>
  <c r="B134" i="13"/>
  <c r="D134" i="13" s="1"/>
  <c r="B153" i="13"/>
  <c r="D161" i="13"/>
  <c r="D177" i="13"/>
  <c r="D191" i="13"/>
  <c r="B169" i="13"/>
  <c r="B183" i="13"/>
  <c r="B198" i="13"/>
  <c r="D206" i="13"/>
  <c r="B212" i="13"/>
  <c r="D220" i="13"/>
  <c r="B226" i="13"/>
  <c r="D247" i="13"/>
  <c r="D274" i="13"/>
  <c r="E56" i="13" l="1"/>
  <c r="E54" i="13" s="1"/>
  <c r="C51" i="13"/>
  <c r="E51" i="13" s="1"/>
  <c r="E49" i="13"/>
  <c r="B155" i="13"/>
  <c r="B200" i="13"/>
  <c r="B136" i="13"/>
  <c r="B268" i="13"/>
  <c r="C266" i="13"/>
  <c r="D266" i="13" s="1"/>
  <c r="D118" i="13"/>
  <c r="D226" i="13"/>
  <c r="C153" i="13"/>
  <c r="D153" i="13" s="1"/>
  <c r="C254" i="13"/>
  <c r="D254" i="13" s="1"/>
  <c r="C198" i="13"/>
  <c r="D198" i="13" s="1"/>
  <c r="C239" i="13"/>
  <c r="D239" i="13" s="1"/>
  <c r="C183" i="13"/>
  <c r="D183" i="13" s="1"/>
  <c r="C169" i="13"/>
  <c r="D169" i="13" s="1"/>
  <c r="B256" i="13"/>
  <c r="B214" i="13"/>
  <c r="B185" i="13"/>
  <c r="C212" i="13"/>
  <c r="D212" i="13" s="1"/>
  <c r="B120" i="13"/>
  <c r="B241" i="13"/>
  <c r="B171" i="13"/>
  <c r="B104" i="13"/>
  <c r="B228" i="13"/>
  <c r="C268" i="13" l="1"/>
  <c r="D268" i="13" s="1"/>
  <c r="C228" i="13"/>
  <c r="C171" i="13"/>
  <c r="D176" i="13" s="1"/>
  <c r="C185" i="13"/>
  <c r="C200" i="13"/>
  <c r="D200" i="13" s="1"/>
  <c r="C104" i="13"/>
  <c r="D104" i="13" s="1"/>
  <c r="C136" i="13"/>
  <c r="D141" i="13" s="1"/>
  <c r="C120" i="13"/>
  <c r="C155" i="13"/>
  <c r="D155" i="13" s="1"/>
  <c r="C241" i="13"/>
  <c r="D241" i="13" s="1"/>
  <c r="C214" i="13"/>
  <c r="D214" i="13" s="1"/>
  <c r="C256" i="13"/>
  <c r="D256" i="13" s="1"/>
  <c r="D171" i="13" l="1"/>
  <c r="D136" i="13"/>
  <c r="C242" i="13"/>
  <c r="C121" i="13"/>
  <c r="C229" i="13"/>
  <c r="D233" i="13"/>
  <c r="C215" i="13"/>
  <c r="D205" i="13"/>
  <c r="C201" i="13"/>
  <c r="D160" i="13"/>
  <c r="D109" i="13"/>
  <c r="D107" i="13" s="1"/>
  <c r="D219" i="13"/>
  <c r="C186" i="13"/>
  <c r="C105" i="13"/>
  <c r="C172" i="13"/>
  <c r="C269" i="13"/>
  <c r="C156" i="13"/>
  <c r="D125" i="13"/>
  <c r="C257" i="13"/>
  <c r="C137" i="13"/>
  <c r="D261" i="13"/>
  <c r="D190" i="13"/>
  <c r="D273" i="13"/>
  <c r="D246" i="13"/>
  <c r="D228" i="13"/>
  <c r="D120" i="13"/>
  <c r="D185" i="13"/>
  <c r="D217" i="13" l="1"/>
  <c r="D203" i="13"/>
  <c r="D188" i="13"/>
  <c r="D174" i="13"/>
  <c r="D271" i="13"/>
  <c r="D158" i="13"/>
  <c r="D259" i="13"/>
  <c r="D139" i="13"/>
  <c r="D244" i="13"/>
  <c r="D123" i="13"/>
  <c r="D231" i="13"/>
</calcChain>
</file>

<file path=xl/sharedStrings.xml><?xml version="1.0" encoding="utf-8"?>
<sst xmlns="http://schemas.openxmlformats.org/spreadsheetml/2006/main" count="205" uniqueCount="74">
  <si>
    <t>Site ID</t>
  </si>
  <si>
    <t>VAT %</t>
  </si>
  <si>
    <t>FIDX</t>
  </si>
  <si>
    <t>Dubai</t>
  </si>
  <si>
    <t xml:space="preserve">Total </t>
  </si>
  <si>
    <t>Unit Price</t>
  </si>
  <si>
    <t>Legal entity:</t>
  </si>
  <si>
    <t>Contact Person</t>
  </si>
  <si>
    <t>Number</t>
  </si>
  <si>
    <t>Billing Date</t>
  </si>
  <si>
    <t>SAP Invoice #:</t>
  </si>
  <si>
    <t>Cust. Order No.</t>
  </si>
  <si>
    <t>Tax Invoice #:</t>
  </si>
  <si>
    <t>VAT %:</t>
  </si>
  <si>
    <t>Due Date</t>
  </si>
  <si>
    <t>Exchange Rate:</t>
  </si>
  <si>
    <t>Consignee</t>
  </si>
  <si>
    <t>Customer / Buyer / Invoicing Address</t>
  </si>
  <si>
    <t>Date of delivery:</t>
  </si>
  <si>
    <t>Emirates Integrated Telecommunication Company, PJSC</t>
  </si>
  <si>
    <t>Place of delivery:</t>
  </si>
  <si>
    <t>Building No. 2, Dubai Hills Estate Business Park, 
Dubai Hills. P.O box 502666,</t>
  </si>
  <si>
    <t>Building No. 2, Dubai Hills Estate Business Park,
Dubai Hills. P.O box 502666,</t>
  </si>
  <si>
    <t>Incoterms</t>
  </si>
  <si>
    <t>Terms of Payment</t>
  </si>
  <si>
    <t>United Arab Emirates (+971)43600000
VAT ID : 100001397700003</t>
  </si>
  <si>
    <t>022 DDU Site, Incoterms 2000</t>
  </si>
  <si>
    <t>PO Item Description</t>
  </si>
  <si>
    <t>PO Item #</t>
  </si>
  <si>
    <t>Category</t>
  </si>
  <si>
    <t>Quantity</t>
  </si>
  <si>
    <t>Amount</t>
  </si>
  <si>
    <t>VAT Amount</t>
  </si>
  <si>
    <t>Gross Amount</t>
  </si>
  <si>
    <t xml:space="preserve">VAT Amount </t>
  </si>
  <si>
    <t>Breakup of payments already made</t>
  </si>
  <si>
    <t>30% Tax Invoices advance</t>
  </si>
  <si>
    <t>Net Payable</t>
  </si>
  <si>
    <t>VAT Amount in AED</t>
  </si>
  <si>
    <t>Breakup of Net Payable</t>
  </si>
  <si>
    <t>Advance Amount</t>
  </si>
  <si>
    <t>PAC Amount</t>
  </si>
  <si>
    <t>FAC amount</t>
  </si>
  <si>
    <t>Total Payable USD</t>
  </si>
  <si>
    <t>Total Payable AED</t>
  </si>
  <si>
    <t>Note: When paying please indicate also invoice no.</t>
  </si>
  <si>
    <t>Our Bank Details</t>
  </si>
  <si>
    <t>Bank Acc. #</t>
  </si>
  <si>
    <t>FI85 Footer</t>
  </si>
  <si>
    <t>BP Footer</t>
  </si>
  <si>
    <t>1.Tax table for Care _CPO 59414_CPO 59415</t>
  </si>
  <si>
    <t>2. Tax table for new scope POs /no advance payment received no deduction</t>
  </si>
  <si>
    <t>3.Tax table for old scope CPOs , where advance paid on the PO and need to be deducted</t>
  </si>
  <si>
    <t>CPO 58473_58474</t>
  </si>
  <si>
    <t>3.Tax table for CPO 68588, where advance paid on the PO and need to be deducted</t>
  </si>
  <si>
    <t>10% Tax Invoices advance</t>
  </si>
  <si>
    <t>4.Tax table for BP CPOs:- CPO 69573, where no advance paid on the PO and invoice billed is 90% , shown on invoice as 100% and deduction of 10% to be paid @ FAC</t>
  </si>
  <si>
    <t>5.Tax table for CPO:- CPO 72424, where no advance paid on the PO and invoice billed is 50% , shown on invoice as 100% and deduction of 50% to be paid @ PAC</t>
  </si>
  <si>
    <t>CPO 72424 , 78520</t>
  </si>
  <si>
    <t>Advance (15%) + Installation (35%) on delivery note</t>
  </si>
  <si>
    <t xml:space="preserve">PAC amount </t>
  </si>
  <si>
    <t>6.Tax table for CPO:- CPO 78020, where no advance paid on the PO and invoice billed is 100% . Partial invoice of 50% done with applicable 90% /10% milestone.</t>
  </si>
  <si>
    <t>20% Tax Invoices advance</t>
  </si>
  <si>
    <t>7.Tax table for CPO:- CPO 69350, where 30% advance paid on the PO and invoice billed as 50. Partial invoice of 50% done with applicable 90% /10% milestone.</t>
  </si>
  <si>
    <t>8.Tax table for CPO:-74252 and 74209</t>
  </si>
  <si>
    <t>PAC amount (50%)</t>
  </si>
  <si>
    <t>Advance (15%)+ Installation (35%) on delivery note</t>
  </si>
  <si>
    <t>79257 , service +eq , 81115 (serv. + Equ.) // Service + equipment</t>
  </si>
  <si>
    <t>Advance (15%) + Supply only 85% on DN</t>
  </si>
  <si>
    <t>100% on Delivery</t>
  </si>
  <si>
    <t>79257 , service +eq , 81115 (serv. + Equ.) , 77532 , 81136 ,// DELIVERY ONLY</t>
  </si>
  <si>
    <t>CPO 63359_63360_68051_68676_70416_66667 , 76709 , 67687 , 76655 , 66668 , 76731 , 70417 , 76837 , 71220 , 76826 ,71221 , 76799 , 71412 , 76649 , 73278 , 76738 , 74269 , 76732 , 73270 ,76637 ,74268 , 76794 , 74830 , 76748 , 78881 , 78882 , 82906 , 84411 , 88436 , 88527, 92154, 106745</t>
  </si>
  <si>
    <t xml:space="preserve">Bemenet Abdi </t>
  </si>
  <si>
    <t>90% 30days, 10% 90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</si>
</sst>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8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[$-409]d\-mmm\-yy;@"/>
    <numFmt numFmtId="166" formatCode="#,##0.000000000"/>
    <numFmt numFmtId="167" formatCode="&quot;$&quot;#,##0.00;\-&quot;$&quot;#,##0.00;"/>
    <numFmt numFmtId="168" formatCode="mmm\-yyyy"/>
    <numFmt numFmtId="169" formatCode="[$AED]\ #,##0.00"/>
    <numFmt numFmtId="170" formatCode="[$-409]dd\-mmm\-yy;@"/>
    <numFmt numFmtId="171" formatCode="0.00000"/>
    <numFmt numFmtId="172" formatCode="0.000000"/>
    <numFmt numFmtId="173" formatCode="[$-409]d/mmm;@"/>
    <numFmt numFmtId="174" formatCode="###,000"/>
    <numFmt numFmtId="175" formatCode="_-&quot;$&quot;* #,##0.00_-;\-&quot;$&quot;* #,##0.00_-;_-&quot;$&quot;* &quot;-&quot;??_-;_-@_-"/>
    <numFmt numFmtId="176" formatCode="[$$-409]#,##0"/>
    <numFmt numFmtId="177" formatCode="[$-409]d/mmm/yy;@"/>
    <numFmt numFmtId="178" formatCode="_ &quot;$&quot;\ * #,##0.00_ ;_ &quot;$&quot;\ * \-#,##0.00_ ;_ &quot;$&quot;\ * &quot;-&quot;??_ ;_ @_ "/>
    <numFmt numFmtId="179" formatCode="&quot;On&quot;;&quot;On&quot;;&quot;Off&quot;"/>
    <numFmt numFmtId="180" formatCode="[$-409]dd/mmm/yy;@"/>
    <numFmt numFmtId="181" formatCode="[$AED]\ #,##0"/>
    <numFmt numFmtId="182" formatCode="[$AED]\ #,##0.00;[$AED]\ \-#,##0.00"/>
    <numFmt numFmtId="183" formatCode="[$-409]mmm\-yy;@"/>
    <numFmt numFmtId="184" formatCode="[$-C09]dd\-mmm\-yy;@"/>
    <numFmt numFmtId="185" formatCode="[$-409]d\-mmm\-yyyy;@"/>
    <numFmt numFmtId="186" formatCode="[$-409]mmmm\ d\,\ yyyy;@"/>
    <numFmt numFmtId="187" formatCode="[$-409]h:mm\ AM/PM;@"/>
    <numFmt numFmtId="188" formatCode="[$-409]d\-mmm;@"/>
    <numFmt numFmtId="189" formatCode="_([$€-2]* #,##0.00_);_([$€-2]* \(#,##0.00\);_([$€-2]* &quot;-&quot;??_)"/>
    <numFmt numFmtId="190" formatCode="#,##0\ &quot;F&quot;;[Red]\-#,##0\ &quot;F&quot;"/>
    <numFmt numFmtId="191" formatCode="#,##0.00\ &quot;F&quot;;[Red]\-#,##0.00\ &quot;F&quot;"/>
    <numFmt numFmtId="192" formatCode="_([$$-409]* #,##0.00_);_([$$-409]* \(#,##0.00\);_([$$-409]* &quot;-&quot;??_);_(@_)"/>
    <numFmt numFmtId="193" formatCode="_-* #,##0.00\ _€_-;\-* #,##0.00\ _€_-;_-* &quot;-&quot;??\ _€_-;_-@_-"/>
    <numFmt numFmtId="194" formatCode="&quot;Yes&quot;;&quot;Yes&quot;;&quot;No&quot;"/>
    <numFmt numFmtId="195" formatCode="[$€-2]\ #,##0.00_);[Red]\([$€-2]\ #,##0.00\)"/>
    <numFmt numFmtId="196" formatCode="#,##0;\(#,##0\)"/>
    <numFmt numFmtId="197" formatCode="&quot;$&quot;#,##0.0000_);\(&quot;$&quot;#,##0.0000\)"/>
  </numFmts>
  <fonts count="1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  <charset val="204"/>
    </font>
    <font>
      <sz val="11"/>
      <color indexed="8"/>
      <name val="Calibri"/>
      <family val="2"/>
    </font>
    <font>
      <sz val="11"/>
      <name val="Arial"/>
      <family val="2"/>
    </font>
    <font>
      <b/>
      <sz val="12"/>
      <name val="Colibri"/>
    </font>
    <font>
      <sz val="12"/>
      <name val="Colibri"/>
    </font>
    <font>
      <i/>
      <sz val="12"/>
      <name val="Colibri"/>
    </font>
    <font>
      <i/>
      <sz val="10"/>
      <name val="Colibri"/>
    </font>
    <font>
      <sz val="10"/>
      <name val="Colibri"/>
    </font>
    <font>
      <b/>
      <sz val="15"/>
      <name val="Colibri"/>
    </font>
    <font>
      <sz val="15"/>
      <name val="Colibri"/>
    </font>
    <font>
      <b/>
      <sz val="18"/>
      <name val="Colibri"/>
    </font>
    <font>
      <b/>
      <sz val="10"/>
      <name val="Colibri"/>
    </font>
    <font>
      <u/>
      <sz val="11"/>
      <color theme="10"/>
      <name val="Calibri"/>
      <family val="2"/>
      <scheme val="minor"/>
    </font>
    <font>
      <sz val="10"/>
      <name val="Geneva"/>
      <family val="2"/>
    </font>
    <font>
      <sz val="11"/>
      <color rgb="FF000000"/>
      <name val="Calibri"/>
      <family val="2"/>
      <scheme val="minor"/>
    </font>
    <font>
      <sz val="10"/>
      <color indexed="64"/>
      <name val="Arial"/>
      <family val="2"/>
    </font>
    <font>
      <b/>
      <sz val="10"/>
      <color indexed="8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2"/>
      <color theme="1"/>
      <name val="Calibri"/>
      <family val="2"/>
      <scheme val="minor"/>
    </font>
    <font>
      <sz val="10"/>
      <color indexed="8"/>
      <name val="MS Sans Serif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Times New Roman"/>
      <family val="1"/>
    </font>
    <font>
      <sz val="11"/>
      <name val="Rotis Sans Serif for Nokia"/>
    </font>
    <font>
      <sz val="12"/>
      <name val="FrutigerNext LT Regular"/>
      <family val="2"/>
    </font>
    <font>
      <sz val="11"/>
      <color theme="1"/>
      <name val="Century Gothic"/>
      <family val="2"/>
    </font>
    <font>
      <b/>
      <sz val="8"/>
      <color rgb="FF1F497D"/>
      <name val="Verdana"/>
      <family val="2"/>
    </font>
    <font>
      <sz val="8"/>
      <color rgb="FF1F497D"/>
      <name val="Verdana"/>
      <family val="2"/>
    </font>
    <font>
      <sz val="8"/>
      <color rgb="FF000000"/>
      <name val="Verdana"/>
      <family val="2"/>
    </font>
    <font>
      <b/>
      <sz val="8"/>
      <color rgb="FF00CC00"/>
      <name val="Verdana"/>
      <family val="2"/>
    </font>
    <font>
      <b/>
      <sz val="8"/>
      <color rgb="FF33CC33"/>
      <name val="Verdana"/>
      <family val="2"/>
    </font>
    <font>
      <b/>
      <sz val="8"/>
      <color rgb="FFFF9900"/>
      <name val="Verdana"/>
      <family val="2"/>
    </font>
    <font>
      <b/>
      <sz val="8"/>
      <color rgb="FFFF0000"/>
      <name val="Verdana"/>
      <family val="2"/>
    </font>
    <font>
      <sz val="8"/>
      <color rgb="FF000000"/>
      <name val="Arial"/>
      <family val="2"/>
    </font>
    <font>
      <i/>
      <sz val="8"/>
      <color rgb="FF000000"/>
      <name val="Verdana"/>
      <family val="2"/>
    </font>
    <font>
      <b/>
      <i/>
      <sz val="8"/>
      <color rgb="FF000000"/>
      <name val="Verdana"/>
      <family val="2"/>
    </font>
    <font>
      <b/>
      <i/>
      <sz val="8"/>
      <color rgb="FF1F497D"/>
      <name val="Verdana"/>
      <family val="2"/>
    </font>
    <font>
      <i/>
      <sz val="8"/>
      <color rgb="FF1F497D"/>
      <name val="Verdana"/>
      <family val="2"/>
    </font>
    <font>
      <u/>
      <sz val="13"/>
      <color indexed="12"/>
      <name val="Arial"/>
      <family val="2"/>
    </font>
    <font>
      <sz val="10"/>
      <color theme="1"/>
      <name val="Calibri"/>
      <family val="2"/>
    </font>
    <font>
      <sz val="10"/>
      <color theme="1"/>
      <name val="Trebuchet MS"/>
      <family val="2"/>
    </font>
    <font>
      <b/>
      <sz val="13"/>
      <name val="Colibri"/>
    </font>
    <font>
      <sz val="13"/>
      <name val="Colibri"/>
    </font>
    <font>
      <sz val="12"/>
      <name val="Coli"/>
    </font>
    <font>
      <b/>
      <sz val="22"/>
      <name val="Colibri"/>
    </font>
    <font>
      <b/>
      <sz val="14"/>
      <name val="Colibri"/>
    </font>
    <font>
      <sz val="14"/>
      <name val="Arial"/>
      <family val="2"/>
      <charset val="204"/>
    </font>
    <font>
      <sz val="8"/>
      <name val="Colibri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  <font>
      <b/>
      <sz val="10"/>
      <color rgb="FFFFC000"/>
      <name val="Arial"/>
      <family val="2"/>
    </font>
    <font>
      <sz val="11"/>
      <color indexed="8"/>
      <name val="Calibri"/>
      <family val="2"/>
      <scheme val="minor"/>
    </font>
    <font>
      <sz val="11"/>
      <color theme="1"/>
      <name val="Arial"/>
      <family val="2"/>
    </font>
    <font>
      <sz val="10"/>
      <name val="Geneva"/>
    </font>
    <font>
      <sz val="11"/>
      <color theme="1"/>
      <name val="Calibri"/>
      <family val="3"/>
      <charset val="134"/>
      <scheme val="minor"/>
    </font>
    <font>
      <sz val="10"/>
      <name val="Helv"/>
      <charset val="204"/>
    </font>
    <font>
      <sz val="11"/>
      <color indexed="60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2"/>
      <name val="宋体"/>
      <family val="3"/>
      <charset val="134"/>
    </font>
    <font>
      <sz val="8"/>
      <color theme="1"/>
      <name val="Verdana"/>
      <family val="2"/>
    </font>
    <font>
      <sz val="11"/>
      <color theme="1"/>
      <name val="Verdana"/>
      <family val="2"/>
    </font>
    <font>
      <sz val="8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rgb="FF000000"/>
      <name val="Arial"/>
      <family val="2"/>
    </font>
    <font>
      <sz val="12"/>
      <name val="Tms Rmn"/>
      <family val="1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0"/>
      <name val="MS Sans Serif"/>
      <family val="2"/>
    </font>
    <font>
      <b/>
      <sz val="11"/>
      <name val="Helv"/>
      <family val="2"/>
    </font>
    <font>
      <sz val="7"/>
      <name val="Small Fonts"/>
      <family val="2"/>
    </font>
    <font>
      <b/>
      <i/>
      <sz val="16"/>
      <name val="Helv"/>
      <family val="2"/>
    </font>
    <font>
      <sz val="10"/>
      <name val="Arial "/>
      <family val="2"/>
      <charset val="134"/>
    </font>
    <font>
      <b/>
      <sz val="11"/>
      <name val="Times New Roman"/>
      <family val="1"/>
    </font>
    <font>
      <b/>
      <sz val="18"/>
      <color indexed="62"/>
      <name val="Cambria"/>
      <family val="1"/>
    </font>
    <font>
      <sz val="10"/>
      <color rgb="FF000000"/>
      <name val="Times New Roman"/>
      <family val="1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11"/>
      <color theme="1"/>
      <name val="Calibri"/>
      <family val="2"/>
      <charset val="238"/>
      <scheme val="minor"/>
    </font>
    <font>
      <sz val="8"/>
      <name val="Tahoma"/>
      <family val="2"/>
    </font>
    <font>
      <sz val="12"/>
      <name val="Tms Rmn"/>
    </font>
    <font>
      <b/>
      <sz val="10"/>
      <color indexed="50"/>
      <name val="Arial"/>
      <family val="2"/>
    </font>
    <font>
      <b/>
      <sz val="10"/>
      <color indexed="48"/>
      <name val="Arial"/>
      <family val="2"/>
    </font>
    <font>
      <b/>
      <sz val="8"/>
      <color indexed="9"/>
      <name val="Tahoma"/>
      <family val="2"/>
    </font>
    <font>
      <b/>
      <sz val="8"/>
      <color indexed="8"/>
      <name val="Tahoma"/>
      <family val="2"/>
    </font>
    <font>
      <u/>
      <sz val="10"/>
      <color indexed="12"/>
      <name val="Rotis Sans Serif for Nokia"/>
      <family val="2"/>
    </font>
    <font>
      <sz val="10"/>
      <name val="Verdana"/>
      <family val="2"/>
    </font>
    <font>
      <sz val="10"/>
      <name val="Nokia Sans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sz val="10"/>
      <color indexed="8"/>
      <name val="Arial"/>
      <family val="2"/>
    </font>
    <font>
      <sz val="10"/>
      <color indexed="39"/>
      <name val="Arial"/>
      <family val="2"/>
    </font>
    <font>
      <b/>
      <sz val="12"/>
      <color indexed="8"/>
      <name val="Arial"/>
      <family val="2"/>
    </font>
    <font>
      <b/>
      <sz val="16"/>
      <color indexed="23"/>
      <name val="Arial"/>
      <family val="2"/>
    </font>
    <font>
      <sz val="10"/>
      <name val="宋体"/>
      <charset val="134"/>
    </font>
  </fonts>
  <fills count="10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DBE5F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</patternFill>
    </fill>
    <fill>
      <patternFill patternType="solid">
        <fgColor indexed="5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50"/>
        <bgColor indexed="64"/>
      </patternFill>
    </fill>
    <fill>
      <patternFill patternType="lightUp">
        <fgColor indexed="22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</fills>
  <borders count="102">
    <border>
      <left/>
      <right/>
      <top/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 diagonalDown="1"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2225">
    <xf numFmtId="0" fontId="0" fillId="0" borderId="0"/>
    <xf numFmtId="43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4" fillId="0" borderId="0"/>
    <xf numFmtId="44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7" fillId="0" borderId="0"/>
    <xf numFmtId="43" fontId="1" fillId="0" borderId="0" applyFont="0" applyFill="0" applyBorder="0" applyAlignment="0" applyProtection="0"/>
    <xf numFmtId="0" fontId="19" fillId="0" borderId="0"/>
    <xf numFmtId="0" fontId="20" fillId="0" borderId="0" applyNumberFormat="0" applyFill="0" applyBorder="0" applyProtection="0"/>
    <xf numFmtId="0" fontId="19" fillId="0" borderId="0"/>
    <xf numFmtId="0" fontId="19" fillId="0" borderId="0"/>
    <xf numFmtId="0" fontId="1" fillId="0" borderId="0"/>
    <xf numFmtId="0" fontId="19" fillId="0" borderId="0"/>
    <xf numFmtId="0" fontId="2" fillId="0" borderId="0"/>
    <xf numFmtId="0" fontId="19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8" applyNumberFormat="0" applyFill="0" applyAlignment="0" applyProtection="0"/>
    <xf numFmtId="0" fontId="25" fillId="0" borderId="9" applyNumberFormat="0" applyFill="0" applyAlignment="0" applyProtection="0"/>
    <xf numFmtId="0" fontId="26" fillId="0" borderId="10" applyNumberFormat="0" applyFill="0" applyAlignment="0" applyProtection="0"/>
    <xf numFmtId="0" fontId="26" fillId="0" borderId="0" applyNumberFormat="0" applyFill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0" applyNumberFormat="0" applyBorder="0" applyAlignment="0" applyProtection="0"/>
    <xf numFmtId="0" fontId="30" fillId="9" borderId="11" applyNumberFormat="0" applyAlignment="0" applyProtection="0"/>
    <xf numFmtId="0" fontId="31" fillId="10" borderId="12" applyNumberFormat="0" applyAlignment="0" applyProtection="0"/>
    <xf numFmtId="0" fontId="32" fillId="10" borderId="11" applyNumberFormat="0" applyAlignment="0" applyProtection="0"/>
    <xf numFmtId="0" fontId="33" fillId="0" borderId="13" applyNumberFormat="0" applyFill="0" applyAlignment="0" applyProtection="0"/>
    <xf numFmtId="0" fontId="34" fillId="11" borderId="14" applyNumberFormat="0" applyAlignment="0" applyProtection="0"/>
    <xf numFmtId="0" fontId="35" fillId="0" borderId="0" applyNumberFormat="0" applyFill="0" applyBorder="0" applyAlignment="0" applyProtection="0"/>
    <xf numFmtId="0" fontId="1" fillId="12" borderId="15" applyNumberFormat="0" applyFont="0" applyAlignment="0" applyProtection="0"/>
    <xf numFmtId="0" fontId="36" fillId="0" borderId="0" applyNumberFormat="0" applyFill="0" applyBorder="0" applyAlignment="0" applyProtection="0"/>
    <xf numFmtId="0" fontId="22" fillId="0" borderId="16" applyNumberFormat="0" applyFill="0" applyAlignment="0" applyProtection="0"/>
    <xf numFmtId="0" fontId="2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21" fillId="36" borderId="0" applyNumberFormat="0" applyBorder="0" applyAlignment="0" applyProtection="0"/>
    <xf numFmtId="0" fontId="37" fillId="0" borderId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6" fillId="0" borderId="0" applyNumberFormat="0" applyFill="0" applyBorder="0" applyAlignment="0" applyProtection="0"/>
    <xf numFmtId="0" fontId="40" fillId="0" borderId="0"/>
    <xf numFmtId="0" fontId="2" fillId="0" borderId="0"/>
    <xf numFmtId="173" fontId="1" fillId="0" borderId="0"/>
    <xf numFmtId="0" fontId="18" fillId="0" borderId="0"/>
    <xf numFmtId="0" fontId="5" fillId="0" borderId="0"/>
    <xf numFmtId="0" fontId="58" fillId="0" borderId="0"/>
    <xf numFmtId="0" fontId="57" fillId="0" borderId="0"/>
    <xf numFmtId="0" fontId="5" fillId="38" borderId="0" applyNumberFormat="0" applyBorder="0" applyAlignment="0" applyProtection="0"/>
    <xf numFmtId="0" fontId="5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5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5" fillId="41" borderId="0" applyNumberFormat="0" applyBorder="0" applyAlignment="0" applyProtection="0"/>
    <xf numFmtId="0" fontId="5" fillId="44" borderId="0" applyNumberFormat="0" applyBorder="0" applyAlignment="0" applyProtection="0"/>
    <xf numFmtId="0" fontId="5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3" borderId="0" applyNumberFormat="0" applyBorder="0" applyAlignment="0" applyProtection="0"/>
    <xf numFmtId="0" fontId="41" fillId="54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0" fontId="41" fillId="55" borderId="0" applyNumberFormat="0" applyBorder="0" applyAlignment="0" applyProtection="0"/>
    <xf numFmtId="0" fontId="42" fillId="39" borderId="0" applyNumberFormat="0" applyBorder="0" applyAlignment="0" applyProtection="0"/>
    <xf numFmtId="0" fontId="43" fillId="56" borderId="18" applyNumberFormat="0" applyAlignment="0" applyProtection="0"/>
    <xf numFmtId="0" fontId="44" fillId="57" borderId="19" applyNumberFormat="0" applyAlignment="0" applyProtection="0"/>
    <xf numFmtId="0" fontId="45" fillId="0" borderId="0" applyNumberFormat="0" applyFill="0" applyBorder="0" applyAlignment="0" applyProtection="0"/>
    <xf numFmtId="0" fontId="46" fillId="40" borderId="0" applyNumberFormat="0" applyBorder="0" applyAlignment="0" applyProtection="0"/>
    <xf numFmtId="0" fontId="47" fillId="0" borderId="20" applyNumberFormat="0" applyFill="0" applyAlignment="0" applyProtection="0"/>
    <xf numFmtId="0" fontId="48" fillId="0" borderId="21" applyNumberFormat="0" applyFill="0" applyAlignment="0" applyProtection="0"/>
    <xf numFmtId="0" fontId="49" fillId="0" borderId="22" applyNumberFormat="0" applyFill="0" applyAlignment="0" applyProtection="0"/>
    <xf numFmtId="0" fontId="49" fillId="0" borderId="0" applyNumberFormat="0" applyFill="0" applyBorder="0" applyAlignment="0" applyProtection="0"/>
    <xf numFmtId="0" fontId="50" fillId="43" borderId="18" applyNumberFormat="0" applyAlignment="0" applyProtection="0"/>
    <xf numFmtId="0" fontId="51" fillId="0" borderId="23" applyNumberFormat="0" applyFill="0" applyAlignment="0" applyProtection="0"/>
    <xf numFmtId="0" fontId="52" fillId="5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5" fillId="59" borderId="24" applyNumberFormat="0" applyFont="0" applyAlignment="0" applyProtection="0"/>
    <xf numFmtId="0" fontId="53" fillId="56" borderId="25" applyNumberFormat="0" applyAlignment="0" applyProtection="0"/>
    <xf numFmtId="0" fontId="57" fillId="0" borderId="0"/>
    <xf numFmtId="0" fontId="54" fillId="0" borderId="0" applyNumberFormat="0" applyFill="0" applyBorder="0" applyAlignment="0" applyProtection="0"/>
    <xf numFmtId="0" fontId="55" fillId="0" borderId="26" applyNumberFormat="0" applyFill="0" applyAlignment="0" applyProtection="0"/>
    <xf numFmtId="0" fontId="56" fillId="0" borderId="0" applyNumberFormat="0" applyFill="0" applyBorder="0" applyAlignment="0" applyProtection="0"/>
    <xf numFmtId="0" fontId="6" fillId="0" borderId="0"/>
    <xf numFmtId="0" fontId="1" fillId="0" borderId="0"/>
    <xf numFmtId="0" fontId="2" fillId="0" borderId="0"/>
    <xf numFmtId="44" fontId="5" fillId="0" borderId="0" applyFont="0" applyFill="0" applyBorder="0" applyAlignment="0" applyProtection="0"/>
    <xf numFmtId="0" fontId="43" fillId="56" borderId="27" applyNumberFormat="0" applyAlignment="0" applyProtection="0"/>
    <xf numFmtId="0" fontId="50" fillId="43" borderId="27" applyNumberFormat="0" applyAlignment="0" applyProtection="0"/>
    <xf numFmtId="0" fontId="5" fillId="59" borderId="28" applyNumberFormat="0" applyFont="0" applyAlignment="0" applyProtection="0"/>
    <xf numFmtId="0" fontId="53" fillId="56" borderId="29" applyNumberFormat="0" applyAlignment="0" applyProtection="0"/>
    <xf numFmtId="0" fontId="55" fillId="0" borderId="30" applyNumberFormat="0" applyFill="0" applyAlignment="0" applyProtection="0"/>
    <xf numFmtId="0" fontId="59" fillId="0" borderId="0">
      <alignment vertical="center"/>
    </xf>
    <xf numFmtId="44" fontId="2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  <xf numFmtId="0" fontId="2" fillId="59" borderId="28" applyNumberFormat="0" applyFont="0" applyAlignment="0" applyProtection="0"/>
    <xf numFmtId="0" fontId="53" fillId="56" borderId="29" applyNumberFormat="0" applyAlignment="0" applyProtection="0"/>
    <xf numFmtId="0" fontId="2" fillId="59" borderId="28" applyNumberFormat="0" applyFont="0" applyAlignment="0" applyProtection="0"/>
    <xf numFmtId="0" fontId="53" fillId="56" borderId="29" applyNumberFormat="0" applyAlignment="0" applyProtection="0"/>
    <xf numFmtId="0" fontId="53" fillId="56" borderId="29" applyNumberFormat="0" applyAlignment="0" applyProtection="0"/>
    <xf numFmtId="0" fontId="53" fillId="56" borderId="29" applyNumberFormat="0" applyAlignment="0" applyProtection="0"/>
    <xf numFmtId="0" fontId="53" fillId="56" borderId="29" applyNumberFormat="0" applyAlignment="0" applyProtection="0"/>
    <xf numFmtId="0" fontId="53" fillId="56" borderId="29" applyNumberFormat="0" applyAlignment="0" applyProtection="0"/>
    <xf numFmtId="0" fontId="53" fillId="56" borderId="29" applyNumberFormat="0" applyAlignment="0" applyProtection="0"/>
    <xf numFmtId="0" fontId="53" fillId="56" borderId="29" applyNumberFormat="0" applyAlignment="0" applyProtection="0"/>
    <xf numFmtId="0" fontId="43" fillId="56" borderId="27" applyNumberFormat="0" applyAlignment="0" applyProtection="0"/>
    <xf numFmtId="0" fontId="5" fillId="38" borderId="0" applyNumberFormat="0" applyBorder="0" applyAlignment="0" applyProtection="0"/>
    <xf numFmtId="0" fontId="5" fillId="39" borderId="0" applyNumberFormat="0" applyBorder="0" applyAlignment="0" applyProtection="0"/>
    <xf numFmtId="0" fontId="50" fillId="43" borderId="27" applyNumberFormat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43" fillId="56" borderId="27" applyNumberFormat="0" applyAlignment="0" applyProtection="0"/>
    <xf numFmtId="0" fontId="5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5" fillId="41" borderId="0" applyNumberFormat="0" applyBorder="0" applyAlignment="0" applyProtection="0"/>
    <xf numFmtId="0" fontId="5" fillId="44" borderId="0" applyNumberFormat="0" applyBorder="0" applyAlignment="0" applyProtection="0"/>
    <xf numFmtId="0" fontId="5" fillId="47" borderId="0" applyNumberFormat="0" applyBorder="0" applyAlignment="0" applyProtection="0"/>
    <xf numFmtId="0" fontId="43" fillId="56" borderId="27" applyNumberFormat="0" applyAlignment="0" applyProtection="0"/>
    <xf numFmtId="0" fontId="50" fillId="43" borderId="27" applyNumberFormat="0" applyAlignment="0" applyProtection="0"/>
    <xf numFmtId="0" fontId="6" fillId="0" borderId="0"/>
    <xf numFmtId="0" fontId="50" fillId="43" borderId="27" applyNumberFormat="0" applyAlignment="0" applyProtection="0"/>
    <xf numFmtId="0" fontId="50" fillId="43" borderId="27" applyNumberFormat="0" applyAlignment="0" applyProtection="0"/>
    <xf numFmtId="0" fontId="53" fillId="56" borderId="29" applyNumberFormat="0" applyAlignment="0" applyProtection="0"/>
    <xf numFmtId="0" fontId="2" fillId="0" borderId="0"/>
    <xf numFmtId="0" fontId="2" fillId="0" borderId="0">
      <alignment wrapText="1"/>
    </xf>
    <xf numFmtId="0" fontId="2" fillId="59" borderId="28" applyNumberFormat="0" applyFont="0" applyAlignment="0" applyProtection="0"/>
    <xf numFmtId="0" fontId="17" fillId="0" borderId="0"/>
    <xf numFmtId="0" fontId="43" fillId="56" borderId="27" applyNumberFormat="0" applyAlignment="0" applyProtection="0"/>
    <xf numFmtId="0" fontId="2" fillId="0" borderId="0"/>
    <xf numFmtId="0" fontId="50" fillId="43" borderId="27" applyNumberFormat="0" applyAlignment="0" applyProtection="0"/>
    <xf numFmtId="0" fontId="50" fillId="43" borderId="27" applyNumberFormat="0" applyAlignment="0" applyProtection="0"/>
    <xf numFmtId="0" fontId="50" fillId="43" borderId="27" applyNumberFormat="0" applyAlignment="0" applyProtection="0"/>
    <xf numFmtId="0" fontId="50" fillId="43" borderId="27" applyNumberFormat="0" applyAlignment="0" applyProtection="0"/>
    <xf numFmtId="0" fontId="2" fillId="59" borderId="28" applyNumberFormat="0" applyFont="0" applyAlignment="0" applyProtection="0"/>
    <xf numFmtId="0" fontId="53" fillId="56" borderId="29" applyNumberFormat="0" applyAlignment="0" applyProtection="0"/>
    <xf numFmtId="0" fontId="43" fillId="56" borderId="27" applyNumberFormat="0" applyAlignment="0" applyProtection="0"/>
    <xf numFmtId="0" fontId="55" fillId="0" borderId="30" applyNumberFormat="0" applyFill="0" applyAlignment="0" applyProtection="0"/>
    <xf numFmtId="0" fontId="2" fillId="59" borderId="28" applyNumberFormat="0" applyFont="0" applyAlignment="0" applyProtection="0"/>
    <xf numFmtId="0" fontId="50" fillId="43" borderId="27" applyNumberFormat="0" applyAlignment="0" applyProtection="0"/>
    <xf numFmtId="0" fontId="43" fillId="56" borderId="27" applyNumberFormat="0" applyAlignment="0" applyProtection="0"/>
    <xf numFmtId="0" fontId="55" fillId="0" borderId="30" applyNumberFormat="0" applyFill="0" applyAlignment="0" applyProtection="0"/>
    <xf numFmtId="0" fontId="2" fillId="59" borderId="28" applyNumberFormat="0" applyFont="0" applyAlignment="0" applyProtection="0"/>
    <xf numFmtId="0" fontId="50" fillId="43" borderId="27" applyNumberFormat="0" applyAlignment="0" applyProtection="0"/>
    <xf numFmtId="0" fontId="43" fillId="56" borderId="27" applyNumberFormat="0" applyAlignment="0" applyProtection="0"/>
    <xf numFmtId="0" fontId="55" fillId="0" borderId="30" applyNumberFormat="0" applyFill="0" applyAlignment="0" applyProtection="0"/>
    <xf numFmtId="0" fontId="2" fillId="59" borderId="28" applyNumberFormat="0" applyFont="0" applyAlignment="0" applyProtection="0"/>
    <xf numFmtId="0" fontId="43" fillId="56" borderId="27" applyNumberFormat="0" applyAlignment="0" applyProtection="0"/>
    <xf numFmtId="0" fontId="55" fillId="0" borderId="30" applyNumberFormat="0" applyFill="0" applyAlignment="0" applyProtection="0"/>
    <xf numFmtId="0" fontId="2" fillId="59" borderId="28" applyNumberFormat="0" applyFont="0" applyAlignment="0" applyProtection="0"/>
    <xf numFmtId="0" fontId="43" fillId="56" borderId="27" applyNumberFormat="0" applyAlignment="0" applyProtection="0"/>
    <xf numFmtId="0" fontId="55" fillId="0" borderId="30" applyNumberFormat="0" applyFill="0" applyAlignment="0" applyProtection="0"/>
    <xf numFmtId="0" fontId="2" fillId="59" borderId="28" applyNumberFormat="0" applyFont="0" applyAlignment="0" applyProtection="0"/>
    <xf numFmtId="0" fontId="43" fillId="56" borderId="27" applyNumberFormat="0" applyAlignment="0" applyProtection="0"/>
    <xf numFmtId="0" fontId="55" fillId="0" borderId="30" applyNumberFormat="0" applyFill="0" applyAlignment="0" applyProtection="0"/>
    <xf numFmtId="0" fontId="2" fillId="59" borderId="28" applyNumberFormat="0" applyFont="0" applyAlignment="0" applyProtection="0"/>
    <xf numFmtId="0" fontId="55" fillId="0" borderId="30" applyNumberFormat="0" applyFill="0" applyAlignment="0" applyProtection="0"/>
    <xf numFmtId="0" fontId="2" fillId="59" borderId="28" applyNumberFormat="0" applyFont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2" fillId="0" borderId="0"/>
    <xf numFmtId="43" fontId="2" fillId="0" borderId="0" applyFont="0" applyFill="0" applyBorder="0" applyAlignment="0" applyProtection="0"/>
    <xf numFmtId="0" fontId="5" fillId="59" borderId="31" applyNumberFormat="0" applyFont="0" applyAlignment="0" applyProtection="0"/>
    <xf numFmtId="0" fontId="53" fillId="56" borderId="32" applyNumberFormat="0" applyAlignment="0" applyProtection="0"/>
    <xf numFmtId="0" fontId="55" fillId="0" borderId="33" applyNumberFormat="0" applyFill="0" applyAlignment="0" applyProtection="0"/>
    <xf numFmtId="0" fontId="2" fillId="59" borderId="31" applyNumberFormat="0" applyFont="0" applyAlignment="0" applyProtection="0"/>
    <xf numFmtId="0" fontId="2" fillId="59" borderId="31" applyNumberFormat="0" applyFont="0" applyAlignment="0" applyProtection="0"/>
    <xf numFmtId="0" fontId="43" fillId="56" borderId="34" applyNumberFormat="0" applyAlignment="0" applyProtection="0"/>
    <xf numFmtId="0" fontId="50" fillId="43" borderId="34" applyNumberFormat="0" applyAlignment="0" applyProtection="0"/>
    <xf numFmtId="0" fontId="43" fillId="56" borderId="34" applyNumberFormat="0" applyAlignment="0" applyProtection="0"/>
    <xf numFmtId="0" fontId="43" fillId="56" borderId="34" applyNumberFormat="0" applyAlignment="0" applyProtection="0"/>
    <xf numFmtId="0" fontId="50" fillId="43" borderId="34" applyNumberFormat="0" applyAlignment="0" applyProtection="0"/>
    <xf numFmtId="0" fontId="50" fillId="43" borderId="34" applyNumberFormat="0" applyAlignment="0" applyProtection="0"/>
    <xf numFmtId="0" fontId="50" fillId="43" borderId="34" applyNumberFormat="0" applyAlignment="0" applyProtection="0"/>
    <xf numFmtId="0" fontId="2" fillId="59" borderId="31" applyNumberFormat="0" applyFont="0" applyAlignment="0" applyProtection="0"/>
    <xf numFmtId="0" fontId="43" fillId="56" borderId="34" applyNumberFormat="0" applyAlignment="0" applyProtection="0"/>
    <xf numFmtId="0" fontId="50" fillId="43" borderId="34" applyNumberFormat="0" applyAlignment="0" applyProtection="0"/>
    <xf numFmtId="0" fontId="50" fillId="43" borderId="34" applyNumberFormat="0" applyAlignment="0" applyProtection="0"/>
    <xf numFmtId="0" fontId="50" fillId="43" borderId="34" applyNumberFormat="0" applyAlignment="0" applyProtection="0"/>
    <xf numFmtId="0" fontId="50" fillId="43" borderId="34" applyNumberFormat="0" applyAlignment="0" applyProtection="0"/>
    <xf numFmtId="0" fontId="2" fillId="59" borderId="31" applyNumberFormat="0" applyFont="0" applyAlignment="0" applyProtection="0"/>
    <xf numFmtId="0" fontId="43" fillId="56" borderId="34" applyNumberFormat="0" applyAlignment="0" applyProtection="0"/>
    <xf numFmtId="0" fontId="55" fillId="0" borderId="33" applyNumberFormat="0" applyFill="0" applyAlignment="0" applyProtection="0"/>
    <xf numFmtId="0" fontId="2" fillId="59" borderId="31" applyNumberFormat="0" applyFont="0" applyAlignment="0" applyProtection="0"/>
    <xf numFmtId="0" fontId="50" fillId="43" borderId="34" applyNumberFormat="0" applyAlignment="0" applyProtection="0"/>
    <xf numFmtId="0" fontId="43" fillId="56" borderId="34" applyNumberFormat="0" applyAlignment="0" applyProtection="0"/>
    <xf numFmtId="0" fontId="55" fillId="0" borderId="33" applyNumberFormat="0" applyFill="0" applyAlignment="0" applyProtection="0"/>
    <xf numFmtId="0" fontId="2" fillId="59" borderId="31" applyNumberFormat="0" applyFont="0" applyAlignment="0" applyProtection="0"/>
    <xf numFmtId="0" fontId="50" fillId="43" borderId="34" applyNumberFormat="0" applyAlignment="0" applyProtection="0"/>
    <xf numFmtId="0" fontId="43" fillId="56" borderId="34" applyNumberFormat="0" applyAlignment="0" applyProtection="0"/>
    <xf numFmtId="0" fontId="55" fillId="0" borderId="33" applyNumberFormat="0" applyFill="0" applyAlignment="0" applyProtection="0"/>
    <xf numFmtId="0" fontId="2" fillId="59" borderId="31" applyNumberFormat="0" applyFont="0" applyAlignment="0" applyProtection="0"/>
    <xf numFmtId="0" fontId="43" fillId="56" borderId="34" applyNumberFormat="0" applyAlignment="0" applyProtection="0"/>
    <xf numFmtId="0" fontId="55" fillId="0" borderId="33" applyNumberFormat="0" applyFill="0" applyAlignment="0" applyProtection="0"/>
    <xf numFmtId="0" fontId="2" fillId="59" borderId="31" applyNumberFormat="0" applyFont="0" applyAlignment="0" applyProtection="0"/>
    <xf numFmtId="0" fontId="43" fillId="56" borderId="34" applyNumberFormat="0" applyAlignment="0" applyProtection="0"/>
    <xf numFmtId="0" fontId="55" fillId="0" borderId="33" applyNumberFormat="0" applyFill="0" applyAlignment="0" applyProtection="0"/>
    <xf numFmtId="0" fontId="2" fillId="59" borderId="31" applyNumberFormat="0" applyFont="0" applyAlignment="0" applyProtection="0"/>
    <xf numFmtId="0" fontId="43" fillId="56" borderId="34" applyNumberFormat="0" applyAlignment="0" applyProtection="0"/>
    <xf numFmtId="0" fontId="55" fillId="0" borderId="33" applyNumberFormat="0" applyFill="0" applyAlignment="0" applyProtection="0"/>
    <xf numFmtId="0" fontId="2" fillId="59" borderId="31" applyNumberFormat="0" applyFont="0" applyAlignment="0" applyProtection="0"/>
    <xf numFmtId="0" fontId="55" fillId="0" borderId="33" applyNumberFormat="0" applyFill="0" applyAlignment="0" applyProtection="0"/>
    <xf numFmtId="0" fontId="2" fillId="59" borderId="31" applyNumberFormat="0" applyFont="0" applyAlignment="0" applyProtection="0"/>
    <xf numFmtId="0" fontId="55" fillId="0" borderId="33" applyNumberFormat="0" applyFill="0" applyAlignment="0" applyProtection="0"/>
    <xf numFmtId="0" fontId="55" fillId="0" borderId="33" applyNumberFormat="0" applyFill="0" applyAlignment="0" applyProtection="0"/>
    <xf numFmtId="0" fontId="55" fillId="0" borderId="33" applyNumberFormat="0" applyFill="0" applyAlignment="0" applyProtection="0"/>
    <xf numFmtId="0" fontId="5" fillId="0" borderId="0"/>
    <xf numFmtId="0" fontId="4" fillId="0" borderId="0"/>
    <xf numFmtId="44" fontId="4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43" fontId="1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9" fillId="8" borderId="0" applyNumberFormat="0" applyBorder="0" applyAlignment="0" applyProtection="0"/>
    <xf numFmtId="0" fontId="21" fillId="16" borderId="0" applyNumberFormat="0" applyBorder="0" applyAlignment="0" applyProtection="0"/>
    <xf numFmtId="0" fontId="21" fillId="20" borderId="0" applyNumberFormat="0" applyBorder="0" applyAlignment="0" applyProtection="0"/>
    <xf numFmtId="0" fontId="21" fillId="24" borderId="0" applyNumberFormat="0" applyBorder="0" applyAlignment="0" applyProtection="0"/>
    <xf numFmtId="0" fontId="21" fillId="28" borderId="0" applyNumberFormat="0" applyBorder="0" applyAlignment="0" applyProtection="0"/>
    <xf numFmtId="0" fontId="21" fillId="32" borderId="0" applyNumberFormat="0" applyBorder="0" applyAlignment="0" applyProtection="0"/>
    <xf numFmtId="0" fontId="21" fillId="36" borderId="0" applyNumberFormat="0" applyBorder="0" applyAlignment="0" applyProtection="0"/>
    <xf numFmtId="0" fontId="37" fillId="0" borderId="0"/>
    <xf numFmtId="0" fontId="2" fillId="0" borderId="0"/>
    <xf numFmtId="0" fontId="55" fillId="0" borderId="33" applyNumberFormat="0" applyFill="0" applyAlignment="0" applyProtection="0"/>
    <xf numFmtId="0" fontId="18" fillId="0" borderId="0"/>
    <xf numFmtId="0" fontId="5" fillId="59" borderId="31" applyNumberFormat="0" applyFont="0" applyAlignment="0" applyProtection="0"/>
    <xf numFmtId="0" fontId="43" fillId="56" borderId="34" applyNumberFormat="0" applyAlignment="0" applyProtection="0"/>
    <xf numFmtId="0" fontId="50" fillId="43" borderId="34" applyNumberFormat="0" applyAlignment="0" applyProtection="0"/>
    <xf numFmtId="0" fontId="43" fillId="56" borderId="34" applyNumberFormat="0" applyAlignment="0" applyProtection="0"/>
    <xf numFmtId="0" fontId="50" fillId="43" borderId="34" applyNumberFormat="0" applyAlignment="0" applyProtection="0"/>
    <xf numFmtId="0" fontId="5" fillId="59" borderId="31" applyNumberFormat="0" applyFont="0" applyAlignment="0" applyProtection="0"/>
    <xf numFmtId="0" fontId="53" fillId="56" borderId="29" applyNumberFormat="0" applyAlignment="0" applyProtection="0"/>
    <xf numFmtId="0" fontId="55" fillId="0" borderId="33" applyNumberFormat="0" applyFill="0" applyAlignment="0" applyProtection="0"/>
    <xf numFmtId="44" fontId="5" fillId="0" borderId="0" applyFont="0" applyFill="0" applyBorder="0" applyAlignment="0" applyProtection="0"/>
    <xf numFmtId="0" fontId="43" fillId="56" borderId="34" applyNumberFormat="0" applyAlignment="0" applyProtection="0"/>
    <xf numFmtId="0" fontId="50" fillId="43" borderId="34" applyNumberFormat="0" applyAlignment="0" applyProtection="0"/>
    <xf numFmtId="0" fontId="5" fillId="59" borderId="31" applyNumberFormat="0" applyFont="0" applyAlignment="0" applyProtection="0"/>
    <xf numFmtId="0" fontId="55" fillId="0" borderId="33" applyNumberFormat="0" applyFill="0" applyAlignment="0" applyProtection="0"/>
    <xf numFmtId="0" fontId="2" fillId="59" borderId="31" applyNumberFormat="0" applyFont="0" applyAlignment="0" applyProtection="0"/>
    <xf numFmtId="0" fontId="53" fillId="56" borderId="29" applyNumberFormat="0" applyAlignment="0" applyProtection="0"/>
    <xf numFmtId="0" fontId="2" fillId="59" borderId="31" applyNumberFormat="0" applyFont="0" applyAlignment="0" applyProtection="0"/>
    <xf numFmtId="0" fontId="53" fillId="56" borderId="29" applyNumberFormat="0" applyAlignment="0" applyProtection="0"/>
    <xf numFmtId="0" fontId="53" fillId="56" borderId="29" applyNumberFormat="0" applyAlignment="0" applyProtection="0"/>
    <xf numFmtId="0" fontId="53" fillId="56" borderId="29" applyNumberFormat="0" applyAlignment="0" applyProtection="0"/>
    <xf numFmtId="0" fontId="53" fillId="56" borderId="29" applyNumberFormat="0" applyAlignment="0" applyProtection="0"/>
    <xf numFmtId="0" fontId="53" fillId="56" borderId="29" applyNumberFormat="0" applyAlignment="0" applyProtection="0"/>
    <xf numFmtId="0" fontId="53" fillId="56" borderId="29" applyNumberFormat="0" applyAlignment="0" applyProtection="0"/>
    <xf numFmtId="0" fontId="53" fillId="56" borderId="29" applyNumberFormat="0" applyAlignment="0" applyProtection="0"/>
    <xf numFmtId="0" fontId="43" fillId="56" borderId="34" applyNumberFormat="0" applyAlignment="0" applyProtection="0"/>
    <xf numFmtId="0" fontId="50" fillId="43" borderId="34" applyNumberFormat="0" applyAlignment="0" applyProtection="0"/>
    <xf numFmtId="0" fontId="43" fillId="56" borderId="34" applyNumberFormat="0" applyAlignment="0" applyProtection="0"/>
    <xf numFmtId="0" fontId="43" fillId="56" borderId="34" applyNumberFormat="0" applyAlignment="0" applyProtection="0"/>
    <xf numFmtId="0" fontId="50" fillId="43" borderId="34" applyNumberFormat="0" applyAlignment="0" applyProtection="0"/>
    <xf numFmtId="0" fontId="50" fillId="43" borderId="34" applyNumberFormat="0" applyAlignment="0" applyProtection="0"/>
    <xf numFmtId="0" fontId="50" fillId="43" borderId="34" applyNumberFormat="0" applyAlignment="0" applyProtection="0"/>
    <xf numFmtId="0" fontId="53" fillId="56" borderId="29" applyNumberFormat="0" applyAlignment="0" applyProtection="0"/>
    <xf numFmtId="0" fontId="2" fillId="59" borderId="31" applyNumberFormat="0" applyFont="0" applyAlignment="0" applyProtection="0"/>
    <xf numFmtId="0" fontId="43" fillId="56" borderId="34" applyNumberFormat="0" applyAlignment="0" applyProtection="0"/>
    <xf numFmtId="0" fontId="50" fillId="43" borderId="34" applyNumberFormat="0" applyAlignment="0" applyProtection="0"/>
    <xf numFmtId="0" fontId="50" fillId="43" borderId="34" applyNumberFormat="0" applyAlignment="0" applyProtection="0"/>
    <xf numFmtId="0" fontId="50" fillId="43" borderId="34" applyNumberFormat="0" applyAlignment="0" applyProtection="0"/>
    <xf numFmtId="0" fontId="50" fillId="43" borderId="34" applyNumberFormat="0" applyAlignment="0" applyProtection="0"/>
    <xf numFmtId="0" fontId="2" fillId="59" borderId="31" applyNumberFormat="0" applyFont="0" applyAlignment="0" applyProtection="0"/>
    <xf numFmtId="0" fontId="53" fillId="56" borderId="29" applyNumberFormat="0" applyAlignment="0" applyProtection="0"/>
    <xf numFmtId="0" fontId="43" fillId="56" borderId="34" applyNumberFormat="0" applyAlignment="0" applyProtection="0"/>
    <xf numFmtId="0" fontId="55" fillId="0" borderId="33" applyNumberFormat="0" applyFill="0" applyAlignment="0" applyProtection="0"/>
    <xf numFmtId="0" fontId="2" fillId="59" borderId="31" applyNumberFormat="0" applyFont="0" applyAlignment="0" applyProtection="0"/>
    <xf numFmtId="0" fontId="50" fillId="43" borderId="34" applyNumberFormat="0" applyAlignment="0" applyProtection="0"/>
    <xf numFmtId="0" fontId="43" fillId="56" borderId="34" applyNumberFormat="0" applyAlignment="0" applyProtection="0"/>
    <xf numFmtId="0" fontId="55" fillId="0" borderId="33" applyNumberFormat="0" applyFill="0" applyAlignment="0" applyProtection="0"/>
    <xf numFmtId="0" fontId="2" fillId="59" borderId="31" applyNumberFormat="0" applyFont="0" applyAlignment="0" applyProtection="0"/>
    <xf numFmtId="0" fontId="50" fillId="43" borderId="34" applyNumberFormat="0" applyAlignment="0" applyProtection="0"/>
    <xf numFmtId="0" fontId="43" fillId="56" borderId="34" applyNumberFormat="0" applyAlignment="0" applyProtection="0"/>
    <xf numFmtId="0" fontId="55" fillId="0" borderId="33" applyNumberFormat="0" applyFill="0" applyAlignment="0" applyProtection="0"/>
    <xf numFmtId="0" fontId="2" fillId="59" borderId="31" applyNumberFormat="0" applyFont="0" applyAlignment="0" applyProtection="0"/>
    <xf numFmtId="0" fontId="43" fillId="56" borderId="34" applyNumberFormat="0" applyAlignment="0" applyProtection="0"/>
    <xf numFmtId="0" fontId="55" fillId="0" borderId="33" applyNumberFormat="0" applyFill="0" applyAlignment="0" applyProtection="0"/>
    <xf numFmtId="0" fontId="2" fillId="59" borderId="31" applyNumberFormat="0" applyFont="0" applyAlignment="0" applyProtection="0"/>
    <xf numFmtId="0" fontId="43" fillId="56" borderId="34" applyNumberFormat="0" applyAlignment="0" applyProtection="0"/>
    <xf numFmtId="0" fontId="55" fillId="0" borderId="33" applyNumberFormat="0" applyFill="0" applyAlignment="0" applyProtection="0"/>
    <xf numFmtId="0" fontId="2" fillId="59" borderId="31" applyNumberFormat="0" applyFont="0" applyAlignment="0" applyProtection="0"/>
    <xf numFmtId="0" fontId="43" fillId="56" borderId="34" applyNumberFormat="0" applyAlignment="0" applyProtection="0"/>
    <xf numFmtId="0" fontId="55" fillId="0" borderId="33" applyNumberFormat="0" applyFill="0" applyAlignment="0" applyProtection="0"/>
    <xf numFmtId="0" fontId="2" fillId="59" borderId="31" applyNumberFormat="0" applyFont="0" applyAlignment="0" applyProtection="0"/>
    <xf numFmtId="0" fontId="55" fillId="0" borderId="33" applyNumberFormat="0" applyFill="0" applyAlignment="0" applyProtection="0"/>
    <xf numFmtId="0" fontId="2" fillId="59" borderId="31" applyNumberFormat="0" applyFont="0" applyAlignment="0" applyProtection="0"/>
    <xf numFmtId="0" fontId="55" fillId="0" borderId="33" applyNumberFormat="0" applyFill="0" applyAlignment="0" applyProtection="0"/>
    <xf numFmtId="0" fontId="55" fillId="0" borderId="33" applyNumberFormat="0" applyFill="0" applyAlignment="0" applyProtection="0"/>
    <xf numFmtId="0" fontId="55" fillId="0" borderId="33" applyNumberFormat="0" applyFill="0" applyAlignment="0" applyProtection="0"/>
    <xf numFmtId="0" fontId="2" fillId="0" borderId="0"/>
    <xf numFmtId="0" fontId="43" fillId="56" borderId="34" applyNumberFormat="0" applyAlignment="0" applyProtection="0"/>
    <xf numFmtId="0" fontId="50" fillId="43" borderId="34" applyNumberFormat="0" applyAlignment="0" applyProtection="0"/>
    <xf numFmtId="0" fontId="5" fillId="59" borderId="31" applyNumberFormat="0" applyFont="0" applyAlignment="0" applyProtection="0"/>
    <xf numFmtId="0" fontId="53" fillId="56" borderId="29" applyNumberFormat="0" applyAlignment="0" applyProtection="0"/>
    <xf numFmtId="0" fontId="55" fillId="0" borderId="33" applyNumberFormat="0" applyFill="0" applyAlignment="0" applyProtection="0"/>
    <xf numFmtId="0" fontId="53" fillId="56" borderId="29" applyNumberFormat="0" applyAlignment="0" applyProtection="0"/>
    <xf numFmtId="0" fontId="43" fillId="56" borderId="34" applyNumberFormat="0" applyAlignment="0" applyProtection="0"/>
    <xf numFmtId="0" fontId="50" fillId="43" borderId="34" applyNumberFormat="0" applyAlignment="0" applyProtection="0"/>
    <xf numFmtId="0" fontId="5" fillId="59" borderId="31" applyNumberFormat="0" applyFont="0" applyAlignment="0" applyProtection="0"/>
    <xf numFmtId="0" fontId="53" fillId="56" borderId="29" applyNumberFormat="0" applyAlignment="0" applyProtection="0"/>
    <xf numFmtId="0" fontId="55" fillId="0" borderId="33" applyNumberFormat="0" applyFill="0" applyAlignment="0" applyProtection="0"/>
    <xf numFmtId="0" fontId="43" fillId="56" borderId="34" applyNumberFormat="0" applyAlignment="0" applyProtection="0"/>
    <xf numFmtId="0" fontId="50" fillId="43" borderId="34" applyNumberFormat="0" applyAlignment="0" applyProtection="0"/>
    <xf numFmtId="0" fontId="5" fillId="59" borderId="31" applyNumberFormat="0" applyFont="0" applyAlignment="0" applyProtection="0"/>
    <xf numFmtId="0" fontId="53" fillId="56" borderId="29" applyNumberFormat="0" applyAlignment="0" applyProtection="0"/>
    <xf numFmtId="0" fontId="55" fillId="0" borderId="33" applyNumberFormat="0" applyFill="0" applyAlignment="0" applyProtection="0"/>
    <xf numFmtId="0" fontId="2" fillId="59" borderId="31" applyNumberFormat="0" applyFont="0" applyAlignment="0" applyProtection="0"/>
    <xf numFmtId="0" fontId="53" fillId="56" borderId="29" applyNumberFormat="0" applyAlignment="0" applyProtection="0"/>
    <xf numFmtId="0" fontId="2" fillId="59" borderId="31" applyNumberFormat="0" applyFont="0" applyAlignment="0" applyProtection="0"/>
    <xf numFmtId="0" fontId="53" fillId="56" borderId="29" applyNumberFormat="0" applyAlignment="0" applyProtection="0"/>
    <xf numFmtId="0" fontId="53" fillId="56" borderId="29" applyNumberFormat="0" applyAlignment="0" applyProtection="0"/>
    <xf numFmtId="0" fontId="53" fillId="56" borderId="29" applyNumberFormat="0" applyAlignment="0" applyProtection="0"/>
    <xf numFmtId="0" fontId="53" fillId="56" borderId="29" applyNumberFormat="0" applyAlignment="0" applyProtection="0"/>
    <xf numFmtId="0" fontId="53" fillId="56" borderId="29" applyNumberFormat="0" applyAlignment="0" applyProtection="0"/>
    <xf numFmtId="0" fontId="53" fillId="56" borderId="29" applyNumberFormat="0" applyAlignment="0" applyProtection="0"/>
    <xf numFmtId="0" fontId="53" fillId="56" borderId="29" applyNumberFormat="0" applyAlignment="0" applyProtection="0"/>
    <xf numFmtId="0" fontId="43" fillId="56" borderId="34" applyNumberFormat="0" applyAlignment="0" applyProtection="0"/>
    <xf numFmtId="0" fontId="50" fillId="43" borderId="34" applyNumberFormat="0" applyAlignment="0" applyProtection="0"/>
    <xf numFmtId="0" fontId="43" fillId="56" borderId="34" applyNumberFormat="0" applyAlignment="0" applyProtection="0"/>
    <xf numFmtId="0" fontId="43" fillId="56" borderId="34" applyNumberFormat="0" applyAlignment="0" applyProtection="0"/>
    <xf numFmtId="0" fontId="50" fillId="43" borderId="34" applyNumberFormat="0" applyAlignment="0" applyProtection="0"/>
    <xf numFmtId="0" fontId="50" fillId="43" borderId="34" applyNumberFormat="0" applyAlignment="0" applyProtection="0"/>
    <xf numFmtId="0" fontId="50" fillId="43" borderId="34" applyNumberFormat="0" applyAlignment="0" applyProtection="0"/>
    <xf numFmtId="0" fontId="53" fillId="56" borderId="29" applyNumberFormat="0" applyAlignment="0" applyProtection="0"/>
    <xf numFmtId="0" fontId="2" fillId="59" borderId="31" applyNumberFormat="0" applyFont="0" applyAlignment="0" applyProtection="0"/>
    <xf numFmtId="0" fontId="43" fillId="56" borderId="34" applyNumberFormat="0" applyAlignment="0" applyProtection="0"/>
    <xf numFmtId="0" fontId="50" fillId="43" borderId="34" applyNumberFormat="0" applyAlignment="0" applyProtection="0"/>
    <xf numFmtId="0" fontId="50" fillId="43" borderId="34" applyNumberFormat="0" applyAlignment="0" applyProtection="0"/>
    <xf numFmtId="0" fontId="50" fillId="43" borderId="34" applyNumberFormat="0" applyAlignment="0" applyProtection="0"/>
    <xf numFmtId="0" fontId="50" fillId="43" borderId="34" applyNumberFormat="0" applyAlignment="0" applyProtection="0"/>
    <xf numFmtId="0" fontId="2" fillId="59" borderId="31" applyNumberFormat="0" applyFont="0" applyAlignment="0" applyProtection="0"/>
    <xf numFmtId="0" fontId="53" fillId="56" borderId="29" applyNumberFormat="0" applyAlignment="0" applyProtection="0"/>
    <xf numFmtId="0" fontId="43" fillId="56" borderId="34" applyNumberFormat="0" applyAlignment="0" applyProtection="0"/>
    <xf numFmtId="0" fontId="55" fillId="0" borderId="33" applyNumberFormat="0" applyFill="0" applyAlignment="0" applyProtection="0"/>
    <xf numFmtId="0" fontId="2" fillId="59" borderId="31" applyNumberFormat="0" applyFont="0" applyAlignment="0" applyProtection="0"/>
    <xf numFmtId="0" fontId="50" fillId="43" borderId="34" applyNumberFormat="0" applyAlignment="0" applyProtection="0"/>
    <xf numFmtId="0" fontId="43" fillId="56" borderId="34" applyNumberFormat="0" applyAlignment="0" applyProtection="0"/>
    <xf numFmtId="0" fontId="55" fillId="0" borderId="33" applyNumberFormat="0" applyFill="0" applyAlignment="0" applyProtection="0"/>
    <xf numFmtId="0" fontId="2" fillId="59" borderId="31" applyNumberFormat="0" applyFont="0" applyAlignment="0" applyProtection="0"/>
    <xf numFmtId="0" fontId="50" fillId="43" borderId="34" applyNumberFormat="0" applyAlignment="0" applyProtection="0"/>
    <xf numFmtId="0" fontId="43" fillId="56" borderId="34" applyNumberFormat="0" applyAlignment="0" applyProtection="0"/>
    <xf numFmtId="0" fontId="55" fillId="0" borderId="33" applyNumberFormat="0" applyFill="0" applyAlignment="0" applyProtection="0"/>
    <xf numFmtId="0" fontId="2" fillId="59" borderId="31" applyNumberFormat="0" applyFont="0" applyAlignment="0" applyProtection="0"/>
    <xf numFmtId="0" fontId="43" fillId="56" borderId="34" applyNumberFormat="0" applyAlignment="0" applyProtection="0"/>
    <xf numFmtId="0" fontId="55" fillId="0" borderId="33" applyNumberFormat="0" applyFill="0" applyAlignment="0" applyProtection="0"/>
    <xf numFmtId="0" fontId="2" fillId="59" borderId="31" applyNumberFormat="0" applyFont="0" applyAlignment="0" applyProtection="0"/>
    <xf numFmtId="0" fontId="43" fillId="56" borderId="34" applyNumberFormat="0" applyAlignment="0" applyProtection="0"/>
    <xf numFmtId="0" fontId="55" fillId="0" borderId="33" applyNumberFormat="0" applyFill="0" applyAlignment="0" applyProtection="0"/>
    <xf numFmtId="0" fontId="2" fillId="59" borderId="31" applyNumberFormat="0" applyFont="0" applyAlignment="0" applyProtection="0"/>
    <xf numFmtId="0" fontId="43" fillId="56" borderId="34" applyNumberFormat="0" applyAlignment="0" applyProtection="0"/>
    <xf numFmtId="0" fontId="55" fillId="0" borderId="33" applyNumberFormat="0" applyFill="0" applyAlignment="0" applyProtection="0"/>
    <xf numFmtId="0" fontId="2" fillId="59" borderId="31" applyNumberFormat="0" applyFont="0" applyAlignment="0" applyProtection="0"/>
    <xf numFmtId="0" fontId="55" fillId="0" borderId="33" applyNumberFormat="0" applyFill="0" applyAlignment="0" applyProtection="0"/>
    <xf numFmtId="0" fontId="2" fillId="59" borderId="31" applyNumberFormat="0" applyFont="0" applyAlignment="0" applyProtection="0"/>
    <xf numFmtId="0" fontId="55" fillId="0" borderId="33" applyNumberFormat="0" applyFill="0" applyAlignment="0" applyProtection="0"/>
    <xf numFmtId="0" fontId="55" fillId="0" borderId="33" applyNumberFormat="0" applyFill="0" applyAlignment="0" applyProtection="0"/>
    <xf numFmtId="0" fontId="55" fillId="0" borderId="33" applyNumberFormat="0" applyFill="0" applyAlignment="0" applyProtection="0"/>
    <xf numFmtId="0" fontId="53" fillId="56" borderId="29" applyNumberFormat="0" applyAlignment="0" applyProtection="0"/>
    <xf numFmtId="0" fontId="55" fillId="0" borderId="33" applyNumberFormat="0" applyFill="0" applyAlignment="0" applyProtection="0"/>
    <xf numFmtId="0" fontId="5" fillId="59" borderId="31" applyNumberFormat="0" applyFont="0" applyAlignment="0" applyProtection="0"/>
    <xf numFmtId="0" fontId="43" fillId="56" borderId="34" applyNumberFormat="0" applyAlignment="0" applyProtection="0"/>
    <xf numFmtId="0" fontId="50" fillId="43" borderId="34" applyNumberFormat="0" applyAlignment="0" applyProtection="0"/>
    <xf numFmtId="0" fontId="43" fillId="56" borderId="34" applyNumberFormat="0" applyAlignment="0" applyProtection="0"/>
    <xf numFmtId="0" fontId="50" fillId="43" borderId="34" applyNumberFormat="0" applyAlignment="0" applyProtection="0"/>
    <xf numFmtId="0" fontId="5" fillId="59" borderId="31" applyNumberFormat="0" applyFont="0" applyAlignment="0" applyProtection="0"/>
    <xf numFmtId="0" fontId="53" fillId="56" borderId="29" applyNumberFormat="0" applyAlignment="0" applyProtection="0"/>
    <xf numFmtId="0" fontId="55" fillId="0" borderId="33" applyNumberFormat="0" applyFill="0" applyAlignment="0" applyProtection="0"/>
    <xf numFmtId="0" fontId="2" fillId="59" borderId="31" applyNumberFormat="0" applyFont="0" applyAlignment="0" applyProtection="0"/>
    <xf numFmtId="0" fontId="53" fillId="56" borderId="29" applyNumberFormat="0" applyAlignment="0" applyProtection="0"/>
    <xf numFmtId="0" fontId="2" fillId="59" borderId="31" applyNumberFormat="0" applyFont="0" applyAlignment="0" applyProtection="0"/>
    <xf numFmtId="0" fontId="53" fillId="56" borderId="29" applyNumberFormat="0" applyAlignment="0" applyProtection="0"/>
    <xf numFmtId="0" fontId="53" fillId="56" borderId="29" applyNumberFormat="0" applyAlignment="0" applyProtection="0"/>
    <xf numFmtId="0" fontId="53" fillId="56" borderId="29" applyNumberFormat="0" applyAlignment="0" applyProtection="0"/>
    <xf numFmtId="0" fontId="53" fillId="56" borderId="29" applyNumberFormat="0" applyAlignment="0" applyProtection="0"/>
    <xf numFmtId="0" fontId="53" fillId="56" borderId="29" applyNumberFormat="0" applyAlignment="0" applyProtection="0"/>
    <xf numFmtId="0" fontId="53" fillId="56" borderId="29" applyNumberFormat="0" applyAlignment="0" applyProtection="0"/>
    <xf numFmtId="0" fontId="53" fillId="56" borderId="29" applyNumberFormat="0" applyAlignment="0" applyProtection="0"/>
    <xf numFmtId="0" fontId="43" fillId="56" borderId="34" applyNumberFormat="0" applyAlignment="0" applyProtection="0"/>
    <xf numFmtId="0" fontId="50" fillId="43" borderId="34" applyNumberFormat="0" applyAlignment="0" applyProtection="0"/>
    <xf numFmtId="0" fontId="43" fillId="56" borderId="34" applyNumberFormat="0" applyAlignment="0" applyProtection="0"/>
    <xf numFmtId="0" fontId="43" fillId="56" borderId="34" applyNumberFormat="0" applyAlignment="0" applyProtection="0"/>
    <xf numFmtId="0" fontId="50" fillId="43" borderId="34" applyNumberFormat="0" applyAlignment="0" applyProtection="0"/>
    <xf numFmtId="0" fontId="50" fillId="43" borderId="34" applyNumberFormat="0" applyAlignment="0" applyProtection="0"/>
    <xf numFmtId="0" fontId="50" fillId="43" borderId="34" applyNumberFormat="0" applyAlignment="0" applyProtection="0"/>
    <xf numFmtId="0" fontId="53" fillId="56" borderId="29" applyNumberFormat="0" applyAlignment="0" applyProtection="0"/>
    <xf numFmtId="0" fontId="2" fillId="59" borderId="31" applyNumberFormat="0" applyFont="0" applyAlignment="0" applyProtection="0"/>
    <xf numFmtId="0" fontId="43" fillId="56" borderId="34" applyNumberFormat="0" applyAlignment="0" applyProtection="0"/>
    <xf numFmtId="0" fontId="50" fillId="43" borderId="34" applyNumberFormat="0" applyAlignment="0" applyProtection="0"/>
    <xf numFmtId="0" fontId="50" fillId="43" borderId="34" applyNumberFormat="0" applyAlignment="0" applyProtection="0"/>
    <xf numFmtId="0" fontId="50" fillId="43" borderId="34" applyNumberFormat="0" applyAlignment="0" applyProtection="0"/>
    <xf numFmtId="0" fontId="50" fillId="43" borderId="34" applyNumberFormat="0" applyAlignment="0" applyProtection="0"/>
    <xf numFmtId="0" fontId="2" fillId="59" borderId="31" applyNumberFormat="0" applyFont="0" applyAlignment="0" applyProtection="0"/>
    <xf numFmtId="0" fontId="53" fillId="56" borderId="29" applyNumberFormat="0" applyAlignment="0" applyProtection="0"/>
    <xf numFmtId="0" fontId="43" fillId="56" borderId="34" applyNumberFormat="0" applyAlignment="0" applyProtection="0"/>
    <xf numFmtId="0" fontId="55" fillId="0" borderId="33" applyNumberFormat="0" applyFill="0" applyAlignment="0" applyProtection="0"/>
    <xf numFmtId="0" fontId="2" fillId="59" borderId="31" applyNumberFormat="0" applyFont="0" applyAlignment="0" applyProtection="0"/>
    <xf numFmtId="0" fontId="50" fillId="43" borderId="34" applyNumberFormat="0" applyAlignment="0" applyProtection="0"/>
    <xf numFmtId="0" fontId="43" fillId="56" borderId="34" applyNumberFormat="0" applyAlignment="0" applyProtection="0"/>
    <xf numFmtId="0" fontId="55" fillId="0" borderId="33" applyNumberFormat="0" applyFill="0" applyAlignment="0" applyProtection="0"/>
    <xf numFmtId="0" fontId="2" fillId="59" borderId="31" applyNumberFormat="0" applyFont="0" applyAlignment="0" applyProtection="0"/>
    <xf numFmtId="0" fontId="50" fillId="43" borderId="34" applyNumberFormat="0" applyAlignment="0" applyProtection="0"/>
    <xf numFmtId="0" fontId="43" fillId="56" borderId="34" applyNumberFormat="0" applyAlignment="0" applyProtection="0"/>
    <xf numFmtId="0" fontId="55" fillId="0" borderId="33" applyNumberFormat="0" applyFill="0" applyAlignment="0" applyProtection="0"/>
    <xf numFmtId="0" fontId="2" fillId="59" borderId="31" applyNumberFormat="0" applyFont="0" applyAlignment="0" applyProtection="0"/>
    <xf numFmtId="0" fontId="43" fillId="56" borderId="34" applyNumberFormat="0" applyAlignment="0" applyProtection="0"/>
    <xf numFmtId="0" fontId="55" fillId="0" borderId="33" applyNumberFormat="0" applyFill="0" applyAlignment="0" applyProtection="0"/>
    <xf numFmtId="0" fontId="2" fillId="59" borderId="31" applyNumberFormat="0" applyFont="0" applyAlignment="0" applyProtection="0"/>
    <xf numFmtId="0" fontId="43" fillId="56" borderId="34" applyNumberFormat="0" applyAlignment="0" applyProtection="0"/>
    <xf numFmtId="0" fontId="55" fillId="0" borderId="33" applyNumberFormat="0" applyFill="0" applyAlignment="0" applyProtection="0"/>
    <xf numFmtId="0" fontId="2" fillId="59" borderId="31" applyNumberFormat="0" applyFont="0" applyAlignment="0" applyProtection="0"/>
    <xf numFmtId="0" fontId="43" fillId="56" borderId="34" applyNumberFormat="0" applyAlignment="0" applyProtection="0"/>
    <xf numFmtId="0" fontId="55" fillId="0" borderId="33" applyNumberFormat="0" applyFill="0" applyAlignment="0" applyProtection="0"/>
    <xf numFmtId="0" fontId="2" fillId="59" borderId="31" applyNumberFormat="0" applyFont="0" applyAlignment="0" applyProtection="0"/>
    <xf numFmtId="0" fontId="55" fillId="0" borderId="33" applyNumberFormat="0" applyFill="0" applyAlignment="0" applyProtection="0"/>
    <xf numFmtId="0" fontId="2" fillId="59" borderId="31" applyNumberFormat="0" applyFont="0" applyAlignment="0" applyProtection="0"/>
    <xf numFmtId="0" fontId="55" fillId="0" borderId="33" applyNumberFormat="0" applyFill="0" applyAlignment="0" applyProtection="0"/>
    <xf numFmtId="0" fontId="55" fillId="0" borderId="33" applyNumberFormat="0" applyFill="0" applyAlignment="0" applyProtection="0"/>
    <xf numFmtId="0" fontId="55" fillId="0" borderId="33" applyNumberFormat="0" applyFill="0" applyAlignment="0" applyProtection="0"/>
    <xf numFmtId="0" fontId="43" fillId="56" borderId="34" applyNumberFormat="0" applyAlignment="0" applyProtection="0"/>
    <xf numFmtId="0" fontId="50" fillId="43" borderId="34" applyNumberFormat="0" applyAlignment="0" applyProtection="0"/>
    <xf numFmtId="0" fontId="5" fillId="59" borderId="31" applyNumberFormat="0" applyFont="0" applyAlignment="0" applyProtection="0"/>
    <xf numFmtId="0" fontId="53" fillId="56" borderId="29" applyNumberFormat="0" applyAlignment="0" applyProtection="0"/>
    <xf numFmtId="0" fontId="55" fillId="0" borderId="33" applyNumberFormat="0" applyFill="0" applyAlignment="0" applyProtection="0"/>
    <xf numFmtId="0" fontId="53" fillId="56" borderId="29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55" fillId="0" borderId="38" applyNumberFormat="0" applyFill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0" fillId="43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43" fontId="2" fillId="0" borderId="0" applyFont="0" applyFill="0" applyBorder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6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44" fontId="60" fillId="0" borderId="0" applyFont="0" applyFill="0" applyBorder="0" applyAlignment="0" applyProtection="0"/>
    <xf numFmtId="0" fontId="60" fillId="0" borderId="0"/>
    <xf numFmtId="0" fontId="60" fillId="0" borderId="0"/>
    <xf numFmtId="0" fontId="5" fillId="59" borderId="36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1" fillId="60" borderId="39" applyNumberFormat="0" applyAlignment="0" applyProtection="0">
      <alignment horizontal="left" vertical="center" indent="1"/>
    </xf>
    <xf numFmtId="174" fontId="62" fillId="0" borderId="40" applyNumberFormat="0" applyProtection="0">
      <alignment horizontal="right" vertical="center"/>
    </xf>
    <xf numFmtId="174" fontId="61" fillId="0" borderId="41" applyNumberFormat="0" applyProtection="0">
      <alignment horizontal="right" vertical="center"/>
    </xf>
    <xf numFmtId="0" fontId="63" fillId="61" borderId="41" applyNumberFormat="0" applyAlignment="0" applyProtection="0">
      <alignment horizontal="left" vertical="center" indent="1"/>
    </xf>
    <xf numFmtId="0" fontId="63" fillId="62" borderId="41" applyNumberFormat="0" applyAlignment="0" applyProtection="0">
      <alignment horizontal="left" vertical="center" indent="1"/>
    </xf>
    <xf numFmtId="174" fontId="62" fillId="63" borderId="40" applyNumberFormat="0" applyBorder="0" applyProtection="0">
      <alignment horizontal="right" vertical="center"/>
    </xf>
    <xf numFmtId="0" fontId="63" fillId="61" borderId="41" applyNumberFormat="0" applyAlignment="0" applyProtection="0">
      <alignment horizontal="left" vertical="center" indent="1"/>
    </xf>
    <xf numFmtId="174" fontId="61" fillId="62" borderId="41" applyNumberFormat="0" applyProtection="0">
      <alignment horizontal="right" vertical="center"/>
    </xf>
    <xf numFmtId="174" fontId="61" fillId="63" borderId="41" applyNumberFormat="0" applyBorder="0" applyProtection="0">
      <alignment horizontal="right" vertical="center"/>
    </xf>
    <xf numFmtId="174" fontId="64" fillId="64" borderId="42" applyNumberFormat="0" applyBorder="0" applyAlignment="0" applyProtection="0">
      <alignment horizontal="right" vertical="center" indent="1"/>
    </xf>
    <xf numFmtId="174" fontId="65" fillId="65" borderId="42" applyNumberFormat="0" applyBorder="0" applyAlignment="0" applyProtection="0">
      <alignment horizontal="right" vertical="center" indent="1"/>
    </xf>
    <xf numFmtId="174" fontId="65" fillId="66" borderId="42" applyNumberFormat="0" applyBorder="0" applyAlignment="0" applyProtection="0">
      <alignment horizontal="right" vertical="center" indent="1"/>
    </xf>
    <xf numFmtId="174" fontId="66" fillId="67" borderId="42" applyNumberFormat="0" applyBorder="0" applyAlignment="0" applyProtection="0">
      <alignment horizontal="right" vertical="center" indent="1"/>
    </xf>
    <xf numFmtId="174" fontId="66" fillId="68" borderId="42" applyNumberFormat="0" applyBorder="0" applyAlignment="0" applyProtection="0">
      <alignment horizontal="right" vertical="center" indent="1"/>
    </xf>
    <xf numFmtId="174" fontId="66" fillId="69" borderId="42" applyNumberFormat="0" applyBorder="0" applyAlignment="0" applyProtection="0">
      <alignment horizontal="right" vertical="center" indent="1"/>
    </xf>
    <xf numFmtId="174" fontId="67" fillId="70" borderId="42" applyNumberFormat="0" applyBorder="0" applyAlignment="0" applyProtection="0">
      <alignment horizontal="right" vertical="center" indent="1"/>
    </xf>
    <xf numFmtId="174" fontId="67" fillId="71" borderId="42" applyNumberFormat="0" applyBorder="0" applyAlignment="0" applyProtection="0">
      <alignment horizontal="right" vertical="center" indent="1"/>
    </xf>
    <xf numFmtId="174" fontId="67" fillId="72" borderId="42" applyNumberFormat="0" applyBorder="0" applyAlignment="0" applyProtection="0">
      <alignment horizontal="right" vertical="center" indent="1"/>
    </xf>
    <xf numFmtId="0" fontId="68" fillId="0" borderId="39" applyNumberFormat="0" applyFont="0" applyFill="0" applyAlignment="0" applyProtection="0"/>
    <xf numFmtId="174" fontId="62" fillId="73" borderId="39" applyNumberFormat="0" applyAlignment="0" applyProtection="0">
      <alignment horizontal="left" vertical="center" indent="1"/>
    </xf>
    <xf numFmtId="0" fontId="61" fillId="60" borderId="41" applyNumberFormat="0" applyAlignment="0" applyProtection="0">
      <alignment horizontal="left" vertical="center" indent="1"/>
    </xf>
    <xf numFmtId="0" fontId="63" fillId="74" borderId="39" applyNumberFormat="0" applyAlignment="0" applyProtection="0">
      <alignment horizontal="left" vertical="center" indent="1"/>
    </xf>
    <xf numFmtId="0" fontId="63" fillId="75" borderId="39" applyNumberFormat="0" applyAlignment="0" applyProtection="0">
      <alignment horizontal="left" vertical="center" indent="1"/>
    </xf>
    <xf numFmtId="0" fontId="63" fillId="76" borderId="39" applyNumberFormat="0" applyAlignment="0" applyProtection="0">
      <alignment horizontal="left" vertical="center" indent="1"/>
    </xf>
    <xf numFmtId="0" fontId="63" fillId="63" borderId="39" applyNumberFormat="0" applyAlignment="0" applyProtection="0">
      <alignment horizontal="left" vertical="center" indent="1"/>
    </xf>
    <xf numFmtId="0" fontId="63" fillId="62" borderId="41" applyNumberFormat="0" applyAlignment="0" applyProtection="0">
      <alignment horizontal="left" vertical="center" indent="1"/>
    </xf>
    <xf numFmtId="0" fontId="69" fillId="0" borderId="43" applyNumberFormat="0" applyFill="0" applyBorder="0" applyAlignment="0" applyProtection="0"/>
    <xf numFmtId="0" fontId="70" fillId="0" borderId="43" applyNumberFormat="0" applyBorder="0" applyAlignment="0" applyProtection="0"/>
    <xf numFmtId="0" fontId="69" fillId="61" borderId="41" applyNumberFormat="0" applyAlignment="0" applyProtection="0">
      <alignment horizontal="left" vertical="center" indent="1"/>
    </xf>
    <xf numFmtId="0" fontId="69" fillId="61" borderId="41" applyNumberFormat="0" applyAlignment="0" applyProtection="0">
      <alignment horizontal="left" vertical="center" indent="1"/>
    </xf>
    <xf numFmtId="0" fontId="69" fillId="62" borderId="41" applyNumberFormat="0" applyAlignment="0" applyProtection="0">
      <alignment horizontal="left" vertical="center" indent="1"/>
    </xf>
    <xf numFmtId="174" fontId="71" fillId="62" borderId="41" applyNumberFormat="0" applyProtection="0">
      <alignment horizontal="right" vertical="center"/>
    </xf>
    <xf numFmtId="174" fontId="72" fillId="63" borderId="40" applyNumberFormat="0" applyBorder="0" applyProtection="0">
      <alignment horizontal="right" vertical="center"/>
    </xf>
    <xf numFmtId="174" fontId="71" fillId="63" borderId="41" applyNumberFormat="0" applyBorder="0" applyProtection="0">
      <alignment horizontal="right" vertical="center"/>
    </xf>
    <xf numFmtId="0" fontId="5" fillId="0" borderId="0"/>
    <xf numFmtId="0" fontId="50" fillId="43" borderId="35" applyNumberFormat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3" fillId="0" borderId="0" applyNumberFormat="0" applyFill="0" applyBorder="0" applyAlignment="0" applyProtection="0">
      <alignment vertical="top"/>
      <protection locked="0"/>
    </xf>
    <xf numFmtId="0" fontId="43" fillId="56" borderId="35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59" borderId="36" applyNumberFormat="0" applyFont="0" applyAlignment="0" applyProtection="0"/>
    <xf numFmtId="44" fontId="5" fillId="0" borderId="0" applyFont="0" applyFill="0" applyBorder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0" fillId="43" borderId="35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55" fillId="0" borderId="38" applyNumberFormat="0" applyFill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55" fillId="0" borderId="38" applyNumberFormat="0" applyFill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0" fillId="43" borderId="35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" fillId="59" borderId="36" applyNumberFormat="0" applyFon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" fillId="59" borderId="36" applyNumberFormat="0" applyFon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55" fillId="0" borderId="38" applyNumberFormat="0" applyFill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0" fillId="43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" fillId="59" borderId="36" applyNumberFormat="0" applyFont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55" fillId="0" borderId="38" applyNumberFormat="0" applyFill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0" fillId="43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43" fillId="56" borderId="35" applyNumberFormat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3" fillId="56" borderId="37" applyNumberFormat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" fillId="59" borderId="36" applyNumberFormat="0" applyFont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0" fillId="43" borderId="35" applyNumberFormat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2" fillId="59" borderId="36" applyNumberFormat="0" applyFon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0" fillId="43" borderId="35" applyNumberFormat="0" applyAlignment="0" applyProtection="0"/>
    <xf numFmtId="0" fontId="43" fillId="56" borderId="35" applyNumberFormat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0" fillId="43" borderId="35" applyNumberFormat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43" fillId="56" borderId="35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1" fillId="0" borderId="0"/>
    <xf numFmtId="0" fontId="39" fillId="0" borderId="0"/>
    <xf numFmtId="9" fontId="39" fillId="0" borderId="0" applyFont="0" applyFill="0" applyBorder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43" fillId="56" borderId="35" applyNumberForma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" fillId="0" borderId="0" applyFont="0" applyFill="0" applyBorder="0" applyAlignment="0" applyProtection="0"/>
    <xf numFmtId="165" fontId="1" fillId="0" borderId="0"/>
    <xf numFmtId="165" fontId="60" fillId="0" borderId="0"/>
    <xf numFmtId="0" fontId="55" fillId="0" borderId="48" applyNumberFormat="0" applyFill="0" applyAlignment="0" applyProtection="0"/>
    <xf numFmtId="0" fontId="50" fillId="43" borderId="45" applyNumberFormat="0" applyAlignment="0" applyProtection="0"/>
    <xf numFmtId="0" fontId="6" fillId="0" borderId="0"/>
    <xf numFmtId="0" fontId="43" fillId="56" borderId="45" applyNumberFormat="0" applyAlignment="0" applyProtection="0"/>
    <xf numFmtId="0" fontId="6" fillId="0" borderId="0"/>
    <xf numFmtId="0" fontId="55" fillId="0" borderId="48" applyNumberFormat="0" applyFill="0" applyAlignment="0" applyProtection="0"/>
    <xf numFmtId="0" fontId="50" fillId="43" borderId="45" applyNumberFormat="0" applyAlignment="0" applyProtection="0"/>
    <xf numFmtId="0" fontId="53" fillId="56" borderId="47" applyNumberFormat="0" applyAlignment="0" applyProtection="0"/>
    <xf numFmtId="0" fontId="5" fillId="59" borderId="46" applyNumberFormat="0" applyFont="0" applyAlignment="0" applyProtection="0"/>
    <xf numFmtId="0" fontId="43" fillId="56" borderId="45" applyNumberFormat="0" applyAlignment="0" applyProtection="0"/>
    <xf numFmtId="0" fontId="5" fillId="59" borderId="46" applyNumberFormat="0" applyFont="0" applyAlignment="0" applyProtection="0"/>
    <xf numFmtId="0" fontId="53" fillId="56" borderId="47" applyNumberFormat="0" applyAlignment="0" applyProtection="0"/>
    <xf numFmtId="0" fontId="55" fillId="0" borderId="48" applyNumberFormat="0" applyFill="0" applyAlignment="0" applyProtection="0"/>
    <xf numFmtId="0" fontId="6" fillId="0" borderId="0"/>
    <xf numFmtId="0" fontId="2" fillId="0" borderId="0"/>
    <xf numFmtId="0" fontId="60" fillId="0" borderId="0"/>
    <xf numFmtId="0" fontId="2" fillId="0" borderId="0"/>
    <xf numFmtId="0" fontId="1" fillId="0" borderId="0"/>
    <xf numFmtId="0" fontId="1" fillId="0" borderId="0"/>
    <xf numFmtId="0" fontId="2" fillId="59" borderId="46" applyNumberFormat="0" applyFont="0" applyAlignment="0" applyProtection="0"/>
    <xf numFmtId="0" fontId="1" fillId="0" borderId="0"/>
    <xf numFmtId="44" fontId="60" fillId="0" borderId="0" applyFont="0" applyFill="0" applyBorder="0" applyAlignment="0" applyProtection="0"/>
    <xf numFmtId="0" fontId="60" fillId="0" borderId="0"/>
    <xf numFmtId="0" fontId="55" fillId="0" borderId="48" applyNumberFormat="0" applyFill="0" applyAlignment="0" applyProtection="0"/>
    <xf numFmtId="0" fontId="50" fillId="43" borderId="45" applyNumberFormat="0" applyAlignment="0" applyProtection="0"/>
    <xf numFmtId="0" fontId="50" fillId="43" borderId="45" applyNumberFormat="0" applyAlignment="0" applyProtection="0"/>
    <xf numFmtId="0" fontId="60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3" fillId="56" borderId="45" applyNumberFormat="0" applyAlignment="0" applyProtection="0"/>
    <xf numFmtId="0" fontId="1" fillId="0" borderId="0"/>
    <xf numFmtId="0" fontId="1" fillId="0" borderId="0"/>
    <xf numFmtId="0" fontId="1" fillId="0" borderId="0"/>
    <xf numFmtId="0" fontId="53" fillId="56" borderId="47" applyNumberFormat="0" applyAlignment="0" applyProtection="0"/>
    <xf numFmtId="0" fontId="55" fillId="0" borderId="48" applyNumberFormat="0" applyFill="0" applyAlignment="0" applyProtection="0"/>
    <xf numFmtId="43" fontId="75" fillId="0" borderId="0" applyFont="0" applyFill="0" applyBorder="0" applyAlignment="0" applyProtection="0"/>
    <xf numFmtId="0" fontId="50" fillId="43" borderId="45" applyNumberFormat="0" applyAlignment="0" applyProtection="0"/>
    <xf numFmtId="0" fontId="5" fillId="59" borderId="46" applyNumberFormat="0" applyFont="0" applyAlignment="0" applyProtection="0"/>
    <xf numFmtId="0" fontId="74" fillId="0" borderId="0"/>
    <xf numFmtId="176" fontId="1" fillId="0" borderId="0"/>
    <xf numFmtId="175" fontId="1" fillId="0" borderId="0" applyFont="0" applyFill="0" applyBorder="0" applyAlignment="0" applyProtection="0"/>
    <xf numFmtId="176" fontId="1" fillId="0" borderId="0"/>
    <xf numFmtId="175" fontId="1" fillId="0" borderId="0" applyFont="0" applyFill="0" applyBorder="0" applyAlignment="0" applyProtection="0"/>
    <xf numFmtId="176" fontId="1" fillId="0" borderId="0"/>
    <xf numFmtId="175" fontId="1" fillId="0" borderId="0" applyFont="0" applyFill="0" applyBorder="0" applyAlignment="0" applyProtection="0"/>
    <xf numFmtId="0" fontId="2" fillId="0" borderId="0"/>
    <xf numFmtId="0" fontId="2" fillId="0" borderId="0">
      <alignment wrapText="1"/>
    </xf>
    <xf numFmtId="0" fontId="2" fillId="59" borderId="46" applyNumberFormat="0" applyFont="0" applyAlignment="0" applyProtection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43" fillId="56" borderId="45" applyNumberFormat="0" applyAlignment="0" applyProtection="0"/>
    <xf numFmtId="0" fontId="50" fillId="43" borderId="45" applyNumberFormat="0" applyAlignment="0" applyProtection="0"/>
    <xf numFmtId="0" fontId="2" fillId="0" borderId="0"/>
    <xf numFmtId="0" fontId="2" fillId="59" borderId="46" applyNumberFormat="0" applyFont="0" applyAlignment="0" applyProtection="0"/>
    <xf numFmtId="0" fontId="1" fillId="0" borderId="0"/>
    <xf numFmtId="0" fontId="55" fillId="0" borderId="48" applyNumberFormat="0" applyFill="0" applyAlignment="0" applyProtection="0"/>
    <xf numFmtId="0" fontId="1" fillId="0" borderId="0"/>
    <xf numFmtId="0" fontId="59" fillId="0" borderId="0">
      <alignment vertical="center"/>
    </xf>
    <xf numFmtId="43" fontId="1" fillId="0" borderId="0" applyFont="0" applyFill="0" applyBorder="0" applyAlignment="0" applyProtection="0"/>
    <xf numFmtId="0" fontId="1" fillId="0" borderId="0"/>
    <xf numFmtId="0" fontId="2" fillId="0" borderId="0"/>
    <xf numFmtId="0" fontId="60" fillId="0" borderId="0"/>
    <xf numFmtId="0" fontId="2" fillId="0" borderId="0"/>
    <xf numFmtId="44" fontId="6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60" fillId="0" borderId="0"/>
    <xf numFmtId="0" fontId="1" fillId="0" borderId="0"/>
    <xf numFmtId="0" fontId="1" fillId="0" borderId="0"/>
    <xf numFmtId="0" fontId="2" fillId="0" borderId="0"/>
    <xf numFmtId="0" fontId="43" fillId="56" borderId="45" applyNumberFormat="0" applyAlignment="0" applyProtection="0"/>
    <xf numFmtId="165" fontId="1" fillId="0" borderId="0"/>
    <xf numFmtId="0" fontId="50" fillId="43" borderId="45" applyNumberFormat="0" applyAlignment="0" applyProtection="0"/>
    <xf numFmtId="0" fontId="2" fillId="59" borderId="46" applyNumberFormat="0" applyFont="0" applyAlignment="0" applyProtection="0"/>
    <xf numFmtId="0" fontId="55" fillId="0" borderId="48" applyNumberFormat="0" applyFill="0" applyAlignment="0" applyProtection="0"/>
    <xf numFmtId="0" fontId="53" fillId="56" borderId="47" applyNumberFormat="0" applyAlignment="0" applyProtection="0"/>
    <xf numFmtId="0" fontId="5" fillId="59" borderId="46" applyNumberFormat="0" applyFont="0" applyAlignment="0" applyProtection="0"/>
    <xf numFmtId="165" fontId="1" fillId="0" borderId="0"/>
    <xf numFmtId="0" fontId="43" fillId="56" borderId="45" applyNumberFormat="0" applyAlignment="0" applyProtection="0"/>
    <xf numFmtId="0" fontId="50" fillId="43" borderId="45" applyNumberFormat="0" applyAlignment="0" applyProtection="0"/>
    <xf numFmtId="0" fontId="5" fillId="59" borderId="36" applyNumberFormat="0" applyFont="0" applyAlignment="0" applyProtection="0"/>
    <xf numFmtId="0" fontId="53" fillId="56" borderId="47" applyNumberFormat="0" applyAlignment="0" applyProtection="0"/>
    <xf numFmtId="0" fontId="55" fillId="0" borderId="48" applyNumberFormat="0" applyFill="0" applyAlignment="0" applyProtection="0"/>
    <xf numFmtId="0" fontId="6" fillId="0" borderId="0"/>
    <xf numFmtId="0" fontId="2" fillId="59" borderId="36" applyNumberFormat="0" applyFont="0" applyAlignment="0" applyProtection="0"/>
    <xf numFmtId="0" fontId="50" fillId="43" borderId="45" applyNumberFormat="0" applyAlignment="0" applyProtection="0"/>
    <xf numFmtId="0" fontId="55" fillId="0" borderId="48" applyNumberFormat="0" applyFill="0" applyAlignment="0" applyProtection="0"/>
    <xf numFmtId="43" fontId="2" fillId="0" borderId="0" applyFont="0" applyFill="0" applyBorder="0" applyAlignment="0" applyProtection="0"/>
    <xf numFmtId="0" fontId="2" fillId="0" borderId="0"/>
    <xf numFmtId="0" fontId="16" fillId="0" borderId="0" applyNumberFormat="0" applyFill="0" applyBorder="0" applyAlignment="0" applyProtection="0"/>
    <xf numFmtId="165" fontId="1" fillId="0" borderId="0"/>
    <xf numFmtId="0" fontId="43" fillId="56" borderId="45" applyNumberFormat="0" applyAlignment="0" applyProtection="0"/>
    <xf numFmtId="0" fontId="55" fillId="0" borderId="48" applyNumberFormat="0" applyFill="0" applyAlignment="0" applyProtection="0"/>
    <xf numFmtId="0" fontId="2" fillId="59" borderId="46" applyNumberFormat="0" applyFont="0" applyAlignment="0" applyProtection="0"/>
    <xf numFmtId="0" fontId="50" fillId="43" borderId="45" applyNumberFormat="0" applyAlignment="0" applyProtection="0"/>
    <xf numFmtId="0" fontId="5" fillId="59" borderId="36" applyNumberFormat="0" applyFont="0" applyAlignment="0" applyProtection="0"/>
    <xf numFmtId="165" fontId="1" fillId="0" borderId="0"/>
    <xf numFmtId="0" fontId="6" fillId="0" borderId="0"/>
    <xf numFmtId="0" fontId="53" fillId="56" borderId="47" applyNumberFormat="0" applyAlignment="0" applyProtection="0"/>
    <xf numFmtId="0" fontId="50" fillId="43" borderId="45" applyNumberFormat="0" applyAlignment="0" applyProtection="0"/>
    <xf numFmtId="0" fontId="6" fillId="0" borderId="0"/>
    <xf numFmtId="0" fontId="55" fillId="0" borderId="48" applyNumberFormat="0" applyFill="0" applyAlignment="0" applyProtection="0"/>
    <xf numFmtId="0" fontId="43" fillId="56" borderId="35" applyNumberFormat="0" applyAlignment="0" applyProtection="0"/>
    <xf numFmtId="0" fontId="53" fillId="56" borderId="37" applyNumberFormat="0" applyAlignment="0" applyProtection="0"/>
    <xf numFmtId="0" fontId="55" fillId="0" borderId="38" applyNumberFormat="0" applyFill="0" applyAlignment="0" applyProtection="0"/>
    <xf numFmtId="0" fontId="50" fillId="43" borderId="35" applyNumberFormat="0" applyAlignment="0" applyProtection="0"/>
    <xf numFmtId="0" fontId="5" fillId="59" borderId="46" applyNumberFormat="0" applyFont="0" applyAlignment="0" applyProtection="0"/>
    <xf numFmtId="175" fontId="7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75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84" fillId="8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40" fillId="0" borderId="0"/>
    <xf numFmtId="0" fontId="43" fillId="56" borderId="51" applyNumberFormat="0" applyAlignment="0" applyProtection="0"/>
    <xf numFmtId="0" fontId="50" fillId="43" borderId="51" applyNumberFormat="0" applyAlignment="0" applyProtection="0"/>
    <xf numFmtId="0" fontId="2" fillId="59" borderId="52" applyNumberFormat="0" applyFont="0" applyAlignment="0" applyProtection="0"/>
    <xf numFmtId="0" fontId="53" fillId="56" borderId="53" applyNumberFormat="0" applyAlignment="0" applyProtection="0"/>
    <xf numFmtId="0" fontId="55" fillId="0" borderId="54" applyNumberFormat="0" applyFill="0" applyAlignment="0" applyProtection="0"/>
    <xf numFmtId="0" fontId="2" fillId="0" borderId="0"/>
    <xf numFmtId="0" fontId="6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43" fontId="1" fillId="0" borderId="0" applyFont="0" applyFill="0" applyBorder="0" applyAlignment="0" applyProtection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75" fillId="0" borderId="0"/>
    <xf numFmtId="0" fontId="2" fillId="0" borderId="0"/>
    <xf numFmtId="0" fontId="75" fillId="0" borderId="0"/>
    <xf numFmtId="177" fontId="1" fillId="0" borderId="0"/>
    <xf numFmtId="0" fontId="86" fillId="0" borderId="0"/>
    <xf numFmtId="177" fontId="30" fillId="9" borderId="11" applyNumberFormat="0" applyAlignment="0" applyProtection="0"/>
    <xf numFmtId="43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78" fontId="1" fillId="0" borderId="0" applyFont="0" applyFill="0" applyBorder="0" applyAlignment="0" applyProtection="0"/>
    <xf numFmtId="0" fontId="55" fillId="0" borderId="68" applyNumberFormat="0" applyFill="0" applyAlignment="0" applyProtection="0"/>
    <xf numFmtId="0" fontId="53" fillId="97" borderId="66" applyNumberFormat="0" applyAlignment="0" applyProtection="0"/>
    <xf numFmtId="0" fontId="55" fillId="0" borderId="68" applyNumberFormat="0" applyFill="0" applyAlignment="0" applyProtection="0"/>
    <xf numFmtId="0" fontId="2" fillId="59" borderId="58" applyNumberFormat="0" applyFont="0" applyAlignment="0" applyProtection="0"/>
    <xf numFmtId="177" fontId="31" fillId="10" borderId="12" applyNumberFormat="0" applyAlignment="0" applyProtection="0"/>
    <xf numFmtId="0" fontId="55" fillId="0" borderId="67" applyNumberFormat="0" applyFill="0" applyAlignment="0" applyProtection="0"/>
    <xf numFmtId="43" fontId="5" fillId="0" borderId="0" applyFont="0" applyFill="0" applyBorder="0" applyAlignment="0" applyProtection="0"/>
    <xf numFmtId="0" fontId="43" fillId="56" borderId="65" applyNumberFormat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0" fillId="43" borderId="65" applyNumberForma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3" fillId="97" borderId="66" applyNumberFormat="0" applyAlignment="0" applyProtection="0"/>
    <xf numFmtId="0" fontId="5" fillId="59" borderId="58" applyNumberFormat="0" applyFont="0" applyAlignment="0" applyProtection="0"/>
    <xf numFmtId="0" fontId="53" fillId="56" borderId="66" applyNumberFormat="0" applyAlignment="0" applyProtection="0"/>
    <xf numFmtId="0" fontId="50" fillId="43" borderId="65" applyNumberFormat="0" applyAlignment="0" applyProtection="0"/>
    <xf numFmtId="0" fontId="55" fillId="0" borderId="67" applyNumberFormat="0" applyFill="0" applyAlignment="0" applyProtection="0"/>
    <xf numFmtId="0" fontId="53" fillId="56" borderId="66" applyNumberFormat="0" applyAlignment="0" applyProtection="0"/>
    <xf numFmtId="0" fontId="55" fillId="0" borderId="67" applyNumberFormat="0" applyFill="0" applyAlignment="0" applyProtection="0"/>
    <xf numFmtId="0" fontId="50" fillId="43" borderId="65" applyNumberFormat="0" applyAlignment="0" applyProtection="0"/>
    <xf numFmtId="0" fontId="2" fillId="59" borderId="58" applyNumberFormat="0" applyFont="0" applyAlignment="0" applyProtection="0"/>
    <xf numFmtId="0" fontId="55" fillId="0" borderId="68" applyNumberFormat="0" applyFill="0" applyAlignment="0" applyProtection="0"/>
    <xf numFmtId="0" fontId="43" fillId="56" borderId="57" applyNumberFormat="0" applyAlignment="0" applyProtection="0"/>
    <xf numFmtId="0" fontId="126" fillId="59" borderId="58" applyNumberFormat="0" applyFont="0" applyAlignment="0" applyProtection="0"/>
    <xf numFmtId="43" fontId="5" fillId="0" borderId="0" applyFont="0" applyFill="0" applyBorder="0" applyAlignment="0" applyProtection="0"/>
    <xf numFmtId="177" fontId="22" fillId="0" borderId="16" applyNumberFormat="0" applyFill="0" applyAlignment="0" applyProtection="0"/>
    <xf numFmtId="177" fontId="30" fillId="9" borderId="11" applyNumberFormat="0" applyAlignment="0" applyProtection="0"/>
    <xf numFmtId="0" fontId="55" fillId="0" borderId="67" applyNumberFormat="0" applyFill="0" applyAlignment="0" applyProtection="0"/>
    <xf numFmtId="0" fontId="50" fillId="43" borderId="65" applyNumberFormat="0" applyAlignment="0" applyProtection="0"/>
    <xf numFmtId="0" fontId="126" fillId="59" borderId="58" applyNumberFormat="0" applyFont="0" applyAlignment="0" applyProtection="0"/>
    <xf numFmtId="0" fontId="50" fillId="43" borderId="57" applyNumberFormat="0" applyAlignment="0" applyProtection="0"/>
    <xf numFmtId="0" fontId="2" fillId="59" borderId="58" applyNumberFormat="0" applyFont="0" applyAlignment="0" applyProtection="0"/>
    <xf numFmtId="0" fontId="50" fillId="58" borderId="65" applyNumberFormat="0" applyAlignment="0" applyProtection="0"/>
    <xf numFmtId="0" fontId="5" fillId="59" borderId="58" applyNumberFormat="0" applyFont="0" applyAlignment="0" applyProtection="0"/>
    <xf numFmtId="178" fontId="1" fillId="0" borderId="0" applyFont="0" applyFill="0" applyBorder="0" applyAlignment="0" applyProtection="0"/>
    <xf numFmtId="0" fontId="5" fillId="59" borderId="58" applyNumberFormat="0" applyFont="0" applyAlignment="0" applyProtection="0"/>
    <xf numFmtId="0" fontId="53" fillId="56" borderId="59" applyNumberFormat="0" applyAlignment="0" applyProtection="0"/>
    <xf numFmtId="0" fontId="55" fillId="0" borderId="60" applyNumberFormat="0" applyFill="0" applyAlignment="0" applyProtection="0"/>
    <xf numFmtId="43" fontId="75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1" fillId="0" borderId="0"/>
    <xf numFmtId="0" fontId="2" fillId="0" borderId="0"/>
    <xf numFmtId="9" fontId="1" fillId="0" borderId="0" applyFont="0" applyFill="0" applyBorder="0" applyAlignment="0" applyProtection="0"/>
    <xf numFmtId="0" fontId="50" fillId="43" borderId="57" applyNumberFormat="0" applyAlignment="0" applyProtection="0"/>
    <xf numFmtId="0" fontId="55" fillId="0" borderId="60" applyNumberFormat="0" applyFill="0" applyAlignment="0" applyProtection="0"/>
    <xf numFmtId="0" fontId="53" fillId="56" borderId="59" applyNumberFormat="0" applyAlignment="0" applyProtection="0"/>
    <xf numFmtId="0" fontId="5" fillId="59" borderId="58" applyNumberFormat="0" applyFont="0" applyAlignment="0" applyProtection="0"/>
    <xf numFmtId="0" fontId="43" fillId="56" borderId="57" applyNumberFormat="0" applyAlignment="0" applyProtection="0"/>
    <xf numFmtId="176" fontId="1" fillId="0" borderId="0"/>
    <xf numFmtId="0" fontId="86" fillId="0" borderId="0"/>
    <xf numFmtId="179" fontId="88" fillId="0" borderId="0"/>
    <xf numFmtId="0" fontId="2" fillId="0" borderId="0"/>
    <xf numFmtId="182" fontId="89" fillId="0" borderId="0">
      <alignment vertical="center"/>
    </xf>
    <xf numFmtId="184" fontId="90" fillId="0" borderId="0"/>
    <xf numFmtId="184" fontId="90" fillId="0" borderId="0"/>
    <xf numFmtId="0" fontId="2" fillId="0" borderId="0"/>
    <xf numFmtId="183" fontId="90" fillId="0" borderId="0"/>
    <xf numFmtId="165" fontId="2" fillId="0" borderId="0"/>
    <xf numFmtId="0" fontId="2" fillId="0" borderId="0"/>
    <xf numFmtId="184" fontId="2" fillId="0" borderId="0"/>
    <xf numFmtId="183" fontId="90" fillId="0" borderId="0"/>
    <xf numFmtId="0" fontId="2" fillId="0" borderId="0"/>
    <xf numFmtId="183" fontId="2" fillId="0" borderId="0"/>
    <xf numFmtId="184" fontId="16" fillId="0" borderId="0" applyNumberFormat="0" applyFill="0" applyBorder="0" applyAlignment="0" applyProtection="0"/>
    <xf numFmtId="0" fontId="38" fillId="0" borderId="0"/>
    <xf numFmtId="184" fontId="2" fillId="0" borderId="0"/>
    <xf numFmtId="181" fontId="89" fillId="0" borderId="0"/>
    <xf numFmtId="0" fontId="92" fillId="86" borderId="0" applyNumberFormat="0" applyBorder="0" applyAlignment="0" applyProtection="0">
      <alignment vertical="center"/>
    </xf>
    <xf numFmtId="0" fontId="92" fillId="87" borderId="0" applyNumberFormat="0" applyBorder="0" applyAlignment="0" applyProtection="0">
      <alignment vertical="center"/>
    </xf>
    <xf numFmtId="0" fontId="1" fillId="0" borderId="0"/>
    <xf numFmtId="181" fontId="89" fillId="0" borderId="0"/>
    <xf numFmtId="0" fontId="92" fillId="81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182" fontId="89" fillId="0" borderId="0"/>
    <xf numFmtId="182" fontId="89" fillId="0" borderId="0"/>
    <xf numFmtId="0" fontId="91" fillId="2" borderId="0" applyNumberFormat="0" applyBorder="0" applyAlignment="0" applyProtection="0">
      <alignment vertical="center"/>
    </xf>
    <xf numFmtId="0" fontId="92" fillId="80" borderId="0" applyNumberFormat="0" applyBorder="0" applyAlignment="0" applyProtection="0">
      <alignment vertical="center"/>
    </xf>
    <xf numFmtId="182" fontId="89" fillId="0" borderId="0"/>
    <xf numFmtId="182" fontId="89" fillId="0" borderId="0"/>
    <xf numFmtId="0" fontId="95" fillId="77" borderId="59" applyNumberFormat="0" applyAlignment="0" applyProtection="0">
      <alignment vertical="center"/>
    </xf>
    <xf numFmtId="0" fontId="93" fillId="77" borderId="57" applyNumberFormat="0" applyAlignment="0" applyProtection="0">
      <alignment vertical="center"/>
    </xf>
    <xf numFmtId="181" fontId="89" fillId="0" borderId="0"/>
    <xf numFmtId="181" fontId="89" fillId="0" borderId="0"/>
    <xf numFmtId="0" fontId="94" fillId="82" borderId="0" applyNumberFormat="0" applyBorder="0" applyAlignment="0" applyProtection="0">
      <alignment vertical="center"/>
    </xf>
    <xf numFmtId="0" fontId="92" fillId="79" borderId="0" applyNumberFormat="0" applyBorder="0" applyAlignment="0" applyProtection="0">
      <alignment vertical="center"/>
    </xf>
    <xf numFmtId="43" fontId="89" fillId="0" borderId="0" applyFont="0" applyFill="0" applyBorder="0" applyAlignment="0" applyProtection="0"/>
    <xf numFmtId="182" fontId="89" fillId="0" borderId="0"/>
    <xf numFmtId="0" fontId="92" fillId="4" borderId="0" applyNumberFormat="0" applyBorder="0" applyAlignment="0" applyProtection="0">
      <alignment vertical="center"/>
    </xf>
    <xf numFmtId="0" fontId="89" fillId="0" borderId="0">
      <alignment vertical="center"/>
    </xf>
    <xf numFmtId="181" fontId="89" fillId="0" borderId="0"/>
    <xf numFmtId="0" fontId="92" fillId="78" borderId="0" applyNumberFormat="0" applyBorder="0" applyAlignment="0" applyProtection="0">
      <alignment vertical="center"/>
    </xf>
    <xf numFmtId="0" fontId="92" fillId="80" borderId="0" applyNumberFormat="0" applyBorder="0" applyAlignment="0" applyProtection="0">
      <alignment vertical="center"/>
    </xf>
    <xf numFmtId="0" fontId="92" fillId="84" borderId="0" applyNumberFormat="0" applyBorder="0" applyAlignment="0" applyProtection="0">
      <alignment vertical="center"/>
    </xf>
    <xf numFmtId="0" fontId="92" fillId="83" borderId="0" applyNumberFormat="0" applyBorder="0" applyAlignment="0" applyProtection="0">
      <alignment vertical="center"/>
    </xf>
    <xf numFmtId="0" fontId="92" fillId="85" borderId="0" applyNumberFormat="0" applyBorder="0" applyAlignment="0" applyProtection="0">
      <alignment vertical="center"/>
    </xf>
    <xf numFmtId="0" fontId="94" fillId="88" borderId="0" applyNumberFormat="0" applyBorder="0" applyAlignment="0" applyProtection="0">
      <alignment vertical="center"/>
    </xf>
    <xf numFmtId="0" fontId="94" fillId="87" borderId="0" applyNumberFormat="0" applyBorder="0" applyAlignment="0" applyProtection="0">
      <alignment vertical="center"/>
    </xf>
    <xf numFmtId="0" fontId="94" fillId="85" borderId="0" applyNumberFormat="0" applyBorder="0" applyAlignment="0" applyProtection="0">
      <alignment vertical="center"/>
    </xf>
    <xf numFmtId="0" fontId="94" fillId="89" borderId="0" applyNumberFormat="0" applyBorder="0" applyAlignment="0" applyProtection="0">
      <alignment vertical="center"/>
    </xf>
    <xf numFmtId="0" fontId="94" fillId="90" borderId="0" applyNumberFormat="0" applyBorder="0" applyAlignment="0" applyProtection="0">
      <alignment vertical="center"/>
    </xf>
    <xf numFmtId="0" fontId="96" fillId="0" borderId="20" applyNumberFormat="0" applyFill="0" applyAlignment="0" applyProtection="0">
      <alignment vertical="center"/>
    </xf>
    <xf numFmtId="0" fontId="97" fillId="0" borderId="21" applyNumberFormat="0" applyFill="0" applyAlignment="0" applyProtection="0">
      <alignment vertical="center"/>
    </xf>
    <xf numFmtId="0" fontId="98" fillId="0" borderId="22" applyNumberFormat="0" applyFill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43" fontId="89" fillId="0" borderId="0" applyFont="0" applyFill="0" applyBorder="0" applyAlignment="0" applyProtection="0"/>
    <xf numFmtId="0" fontId="99" fillId="0" borderId="0" applyNumberFormat="0" applyFill="0" applyBorder="0" applyAlignment="0" applyProtection="0">
      <alignment vertical="center"/>
    </xf>
    <xf numFmtId="0" fontId="100" fillId="86" borderId="0" applyNumberFormat="0" applyBorder="0" applyAlignment="0" applyProtection="0">
      <alignment vertical="center"/>
    </xf>
    <xf numFmtId="0" fontId="101" fillId="78" borderId="0" applyNumberFormat="0" applyBorder="0" applyAlignment="0" applyProtection="0">
      <alignment vertical="center"/>
    </xf>
    <xf numFmtId="0" fontId="102" fillId="0" borderId="60" applyNumberFormat="0" applyFill="0" applyAlignment="0" applyProtection="0">
      <alignment vertical="center"/>
    </xf>
    <xf numFmtId="0" fontId="103" fillId="91" borderId="19" applyNumberForma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6" fillId="0" borderId="23" applyNumberFormat="0" applyFill="0" applyAlignment="0" applyProtection="0">
      <alignment vertical="center"/>
    </xf>
    <xf numFmtId="0" fontId="94" fillId="92" borderId="0" applyNumberFormat="0" applyBorder="0" applyAlignment="0" applyProtection="0">
      <alignment vertical="center"/>
    </xf>
    <xf numFmtId="0" fontId="94" fillId="93" borderId="0" applyNumberFormat="0" applyBorder="0" applyAlignment="0" applyProtection="0">
      <alignment vertical="center"/>
    </xf>
    <xf numFmtId="0" fontId="94" fillId="94" borderId="0" applyNumberFormat="0" applyBorder="0" applyAlignment="0" applyProtection="0">
      <alignment vertical="center"/>
    </xf>
    <xf numFmtId="0" fontId="94" fillId="82" borderId="0" applyNumberFormat="0" applyBorder="0" applyAlignment="0" applyProtection="0">
      <alignment vertical="center"/>
    </xf>
    <xf numFmtId="0" fontId="94" fillId="89" borderId="0" applyNumberFormat="0" applyBorder="0" applyAlignment="0" applyProtection="0">
      <alignment vertical="center"/>
    </xf>
    <xf numFmtId="0" fontId="94" fillId="95" borderId="0" applyNumberFormat="0" applyBorder="0" applyAlignment="0" applyProtection="0">
      <alignment vertical="center"/>
    </xf>
    <xf numFmtId="0" fontId="107" fillId="83" borderId="57" applyNumberFormat="0" applyAlignment="0" applyProtection="0">
      <alignment vertical="center"/>
    </xf>
    <xf numFmtId="0" fontId="92" fillId="96" borderId="58" applyNumberFormat="0" applyFont="0" applyAlignment="0" applyProtection="0">
      <alignment vertical="center"/>
    </xf>
    <xf numFmtId="0" fontId="38" fillId="0" borderId="0"/>
    <xf numFmtId="0" fontId="1" fillId="0" borderId="0"/>
    <xf numFmtId="0" fontId="38" fillId="0" borderId="0"/>
    <xf numFmtId="0" fontId="93" fillId="77" borderId="57" applyNumberFormat="0" applyAlignment="0" applyProtection="0">
      <alignment vertical="center"/>
    </xf>
    <xf numFmtId="0" fontId="95" fillId="77" borderId="59" applyNumberFormat="0" applyAlignment="0" applyProtection="0">
      <alignment vertical="center"/>
    </xf>
    <xf numFmtId="0" fontId="1" fillId="0" borderId="0"/>
    <xf numFmtId="0" fontId="93" fillId="77" borderId="57" applyNumberFormat="0" applyAlignment="0" applyProtection="0">
      <alignment vertical="center"/>
    </xf>
    <xf numFmtId="0" fontId="102" fillId="0" borderId="60" applyNumberFormat="0" applyFill="0" applyAlignment="0" applyProtection="0">
      <alignment vertical="center"/>
    </xf>
    <xf numFmtId="0" fontId="95" fillId="77" borderId="59" applyNumberFormat="0" applyAlignment="0" applyProtection="0">
      <alignment vertical="center"/>
    </xf>
    <xf numFmtId="0" fontId="102" fillId="0" borderId="60" applyNumberFormat="0" applyFill="0" applyAlignment="0" applyProtection="0">
      <alignment vertical="center"/>
    </xf>
    <xf numFmtId="0" fontId="107" fillId="83" borderId="57" applyNumberFormat="0" applyAlignment="0" applyProtection="0">
      <alignment vertical="center"/>
    </xf>
    <xf numFmtId="0" fontId="92" fillId="96" borderId="58" applyNumberFormat="0" applyFont="0" applyAlignment="0" applyProtection="0">
      <alignment vertical="center"/>
    </xf>
    <xf numFmtId="0" fontId="1" fillId="0" borderId="0"/>
    <xf numFmtId="0" fontId="107" fillId="83" borderId="57" applyNumberFormat="0" applyAlignment="0" applyProtection="0">
      <alignment vertical="center"/>
    </xf>
    <xf numFmtId="0" fontId="92" fillId="96" borderId="58" applyNumberFormat="0" applyFont="0" applyAlignment="0" applyProtection="0">
      <alignment vertical="center"/>
    </xf>
    <xf numFmtId="183" fontId="90" fillId="0" borderId="0"/>
    <xf numFmtId="184" fontId="2" fillId="0" borderId="0"/>
    <xf numFmtId="0" fontId="108" fillId="0" borderId="0"/>
    <xf numFmtId="185" fontId="90" fillId="0" borderId="0"/>
    <xf numFmtId="0" fontId="92" fillId="96" borderId="58" applyNumberFormat="0" applyFont="0" applyAlignment="0" applyProtection="0">
      <alignment vertical="center"/>
    </xf>
    <xf numFmtId="0" fontId="95" fillId="77" borderId="59" applyNumberFormat="0" applyAlignment="0" applyProtection="0">
      <alignment vertical="center"/>
    </xf>
    <xf numFmtId="0" fontId="107" fillId="83" borderId="57" applyNumberFormat="0" applyAlignment="0" applyProtection="0">
      <alignment vertical="center"/>
    </xf>
    <xf numFmtId="0" fontId="102" fillId="0" borderId="60" applyNumberFormat="0" applyFill="0" applyAlignment="0" applyProtection="0">
      <alignment vertical="center"/>
    </xf>
    <xf numFmtId="0" fontId="95" fillId="77" borderId="59" applyNumberFormat="0" applyAlignment="0" applyProtection="0">
      <alignment vertical="center"/>
    </xf>
    <xf numFmtId="0" fontId="102" fillId="0" borderId="60" applyNumberFormat="0" applyFill="0" applyAlignment="0" applyProtection="0">
      <alignment vertical="center"/>
    </xf>
    <xf numFmtId="0" fontId="93" fillId="77" borderId="57" applyNumberFormat="0" applyAlignment="0" applyProtection="0">
      <alignment vertical="center"/>
    </xf>
    <xf numFmtId="0" fontId="93" fillId="77" borderId="57" applyNumberFormat="0" applyAlignment="0" applyProtection="0">
      <alignment vertical="center"/>
    </xf>
    <xf numFmtId="0" fontId="92" fillId="96" borderId="58" applyNumberFormat="0" applyFont="0" applyAlignment="0" applyProtection="0">
      <alignment vertical="center"/>
    </xf>
    <xf numFmtId="0" fontId="107" fillId="83" borderId="57" applyNumberFormat="0" applyAlignment="0" applyProtection="0">
      <alignment vertical="center"/>
    </xf>
    <xf numFmtId="0" fontId="93" fillId="77" borderId="57" applyNumberFormat="0" applyAlignment="0" applyProtection="0">
      <alignment vertical="center"/>
    </xf>
    <xf numFmtId="0" fontId="102" fillId="0" borderId="60" applyNumberFormat="0" applyFill="0" applyAlignment="0" applyProtection="0">
      <alignment vertical="center"/>
    </xf>
    <xf numFmtId="0" fontId="95" fillId="77" borderId="59" applyNumberFormat="0" applyAlignment="0" applyProtection="0">
      <alignment vertical="center"/>
    </xf>
    <xf numFmtId="0" fontId="109" fillId="0" borderId="0"/>
    <xf numFmtId="0" fontId="107" fillId="83" borderId="57" applyNumberFormat="0" applyAlignment="0" applyProtection="0">
      <alignment vertical="center"/>
    </xf>
    <xf numFmtId="0" fontId="92" fillId="96" borderId="58" applyNumberFormat="0" applyFont="0" applyAlignment="0" applyProtection="0">
      <alignment vertical="center"/>
    </xf>
    <xf numFmtId="0" fontId="5" fillId="0" borderId="0"/>
    <xf numFmtId="176" fontId="1" fillId="0" borderId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59" borderId="58" applyNumberFormat="0" applyFont="0" applyAlignment="0" applyProtection="0"/>
    <xf numFmtId="0" fontId="55" fillId="0" borderId="67" applyNumberFormat="0" applyFill="0" applyAlignment="0" applyProtection="0"/>
    <xf numFmtId="0" fontId="1" fillId="0" borderId="0"/>
    <xf numFmtId="165" fontId="2" fillId="0" borderId="0"/>
    <xf numFmtId="0" fontId="86" fillId="0" borderId="0"/>
    <xf numFmtId="183" fontId="2" fillId="0" borderId="0"/>
    <xf numFmtId="0" fontId="2" fillId="0" borderId="0"/>
    <xf numFmtId="177" fontId="2" fillId="0" borderId="0"/>
    <xf numFmtId="165" fontId="2" fillId="0" borderId="0"/>
    <xf numFmtId="170" fontId="1" fillId="0" borderId="0"/>
    <xf numFmtId="0" fontId="1" fillId="0" borderId="0"/>
    <xf numFmtId="165" fontId="111" fillId="0" borderId="0" applyNumberFormat="0" applyFill="0" applyBorder="0" applyAlignment="0" applyProtection="0">
      <alignment vertical="top"/>
      <protection locked="0"/>
    </xf>
    <xf numFmtId="170" fontId="1" fillId="0" borderId="0"/>
    <xf numFmtId="170" fontId="1" fillId="0" borderId="0"/>
    <xf numFmtId="168" fontId="2" fillId="0" borderId="0"/>
    <xf numFmtId="165" fontId="2" fillId="0" borderId="0"/>
    <xf numFmtId="165" fontId="2" fillId="0" borderId="0"/>
    <xf numFmtId="187" fontId="1" fillId="0" borderId="0"/>
    <xf numFmtId="165" fontId="1" fillId="0" borderId="0"/>
    <xf numFmtId="165" fontId="2" fillId="0" borderId="0"/>
    <xf numFmtId="165" fontId="90" fillId="0" borderId="0"/>
    <xf numFmtId="165" fontId="2" fillId="0" borderId="0"/>
    <xf numFmtId="165" fontId="2" fillId="0" borderId="0"/>
    <xf numFmtId="165" fontId="2" fillId="0" borderId="0"/>
    <xf numFmtId="165" fontId="1" fillId="0" borderId="0"/>
    <xf numFmtId="165" fontId="2" fillId="0" borderId="0"/>
    <xf numFmtId="165" fontId="2" fillId="0" borderId="0"/>
    <xf numFmtId="165" fontId="2" fillId="0" borderId="0"/>
    <xf numFmtId="165" fontId="1" fillId="0" borderId="0"/>
    <xf numFmtId="172" fontId="2" fillId="0" borderId="0"/>
    <xf numFmtId="0" fontId="1" fillId="0" borderId="0"/>
    <xf numFmtId="173" fontId="1" fillId="0" borderId="0"/>
    <xf numFmtId="187" fontId="1" fillId="0" borderId="0"/>
    <xf numFmtId="165" fontId="2" fillId="0" borderId="0"/>
    <xf numFmtId="184" fontId="2" fillId="0" borderId="0"/>
    <xf numFmtId="0" fontId="1" fillId="0" borderId="0"/>
    <xf numFmtId="188" fontId="2" fillId="0" borderId="0"/>
    <xf numFmtId="0" fontId="2" fillId="0" borderId="0"/>
    <xf numFmtId="165" fontId="1" fillId="0" borderId="0"/>
    <xf numFmtId="165" fontId="2" fillId="0" borderId="0"/>
    <xf numFmtId="0" fontId="112" fillId="0" borderId="0"/>
    <xf numFmtId="180" fontId="57" fillId="0" borderId="0"/>
    <xf numFmtId="0" fontId="1" fillId="0" borderId="0"/>
    <xf numFmtId="0" fontId="11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183" fontId="2" fillId="0" borderId="0"/>
    <xf numFmtId="183" fontId="90" fillId="0" borderId="0"/>
    <xf numFmtId="0" fontId="1" fillId="0" borderId="0"/>
    <xf numFmtId="0" fontId="2" fillId="0" borderId="0"/>
    <xf numFmtId="183" fontId="90" fillId="0" borderId="0"/>
    <xf numFmtId="0" fontId="1" fillId="0" borderId="0"/>
    <xf numFmtId="0" fontId="2" fillId="0" borderId="0"/>
    <xf numFmtId="183" fontId="90" fillId="0" borderId="0"/>
    <xf numFmtId="0" fontId="1" fillId="0" borderId="0"/>
    <xf numFmtId="0" fontId="2" fillId="0" borderId="0"/>
    <xf numFmtId="183" fontId="90" fillId="0" borderId="0"/>
    <xf numFmtId="0" fontId="1" fillId="0" borderId="0"/>
    <xf numFmtId="0" fontId="2" fillId="0" borderId="0"/>
    <xf numFmtId="183" fontId="90" fillId="0" borderId="0"/>
    <xf numFmtId="0" fontId="1" fillId="0" borderId="0"/>
    <xf numFmtId="0" fontId="2" fillId="0" borderId="0"/>
    <xf numFmtId="0" fontId="1" fillId="0" borderId="0"/>
    <xf numFmtId="0" fontId="2" fillId="0" borderId="0"/>
    <xf numFmtId="183" fontId="90" fillId="0" borderId="0"/>
    <xf numFmtId="0" fontId="1" fillId="0" borderId="0"/>
    <xf numFmtId="0" fontId="2" fillId="0" borderId="0"/>
    <xf numFmtId="183" fontId="90" fillId="0" borderId="0"/>
    <xf numFmtId="0" fontId="1" fillId="0" borderId="0"/>
    <xf numFmtId="0" fontId="2" fillId="0" borderId="0"/>
    <xf numFmtId="0" fontId="5" fillId="59" borderId="58" applyNumberFormat="0" applyFont="0" applyAlignment="0" applyProtection="0"/>
    <xf numFmtId="0" fontId="53" fillId="56" borderId="66" applyNumberFormat="0" applyAlignment="0" applyProtection="0"/>
    <xf numFmtId="0" fontId="43" fillId="56" borderId="57" applyNumberFormat="0" applyAlignment="0" applyProtection="0"/>
    <xf numFmtId="0" fontId="50" fillId="43" borderId="57" applyNumberFormat="0" applyAlignment="0" applyProtection="0"/>
    <xf numFmtId="0" fontId="2" fillId="0" borderId="0"/>
    <xf numFmtId="0" fontId="2" fillId="59" borderId="58" applyNumberFormat="0" applyFont="0" applyAlignment="0" applyProtection="0"/>
    <xf numFmtId="0" fontId="53" fillId="56" borderId="59" applyNumberFormat="0" applyAlignment="0" applyProtection="0"/>
    <xf numFmtId="0" fontId="17" fillId="0" borderId="0"/>
    <xf numFmtId="0" fontId="55" fillId="0" borderId="60" applyNumberFormat="0" applyFill="0" applyAlignment="0" applyProtection="0"/>
    <xf numFmtId="186" fontId="2" fillId="0" borderId="0"/>
    <xf numFmtId="186" fontId="2" fillId="0" borderId="0"/>
    <xf numFmtId="0" fontId="1" fillId="0" borderId="0"/>
    <xf numFmtId="0" fontId="113" fillId="0" borderId="0"/>
    <xf numFmtId="0" fontId="113" fillId="0" borderId="0"/>
    <xf numFmtId="0" fontId="113" fillId="0" borderId="0"/>
    <xf numFmtId="0" fontId="1" fillId="0" borderId="0"/>
    <xf numFmtId="177" fontId="1" fillId="0" borderId="0"/>
    <xf numFmtId="0" fontId="2" fillId="0" borderId="0"/>
    <xf numFmtId="0" fontId="57" fillId="0" borderId="0"/>
    <xf numFmtId="0" fontId="41" fillId="98" borderId="0" applyNumberFormat="0" applyBorder="0" applyAlignment="0" applyProtection="0"/>
    <xf numFmtId="0" fontId="5" fillId="43" borderId="0" applyNumberFormat="0" applyBorder="0" applyAlignment="0" applyProtection="0"/>
    <xf numFmtId="0" fontId="57" fillId="0" borderId="0"/>
    <xf numFmtId="0" fontId="41" fillId="56" borderId="0" applyNumberFormat="0" applyBorder="0" applyAlignment="0" applyProtection="0"/>
    <xf numFmtId="0" fontId="41" fillId="58" borderId="0" applyNumberFormat="0" applyBorder="0" applyAlignment="0" applyProtection="0"/>
    <xf numFmtId="0" fontId="57" fillId="0" borderId="0"/>
    <xf numFmtId="177" fontId="2" fillId="0" borderId="0"/>
    <xf numFmtId="0" fontId="2" fillId="0" borderId="0"/>
    <xf numFmtId="0" fontId="5" fillId="59" borderId="0" applyNumberFormat="0" applyBorder="0" applyAlignment="0" applyProtection="0"/>
    <xf numFmtId="165" fontId="2" fillId="0" borderId="0"/>
    <xf numFmtId="0" fontId="17" fillId="0" borderId="0"/>
    <xf numFmtId="0" fontId="5" fillId="56" borderId="0" applyNumberFormat="0" applyBorder="0" applyAlignment="0" applyProtection="0"/>
    <xf numFmtId="0" fontId="5" fillId="43" borderId="0" applyNumberFormat="0" applyBorder="0" applyAlignment="0" applyProtection="0"/>
    <xf numFmtId="0" fontId="5" fillId="58" borderId="0" applyNumberFormat="0" applyBorder="0" applyAlignment="0" applyProtection="0"/>
    <xf numFmtId="0" fontId="41" fillId="45" borderId="0" applyNumberFormat="0" applyBorder="0" applyAlignment="0" applyProtection="0"/>
    <xf numFmtId="0" fontId="57" fillId="0" borderId="0"/>
    <xf numFmtId="0" fontId="5" fillId="56" borderId="0" applyNumberFormat="0" applyBorder="0" applyAlignment="0" applyProtection="0"/>
    <xf numFmtId="0" fontId="5" fillId="45" borderId="0" applyNumberFormat="0" applyBorder="0" applyAlignment="0" applyProtection="0"/>
    <xf numFmtId="0" fontId="17" fillId="0" borderId="0"/>
    <xf numFmtId="0" fontId="41" fillId="50" borderId="0" applyNumberFormat="0" applyBorder="0" applyAlignment="0" applyProtection="0"/>
    <xf numFmtId="0" fontId="5" fillId="58" borderId="0" applyNumberFormat="0" applyBorder="0" applyAlignment="0" applyProtection="0"/>
    <xf numFmtId="0" fontId="5" fillId="59" borderId="0" applyNumberFormat="0" applyBorder="0" applyAlignment="0" applyProtection="0"/>
    <xf numFmtId="0" fontId="41" fillId="50" borderId="0" applyNumberFormat="0" applyBorder="0" applyAlignment="0" applyProtection="0"/>
    <xf numFmtId="0" fontId="57" fillId="0" borderId="0"/>
    <xf numFmtId="0" fontId="57" fillId="0" borderId="0"/>
    <xf numFmtId="0" fontId="57" fillId="0" borderId="0"/>
    <xf numFmtId="189" fontId="1" fillId="0" borderId="0"/>
    <xf numFmtId="0" fontId="2" fillId="0" borderId="0"/>
    <xf numFmtId="0" fontId="41" fillId="51" borderId="0" applyNumberFormat="0" applyBorder="0" applyAlignment="0" applyProtection="0"/>
    <xf numFmtId="0" fontId="114" fillId="0" borderId="0" applyNumberFormat="0" applyFill="0" applyBorder="0" applyAlignment="0" applyProtection="0"/>
    <xf numFmtId="0" fontId="43" fillId="97" borderId="57" applyNumberFormat="0" applyAlignment="0" applyProtection="0"/>
    <xf numFmtId="0" fontId="115" fillId="0" borderId="0"/>
    <xf numFmtId="189" fontId="2" fillId="0" borderId="0" applyFont="0" applyFill="0" applyBorder="0" applyAlignment="0" applyProtection="0"/>
    <xf numFmtId="38" fontId="116" fillId="77" borderId="0" applyNumberFormat="0" applyBorder="0" applyAlignment="0" applyProtection="0"/>
    <xf numFmtId="0" fontId="117" fillId="0" borderId="0">
      <alignment horizontal="left"/>
    </xf>
    <xf numFmtId="0" fontId="118" fillId="0" borderId="7" applyNumberFormat="0" applyAlignment="0" applyProtection="0">
      <alignment horizontal="left" vertical="center"/>
    </xf>
    <xf numFmtId="0" fontId="118" fillId="0" borderId="56">
      <alignment horizontal="left" vertical="center"/>
    </xf>
    <xf numFmtId="0" fontId="119" fillId="0" borderId="61" applyNumberFormat="0" applyFill="0" applyAlignment="0" applyProtection="0"/>
    <xf numFmtId="0" fontId="120" fillId="0" borderId="21" applyNumberFormat="0" applyFill="0" applyAlignment="0" applyProtection="0"/>
    <xf numFmtId="0" fontId="121" fillId="0" borderId="62" applyNumberFormat="0" applyFill="0" applyAlignment="0" applyProtection="0"/>
    <xf numFmtId="0" fontId="121" fillId="0" borderId="0" applyNumberFormat="0" applyFill="0" applyBorder="0" applyAlignment="0" applyProtection="0"/>
    <xf numFmtId="10" fontId="116" fillId="96" borderId="49" applyNumberFormat="0" applyBorder="0" applyAlignment="0" applyProtection="0"/>
    <xf numFmtId="0" fontId="50" fillId="58" borderId="57" applyNumberFormat="0" applyAlignment="0" applyProtection="0"/>
    <xf numFmtId="38" fontId="122" fillId="0" borderId="0" applyFont="0" applyFill="0" applyBorder="0" applyAlignment="0" applyProtection="0"/>
    <xf numFmtId="40" fontId="122" fillId="0" borderId="0" applyFont="0" applyFill="0" applyBorder="0" applyAlignment="0" applyProtection="0"/>
    <xf numFmtId="0" fontId="123" fillId="0" borderId="2"/>
    <xf numFmtId="190" fontId="122" fillId="0" borderId="0" applyFont="0" applyFill="0" applyBorder="0" applyAlignment="0" applyProtection="0"/>
    <xf numFmtId="191" fontId="122" fillId="0" borderId="0" applyFont="0" applyFill="0" applyBorder="0" applyAlignment="0" applyProtection="0"/>
    <xf numFmtId="37" fontId="124" fillId="0" borderId="0"/>
    <xf numFmtId="0" fontId="125" fillId="0" borderId="0"/>
    <xf numFmtId="0" fontId="5" fillId="0" borderId="0"/>
    <xf numFmtId="0" fontId="2" fillId="0" borderId="0"/>
    <xf numFmtId="0" fontId="126" fillId="59" borderId="58" applyNumberFormat="0" applyFont="0" applyAlignment="0" applyProtection="0"/>
    <xf numFmtId="0" fontId="53" fillId="97" borderId="59" applyNumberFormat="0" applyAlignment="0" applyProtection="0"/>
    <xf numFmtId="10" fontId="2" fillId="0" borderId="0" applyFont="0" applyFill="0" applyBorder="0" applyAlignment="0" applyProtection="0"/>
    <xf numFmtId="191" fontId="122" fillId="0" borderId="0">
      <alignment horizontal="center"/>
    </xf>
    <xf numFmtId="0" fontId="123" fillId="0" borderId="0"/>
    <xf numFmtId="40" fontId="127" fillId="0" borderId="0"/>
    <xf numFmtId="0" fontId="128" fillId="0" borderId="0" applyNumberFormat="0" applyFill="0" applyBorder="0" applyAlignment="0" applyProtection="0"/>
    <xf numFmtId="0" fontId="55" fillId="0" borderId="63" applyNumberFormat="0" applyFill="0" applyAlignment="0" applyProtection="0"/>
    <xf numFmtId="0" fontId="2" fillId="0" borderId="0"/>
    <xf numFmtId="0" fontId="2" fillId="0" borderId="0"/>
    <xf numFmtId="189" fontId="1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183" fontId="90" fillId="0" borderId="0"/>
    <xf numFmtId="177" fontId="1" fillId="0" borderId="0"/>
    <xf numFmtId="177" fontId="2" fillId="0" borderId="0"/>
    <xf numFmtId="183" fontId="2" fillId="0" borderId="0"/>
    <xf numFmtId="165" fontId="1" fillId="0" borderId="0"/>
    <xf numFmtId="165" fontId="2" fillId="0" borderId="0"/>
    <xf numFmtId="165" fontId="2" fillId="0" borderId="0"/>
    <xf numFmtId="165" fontId="1" fillId="0" borderId="0"/>
    <xf numFmtId="165" fontId="2" fillId="0" borderId="0"/>
    <xf numFmtId="165" fontId="2" fillId="0" borderId="0"/>
    <xf numFmtId="0" fontId="1" fillId="0" borderId="0"/>
    <xf numFmtId="187" fontId="1" fillId="0" borderId="0"/>
    <xf numFmtId="170" fontId="1" fillId="0" borderId="0"/>
    <xf numFmtId="170" fontId="1" fillId="0" borderId="0"/>
    <xf numFmtId="165" fontId="2" fillId="0" borderId="0"/>
    <xf numFmtId="172" fontId="2" fillId="0" borderId="0"/>
    <xf numFmtId="165" fontId="2" fillId="0" borderId="0"/>
    <xf numFmtId="170" fontId="1" fillId="0" borderId="0"/>
    <xf numFmtId="165" fontId="2" fillId="0" borderId="0"/>
    <xf numFmtId="0" fontId="2" fillId="0" borderId="0"/>
    <xf numFmtId="0" fontId="1" fillId="0" borderId="0"/>
    <xf numFmtId="0" fontId="1" fillId="0" borderId="0"/>
    <xf numFmtId="177" fontId="1" fillId="28" borderId="0" applyNumberFormat="0" applyBorder="0" applyAlignment="0" applyProtection="0"/>
    <xf numFmtId="177" fontId="33" fillId="0" borderId="13" applyNumberFormat="0" applyFill="0" applyAlignment="0" applyProtection="0"/>
    <xf numFmtId="177" fontId="21" fillId="29" borderId="0" applyNumberFormat="0" applyBorder="0" applyAlignment="0" applyProtection="0"/>
    <xf numFmtId="177" fontId="21" fillId="17" borderId="0" applyNumberFormat="0" applyBorder="0" applyAlignment="0" applyProtection="0"/>
    <xf numFmtId="177" fontId="1" fillId="31" borderId="0" applyNumberFormat="0" applyBorder="0" applyAlignment="0" applyProtection="0"/>
    <xf numFmtId="177" fontId="1" fillId="0" borderId="0"/>
    <xf numFmtId="177" fontId="1" fillId="26" borderId="0" applyNumberFormat="0" applyBorder="0" applyAlignment="0" applyProtection="0"/>
    <xf numFmtId="177" fontId="113" fillId="0" borderId="0"/>
    <xf numFmtId="177" fontId="21" fillId="13" borderId="0" applyNumberFormat="0" applyBorder="0" applyAlignment="0" applyProtection="0"/>
    <xf numFmtId="177" fontId="22" fillId="0" borderId="16" applyNumberFormat="0" applyFill="0" applyAlignment="0" applyProtection="0"/>
    <xf numFmtId="177" fontId="1" fillId="32" borderId="0" applyNumberFormat="0" applyBorder="0" applyAlignment="0" applyProtection="0"/>
    <xf numFmtId="177" fontId="113" fillId="0" borderId="0"/>
    <xf numFmtId="177" fontId="1" fillId="22" borderId="0" applyNumberFormat="0" applyBorder="0" applyAlignment="0" applyProtection="0"/>
    <xf numFmtId="177" fontId="1" fillId="16" borderId="0" applyNumberFormat="0" applyBorder="0" applyAlignment="0" applyProtection="0"/>
    <xf numFmtId="177" fontId="83" fillId="0" borderId="0" applyNumberFormat="0" applyFill="0" applyBorder="0" applyAlignment="0" applyProtection="0"/>
    <xf numFmtId="177" fontId="34" fillId="11" borderId="14" applyNumberFormat="0" applyAlignment="0" applyProtection="0"/>
    <xf numFmtId="177" fontId="24" fillId="0" borderId="8" applyNumberFormat="0" applyFill="0" applyAlignment="0" applyProtection="0"/>
    <xf numFmtId="177" fontId="21" fillId="21" borderId="0" applyNumberFormat="0" applyBorder="0" applyAlignment="0" applyProtection="0"/>
    <xf numFmtId="177" fontId="26" fillId="0" borderId="10" applyNumberFormat="0" applyFill="0" applyAlignment="0" applyProtection="0"/>
    <xf numFmtId="177" fontId="1" fillId="27" borderId="0" applyNumberFormat="0" applyBorder="0" applyAlignment="0" applyProtection="0"/>
    <xf numFmtId="177" fontId="28" fillId="7" borderId="0" applyNumberFormat="0" applyBorder="0" applyAlignment="0" applyProtection="0"/>
    <xf numFmtId="177" fontId="1" fillId="36" borderId="0" applyNumberFormat="0" applyBorder="0" applyAlignment="0" applyProtection="0"/>
    <xf numFmtId="177" fontId="31" fillId="10" borderId="12" applyNumberFormat="0" applyAlignment="0" applyProtection="0"/>
    <xf numFmtId="177" fontId="113" fillId="0" borderId="0"/>
    <xf numFmtId="177" fontId="1" fillId="19" borderId="0" applyNumberFormat="0" applyBorder="0" applyAlignment="0" applyProtection="0"/>
    <xf numFmtId="177" fontId="21" fillId="33" borderId="0" applyNumberFormat="0" applyBorder="0" applyAlignment="0" applyProtection="0"/>
    <xf numFmtId="177" fontId="27" fillId="6" borderId="0" applyNumberFormat="0" applyBorder="0" applyAlignment="0" applyProtection="0"/>
    <xf numFmtId="177" fontId="1" fillId="20" borderId="0" applyNumberFormat="0" applyBorder="0" applyAlignment="0" applyProtection="0"/>
    <xf numFmtId="177" fontId="1" fillId="23" borderId="0" applyNumberFormat="0" applyBorder="0" applyAlignment="0" applyProtection="0"/>
    <xf numFmtId="177" fontId="32" fillId="10" borderId="11" applyNumberFormat="0" applyAlignment="0" applyProtection="0"/>
    <xf numFmtId="177" fontId="36" fillId="0" borderId="0" applyNumberFormat="0" applyFill="0" applyBorder="0" applyAlignment="0" applyProtection="0"/>
    <xf numFmtId="177" fontId="1" fillId="14" borderId="0" applyNumberFormat="0" applyBorder="0" applyAlignment="0" applyProtection="0"/>
    <xf numFmtId="177" fontId="1" fillId="15" borderId="0" applyNumberFormat="0" applyBorder="0" applyAlignment="0" applyProtection="0"/>
    <xf numFmtId="177" fontId="26" fillId="0" borderId="0" applyNumberFormat="0" applyFill="0" applyBorder="0" applyAlignment="0" applyProtection="0"/>
    <xf numFmtId="177" fontId="25" fillId="0" borderId="9" applyNumberFormat="0" applyFill="0" applyAlignment="0" applyProtection="0"/>
    <xf numFmtId="177" fontId="1" fillId="34" borderId="0" applyNumberFormat="0" applyBorder="0" applyAlignment="0" applyProtection="0"/>
    <xf numFmtId="177" fontId="2" fillId="0" borderId="0"/>
    <xf numFmtId="177" fontId="1" fillId="18" borderId="0" applyNumberFormat="0" applyBorder="0" applyAlignment="0" applyProtection="0"/>
    <xf numFmtId="177" fontId="1" fillId="35" borderId="0" applyNumberFormat="0" applyBorder="0" applyAlignment="0" applyProtection="0"/>
    <xf numFmtId="177" fontId="21" fillId="25" borderId="0" applyNumberFormat="0" applyBorder="0" applyAlignment="0" applyProtection="0"/>
    <xf numFmtId="177" fontId="1" fillId="30" borderId="0" applyNumberFormat="0" applyBorder="0" applyAlignment="0" applyProtection="0"/>
    <xf numFmtId="177" fontId="1" fillId="0" borderId="0"/>
    <xf numFmtId="177" fontId="1" fillId="12" borderId="15" applyNumberFormat="0" applyFont="0" applyAlignment="0" applyProtection="0"/>
    <xf numFmtId="177" fontId="30" fillId="9" borderId="11" applyNumberFormat="0" applyAlignment="0" applyProtection="0"/>
    <xf numFmtId="177" fontId="35" fillId="0" borderId="0" applyNumberFormat="0" applyFill="0" applyBorder="0" applyAlignment="0" applyProtection="0"/>
    <xf numFmtId="177" fontId="84" fillId="8" borderId="0" applyNumberFormat="0" applyBorder="0" applyAlignment="0" applyProtection="0"/>
    <xf numFmtId="177" fontId="1" fillId="24" borderId="0" applyNumberFormat="0" applyBorder="0" applyAlignment="0" applyProtection="0"/>
    <xf numFmtId="0" fontId="110" fillId="0" borderId="0"/>
    <xf numFmtId="0" fontId="110" fillId="0" borderId="0"/>
    <xf numFmtId="0" fontId="55" fillId="0" borderId="67" applyNumberFormat="0" applyFill="0" applyAlignment="0" applyProtection="0"/>
    <xf numFmtId="0" fontId="50" fillId="43" borderId="65" applyNumberFormat="0" applyAlignment="0" applyProtection="0"/>
    <xf numFmtId="0" fontId="55" fillId="0" borderId="67" applyNumberFormat="0" applyFill="0" applyAlignment="0" applyProtection="0"/>
    <xf numFmtId="0" fontId="50" fillId="43" borderId="65" applyNumberFormat="0" applyAlignment="0" applyProtection="0"/>
    <xf numFmtId="0" fontId="129" fillId="0" borderId="0"/>
    <xf numFmtId="0" fontId="50" fillId="58" borderId="65" applyNumberFormat="0" applyAlignment="0" applyProtection="0"/>
    <xf numFmtId="165" fontId="2" fillId="0" borderId="0"/>
    <xf numFmtId="176" fontId="1" fillId="0" borderId="0"/>
    <xf numFmtId="176" fontId="74" fillId="0" borderId="0"/>
    <xf numFmtId="43" fontId="1" fillId="0" borderId="0" applyFont="0" applyFill="0" applyBorder="0" applyAlignment="0" applyProtection="0"/>
    <xf numFmtId="176" fontId="74" fillId="0" borderId="0"/>
    <xf numFmtId="0" fontId="53" fillId="56" borderId="66" applyNumberFormat="0" applyAlignment="0" applyProtection="0"/>
    <xf numFmtId="0" fontId="1" fillId="0" borderId="0"/>
    <xf numFmtId="0" fontId="86" fillId="0" borderId="0"/>
    <xf numFmtId="0" fontId="50" fillId="43" borderId="65" applyNumberFormat="0" applyAlignment="0" applyProtection="0"/>
    <xf numFmtId="0" fontId="5" fillId="0" borderId="0"/>
    <xf numFmtId="0" fontId="50" fillId="43" borderId="57" applyNumberFormat="0" applyAlignment="0" applyProtection="0"/>
    <xf numFmtId="0" fontId="50" fillId="43" borderId="57" applyNumberFormat="0" applyAlignment="0" applyProtection="0"/>
    <xf numFmtId="0" fontId="5" fillId="0" borderId="0"/>
    <xf numFmtId="43" fontId="2" fillId="0" borderId="0" applyFont="0" applyFill="0" applyBorder="0" applyAlignment="0" applyProtection="0"/>
    <xf numFmtId="0" fontId="53" fillId="56" borderId="66" applyNumberFormat="0" applyAlignment="0" applyProtection="0"/>
    <xf numFmtId="0" fontId="86" fillId="0" borderId="0"/>
    <xf numFmtId="43" fontId="86" fillId="0" borderId="0" applyFont="0" applyFill="0" applyBorder="0" applyAlignment="0" applyProtection="0"/>
    <xf numFmtId="0" fontId="86" fillId="0" borderId="0"/>
    <xf numFmtId="0" fontId="2" fillId="0" borderId="0"/>
    <xf numFmtId="0" fontId="43" fillId="56" borderId="57" applyNumberFormat="0" applyAlignment="0" applyProtection="0"/>
    <xf numFmtId="10" fontId="116" fillId="96" borderId="49" applyNumberFormat="0" applyBorder="0" applyAlignment="0" applyProtection="0"/>
    <xf numFmtId="43" fontId="2" fillId="0" borderId="0" applyFont="0" applyFill="0" applyBorder="0" applyAlignment="0" applyProtection="0"/>
    <xf numFmtId="177" fontId="22" fillId="0" borderId="16" applyNumberFormat="0" applyFill="0" applyAlignment="0" applyProtection="0"/>
    <xf numFmtId="0" fontId="126" fillId="59" borderId="58" applyNumberFormat="0" applyFont="0" applyAlignment="0" applyProtection="0"/>
    <xf numFmtId="0" fontId="50" fillId="58" borderId="57" applyNumberFormat="0" applyAlignment="0" applyProtection="0"/>
    <xf numFmtId="0" fontId="53" fillId="56" borderId="59" applyNumberFormat="0" applyAlignment="0" applyProtection="0"/>
    <xf numFmtId="0" fontId="43" fillId="56" borderId="57" applyNumberFormat="0" applyAlignment="0" applyProtection="0"/>
    <xf numFmtId="0" fontId="107" fillId="83" borderId="57" applyNumberFormat="0" applyAlignment="0" applyProtection="0">
      <alignment vertical="center"/>
    </xf>
    <xf numFmtId="0" fontId="102" fillId="0" borderId="60" applyNumberFormat="0" applyFill="0" applyAlignment="0" applyProtection="0">
      <alignment vertical="center"/>
    </xf>
    <xf numFmtId="0" fontId="55" fillId="0" borderId="60" applyNumberFormat="0" applyFill="0" applyAlignment="0" applyProtection="0"/>
    <xf numFmtId="0" fontId="50" fillId="43" borderId="57" applyNumberFormat="0" applyAlignment="0" applyProtection="0"/>
    <xf numFmtId="0" fontId="55" fillId="0" borderId="60" applyNumberFormat="0" applyFill="0" applyAlignment="0" applyProtection="0"/>
    <xf numFmtId="0" fontId="5" fillId="59" borderId="58" applyNumberFormat="0" applyFont="0" applyAlignment="0" applyProtection="0"/>
    <xf numFmtId="0" fontId="50" fillId="43" borderId="57" applyNumberFormat="0" applyAlignment="0" applyProtection="0"/>
    <xf numFmtId="0" fontId="53" fillId="56" borderId="59" applyNumberFormat="0" applyAlignment="0" applyProtection="0"/>
    <xf numFmtId="0" fontId="118" fillId="0" borderId="56">
      <alignment horizontal="left" vertical="center"/>
    </xf>
    <xf numFmtId="0" fontId="53" fillId="97" borderId="59" applyNumberFormat="0" applyAlignment="0" applyProtection="0"/>
    <xf numFmtId="0" fontId="43" fillId="56" borderId="57" applyNumberFormat="0" applyAlignment="0" applyProtection="0"/>
    <xf numFmtId="0" fontId="95" fillId="77" borderId="59" applyNumberFormat="0" applyAlignment="0" applyProtection="0">
      <alignment vertical="center"/>
    </xf>
    <xf numFmtId="0" fontId="53" fillId="56" borderId="59" applyNumberFormat="0" applyAlignment="0" applyProtection="0"/>
    <xf numFmtId="0" fontId="5" fillId="59" borderId="58" applyNumberFormat="0" applyFont="0" applyAlignment="0" applyProtection="0"/>
    <xf numFmtId="0" fontId="55" fillId="0" borderId="60" applyNumberFormat="0" applyFill="0" applyAlignment="0" applyProtection="0"/>
    <xf numFmtId="0" fontId="2" fillId="59" borderId="58" applyNumberFormat="0" applyFont="0" applyAlignment="0" applyProtection="0"/>
    <xf numFmtId="0" fontId="50" fillId="43" borderId="57" applyNumberFormat="0" applyAlignment="0" applyProtection="0"/>
    <xf numFmtId="0" fontId="93" fillId="77" borderId="57" applyNumberFormat="0" applyAlignment="0" applyProtection="0">
      <alignment vertical="center"/>
    </xf>
    <xf numFmtId="0" fontId="107" fillId="83" borderId="57" applyNumberFormat="0" applyAlignment="0" applyProtection="0">
      <alignment vertical="center"/>
    </xf>
    <xf numFmtId="0" fontId="102" fillId="0" borderId="60" applyNumberFormat="0" applyFill="0" applyAlignment="0" applyProtection="0">
      <alignment vertical="center"/>
    </xf>
    <xf numFmtId="0" fontId="102" fillId="0" borderId="60" applyNumberFormat="0" applyFill="0" applyAlignment="0" applyProtection="0">
      <alignment vertical="center"/>
    </xf>
    <xf numFmtId="0" fontId="102" fillId="0" borderId="60" applyNumberFormat="0" applyFill="0" applyAlignment="0" applyProtection="0">
      <alignment vertical="center"/>
    </xf>
    <xf numFmtId="0" fontId="50" fillId="43" borderId="57" applyNumberFormat="0" applyAlignment="0" applyProtection="0"/>
    <xf numFmtId="0" fontId="95" fillId="77" borderId="59" applyNumberFormat="0" applyAlignment="0" applyProtection="0">
      <alignment vertical="center"/>
    </xf>
    <xf numFmtId="0" fontId="93" fillId="77" borderId="57" applyNumberFormat="0" applyAlignment="0" applyProtection="0">
      <alignment vertical="center"/>
    </xf>
    <xf numFmtId="0" fontId="107" fillId="83" borderId="57" applyNumberFormat="0" applyAlignment="0" applyProtection="0">
      <alignment vertical="center"/>
    </xf>
    <xf numFmtId="0" fontId="92" fillId="96" borderId="58" applyNumberFormat="0" applyFont="0" applyAlignment="0" applyProtection="0">
      <alignment vertical="center"/>
    </xf>
    <xf numFmtId="0" fontId="107" fillId="83" borderId="57" applyNumberFormat="0" applyAlignment="0" applyProtection="0">
      <alignment vertical="center"/>
    </xf>
    <xf numFmtId="0" fontId="95" fillId="77" borderId="59" applyNumberFormat="0" applyAlignment="0" applyProtection="0">
      <alignment vertical="center"/>
    </xf>
    <xf numFmtId="0" fontId="102" fillId="0" borderId="60" applyNumberFormat="0" applyFill="0" applyAlignment="0" applyProtection="0">
      <alignment vertical="center"/>
    </xf>
    <xf numFmtId="0" fontId="92" fillId="96" borderId="58" applyNumberFormat="0" applyFont="0" applyAlignment="0" applyProtection="0">
      <alignment vertical="center"/>
    </xf>
    <xf numFmtId="0" fontId="92" fillId="96" borderId="58" applyNumberFormat="0" applyFont="0" applyAlignment="0" applyProtection="0">
      <alignment vertical="center"/>
    </xf>
    <xf numFmtId="0" fontId="43" fillId="97" borderId="57" applyNumberFormat="0" applyAlignment="0" applyProtection="0"/>
    <xf numFmtId="0" fontId="55" fillId="0" borderId="63" applyNumberFormat="0" applyFill="0" applyAlignment="0" applyProtection="0"/>
    <xf numFmtId="0" fontId="50" fillId="43" borderId="57" applyNumberFormat="0" applyAlignment="0" applyProtection="0"/>
    <xf numFmtId="0" fontId="93" fillId="77" borderId="57" applyNumberFormat="0" applyAlignment="0" applyProtection="0">
      <alignment vertical="center"/>
    </xf>
    <xf numFmtId="0" fontId="107" fillId="83" borderId="57" applyNumberFormat="0" applyAlignment="0" applyProtection="0">
      <alignment vertical="center"/>
    </xf>
    <xf numFmtId="0" fontId="92" fillId="96" borderId="58" applyNumberFormat="0" applyFont="0" applyAlignment="0" applyProtection="0">
      <alignment vertical="center"/>
    </xf>
    <xf numFmtId="0" fontId="93" fillId="77" borderId="57" applyNumberFormat="0" applyAlignment="0" applyProtection="0">
      <alignment vertical="center"/>
    </xf>
    <xf numFmtId="0" fontId="107" fillId="83" borderId="57" applyNumberFormat="0" applyAlignment="0" applyProtection="0">
      <alignment vertical="center"/>
    </xf>
    <xf numFmtId="0" fontId="92" fillId="96" borderId="58" applyNumberFormat="0" applyFont="0" applyAlignment="0" applyProtection="0">
      <alignment vertical="center"/>
    </xf>
    <xf numFmtId="0" fontId="93" fillId="77" borderId="57" applyNumberFormat="0" applyAlignment="0" applyProtection="0">
      <alignment vertical="center"/>
    </xf>
    <xf numFmtId="0" fontId="93" fillId="77" borderId="57" applyNumberFormat="0" applyAlignment="0" applyProtection="0">
      <alignment vertical="center"/>
    </xf>
    <xf numFmtId="0" fontId="95" fillId="77" borderId="59" applyNumberFormat="0" applyAlignment="0" applyProtection="0">
      <alignment vertical="center"/>
    </xf>
    <xf numFmtId="0" fontId="102" fillId="0" borderId="60" applyNumberFormat="0" applyFill="0" applyAlignment="0" applyProtection="0">
      <alignment vertical="center"/>
    </xf>
    <xf numFmtId="0" fontId="95" fillId="77" borderId="59" applyNumberFormat="0" applyAlignment="0" applyProtection="0">
      <alignment vertical="center"/>
    </xf>
    <xf numFmtId="0" fontId="95" fillId="77" borderId="59" applyNumberFormat="0" applyAlignment="0" applyProtection="0">
      <alignment vertical="center"/>
    </xf>
    <xf numFmtId="0" fontId="92" fillId="96" borderId="58" applyNumberFormat="0" applyFont="0" applyAlignment="0" applyProtection="0">
      <alignment vertical="center"/>
    </xf>
    <xf numFmtId="43" fontId="2" fillId="0" borderId="0" applyFont="0" applyFill="0" applyBorder="0" applyAlignment="0" applyProtection="0"/>
    <xf numFmtId="0" fontId="2" fillId="0" borderId="0"/>
    <xf numFmtId="177" fontId="1" fillId="0" borderId="0"/>
    <xf numFmtId="10" fontId="116" fillId="96" borderId="49" applyNumberFormat="0" applyBorder="0" applyAlignment="0" applyProtection="0"/>
    <xf numFmtId="0" fontId="126" fillId="59" borderId="58" applyNumberFormat="0" applyFont="0" applyAlignment="0" applyProtection="0"/>
    <xf numFmtId="0" fontId="50" fillId="58" borderId="57" applyNumberFormat="0" applyAlignment="0" applyProtection="0"/>
    <xf numFmtId="44" fontId="1" fillId="0" borderId="0" applyFont="0" applyFill="0" applyBorder="0" applyAlignment="0" applyProtection="0"/>
    <xf numFmtId="0" fontId="50" fillId="58" borderId="57" applyNumberFormat="0" applyAlignment="0" applyProtection="0"/>
    <xf numFmtId="0" fontId="92" fillId="96" borderId="58" applyNumberFormat="0" applyFont="0" applyAlignment="0" applyProtection="0">
      <alignment vertical="center"/>
    </xf>
    <xf numFmtId="0" fontId="43" fillId="56" borderId="57" applyNumberFormat="0" applyAlignment="0" applyProtection="0"/>
    <xf numFmtId="0" fontId="75" fillId="0" borderId="0"/>
    <xf numFmtId="0" fontId="50" fillId="43" borderId="57" applyNumberFormat="0" applyAlignment="0" applyProtection="0"/>
    <xf numFmtId="0" fontId="107" fillId="83" borderId="57" applyNumberFormat="0" applyAlignment="0" applyProtection="0">
      <alignment vertical="center"/>
    </xf>
    <xf numFmtId="0" fontId="50" fillId="43" borderId="57" applyNumberFormat="0" applyAlignment="0" applyProtection="0"/>
    <xf numFmtId="0" fontId="92" fillId="96" borderId="58" applyNumberFormat="0" applyFont="0" applyAlignment="0" applyProtection="0">
      <alignment vertical="center"/>
    </xf>
    <xf numFmtId="0" fontId="50" fillId="43" borderId="57" applyNumberFormat="0" applyAlignment="0" applyProtection="0"/>
    <xf numFmtId="0" fontId="107" fillId="83" borderId="57" applyNumberFormat="0" applyAlignment="0" applyProtection="0">
      <alignment vertical="center"/>
    </xf>
    <xf numFmtId="0" fontId="59" fillId="0" borderId="0">
      <alignment vertical="center"/>
    </xf>
    <xf numFmtId="0" fontId="43" fillId="56" borderId="57" applyNumberFormat="0" applyAlignment="0" applyProtection="0"/>
    <xf numFmtId="0" fontId="107" fillId="83" borderId="57" applyNumberFormat="0" applyAlignment="0" applyProtection="0">
      <alignment vertical="center"/>
    </xf>
    <xf numFmtId="0" fontId="43" fillId="97" borderId="57" applyNumberFormat="0" applyAlignment="0" applyProtection="0"/>
    <xf numFmtId="0" fontId="50" fillId="43" borderId="57" applyNumberFormat="0" applyAlignment="0" applyProtection="0"/>
    <xf numFmtId="0" fontId="107" fillId="83" borderId="57" applyNumberFormat="0" applyAlignment="0" applyProtection="0">
      <alignment vertical="center"/>
    </xf>
    <xf numFmtId="0" fontId="5" fillId="59" borderId="58" applyNumberFormat="0" applyFont="0" applyAlignment="0" applyProtection="0"/>
    <xf numFmtId="0" fontId="93" fillId="77" borderId="57" applyNumberFormat="0" applyAlignment="0" applyProtection="0">
      <alignment vertical="center"/>
    </xf>
    <xf numFmtId="0" fontId="2" fillId="59" borderId="58" applyNumberFormat="0" applyFont="0" applyAlignment="0" applyProtection="0"/>
    <xf numFmtId="192" fontId="2" fillId="0" borderId="44" applyNumberFormat="0" applyFill="0" applyAlignment="0" applyProtection="0"/>
    <xf numFmtId="0" fontId="43" fillId="56" borderId="57" applyNumberFormat="0" applyAlignment="0" applyProtection="0"/>
    <xf numFmtId="43" fontId="1" fillId="0" borderId="0" applyFont="0" applyFill="0" applyBorder="0" applyAlignment="0" applyProtection="0"/>
    <xf numFmtId="0" fontId="43" fillId="56" borderId="57" applyNumberFormat="0" applyAlignment="0" applyProtection="0"/>
    <xf numFmtId="0" fontId="50" fillId="43" borderId="57" applyNumberFormat="0" applyAlignment="0" applyProtection="0"/>
    <xf numFmtId="0" fontId="43" fillId="56" borderId="57" applyNumberFormat="0" applyAlignment="0" applyProtection="0"/>
    <xf numFmtId="43" fontId="1" fillId="0" borderId="0" applyFont="0" applyFill="0" applyBorder="0" applyAlignment="0" applyProtection="0"/>
    <xf numFmtId="0" fontId="107" fillId="83" borderId="57" applyNumberFormat="0" applyAlignment="0" applyProtection="0">
      <alignment vertical="center"/>
    </xf>
    <xf numFmtId="0" fontId="126" fillId="59" borderId="58" applyNumberFormat="0" applyFont="0" applyAlignment="0" applyProtection="0"/>
    <xf numFmtId="0" fontId="92" fillId="96" borderId="58" applyNumberFormat="0" applyFont="0" applyAlignment="0" applyProtection="0">
      <alignment vertical="center"/>
    </xf>
    <xf numFmtId="0" fontId="93" fillId="77" borderId="57" applyNumberFormat="0" applyAlignment="0" applyProtection="0">
      <alignment vertical="center"/>
    </xf>
    <xf numFmtId="0" fontId="92" fillId="96" borderId="58" applyNumberFormat="0" applyFont="0" applyAlignment="0" applyProtection="0">
      <alignment vertical="center"/>
    </xf>
    <xf numFmtId="0" fontId="43" fillId="56" borderId="57" applyNumberFormat="0" applyAlignment="0" applyProtection="0"/>
    <xf numFmtId="0" fontId="50" fillId="43" borderId="57" applyNumberFormat="0" applyAlignment="0" applyProtection="0"/>
    <xf numFmtId="0" fontId="5" fillId="59" borderId="58" applyNumberFormat="0" applyFont="0" applyAlignment="0" applyProtection="0"/>
    <xf numFmtId="0" fontId="53" fillId="56" borderId="59" applyNumberFormat="0" applyAlignment="0" applyProtection="0"/>
    <xf numFmtId="0" fontId="55" fillId="0" borderId="60" applyNumberFormat="0" applyFill="0" applyAlignment="0" applyProtection="0"/>
    <xf numFmtId="0" fontId="50" fillId="43" borderId="57" applyNumberFormat="0" applyAlignment="0" applyProtection="0"/>
    <xf numFmtId="0" fontId="55" fillId="0" borderId="60" applyNumberFormat="0" applyFill="0" applyAlignment="0" applyProtection="0"/>
    <xf numFmtId="0" fontId="53" fillId="56" borderId="59" applyNumberFormat="0" applyAlignment="0" applyProtection="0"/>
    <xf numFmtId="0" fontId="5" fillId="59" borderId="58" applyNumberFormat="0" applyFont="0" applyAlignment="0" applyProtection="0"/>
    <xf numFmtId="0" fontId="43" fillId="56" borderId="57" applyNumberFormat="0" applyAlignment="0" applyProtection="0"/>
    <xf numFmtId="0" fontId="95" fillId="77" borderId="59" applyNumberFormat="0" applyAlignment="0" applyProtection="0">
      <alignment vertical="center"/>
    </xf>
    <xf numFmtId="0" fontId="93" fillId="77" borderId="57" applyNumberFormat="0" applyAlignment="0" applyProtection="0">
      <alignment vertical="center"/>
    </xf>
    <xf numFmtId="0" fontId="102" fillId="0" borderId="60" applyNumberFormat="0" applyFill="0" applyAlignment="0" applyProtection="0">
      <alignment vertical="center"/>
    </xf>
    <xf numFmtId="0" fontId="107" fillId="83" borderId="57" applyNumberFormat="0" applyAlignment="0" applyProtection="0">
      <alignment vertical="center"/>
    </xf>
    <xf numFmtId="0" fontId="92" fillId="96" borderId="58" applyNumberFormat="0" applyFont="0" applyAlignment="0" applyProtection="0">
      <alignment vertical="center"/>
    </xf>
    <xf numFmtId="0" fontId="93" fillId="77" borderId="57" applyNumberFormat="0" applyAlignment="0" applyProtection="0">
      <alignment vertical="center"/>
    </xf>
    <xf numFmtId="0" fontId="95" fillId="77" borderId="59" applyNumberFormat="0" applyAlignment="0" applyProtection="0">
      <alignment vertical="center"/>
    </xf>
    <xf numFmtId="0" fontId="93" fillId="77" borderId="57" applyNumberFormat="0" applyAlignment="0" applyProtection="0">
      <alignment vertical="center"/>
    </xf>
    <xf numFmtId="0" fontId="102" fillId="0" borderId="60" applyNumberFormat="0" applyFill="0" applyAlignment="0" applyProtection="0">
      <alignment vertical="center"/>
    </xf>
    <xf numFmtId="0" fontId="95" fillId="77" borderId="59" applyNumberFormat="0" applyAlignment="0" applyProtection="0">
      <alignment vertical="center"/>
    </xf>
    <xf numFmtId="0" fontId="102" fillId="0" borderId="60" applyNumberFormat="0" applyFill="0" applyAlignment="0" applyProtection="0">
      <alignment vertical="center"/>
    </xf>
    <xf numFmtId="0" fontId="107" fillId="83" borderId="57" applyNumberFormat="0" applyAlignment="0" applyProtection="0">
      <alignment vertical="center"/>
    </xf>
    <xf numFmtId="0" fontId="92" fillId="96" borderId="58" applyNumberFormat="0" applyFont="0" applyAlignment="0" applyProtection="0">
      <alignment vertical="center"/>
    </xf>
    <xf numFmtId="0" fontId="107" fillId="83" borderId="57" applyNumberFormat="0" applyAlignment="0" applyProtection="0">
      <alignment vertical="center"/>
    </xf>
    <xf numFmtId="0" fontId="92" fillId="96" borderId="58" applyNumberFormat="0" applyFont="0" applyAlignment="0" applyProtection="0">
      <alignment vertical="center"/>
    </xf>
    <xf numFmtId="0" fontId="92" fillId="96" borderId="58" applyNumberFormat="0" applyFont="0" applyAlignment="0" applyProtection="0">
      <alignment vertical="center"/>
    </xf>
    <xf numFmtId="0" fontId="95" fillId="77" borderId="59" applyNumberFormat="0" applyAlignment="0" applyProtection="0">
      <alignment vertical="center"/>
    </xf>
    <xf numFmtId="0" fontId="107" fillId="83" borderId="57" applyNumberFormat="0" applyAlignment="0" applyProtection="0">
      <alignment vertical="center"/>
    </xf>
    <xf numFmtId="0" fontId="102" fillId="0" borderId="60" applyNumberFormat="0" applyFill="0" applyAlignment="0" applyProtection="0">
      <alignment vertical="center"/>
    </xf>
    <xf numFmtId="0" fontId="95" fillId="77" borderId="59" applyNumberFormat="0" applyAlignment="0" applyProtection="0">
      <alignment vertical="center"/>
    </xf>
    <xf numFmtId="0" fontId="102" fillId="0" borderId="60" applyNumberFormat="0" applyFill="0" applyAlignment="0" applyProtection="0">
      <alignment vertical="center"/>
    </xf>
    <xf numFmtId="0" fontId="93" fillId="77" borderId="57" applyNumberFormat="0" applyAlignment="0" applyProtection="0">
      <alignment vertical="center"/>
    </xf>
    <xf numFmtId="0" fontId="93" fillId="77" borderId="57" applyNumberFormat="0" applyAlignment="0" applyProtection="0">
      <alignment vertical="center"/>
    </xf>
    <xf numFmtId="0" fontId="92" fillId="96" borderId="58" applyNumberFormat="0" applyFont="0" applyAlignment="0" applyProtection="0">
      <alignment vertical="center"/>
    </xf>
    <xf numFmtId="0" fontId="107" fillId="83" borderId="57" applyNumberFormat="0" applyAlignment="0" applyProtection="0">
      <alignment vertical="center"/>
    </xf>
    <xf numFmtId="0" fontId="93" fillId="77" borderId="57" applyNumberFormat="0" applyAlignment="0" applyProtection="0">
      <alignment vertical="center"/>
    </xf>
    <xf numFmtId="0" fontId="102" fillId="0" borderId="60" applyNumberFormat="0" applyFill="0" applyAlignment="0" applyProtection="0">
      <alignment vertical="center"/>
    </xf>
    <xf numFmtId="0" fontId="95" fillId="77" borderId="59" applyNumberFormat="0" applyAlignment="0" applyProtection="0">
      <alignment vertical="center"/>
    </xf>
    <xf numFmtId="0" fontId="107" fillId="83" borderId="57" applyNumberFormat="0" applyAlignment="0" applyProtection="0">
      <alignment vertical="center"/>
    </xf>
    <xf numFmtId="0" fontId="92" fillId="96" borderId="58" applyNumberFormat="0" applyFont="0" applyAlignment="0" applyProtection="0">
      <alignment vertical="center"/>
    </xf>
    <xf numFmtId="0" fontId="43" fillId="56" borderId="57" applyNumberFormat="0" applyAlignment="0" applyProtection="0"/>
    <xf numFmtId="0" fontId="50" fillId="43" borderId="57" applyNumberFormat="0" applyAlignment="0" applyProtection="0"/>
    <xf numFmtId="0" fontId="2" fillId="59" borderId="58" applyNumberFormat="0" applyFont="0" applyAlignment="0" applyProtection="0"/>
    <xf numFmtId="0" fontId="53" fillId="56" borderId="59" applyNumberFormat="0" applyAlignment="0" applyProtection="0"/>
    <xf numFmtId="0" fontId="55" fillId="0" borderId="60" applyNumberFormat="0" applyFill="0" applyAlignment="0" applyProtection="0"/>
    <xf numFmtId="0" fontId="43" fillId="97" borderId="57" applyNumberFormat="0" applyAlignment="0" applyProtection="0"/>
    <xf numFmtId="0" fontId="118" fillId="0" borderId="56">
      <alignment horizontal="left" vertical="center"/>
    </xf>
    <xf numFmtId="10" fontId="116" fillId="96" borderId="49" applyNumberFormat="0" applyBorder="0" applyAlignment="0" applyProtection="0"/>
    <xf numFmtId="0" fontId="50" fillId="58" borderId="57" applyNumberFormat="0" applyAlignment="0" applyProtection="0"/>
    <xf numFmtId="0" fontId="126" fillId="59" borderId="58" applyNumberFormat="0" applyFont="0" applyAlignment="0" applyProtection="0"/>
    <xf numFmtId="0" fontId="53" fillId="97" borderId="59" applyNumberFormat="0" applyAlignment="0" applyProtection="0"/>
    <xf numFmtId="0" fontId="55" fillId="0" borderId="63" applyNumberFormat="0" applyFill="0" applyAlignment="0" applyProtection="0"/>
    <xf numFmtId="0" fontId="50" fillId="43" borderId="57" applyNumberFormat="0" applyAlignment="0" applyProtection="0"/>
    <xf numFmtId="0" fontId="50" fillId="43" borderId="57" applyNumberFormat="0" applyAlignment="0" applyProtection="0"/>
    <xf numFmtId="0" fontId="43" fillId="56" borderId="57" applyNumberFormat="0" applyAlignment="0" applyProtection="0"/>
    <xf numFmtId="0" fontId="126" fillId="59" borderId="58" applyNumberFormat="0" applyFont="0" applyAlignment="0" applyProtection="0"/>
    <xf numFmtId="0" fontId="50" fillId="58" borderId="57" applyNumberFormat="0" applyAlignment="0" applyProtection="0"/>
    <xf numFmtId="0" fontId="53" fillId="56" borderId="59" applyNumberFormat="0" applyAlignment="0" applyProtection="0"/>
    <xf numFmtId="0" fontId="43" fillId="56" borderId="57" applyNumberFormat="0" applyAlignment="0" applyProtection="0"/>
    <xf numFmtId="0" fontId="107" fillId="83" borderId="57" applyNumberFormat="0" applyAlignment="0" applyProtection="0">
      <alignment vertical="center"/>
    </xf>
    <xf numFmtId="0" fontId="102" fillId="0" borderId="60" applyNumberFormat="0" applyFill="0" applyAlignment="0" applyProtection="0">
      <alignment vertical="center"/>
    </xf>
    <xf numFmtId="0" fontId="55" fillId="0" borderId="60" applyNumberFormat="0" applyFill="0" applyAlignment="0" applyProtection="0"/>
    <xf numFmtId="0" fontId="50" fillId="43" borderId="57" applyNumberFormat="0" applyAlignment="0" applyProtection="0"/>
    <xf numFmtId="0" fontId="55" fillId="0" borderId="60" applyNumberFormat="0" applyFill="0" applyAlignment="0" applyProtection="0"/>
    <xf numFmtId="0" fontId="5" fillId="59" borderId="58" applyNumberFormat="0" applyFont="0" applyAlignment="0" applyProtection="0"/>
    <xf numFmtId="0" fontId="50" fillId="43" borderId="57" applyNumberFormat="0" applyAlignment="0" applyProtection="0"/>
    <xf numFmtId="0" fontId="53" fillId="56" borderId="59" applyNumberFormat="0" applyAlignment="0" applyProtection="0"/>
    <xf numFmtId="0" fontId="118" fillId="0" borderId="56">
      <alignment horizontal="left" vertical="center"/>
    </xf>
    <xf numFmtId="0" fontId="53" fillId="97" borderId="59" applyNumberFormat="0" applyAlignment="0" applyProtection="0"/>
    <xf numFmtId="0" fontId="43" fillId="56" borderId="57" applyNumberFormat="0" applyAlignment="0" applyProtection="0"/>
    <xf numFmtId="0" fontId="95" fillId="77" borderId="59" applyNumberFormat="0" applyAlignment="0" applyProtection="0">
      <alignment vertical="center"/>
    </xf>
    <xf numFmtId="0" fontId="53" fillId="56" borderId="59" applyNumberFormat="0" applyAlignment="0" applyProtection="0"/>
    <xf numFmtId="0" fontId="5" fillId="59" borderId="58" applyNumberFormat="0" applyFont="0" applyAlignment="0" applyProtection="0"/>
    <xf numFmtId="0" fontId="55" fillId="0" borderId="60" applyNumberFormat="0" applyFill="0" applyAlignment="0" applyProtection="0"/>
    <xf numFmtId="0" fontId="2" fillId="59" borderId="58" applyNumberFormat="0" applyFont="0" applyAlignment="0" applyProtection="0"/>
    <xf numFmtId="0" fontId="50" fillId="43" borderId="57" applyNumberFormat="0" applyAlignment="0" applyProtection="0"/>
    <xf numFmtId="0" fontId="93" fillId="77" borderId="57" applyNumberFormat="0" applyAlignment="0" applyProtection="0">
      <alignment vertical="center"/>
    </xf>
    <xf numFmtId="0" fontId="107" fillId="83" borderId="57" applyNumberFormat="0" applyAlignment="0" applyProtection="0">
      <alignment vertical="center"/>
    </xf>
    <xf numFmtId="0" fontId="102" fillId="0" borderId="60" applyNumberFormat="0" applyFill="0" applyAlignment="0" applyProtection="0">
      <alignment vertical="center"/>
    </xf>
    <xf numFmtId="0" fontId="102" fillId="0" borderId="60" applyNumberFormat="0" applyFill="0" applyAlignment="0" applyProtection="0">
      <alignment vertical="center"/>
    </xf>
    <xf numFmtId="0" fontId="102" fillId="0" borderId="60" applyNumberFormat="0" applyFill="0" applyAlignment="0" applyProtection="0">
      <alignment vertical="center"/>
    </xf>
    <xf numFmtId="0" fontId="50" fillId="43" borderId="57" applyNumberFormat="0" applyAlignment="0" applyProtection="0"/>
    <xf numFmtId="0" fontId="95" fillId="77" borderId="59" applyNumberFormat="0" applyAlignment="0" applyProtection="0">
      <alignment vertical="center"/>
    </xf>
    <xf numFmtId="0" fontId="93" fillId="77" borderId="57" applyNumberFormat="0" applyAlignment="0" applyProtection="0">
      <alignment vertical="center"/>
    </xf>
    <xf numFmtId="0" fontId="107" fillId="83" borderId="57" applyNumberFormat="0" applyAlignment="0" applyProtection="0">
      <alignment vertical="center"/>
    </xf>
    <xf numFmtId="0" fontId="92" fillId="96" borderId="58" applyNumberFormat="0" applyFont="0" applyAlignment="0" applyProtection="0">
      <alignment vertical="center"/>
    </xf>
    <xf numFmtId="0" fontId="107" fillId="83" borderId="57" applyNumberFormat="0" applyAlignment="0" applyProtection="0">
      <alignment vertical="center"/>
    </xf>
    <xf numFmtId="0" fontId="95" fillId="77" borderId="59" applyNumberFormat="0" applyAlignment="0" applyProtection="0">
      <alignment vertical="center"/>
    </xf>
    <xf numFmtId="0" fontId="102" fillId="0" borderId="60" applyNumberFormat="0" applyFill="0" applyAlignment="0" applyProtection="0">
      <alignment vertical="center"/>
    </xf>
    <xf numFmtId="0" fontId="92" fillId="96" borderId="58" applyNumberFormat="0" applyFont="0" applyAlignment="0" applyProtection="0">
      <alignment vertical="center"/>
    </xf>
    <xf numFmtId="0" fontId="92" fillId="96" borderId="58" applyNumberFormat="0" applyFont="0" applyAlignment="0" applyProtection="0">
      <alignment vertical="center"/>
    </xf>
    <xf numFmtId="0" fontId="43" fillId="97" borderId="57" applyNumberFormat="0" applyAlignment="0" applyProtection="0"/>
    <xf numFmtId="0" fontId="55" fillId="0" borderId="63" applyNumberFormat="0" applyFill="0" applyAlignment="0" applyProtection="0"/>
    <xf numFmtId="0" fontId="50" fillId="43" borderId="57" applyNumberFormat="0" applyAlignment="0" applyProtection="0"/>
    <xf numFmtId="0" fontId="93" fillId="77" borderId="57" applyNumberFormat="0" applyAlignment="0" applyProtection="0">
      <alignment vertical="center"/>
    </xf>
    <xf numFmtId="0" fontId="107" fillId="83" borderId="57" applyNumberFormat="0" applyAlignment="0" applyProtection="0">
      <alignment vertical="center"/>
    </xf>
    <xf numFmtId="0" fontId="92" fillId="96" borderId="58" applyNumberFormat="0" applyFont="0" applyAlignment="0" applyProtection="0">
      <alignment vertical="center"/>
    </xf>
    <xf numFmtId="0" fontId="93" fillId="77" borderId="57" applyNumberFormat="0" applyAlignment="0" applyProtection="0">
      <alignment vertical="center"/>
    </xf>
    <xf numFmtId="0" fontId="107" fillId="83" borderId="57" applyNumberFormat="0" applyAlignment="0" applyProtection="0">
      <alignment vertical="center"/>
    </xf>
    <xf numFmtId="0" fontId="92" fillId="96" borderId="58" applyNumberFormat="0" applyFont="0" applyAlignment="0" applyProtection="0">
      <alignment vertical="center"/>
    </xf>
    <xf numFmtId="0" fontId="93" fillId="77" borderId="57" applyNumberFormat="0" applyAlignment="0" applyProtection="0">
      <alignment vertical="center"/>
    </xf>
    <xf numFmtId="0" fontId="93" fillId="77" borderId="57" applyNumberFormat="0" applyAlignment="0" applyProtection="0">
      <alignment vertical="center"/>
    </xf>
    <xf numFmtId="0" fontId="95" fillId="77" borderId="59" applyNumberFormat="0" applyAlignment="0" applyProtection="0">
      <alignment vertical="center"/>
    </xf>
    <xf numFmtId="0" fontId="102" fillId="0" borderId="60" applyNumberFormat="0" applyFill="0" applyAlignment="0" applyProtection="0">
      <alignment vertical="center"/>
    </xf>
    <xf numFmtId="0" fontId="95" fillId="77" borderId="59" applyNumberFormat="0" applyAlignment="0" applyProtection="0">
      <alignment vertical="center"/>
    </xf>
    <xf numFmtId="0" fontId="95" fillId="77" borderId="59" applyNumberFormat="0" applyAlignment="0" applyProtection="0">
      <alignment vertical="center"/>
    </xf>
    <xf numFmtId="0" fontId="92" fillId="96" borderId="58" applyNumberFormat="0" applyFont="0" applyAlignment="0" applyProtection="0">
      <alignment vertical="center"/>
    </xf>
    <xf numFmtId="0" fontId="92" fillId="96" borderId="58" applyNumberFormat="0" applyFont="0" applyAlignment="0" applyProtection="0">
      <alignment vertical="center"/>
    </xf>
    <xf numFmtId="0" fontId="107" fillId="83" borderId="57" applyNumberFormat="0" applyAlignment="0" applyProtection="0">
      <alignment vertical="center"/>
    </xf>
    <xf numFmtId="9" fontId="2" fillId="0" borderId="0" applyFont="0" applyFill="0" applyBorder="0" applyAlignment="0" applyProtection="0"/>
    <xf numFmtId="0" fontId="93" fillId="77" borderId="57" applyNumberFormat="0" applyAlignment="0" applyProtection="0">
      <alignment vertical="center"/>
    </xf>
    <xf numFmtId="43" fontId="1" fillId="0" borderId="0" applyFont="0" applyFill="0" applyBorder="0" applyAlignment="0" applyProtection="0"/>
    <xf numFmtId="0" fontId="92" fillId="96" borderId="58" applyNumberFormat="0" applyFont="0" applyAlignment="0" applyProtection="0">
      <alignment vertical="center"/>
    </xf>
    <xf numFmtId="0" fontId="93" fillId="77" borderId="57" applyNumberFormat="0" applyAlignment="0" applyProtection="0">
      <alignment vertical="center"/>
    </xf>
    <xf numFmtId="0" fontId="93" fillId="77" borderId="57" applyNumberFormat="0" applyAlignment="0" applyProtection="0">
      <alignment vertical="center"/>
    </xf>
    <xf numFmtId="0" fontId="93" fillId="77" borderId="57" applyNumberFormat="0" applyAlignment="0" applyProtection="0">
      <alignment vertical="center"/>
    </xf>
    <xf numFmtId="0" fontId="50" fillId="43" borderId="57" applyNumberFormat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0" fontId="1" fillId="0" borderId="0"/>
    <xf numFmtId="0" fontId="74" fillId="0" borderId="0"/>
    <xf numFmtId="0" fontId="107" fillId="83" borderId="57" applyNumberFormat="0" applyAlignment="0" applyProtection="0">
      <alignment vertical="center"/>
    </xf>
    <xf numFmtId="0" fontId="5" fillId="59" borderId="58" applyNumberFormat="0" applyFont="0" applyAlignment="0" applyProtection="0"/>
    <xf numFmtId="10" fontId="116" fillId="96" borderId="49" applyNumberFormat="0" applyBorder="0" applyAlignment="0" applyProtection="0"/>
    <xf numFmtId="0" fontId="53" fillId="56" borderId="59" applyNumberFormat="0" applyAlignment="0" applyProtection="0"/>
    <xf numFmtId="0" fontId="55" fillId="0" borderId="60" applyNumberFormat="0" applyFill="0" applyAlignment="0" applyProtection="0"/>
    <xf numFmtId="0" fontId="55" fillId="0" borderId="60" applyNumberFormat="0" applyFill="0" applyAlignment="0" applyProtection="0"/>
    <xf numFmtId="0" fontId="53" fillId="56" borderId="59" applyNumberFormat="0" applyAlignment="0" applyProtection="0"/>
    <xf numFmtId="0" fontId="95" fillId="77" borderId="59" applyNumberFormat="0" applyAlignment="0" applyProtection="0">
      <alignment vertical="center"/>
    </xf>
    <xf numFmtId="0" fontId="102" fillId="0" borderId="60" applyNumberFormat="0" applyFill="0" applyAlignment="0" applyProtection="0">
      <alignment vertical="center"/>
    </xf>
    <xf numFmtId="0" fontId="95" fillId="77" borderId="59" applyNumberFormat="0" applyAlignment="0" applyProtection="0">
      <alignment vertical="center"/>
    </xf>
    <xf numFmtId="0" fontId="102" fillId="0" borderId="60" applyNumberFormat="0" applyFill="0" applyAlignment="0" applyProtection="0">
      <alignment vertical="center"/>
    </xf>
    <xf numFmtId="0" fontId="95" fillId="77" borderId="59" applyNumberFormat="0" applyAlignment="0" applyProtection="0">
      <alignment vertical="center"/>
    </xf>
    <xf numFmtId="0" fontId="102" fillId="0" borderId="60" applyNumberFormat="0" applyFill="0" applyAlignment="0" applyProtection="0">
      <alignment vertical="center"/>
    </xf>
    <xf numFmtId="0" fontId="95" fillId="77" borderId="59" applyNumberFormat="0" applyAlignment="0" applyProtection="0">
      <alignment vertical="center"/>
    </xf>
    <xf numFmtId="0" fontId="102" fillId="0" borderId="60" applyNumberFormat="0" applyFill="0" applyAlignment="0" applyProtection="0">
      <alignment vertical="center"/>
    </xf>
    <xf numFmtId="0" fontId="95" fillId="77" borderId="59" applyNumberFormat="0" applyAlignment="0" applyProtection="0">
      <alignment vertical="center"/>
    </xf>
    <xf numFmtId="0" fontId="102" fillId="0" borderId="60" applyNumberFormat="0" applyFill="0" applyAlignment="0" applyProtection="0">
      <alignment vertical="center"/>
    </xf>
    <xf numFmtId="0" fontId="102" fillId="0" borderId="60" applyNumberFormat="0" applyFill="0" applyAlignment="0" applyProtection="0">
      <alignment vertical="center"/>
    </xf>
    <xf numFmtId="0" fontId="95" fillId="77" borderId="59" applyNumberFormat="0" applyAlignment="0" applyProtection="0">
      <alignment vertical="center"/>
    </xf>
    <xf numFmtId="0" fontId="53" fillId="56" borderId="59" applyNumberFormat="0" applyAlignment="0" applyProtection="0"/>
    <xf numFmtId="0" fontId="55" fillId="0" borderId="60" applyNumberFormat="0" applyFill="0" applyAlignment="0" applyProtection="0"/>
    <xf numFmtId="0" fontId="118" fillId="0" borderId="56">
      <alignment horizontal="left" vertical="center"/>
    </xf>
    <xf numFmtId="10" fontId="116" fillId="96" borderId="49" applyNumberFormat="0" applyBorder="0" applyAlignment="0" applyProtection="0"/>
    <xf numFmtId="0" fontId="53" fillId="97" borderId="59" applyNumberFormat="0" applyAlignment="0" applyProtection="0"/>
    <xf numFmtId="0" fontId="55" fillId="0" borderId="63" applyNumberFormat="0" applyFill="0" applyAlignment="0" applyProtection="0"/>
    <xf numFmtId="0" fontId="53" fillId="56" borderId="59" applyNumberFormat="0" applyAlignment="0" applyProtection="0"/>
    <xf numFmtId="0" fontId="102" fillId="0" borderId="60" applyNumberFormat="0" applyFill="0" applyAlignment="0" applyProtection="0">
      <alignment vertical="center"/>
    </xf>
    <xf numFmtId="0" fontId="55" fillId="0" borderId="60" applyNumberFormat="0" applyFill="0" applyAlignment="0" applyProtection="0"/>
    <xf numFmtId="0" fontId="55" fillId="0" borderId="60" applyNumberFormat="0" applyFill="0" applyAlignment="0" applyProtection="0"/>
    <xf numFmtId="0" fontId="53" fillId="56" borderId="59" applyNumberFormat="0" applyAlignment="0" applyProtection="0"/>
    <xf numFmtId="0" fontId="118" fillId="0" borderId="56">
      <alignment horizontal="left" vertical="center"/>
    </xf>
    <xf numFmtId="0" fontId="53" fillId="97" borderId="59" applyNumberFormat="0" applyAlignment="0" applyProtection="0"/>
    <xf numFmtId="0" fontId="95" fillId="77" borderId="59" applyNumberFormat="0" applyAlignment="0" applyProtection="0">
      <alignment vertical="center"/>
    </xf>
    <xf numFmtId="0" fontId="53" fillId="56" borderId="59" applyNumberFormat="0" applyAlignment="0" applyProtection="0"/>
    <xf numFmtId="0" fontId="55" fillId="0" borderId="60" applyNumberFormat="0" applyFill="0" applyAlignment="0" applyProtection="0"/>
    <xf numFmtId="0" fontId="102" fillId="0" borderId="60" applyNumberFormat="0" applyFill="0" applyAlignment="0" applyProtection="0">
      <alignment vertical="center"/>
    </xf>
    <xf numFmtId="0" fontId="102" fillId="0" borderId="60" applyNumberFormat="0" applyFill="0" applyAlignment="0" applyProtection="0">
      <alignment vertical="center"/>
    </xf>
    <xf numFmtId="0" fontId="102" fillId="0" borderId="60" applyNumberFormat="0" applyFill="0" applyAlignment="0" applyProtection="0">
      <alignment vertical="center"/>
    </xf>
    <xf numFmtId="0" fontId="95" fillId="77" borderId="59" applyNumberFormat="0" applyAlignment="0" applyProtection="0">
      <alignment vertical="center"/>
    </xf>
    <xf numFmtId="0" fontId="95" fillId="77" borderId="59" applyNumberFormat="0" applyAlignment="0" applyProtection="0">
      <alignment vertical="center"/>
    </xf>
    <xf numFmtId="0" fontId="102" fillId="0" borderId="60" applyNumberFormat="0" applyFill="0" applyAlignment="0" applyProtection="0">
      <alignment vertical="center"/>
    </xf>
    <xf numFmtId="0" fontId="55" fillId="0" borderId="63" applyNumberFormat="0" applyFill="0" applyAlignment="0" applyProtection="0"/>
    <xf numFmtId="0" fontId="95" fillId="77" borderId="59" applyNumberFormat="0" applyAlignment="0" applyProtection="0">
      <alignment vertical="center"/>
    </xf>
    <xf numFmtId="0" fontId="102" fillId="0" borderId="60" applyNumberFormat="0" applyFill="0" applyAlignment="0" applyProtection="0">
      <alignment vertical="center"/>
    </xf>
    <xf numFmtId="0" fontId="95" fillId="77" borderId="59" applyNumberFormat="0" applyAlignment="0" applyProtection="0">
      <alignment vertical="center"/>
    </xf>
    <xf numFmtId="0" fontId="95" fillId="77" borderId="59" applyNumberFormat="0" applyAlignment="0" applyProtection="0">
      <alignment vertical="center"/>
    </xf>
    <xf numFmtId="0" fontId="5" fillId="59" borderId="58" applyNumberFormat="0" applyFont="0" applyAlignment="0" applyProtection="0"/>
    <xf numFmtId="0" fontId="50" fillId="43" borderId="57" applyNumberFormat="0" applyAlignment="0" applyProtection="0"/>
    <xf numFmtId="0" fontId="43" fillId="56" borderId="57" applyNumberFormat="0" applyAlignment="0" applyProtection="0"/>
    <xf numFmtId="0" fontId="5" fillId="59" borderId="58" applyNumberFormat="0" applyFont="0" applyAlignment="0" applyProtection="0"/>
    <xf numFmtId="0" fontId="2" fillId="59" borderId="58" applyNumberFormat="0" applyFont="0" applyAlignment="0" applyProtection="0"/>
    <xf numFmtId="0" fontId="50" fillId="43" borderId="57" applyNumberFormat="0" applyAlignment="0" applyProtection="0"/>
    <xf numFmtId="0" fontId="93" fillId="77" borderId="57" applyNumberFormat="0" applyAlignment="0" applyProtection="0">
      <alignment vertical="center"/>
    </xf>
    <xf numFmtId="0" fontId="107" fillId="83" borderId="57" applyNumberFormat="0" applyAlignment="0" applyProtection="0">
      <alignment vertical="center"/>
    </xf>
    <xf numFmtId="0" fontId="50" fillId="43" borderId="57" applyNumberFormat="0" applyAlignment="0" applyProtection="0"/>
    <xf numFmtId="0" fontId="93" fillId="77" borderId="57" applyNumberFormat="0" applyAlignment="0" applyProtection="0">
      <alignment vertical="center"/>
    </xf>
    <xf numFmtId="0" fontId="107" fillId="83" borderId="57" applyNumberFormat="0" applyAlignment="0" applyProtection="0">
      <alignment vertical="center"/>
    </xf>
    <xf numFmtId="0" fontId="92" fillId="96" borderId="58" applyNumberFormat="0" applyFont="0" applyAlignment="0" applyProtection="0">
      <alignment vertical="center"/>
    </xf>
    <xf numFmtId="0" fontId="107" fillId="83" borderId="57" applyNumberFormat="0" applyAlignment="0" applyProtection="0">
      <alignment vertical="center"/>
    </xf>
    <xf numFmtId="0" fontId="92" fillId="96" borderId="58" applyNumberFormat="0" applyFont="0" applyAlignment="0" applyProtection="0">
      <alignment vertical="center"/>
    </xf>
    <xf numFmtId="0" fontId="92" fillId="96" borderId="58" applyNumberFormat="0" applyFont="0" applyAlignment="0" applyProtection="0">
      <alignment vertical="center"/>
    </xf>
    <xf numFmtId="0" fontId="43" fillId="97" borderId="57" applyNumberFormat="0" applyAlignment="0" applyProtection="0"/>
    <xf numFmtId="0" fontId="50" fillId="43" borderId="57" applyNumberFormat="0" applyAlignment="0" applyProtection="0"/>
    <xf numFmtId="0" fontId="93" fillId="77" borderId="57" applyNumberFormat="0" applyAlignment="0" applyProtection="0">
      <alignment vertical="center"/>
    </xf>
    <xf numFmtId="0" fontId="107" fillId="83" borderId="57" applyNumberFormat="0" applyAlignment="0" applyProtection="0">
      <alignment vertical="center"/>
    </xf>
    <xf numFmtId="0" fontId="92" fillId="96" borderId="58" applyNumberFormat="0" applyFont="0" applyAlignment="0" applyProtection="0">
      <alignment vertical="center"/>
    </xf>
    <xf numFmtId="0" fontId="93" fillId="77" borderId="57" applyNumberFormat="0" applyAlignment="0" applyProtection="0">
      <alignment vertical="center"/>
    </xf>
    <xf numFmtId="0" fontId="107" fillId="83" borderId="57" applyNumberFormat="0" applyAlignment="0" applyProtection="0">
      <alignment vertical="center"/>
    </xf>
    <xf numFmtId="0" fontId="92" fillId="96" borderId="58" applyNumberFormat="0" applyFont="0" applyAlignment="0" applyProtection="0">
      <alignment vertical="center"/>
    </xf>
    <xf numFmtId="0" fontId="93" fillId="77" borderId="57" applyNumberFormat="0" applyAlignment="0" applyProtection="0">
      <alignment vertical="center"/>
    </xf>
    <xf numFmtId="0" fontId="93" fillId="77" borderId="57" applyNumberFormat="0" applyAlignment="0" applyProtection="0">
      <alignment vertical="center"/>
    </xf>
    <xf numFmtId="0" fontId="92" fillId="96" borderId="58" applyNumberFormat="0" applyFont="0" applyAlignment="0" applyProtection="0">
      <alignment vertical="center"/>
    </xf>
    <xf numFmtId="0" fontId="2" fillId="0" borderId="0"/>
    <xf numFmtId="0" fontId="118" fillId="0" borderId="56">
      <alignment horizontal="left" vertical="center"/>
    </xf>
    <xf numFmtId="0" fontId="118" fillId="0" borderId="56">
      <alignment horizontal="left" vertical="center"/>
    </xf>
    <xf numFmtId="0" fontId="118" fillId="0" borderId="56">
      <alignment horizontal="left" vertical="center"/>
    </xf>
    <xf numFmtId="0" fontId="118" fillId="0" borderId="56">
      <alignment horizontal="left" vertical="center"/>
    </xf>
    <xf numFmtId="0" fontId="43" fillId="56" borderId="65" applyNumberFormat="0" applyAlignment="0" applyProtection="0"/>
    <xf numFmtId="43" fontId="5" fillId="0" borderId="0" applyFont="0" applyFill="0" applyBorder="0" applyAlignment="0" applyProtection="0"/>
    <xf numFmtId="0" fontId="5" fillId="59" borderId="58" applyNumberFormat="0" applyFont="0" applyAlignment="0" applyProtection="0"/>
    <xf numFmtId="0" fontId="50" fillId="43" borderId="65" applyNumberFormat="0" applyAlignment="0" applyProtection="0"/>
    <xf numFmtId="0" fontId="55" fillId="0" borderId="67" applyNumberFormat="0" applyFill="0" applyAlignment="0" applyProtection="0"/>
    <xf numFmtId="0" fontId="50" fillId="58" borderId="65" applyNumberFormat="0" applyAlignment="0" applyProtection="0"/>
    <xf numFmtId="0" fontId="95" fillId="77" borderId="66" applyNumberFormat="0" applyAlignment="0" applyProtection="0">
      <alignment vertical="center"/>
    </xf>
    <xf numFmtId="0" fontId="93" fillId="77" borderId="65" applyNumberFormat="0" applyAlignment="0" applyProtection="0">
      <alignment vertical="center"/>
    </xf>
    <xf numFmtId="0" fontId="55" fillId="0" borderId="67" applyNumberFormat="0" applyFill="0" applyAlignment="0" applyProtection="0"/>
    <xf numFmtId="0" fontId="55" fillId="0" borderId="68" applyNumberFormat="0" applyFill="0" applyAlignment="0" applyProtection="0"/>
    <xf numFmtId="0" fontId="50" fillId="43" borderId="65" applyNumberFormat="0" applyAlignment="0" applyProtection="0"/>
    <xf numFmtId="0" fontId="5" fillId="59" borderId="58" applyNumberFormat="0" applyFont="0" applyAlignment="0" applyProtection="0"/>
    <xf numFmtId="0" fontId="50" fillId="43" borderId="65" applyNumberFormat="0" applyAlignment="0" applyProtection="0"/>
    <xf numFmtId="0" fontId="53" fillId="97" borderId="66" applyNumberFormat="0" applyAlignment="0" applyProtection="0"/>
    <xf numFmtId="0" fontId="126" fillId="59" borderId="58" applyNumberFormat="0" applyFont="0" applyAlignment="0" applyProtection="0"/>
    <xf numFmtId="0" fontId="2" fillId="59" borderId="58" applyNumberFormat="0" applyFont="0" applyAlignment="0" applyProtection="0"/>
    <xf numFmtId="0" fontId="50" fillId="58" borderId="65" applyNumberFormat="0" applyAlignment="0" applyProtection="0"/>
    <xf numFmtId="0" fontId="102" fillId="0" borderId="67" applyNumberFormat="0" applyFill="0" applyAlignment="0" applyProtection="0">
      <alignment vertical="center"/>
    </xf>
    <xf numFmtId="0" fontId="5" fillId="59" borderId="58" applyNumberFormat="0" applyFont="0" applyAlignment="0" applyProtection="0"/>
    <xf numFmtId="0" fontId="107" fillId="83" borderId="65" applyNumberFormat="0" applyAlignment="0" applyProtection="0">
      <alignment vertical="center"/>
    </xf>
    <xf numFmtId="0" fontId="50" fillId="43" borderId="65" applyNumberFormat="0" applyAlignment="0" applyProtection="0"/>
    <xf numFmtId="0" fontId="93" fillId="77" borderId="65" applyNumberFormat="0" applyAlignment="0" applyProtection="0">
      <alignment vertical="center"/>
    </xf>
    <xf numFmtId="0" fontId="95" fillId="77" borderId="66" applyNumberFormat="0" applyAlignment="0" applyProtection="0">
      <alignment vertical="center"/>
    </xf>
    <xf numFmtId="0" fontId="93" fillId="77" borderId="65" applyNumberFormat="0" applyAlignment="0" applyProtection="0">
      <alignment vertical="center"/>
    </xf>
    <xf numFmtId="0" fontId="102" fillId="0" borderId="67" applyNumberFormat="0" applyFill="0" applyAlignment="0" applyProtection="0">
      <alignment vertical="center"/>
    </xf>
    <xf numFmtId="0" fontId="95" fillId="77" borderId="66" applyNumberFormat="0" applyAlignment="0" applyProtection="0">
      <alignment vertical="center"/>
    </xf>
    <xf numFmtId="0" fontId="102" fillId="0" borderId="67" applyNumberFormat="0" applyFill="0" applyAlignment="0" applyProtection="0">
      <alignment vertical="center"/>
    </xf>
    <xf numFmtId="0" fontId="107" fillId="83" borderId="65" applyNumberFormat="0" applyAlignment="0" applyProtection="0">
      <alignment vertical="center"/>
    </xf>
    <xf numFmtId="177" fontId="30" fillId="9" borderId="11" applyNumberFormat="0" applyAlignment="0" applyProtection="0"/>
    <xf numFmtId="0" fontId="107" fillId="83" borderId="65" applyNumberFormat="0" applyAlignment="0" applyProtection="0">
      <alignment vertical="center"/>
    </xf>
    <xf numFmtId="0" fontId="53" fillId="56" borderId="66" applyNumberFormat="0" applyAlignment="0" applyProtection="0"/>
    <xf numFmtId="0" fontId="95" fillId="77" borderId="66" applyNumberFormat="0" applyAlignment="0" applyProtection="0">
      <alignment vertical="center"/>
    </xf>
    <xf numFmtId="0" fontId="107" fillId="83" borderId="65" applyNumberFormat="0" applyAlignment="0" applyProtection="0">
      <alignment vertical="center"/>
    </xf>
    <xf numFmtId="0" fontId="102" fillId="0" borderId="67" applyNumberFormat="0" applyFill="0" applyAlignment="0" applyProtection="0">
      <alignment vertical="center"/>
    </xf>
    <xf numFmtId="0" fontId="95" fillId="77" borderId="66" applyNumberFormat="0" applyAlignment="0" applyProtection="0">
      <alignment vertical="center"/>
    </xf>
    <xf numFmtId="0" fontId="102" fillId="0" borderId="67" applyNumberFormat="0" applyFill="0" applyAlignment="0" applyProtection="0">
      <alignment vertical="center"/>
    </xf>
    <xf numFmtId="0" fontId="93" fillId="77" borderId="65" applyNumberFormat="0" applyAlignment="0" applyProtection="0">
      <alignment vertical="center"/>
    </xf>
    <xf numFmtId="0" fontId="93" fillId="77" borderId="65" applyNumberFormat="0" applyAlignment="0" applyProtection="0">
      <alignment vertical="center"/>
    </xf>
    <xf numFmtId="0" fontId="107" fillId="83" borderId="65" applyNumberFormat="0" applyAlignment="0" applyProtection="0">
      <alignment vertical="center"/>
    </xf>
    <xf numFmtId="0" fontId="93" fillId="77" borderId="65" applyNumberFormat="0" applyAlignment="0" applyProtection="0">
      <alignment vertical="center"/>
    </xf>
    <xf numFmtId="0" fontId="102" fillId="0" borderId="67" applyNumberFormat="0" applyFill="0" applyAlignment="0" applyProtection="0">
      <alignment vertical="center"/>
    </xf>
    <xf numFmtId="0" fontId="95" fillId="77" borderId="66" applyNumberFormat="0" applyAlignment="0" applyProtection="0">
      <alignment vertical="center"/>
    </xf>
    <xf numFmtId="0" fontId="107" fillId="83" borderId="65" applyNumberFormat="0" applyAlignment="0" applyProtection="0">
      <alignment vertical="center"/>
    </xf>
    <xf numFmtId="0" fontId="5" fillId="59" borderId="58" applyNumberFormat="0" applyFont="0" applyAlignment="0" applyProtection="0"/>
    <xf numFmtId="0" fontId="50" fillId="43" borderId="65" applyNumberFormat="0" applyAlignment="0" applyProtection="0"/>
    <xf numFmtId="0" fontId="53" fillId="56" borderId="66" applyNumberFormat="0" applyAlignment="0" applyProtection="0"/>
    <xf numFmtId="0" fontId="50" fillId="43" borderId="65" applyNumberFormat="0" applyAlignment="0" applyProtection="0"/>
    <xf numFmtId="0" fontId="53" fillId="56" borderId="66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2" fillId="59" borderId="58" applyNumberFormat="0" applyFont="0" applyAlignment="0" applyProtection="0"/>
    <xf numFmtId="0" fontId="5" fillId="59" borderId="58" applyNumberFormat="0" applyFont="0" applyAlignment="0" applyProtection="0"/>
    <xf numFmtId="0" fontId="126" fillId="59" borderId="58" applyNumberFormat="0" applyFont="0" applyAlignment="0" applyProtection="0"/>
    <xf numFmtId="0" fontId="5" fillId="59" borderId="58" applyNumberFormat="0" applyFont="0" applyAlignment="0" applyProtection="0"/>
    <xf numFmtId="0" fontId="2" fillId="59" borderId="58" applyNumberFormat="0" applyFont="0" applyAlignment="0" applyProtection="0"/>
    <xf numFmtId="0" fontId="50" fillId="43" borderId="65" applyNumberFormat="0" applyAlignment="0" applyProtection="0"/>
    <xf numFmtId="0" fontId="55" fillId="0" borderId="67" applyNumberFormat="0" applyFill="0" applyAlignment="0" applyProtection="0"/>
    <xf numFmtId="0" fontId="50" fillId="58" borderId="65" applyNumberFormat="0" applyAlignment="0" applyProtection="0"/>
    <xf numFmtId="0" fontId="50" fillId="43" borderId="65" applyNumberFormat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3" fillId="56" borderId="66" applyNumberFormat="0" applyAlignment="0" applyProtection="0"/>
    <xf numFmtId="0" fontId="126" fillId="59" borderId="58" applyNumberFormat="0" applyFont="0" applyAlignment="0" applyProtection="0"/>
    <xf numFmtId="0" fontId="5" fillId="59" borderId="58" applyNumberFormat="0" applyFont="0" applyAlignment="0" applyProtection="0"/>
    <xf numFmtId="0" fontId="55" fillId="0" borderId="67" applyNumberFormat="0" applyFill="0" applyAlignment="0" applyProtection="0"/>
    <xf numFmtId="0" fontId="55" fillId="0" borderId="68" applyNumberFormat="0" applyFill="0" applyAlignment="0" applyProtection="0"/>
    <xf numFmtId="0" fontId="55" fillId="0" borderId="67" applyNumberFormat="0" applyFill="0" applyAlignment="0" applyProtection="0"/>
    <xf numFmtId="0" fontId="43" fillId="56" borderId="65" applyNumberFormat="0" applyAlignment="0" applyProtection="0"/>
    <xf numFmtId="0" fontId="53" fillId="97" borderId="66" applyNumberFormat="0" applyAlignment="0" applyProtection="0"/>
    <xf numFmtId="0" fontId="53" fillId="97" borderId="66" applyNumberFormat="0" applyAlignment="0" applyProtection="0"/>
    <xf numFmtId="0" fontId="126" fillId="59" borderId="58" applyNumberFormat="0" applyFont="0" applyAlignment="0" applyProtection="0"/>
    <xf numFmtId="0" fontId="43" fillId="56" borderId="65" applyNumberFormat="0" applyAlignment="0" applyProtection="0"/>
    <xf numFmtId="0" fontId="126" fillId="59" borderId="58" applyNumberFormat="0" applyFont="0" applyAlignment="0" applyProtection="0"/>
    <xf numFmtId="0" fontId="50" fillId="43" borderId="65" applyNumberFormat="0" applyAlignment="0" applyProtection="0"/>
    <xf numFmtId="0" fontId="2" fillId="59" borderId="58" applyNumberFormat="0" applyFont="0" applyAlignment="0" applyProtection="0"/>
    <xf numFmtId="0" fontId="53" fillId="56" borderId="66" applyNumberFormat="0" applyAlignment="0" applyProtection="0"/>
    <xf numFmtId="0" fontId="55" fillId="0" borderId="67" applyNumberFormat="0" applyFill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43" fontId="5" fillId="0" borderId="0" applyFont="0" applyFill="0" applyBorder="0" applyAlignment="0" applyProtection="0"/>
    <xf numFmtId="177" fontId="22" fillId="0" borderId="16" applyNumberFormat="0" applyFill="0" applyAlignment="0" applyProtection="0"/>
    <xf numFmtId="0" fontId="55" fillId="0" borderId="67" applyNumberFormat="0" applyFill="0" applyAlignment="0" applyProtection="0"/>
    <xf numFmtId="0" fontId="50" fillId="58" borderId="65" applyNumberFormat="0" applyAlignment="0" applyProtection="0"/>
    <xf numFmtId="0" fontId="50" fillId="43" borderId="65" applyNumberFormat="0" applyAlignment="0" applyProtection="0"/>
    <xf numFmtId="177" fontId="31" fillId="10" borderId="12" applyNumberFormat="0" applyAlignment="0" applyProtection="0"/>
    <xf numFmtId="0" fontId="53" fillId="56" borderId="66" applyNumberFormat="0" applyAlignment="0" applyProtection="0"/>
    <xf numFmtId="0" fontId="43" fillId="97" borderId="65" applyNumberFormat="0" applyAlignment="0" applyProtection="0"/>
    <xf numFmtId="0" fontId="50" fillId="58" borderId="65" applyNumberFormat="0" applyAlignment="0" applyProtection="0"/>
    <xf numFmtId="0" fontId="118" fillId="0" borderId="64">
      <alignment horizontal="left" vertical="center"/>
    </xf>
    <xf numFmtId="0" fontId="50" fillId="58" borderId="65" applyNumberFormat="0" applyAlignment="0" applyProtection="0"/>
    <xf numFmtId="0" fontId="126" fillId="59" borderId="58" applyNumberFormat="0" applyFont="0" applyAlignment="0" applyProtection="0"/>
    <xf numFmtId="0" fontId="53" fillId="97" borderId="66" applyNumberFormat="0" applyAlignment="0" applyProtection="0"/>
    <xf numFmtId="0" fontId="53" fillId="56" borderId="66" applyNumberFormat="0" applyAlignment="0" applyProtection="0"/>
    <xf numFmtId="0" fontId="43" fillId="56" borderId="65" applyNumberFormat="0" applyAlignment="0" applyProtection="0"/>
    <xf numFmtId="0" fontId="55" fillId="0" borderId="68" applyNumberFormat="0" applyFill="0" applyAlignment="0" applyProtection="0"/>
    <xf numFmtId="0" fontId="55" fillId="0" borderId="67" applyNumberFormat="0" applyFill="0" applyAlignment="0" applyProtection="0"/>
    <xf numFmtId="0" fontId="5" fillId="59" borderId="58" applyNumberFormat="0" applyFont="0" applyAlignment="0" applyProtection="0"/>
    <xf numFmtId="0" fontId="2" fillId="59" borderId="58" applyNumberFormat="0" applyFon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58" borderId="65" applyNumberFormat="0" applyAlignment="0" applyProtection="0"/>
    <xf numFmtId="0" fontId="55" fillId="0" borderId="67" applyNumberFormat="0" applyFill="0" applyAlignment="0" applyProtection="0"/>
    <xf numFmtId="0" fontId="53" fillId="56" borderId="66" applyNumberFormat="0" applyAlignment="0" applyProtection="0"/>
    <xf numFmtId="0" fontId="50" fillId="43" borderId="65" applyNumberFormat="0" applyAlignment="0" applyProtection="0"/>
    <xf numFmtId="177" fontId="22" fillId="0" borderId="16" applyNumberFormat="0" applyFill="0" applyAlignment="0" applyProtection="0"/>
    <xf numFmtId="0" fontId="5" fillId="59" borderId="58" applyNumberFormat="0" applyFont="0" applyAlignment="0" applyProtection="0"/>
    <xf numFmtId="177" fontId="31" fillId="10" borderId="12" applyNumberFormat="0" applyAlignment="0" applyProtection="0"/>
    <xf numFmtId="0" fontId="55" fillId="0" borderId="68" applyNumberFormat="0" applyFill="0" applyAlignment="0" applyProtection="0"/>
    <xf numFmtId="0" fontId="55" fillId="0" borderId="67" applyNumberFormat="0" applyFill="0" applyAlignment="0" applyProtection="0"/>
    <xf numFmtId="0" fontId="53" fillId="97" borderId="66" applyNumberFormat="0" applyAlignment="0" applyProtection="0"/>
    <xf numFmtId="0" fontId="126" fillId="59" borderId="58" applyNumberFormat="0" applyFont="0" applyAlignment="0" applyProtection="0"/>
    <xf numFmtId="177" fontId="1" fillId="12" borderId="15" applyNumberFormat="0" applyFont="0" applyAlignment="0" applyProtection="0"/>
    <xf numFmtId="0" fontId="55" fillId="0" borderId="68" applyNumberFormat="0" applyFill="0" applyAlignment="0" applyProtection="0"/>
    <xf numFmtId="0" fontId="126" fillId="59" borderId="58" applyNumberFormat="0" applyFont="0" applyAlignment="0" applyProtection="0"/>
    <xf numFmtId="177" fontId="1" fillId="12" borderId="15" applyNumberFormat="0" applyFont="0" applyAlignment="0" applyProtection="0"/>
    <xf numFmtId="177" fontId="30" fillId="9" borderId="11" applyNumberFormat="0" applyAlignment="0" applyProtection="0"/>
    <xf numFmtId="0" fontId="53" fillId="56" borderId="66" applyNumberFormat="0" applyAlignment="0" applyProtection="0"/>
    <xf numFmtId="0" fontId="55" fillId="0" borderId="68" applyNumberFormat="0" applyFill="0" applyAlignment="0" applyProtection="0"/>
    <xf numFmtId="0" fontId="53" fillId="56" borderId="66" applyNumberFormat="0" applyAlignment="0" applyProtection="0"/>
    <xf numFmtId="0" fontId="5" fillId="59" borderId="58" applyNumberFormat="0" applyFon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43" fillId="56" borderId="65" applyNumberFormat="0" applyAlignment="0" applyProtection="0"/>
    <xf numFmtId="0" fontId="55" fillId="0" borderId="67" applyNumberFormat="0" applyFill="0" applyAlignment="0" applyProtection="0"/>
    <xf numFmtId="0" fontId="50" fillId="43" borderId="65" applyNumberFormat="0" applyAlignment="0" applyProtection="0"/>
    <xf numFmtId="0" fontId="126" fillId="59" borderId="58" applyNumberFormat="0" applyFont="0" applyAlignment="0" applyProtection="0"/>
    <xf numFmtId="0" fontId="50" fillId="58" borderId="65" applyNumberFormat="0" applyAlignment="0" applyProtection="0"/>
    <xf numFmtId="0" fontId="53" fillId="56" borderId="66" applyNumberFormat="0" applyAlignment="0" applyProtection="0"/>
    <xf numFmtId="0" fontId="43" fillId="56" borderId="65" applyNumberFormat="0" applyAlignment="0" applyProtection="0"/>
    <xf numFmtId="0" fontId="107" fillId="83" borderId="65" applyNumberFormat="0" applyAlignment="0" applyProtection="0">
      <alignment vertical="center"/>
    </xf>
    <xf numFmtId="0" fontId="102" fillId="0" borderId="67" applyNumberFormat="0" applyFill="0" applyAlignment="0" applyProtection="0">
      <alignment vertical="center"/>
    </xf>
    <xf numFmtId="0" fontId="55" fillId="0" borderId="67" applyNumberFormat="0" applyFill="0" applyAlignment="0" applyProtection="0"/>
    <xf numFmtId="0" fontId="50" fillId="43" borderId="65" applyNumberFormat="0" applyAlignment="0" applyProtection="0"/>
    <xf numFmtId="0" fontId="55" fillId="0" borderId="67" applyNumberFormat="0" applyFill="0" applyAlignment="0" applyProtection="0"/>
    <xf numFmtId="0" fontId="5" fillId="59" borderId="58" applyNumberFormat="0" applyFont="0" applyAlignment="0" applyProtection="0"/>
    <xf numFmtId="0" fontId="50" fillId="43" borderId="65" applyNumberFormat="0" applyAlignment="0" applyProtection="0"/>
    <xf numFmtId="0" fontId="53" fillId="56" borderId="66" applyNumberFormat="0" applyAlignment="0" applyProtection="0"/>
    <xf numFmtId="0" fontId="118" fillId="0" borderId="64">
      <alignment horizontal="left" vertical="center"/>
    </xf>
    <xf numFmtId="0" fontId="53" fillId="97" borderId="66" applyNumberFormat="0" applyAlignment="0" applyProtection="0"/>
    <xf numFmtId="0" fontId="43" fillId="56" borderId="65" applyNumberFormat="0" applyAlignment="0" applyProtection="0"/>
    <xf numFmtId="0" fontId="95" fillId="77" borderId="66" applyNumberFormat="0" applyAlignment="0" applyProtection="0">
      <alignment vertical="center"/>
    </xf>
    <xf numFmtId="0" fontId="53" fillId="56" borderId="66" applyNumberFormat="0" applyAlignment="0" applyProtection="0"/>
    <xf numFmtId="0" fontId="5" fillId="59" borderId="58" applyNumberFormat="0" applyFont="0" applyAlignment="0" applyProtection="0"/>
    <xf numFmtId="0" fontId="55" fillId="0" borderId="67" applyNumberFormat="0" applyFill="0" applyAlignment="0" applyProtection="0"/>
    <xf numFmtId="0" fontId="2" fillId="59" borderId="58" applyNumberFormat="0" applyFont="0" applyAlignment="0" applyProtection="0"/>
    <xf numFmtId="0" fontId="50" fillId="43" borderId="65" applyNumberFormat="0" applyAlignment="0" applyProtection="0"/>
    <xf numFmtId="0" fontId="93" fillId="77" borderId="65" applyNumberFormat="0" applyAlignment="0" applyProtection="0">
      <alignment vertical="center"/>
    </xf>
    <xf numFmtId="0" fontId="107" fillId="83" borderId="65" applyNumberFormat="0" applyAlignment="0" applyProtection="0">
      <alignment vertical="center"/>
    </xf>
    <xf numFmtId="0" fontId="102" fillId="0" borderId="67" applyNumberFormat="0" applyFill="0" applyAlignment="0" applyProtection="0">
      <alignment vertical="center"/>
    </xf>
    <xf numFmtId="0" fontId="102" fillId="0" borderId="67" applyNumberFormat="0" applyFill="0" applyAlignment="0" applyProtection="0">
      <alignment vertical="center"/>
    </xf>
    <xf numFmtId="0" fontId="102" fillId="0" borderId="67" applyNumberFormat="0" applyFill="0" applyAlignment="0" applyProtection="0">
      <alignment vertical="center"/>
    </xf>
    <xf numFmtId="0" fontId="50" fillId="43" borderId="65" applyNumberFormat="0" applyAlignment="0" applyProtection="0"/>
    <xf numFmtId="0" fontId="95" fillId="77" borderId="66" applyNumberFormat="0" applyAlignment="0" applyProtection="0">
      <alignment vertical="center"/>
    </xf>
    <xf numFmtId="0" fontId="93" fillId="77" borderId="65" applyNumberFormat="0" applyAlignment="0" applyProtection="0">
      <alignment vertical="center"/>
    </xf>
    <xf numFmtId="0" fontId="107" fillId="83" borderId="65" applyNumberFormat="0" applyAlignment="0" applyProtection="0">
      <alignment vertical="center"/>
    </xf>
    <xf numFmtId="0" fontId="107" fillId="83" borderId="65" applyNumberFormat="0" applyAlignment="0" applyProtection="0">
      <alignment vertical="center"/>
    </xf>
    <xf numFmtId="0" fontId="95" fillId="77" borderId="66" applyNumberFormat="0" applyAlignment="0" applyProtection="0">
      <alignment vertical="center"/>
    </xf>
    <xf numFmtId="0" fontId="102" fillId="0" borderId="67" applyNumberFormat="0" applyFill="0" applyAlignment="0" applyProtection="0">
      <alignment vertical="center"/>
    </xf>
    <xf numFmtId="178" fontId="1" fillId="0" borderId="0" applyFont="0" applyFill="0" applyBorder="0" applyAlignment="0" applyProtection="0"/>
    <xf numFmtId="0" fontId="5" fillId="59" borderId="58" applyNumberFormat="0" applyFont="0" applyAlignment="0" applyProtection="0"/>
    <xf numFmtId="0" fontId="43" fillId="97" borderId="65" applyNumberFormat="0" applyAlignment="0" applyProtection="0"/>
    <xf numFmtId="0" fontId="55" fillId="0" borderId="68" applyNumberFormat="0" applyFill="0" applyAlignment="0" applyProtection="0"/>
    <xf numFmtId="0" fontId="50" fillId="43" borderId="65" applyNumberFormat="0" applyAlignment="0" applyProtection="0"/>
    <xf numFmtId="0" fontId="93" fillId="77" borderId="65" applyNumberFormat="0" applyAlignment="0" applyProtection="0">
      <alignment vertical="center"/>
    </xf>
    <xf numFmtId="0" fontId="107" fillId="83" borderId="65" applyNumberFormat="0" applyAlignment="0" applyProtection="0">
      <alignment vertical="center"/>
    </xf>
    <xf numFmtId="0" fontId="93" fillId="77" borderId="65" applyNumberFormat="0" applyAlignment="0" applyProtection="0">
      <alignment vertical="center"/>
    </xf>
    <xf numFmtId="0" fontId="107" fillId="83" borderId="65" applyNumberFormat="0" applyAlignment="0" applyProtection="0">
      <alignment vertical="center"/>
    </xf>
    <xf numFmtId="0" fontId="93" fillId="77" borderId="65" applyNumberFormat="0" applyAlignment="0" applyProtection="0">
      <alignment vertical="center"/>
    </xf>
    <xf numFmtId="0" fontId="93" fillId="77" borderId="65" applyNumberFormat="0" applyAlignment="0" applyProtection="0">
      <alignment vertical="center"/>
    </xf>
    <xf numFmtId="0" fontId="95" fillId="77" borderId="66" applyNumberFormat="0" applyAlignment="0" applyProtection="0">
      <alignment vertical="center"/>
    </xf>
    <xf numFmtId="0" fontId="102" fillId="0" borderId="67" applyNumberFormat="0" applyFill="0" applyAlignment="0" applyProtection="0">
      <alignment vertical="center"/>
    </xf>
    <xf numFmtId="0" fontId="95" fillId="77" borderId="66" applyNumberFormat="0" applyAlignment="0" applyProtection="0">
      <alignment vertical="center"/>
    </xf>
    <xf numFmtId="0" fontId="95" fillId="77" borderId="66" applyNumberFormat="0" applyAlignment="0" applyProtection="0">
      <alignment vertical="center"/>
    </xf>
    <xf numFmtId="0" fontId="53" fillId="56" borderId="66" applyNumberFormat="0" applyAlignment="0" applyProtection="0"/>
    <xf numFmtId="0" fontId="126" fillId="59" borderId="58" applyNumberFormat="0" applyFont="0" applyAlignment="0" applyProtection="0"/>
    <xf numFmtId="0" fontId="50" fillId="58" borderId="65" applyNumberFormat="0" applyAlignment="0" applyProtection="0"/>
    <xf numFmtId="0" fontId="50" fillId="58" borderId="65" applyNumberFormat="0" applyAlignment="0" applyProtection="0"/>
    <xf numFmtId="0" fontId="43" fillId="56" borderId="65" applyNumberFormat="0" applyAlignment="0" applyProtection="0"/>
    <xf numFmtId="0" fontId="50" fillId="43" borderId="65" applyNumberFormat="0" applyAlignment="0" applyProtection="0"/>
    <xf numFmtId="0" fontId="107" fillId="83" borderId="65" applyNumberFormat="0" applyAlignment="0" applyProtection="0">
      <alignment vertical="center"/>
    </xf>
    <xf numFmtId="0" fontId="50" fillId="43" borderId="65" applyNumberFormat="0" applyAlignment="0" applyProtection="0"/>
    <xf numFmtId="0" fontId="50" fillId="43" borderId="65" applyNumberFormat="0" applyAlignment="0" applyProtection="0"/>
    <xf numFmtId="0" fontId="107" fillId="83" borderId="65" applyNumberFormat="0" applyAlignment="0" applyProtection="0">
      <alignment vertical="center"/>
    </xf>
    <xf numFmtId="0" fontId="5" fillId="59" borderId="58" applyNumberFormat="0" applyFont="0" applyAlignment="0" applyProtection="0"/>
    <xf numFmtId="0" fontId="43" fillId="56" borderId="65" applyNumberFormat="0" applyAlignment="0" applyProtection="0"/>
    <xf numFmtId="0" fontId="107" fillId="83" borderId="65" applyNumberFormat="0" applyAlignment="0" applyProtection="0">
      <alignment vertical="center"/>
    </xf>
    <xf numFmtId="0" fontId="43" fillId="97" borderId="65" applyNumberFormat="0" applyAlignment="0" applyProtection="0"/>
    <xf numFmtId="0" fontId="50" fillId="43" borderId="65" applyNumberFormat="0" applyAlignment="0" applyProtection="0"/>
    <xf numFmtId="0" fontId="107" fillId="83" borderId="65" applyNumberFormat="0" applyAlignment="0" applyProtection="0">
      <alignment vertical="center"/>
    </xf>
    <xf numFmtId="0" fontId="5" fillId="59" borderId="58" applyNumberFormat="0" applyFont="0" applyAlignment="0" applyProtection="0"/>
    <xf numFmtId="0" fontId="93" fillId="77" borderId="65" applyNumberFormat="0" applyAlignment="0" applyProtection="0">
      <alignment vertical="center"/>
    </xf>
    <xf numFmtId="0" fontId="2" fillId="59" borderId="58" applyNumberFormat="0" applyFont="0" applyAlignment="0" applyProtection="0"/>
    <xf numFmtId="0" fontId="55" fillId="0" borderId="67" applyNumberFormat="0" applyFill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50" fillId="43" borderId="65" applyNumberFormat="0" applyAlignment="0" applyProtection="0"/>
    <xf numFmtId="0" fontId="43" fillId="56" borderId="65" applyNumberFormat="0" applyAlignment="0" applyProtection="0"/>
    <xf numFmtId="0" fontId="107" fillId="83" borderId="65" applyNumberFormat="0" applyAlignment="0" applyProtection="0">
      <alignment vertical="center"/>
    </xf>
    <xf numFmtId="0" fontId="126" fillId="59" borderId="58" applyNumberFormat="0" applyFont="0" applyAlignment="0" applyProtection="0"/>
    <xf numFmtId="0" fontId="93" fillId="77" borderId="65" applyNumberFormat="0" applyAlignment="0" applyProtection="0">
      <alignment vertical="center"/>
    </xf>
    <xf numFmtId="0" fontId="43" fillId="56" borderId="65" applyNumberFormat="0" applyAlignment="0" applyProtection="0"/>
    <xf numFmtId="0" fontId="50" fillId="43" borderId="65" applyNumberFormat="0" applyAlignment="0" applyProtection="0"/>
    <xf numFmtId="0" fontId="5" fillId="59" borderId="58" applyNumberFormat="0" applyFont="0" applyAlignment="0" applyProtection="0"/>
    <xf numFmtId="0" fontId="53" fillId="56" borderId="66" applyNumberFormat="0" applyAlignment="0" applyProtection="0"/>
    <xf numFmtId="0" fontId="55" fillId="0" borderId="67" applyNumberFormat="0" applyFill="0" applyAlignment="0" applyProtection="0"/>
    <xf numFmtId="0" fontId="50" fillId="43" borderId="65" applyNumberFormat="0" applyAlignment="0" applyProtection="0"/>
    <xf numFmtId="0" fontId="55" fillId="0" borderId="67" applyNumberFormat="0" applyFill="0" applyAlignment="0" applyProtection="0"/>
    <xf numFmtId="0" fontId="53" fillId="56" borderId="66" applyNumberFormat="0" applyAlignment="0" applyProtection="0"/>
    <xf numFmtId="0" fontId="5" fillId="59" borderId="58" applyNumberFormat="0" applyFont="0" applyAlignment="0" applyProtection="0"/>
    <xf numFmtId="0" fontId="43" fillId="56" borderId="65" applyNumberFormat="0" applyAlignment="0" applyProtection="0"/>
    <xf numFmtId="0" fontId="95" fillId="77" borderId="66" applyNumberFormat="0" applyAlignment="0" applyProtection="0">
      <alignment vertical="center"/>
    </xf>
    <xf numFmtId="0" fontId="93" fillId="77" borderId="65" applyNumberFormat="0" applyAlignment="0" applyProtection="0">
      <alignment vertical="center"/>
    </xf>
    <xf numFmtId="0" fontId="102" fillId="0" borderId="67" applyNumberFormat="0" applyFill="0" applyAlignment="0" applyProtection="0">
      <alignment vertical="center"/>
    </xf>
    <xf numFmtId="0" fontId="107" fillId="83" borderId="65" applyNumberFormat="0" applyAlignment="0" applyProtection="0">
      <alignment vertical="center"/>
    </xf>
    <xf numFmtId="0" fontId="93" fillId="77" borderId="65" applyNumberFormat="0" applyAlignment="0" applyProtection="0">
      <alignment vertical="center"/>
    </xf>
    <xf numFmtId="0" fontId="95" fillId="77" borderId="66" applyNumberFormat="0" applyAlignment="0" applyProtection="0">
      <alignment vertical="center"/>
    </xf>
    <xf numFmtId="0" fontId="93" fillId="77" borderId="65" applyNumberFormat="0" applyAlignment="0" applyProtection="0">
      <alignment vertical="center"/>
    </xf>
    <xf numFmtId="0" fontId="102" fillId="0" borderId="67" applyNumberFormat="0" applyFill="0" applyAlignment="0" applyProtection="0">
      <alignment vertical="center"/>
    </xf>
    <xf numFmtId="0" fontId="95" fillId="77" borderId="66" applyNumberFormat="0" applyAlignment="0" applyProtection="0">
      <alignment vertical="center"/>
    </xf>
    <xf numFmtId="0" fontId="102" fillId="0" borderId="67" applyNumberFormat="0" applyFill="0" applyAlignment="0" applyProtection="0">
      <alignment vertical="center"/>
    </xf>
    <xf numFmtId="0" fontId="107" fillId="83" borderId="65" applyNumberFormat="0" applyAlignment="0" applyProtection="0">
      <alignment vertical="center"/>
    </xf>
    <xf numFmtId="0" fontId="126" fillId="59" borderId="58" applyNumberFormat="0" applyFont="0" applyAlignment="0" applyProtection="0"/>
    <xf numFmtId="0" fontId="107" fillId="83" borderId="65" applyNumberFormat="0" applyAlignment="0" applyProtection="0">
      <alignment vertical="center"/>
    </xf>
    <xf numFmtId="0" fontId="50" fillId="43" borderId="65" applyNumberFormat="0" applyAlignment="0" applyProtection="0"/>
    <xf numFmtId="0" fontId="95" fillId="77" borderId="66" applyNumberFormat="0" applyAlignment="0" applyProtection="0">
      <alignment vertical="center"/>
    </xf>
    <xf numFmtId="0" fontId="107" fillId="83" borderId="65" applyNumberFormat="0" applyAlignment="0" applyProtection="0">
      <alignment vertical="center"/>
    </xf>
    <xf numFmtId="0" fontId="102" fillId="0" borderId="67" applyNumberFormat="0" applyFill="0" applyAlignment="0" applyProtection="0">
      <alignment vertical="center"/>
    </xf>
    <xf numFmtId="0" fontId="95" fillId="77" borderId="66" applyNumberFormat="0" applyAlignment="0" applyProtection="0">
      <alignment vertical="center"/>
    </xf>
    <xf numFmtId="0" fontId="102" fillId="0" borderId="67" applyNumberFormat="0" applyFill="0" applyAlignment="0" applyProtection="0">
      <alignment vertical="center"/>
    </xf>
    <xf numFmtId="0" fontId="93" fillId="77" borderId="65" applyNumberFormat="0" applyAlignment="0" applyProtection="0">
      <alignment vertical="center"/>
    </xf>
    <xf numFmtId="0" fontId="93" fillId="77" borderId="65" applyNumberFormat="0" applyAlignment="0" applyProtection="0">
      <alignment vertical="center"/>
    </xf>
    <xf numFmtId="0" fontId="50" fillId="43" borderId="65" applyNumberFormat="0" applyAlignment="0" applyProtection="0"/>
    <xf numFmtId="0" fontId="107" fillId="83" borderId="65" applyNumberFormat="0" applyAlignment="0" applyProtection="0">
      <alignment vertical="center"/>
    </xf>
    <xf numFmtId="0" fontId="93" fillId="77" borderId="65" applyNumberFormat="0" applyAlignment="0" applyProtection="0">
      <alignment vertical="center"/>
    </xf>
    <xf numFmtId="0" fontId="102" fillId="0" borderId="67" applyNumberFormat="0" applyFill="0" applyAlignment="0" applyProtection="0">
      <alignment vertical="center"/>
    </xf>
    <xf numFmtId="0" fontId="95" fillId="77" borderId="66" applyNumberFormat="0" applyAlignment="0" applyProtection="0">
      <alignment vertical="center"/>
    </xf>
    <xf numFmtId="0" fontId="107" fillId="83" borderId="65" applyNumberFormat="0" applyAlignment="0" applyProtection="0">
      <alignment vertical="center"/>
    </xf>
    <xf numFmtId="0" fontId="43" fillId="56" borderId="65" applyNumberFormat="0" applyAlignment="0" applyProtection="0"/>
    <xf numFmtId="0" fontId="50" fillId="43" borderId="65" applyNumberFormat="0" applyAlignment="0" applyProtection="0"/>
    <xf numFmtId="0" fontId="2" fillId="59" borderId="58" applyNumberFormat="0" applyFont="0" applyAlignment="0" applyProtection="0"/>
    <xf numFmtId="0" fontId="53" fillId="56" borderId="66" applyNumberFormat="0" applyAlignment="0" applyProtection="0"/>
    <xf numFmtId="0" fontId="55" fillId="0" borderId="67" applyNumberFormat="0" applyFill="0" applyAlignment="0" applyProtection="0"/>
    <xf numFmtId="0" fontId="43" fillId="97" borderId="65" applyNumberFormat="0" applyAlignment="0" applyProtection="0"/>
    <xf numFmtId="0" fontId="118" fillId="0" borderId="64">
      <alignment horizontal="left" vertical="center"/>
    </xf>
    <xf numFmtId="0" fontId="55" fillId="0" borderId="67" applyNumberFormat="0" applyFill="0" applyAlignment="0" applyProtection="0"/>
    <xf numFmtId="0" fontId="50" fillId="58" borderId="65" applyNumberFormat="0" applyAlignment="0" applyProtection="0"/>
    <xf numFmtId="0" fontId="126" fillId="59" borderId="58" applyNumberFormat="0" applyFont="0" applyAlignment="0" applyProtection="0"/>
    <xf numFmtId="0" fontId="53" fillId="97" borderId="66" applyNumberFormat="0" applyAlignment="0" applyProtection="0"/>
    <xf numFmtId="0" fontId="55" fillId="0" borderId="68" applyNumberFormat="0" applyFill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43" fillId="56" borderId="65" applyNumberFormat="0" applyAlignment="0" applyProtection="0"/>
    <xf numFmtId="0" fontId="126" fillId="59" borderId="58" applyNumberFormat="0" applyFont="0" applyAlignment="0" applyProtection="0"/>
    <xf numFmtId="0" fontId="50" fillId="58" borderId="65" applyNumberFormat="0" applyAlignment="0" applyProtection="0"/>
    <xf numFmtId="0" fontId="53" fillId="56" borderId="66" applyNumberFormat="0" applyAlignment="0" applyProtection="0"/>
    <xf numFmtId="0" fontId="43" fillId="56" borderId="65" applyNumberFormat="0" applyAlignment="0" applyProtection="0"/>
    <xf numFmtId="0" fontId="107" fillId="83" borderId="65" applyNumberFormat="0" applyAlignment="0" applyProtection="0">
      <alignment vertical="center"/>
    </xf>
    <xf numFmtId="0" fontId="102" fillId="0" borderId="67" applyNumberFormat="0" applyFill="0" applyAlignment="0" applyProtection="0">
      <alignment vertical="center"/>
    </xf>
    <xf numFmtId="0" fontId="55" fillId="0" borderId="67" applyNumberFormat="0" applyFill="0" applyAlignment="0" applyProtection="0"/>
    <xf numFmtId="0" fontId="50" fillId="43" borderId="65" applyNumberFormat="0" applyAlignment="0" applyProtection="0"/>
    <xf numFmtId="0" fontId="55" fillId="0" borderId="67" applyNumberFormat="0" applyFill="0" applyAlignment="0" applyProtection="0"/>
    <xf numFmtId="0" fontId="50" fillId="43" borderId="65" applyNumberFormat="0" applyAlignment="0" applyProtection="0"/>
    <xf numFmtId="0" fontId="53" fillId="56" borderId="66" applyNumberFormat="0" applyAlignment="0" applyProtection="0"/>
    <xf numFmtId="0" fontId="118" fillId="0" borderId="64">
      <alignment horizontal="left" vertical="center"/>
    </xf>
    <xf numFmtId="0" fontId="53" fillId="97" borderId="66" applyNumberFormat="0" applyAlignment="0" applyProtection="0"/>
    <xf numFmtId="0" fontId="43" fillId="56" borderId="65" applyNumberFormat="0" applyAlignment="0" applyProtection="0"/>
    <xf numFmtId="0" fontId="95" fillId="77" borderId="66" applyNumberFormat="0" applyAlignment="0" applyProtection="0">
      <alignment vertical="center"/>
    </xf>
    <xf numFmtId="0" fontId="53" fillId="56" borderId="66" applyNumberFormat="0" applyAlignment="0" applyProtection="0"/>
    <xf numFmtId="0" fontId="5" fillId="59" borderId="58" applyNumberFormat="0" applyFont="0" applyAlignment="0" applyProtection="0"/>
    <xf numFmtId="0" fontId="55" fillId="0" borderId="67" applyNumberFormat="0" applyFill="0" applyAlignment="0" applyProtection="0"/>
    <xf numFmtId="0" fontId="2" fillId="59" borderId="58" applyNumberFormat="0" applyFont="0" applyAlignment="0" applyProtection="0"/>
    <xf numFmtId="0" fontId="50" fillId="43" borderId="65" applyNumberFormat="0" applyAlignment="0" applyProtection="0"/>
    <xf numFmtId="0" fontId="93" fillId="77" borderId="65" applyNumberFormat="0" applyAlignment="0" applyProtection="0">
      <alignment vertical="center"/>
    </xf>
    <xf numFmtId="0" fontId="107" fillId="83" borderId="65" applyNumberFormat="0" applyAlignment="0" applyProtection="0">
      <alignment vertical="center"/>
    </xf>
    <xf numFmtId="0" fontId="102" fillId="0" borderId="67" applyNumberFormat="0" applyFill="0" applyAlignment="0" applyProtection="0">
      <alignment vertical="center"/>
    </xf>
    <xf numFmtId="0" fontId="102" fillId="0" borderId="67" applyNumberFormat="0" applyFill="0" applyAlignment="0" applyProtection="0">
      <alignment vertical="center"/>
    </xf>
    <xf numFmtId="0" fontId="102" fillId="0" borderId="67" applyNumberFormat="0" applyFill="0" applyAlignment="0" applyProtection="0">
      <alignment vertical="center"/>
    </xf>
    <xf numFmtId="0" fontId="50" fillId="43" borderId="65" applyNumberFormat="0" applyAlignment="0" applyProtection="0"/>
    <xf numFmtId="0" fontId="95" fillId="77" borderId="66" applyNumberFormat="0" applyAlignment="0" applyProtection="0">
      <alignment vertical="center"/>
    </xf>
    <xf numFmtId="0" fontId="93" fillId="77" borderId="65" applyNumberFormat="0" applyAlignment="0" applyProtection="0">
      <alignment vertical="center"/>
    </xf>
    <xf numFmtId="0" fontId="107" fillId="83" borderId="65" applyNumberFormat="0" applyAlignment="0" applyProtection="0">
      <alignment vertical="center"/>
    </xf>
    <xf numFmtId="0" fontId="107" fillId="83" borderId="65" applyNumberFormat="0" applyAlignment="0" applyProtection="0">
      <alignment vertical="center"/>
    </xf>
    <xf numFmtId="0" fontId="95" fillId="77" borderId="66" applyNumberFormat="0" applyAlignment="0" applyProtection="0">
      <alignment vertical="center"/>
    </xf>
    <xf numFmtId="0" fontId="102" fillId="0" borderId="67" applyNumberFormat="0" applyFill="0" applyAlignment="0" applyProtection="0">
      <alignment vertical="center"/>
    </xf>
    <xf numFmtId="0" fontId="43" fillId="97" borderId="65" applyNumberFormat="0" applyAlignment="0" applyProtection="0"/>
    <xf numFmtId="0" fontId="55" fillId="0" borderId="68" applyNumberFormat="0" applyFill="0" applyAlignment="0" applyProtection="0"/>
    <xf numFmtId="0" fontId="50" fillId="43" borderId="65" applyNumberFormat="0" applyAlignment="0" applyProtection="0"/>
    <xf numFmtId="0" fontId="93" fillId="77" borderId="65" applyNumberFormat="0" applyAlignment="0" applyProtection="0">
      <alignment vertical="center"/>
    </xf>
    <xf numFmtId="0" fontId="107" fillId="83" borderId="65" applyNumberFormat="0" applyAlignment="0" applyProtection="0">
      <alignment vertical="center"/>
    </xf>
    <xf numFmtId="0" fontId="93" fillId="77" borderId="65" applyNumberFormat="0" applyAlignment="0" applyProtection="0">
      <alignment vertical="center"/>
    </xf>
    <xf numFmtId="0" fontId="107" fillId="83" borderId="65" applyNumberFormat="0" applyAlignment="0" applyProtection="0">
      <alignment vertical="center"/>
    </xf>
    <xf numFmtId="0" fontId="93" fillId="77" borderId="65" applyNumberFormat="0" applyAlignment="0" applyProtection="0">
      <alignment vertical="center"/>
    </xf>
    <xf numFmtId="0" fontId="93" fillId="77" borderId="65" applyNumberFormat="0" applyAlignment="0" applyProtection="0">
      <alignment vertical="center"/>
    </xf>
    <xf numFmtId="0" fontId="95" fillId="77" borderId="66" applyNumberFormat="0" applyAlignment="0" applyProtection="0">
      <alignment vertical="center"/>
    </xf>
    <xf numFmtId="0" fontId="102" fillId="0" borderId="67" applyNumberFormat="0" applyFill="0" applyAlignment="0" applyProtection="0">
      <alignment vertical="center"/>
    </xf>
    <xf numFmtId="0" fontId="95" fillId="77" borderId="66" applyNumberFormat="0" applyAlignment="0" applyProtection="0">
      <alignment vertical="center"/>
    </xf>
    <xf numFmtId="0" fontId="95" fillId="77" borderId="66" applyNumberFormat="0" applyAlignment="0" applyProtection="0">
      <alignment vertical="center"/>
    </xf>
    <xf numFmtId="0" fontId="107" fillId="83" borderId="65" applyNumberFormat="0" applyAlignment="0" applyProtection="0">
      <alignment vertical="center"/>
    </xf>
    <xf numFmtId="0" fontId="93" fillId="77" borderId="65" applyNumberFormat="0" applyAlignment="0" applyProtection="0">
      <alignment vertical="center"/>
    </xf>
    <xf numFmtId="0" fontId="53" fillId="56" borderId="66" applyNumberFormat="0" applyAlignment="0" applyProtection="0"/>
    <xf numFmtId="0" fontId="93" fillId="77" borderId="65" applyNumberFormat="0" applyAlignment="0" applyProtection="0">
      <alignment vertical="center"/>
    </xf>
    <xf numFmtId="0" fontId="93" fillId="77" borderId="65" applyNumberFormat="0" applyAlignment="0" applyProtection="0">
      <alignment vertical="center"/>
    </xf>
    <xf numFmtId="0" fontId="93" fillId="77" borderId="65" applyNumberFormat="0" applyAlignment="0" applyProtection="0">
      <alignment vertical="center"/>
    </xf>
    <xf numFmtId="0" fontId="50" fillId="43" borderId="65" applyNumberFormat="0" applyAlignment="0" applyProtection="0"/>
    <xf numFmtId="0" fontId="107" fillId="83" borderId="65" applyNumberFormat="0" applyAlignment="0" applyProtection="0">
      <alignment vertical="center"/>
    </xf>
    <xf numFmtId="0" fontId="5" fillId="59" borderId="58" applyNumberFormat="0" applyFont="0" applyAlignment="0" applyProtection="0"/>
    <xf numFmtId="0" fontId="53" fillId="56" borderId="66" applyNumberFormat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3" fillId="56" borderId="66" applyNumberFormat="0" applyAlignment="0" applyProtection="0"/>
    <xf numFmtId="0" fontId="95" fillId="77" borderId="66" applyNumberFormat="0" applyAlignment="0" applyProtection="0">
      <alignment vertical="center"/>
    </xf>
    <xf numFmtId="0" fontId="102" fillId="0" borderId="67" applyNumberFormat="0" applyFill="0" applyAlignment="0" applyProtection="0">
      <alignment vertical="center"/>
    </xf>
    <xf numFmtId="0" fontId="95" fillId="77" borderId="66" applyNumberFormat="0" applyAlignment="0" applyProtection="0">
      <alignment vertical="center"/>
    </xf>
    <xf numFmtId="0" fontId="102" fillId="0" borderId="67" applyNumberFormat="0" applyFill="0" applyAlignment="0" applyProtection="0">
      <alignment vertical="center"/>
    </xf>
    <xf numFmtId="0" fontId="95" fillId="77" borderId="66" applyNumberFormat="0" applyAlignment="0" applyProtection="0">
      <alignment vertical="center"/>
    </xf>
    <xf numFmtId="0" fontId="102" fillId="0" borderId="67" applyNumberFormat="0" applyFill="0" applyAlignment="0" applyProtection="0">
      <alignment vertical="center"/>
    </xf>
    <xf numFmtId="0" fontId="95" fillId="77" borderId="66" applyNumberFormat="0" applyAlignment="0" applyProtection="0">
      <alignment vertical="center"/>
    </xf>
    <xf numFmtId="0" fontId="102" fillId="0" borderId="67" applyNumberFormat="0" applyFill="0" applyAlignment="0" applyProtection="0">
      <alignment vertical="center"/>
    </xf>
    <xf numFmtId="0" fontId="95" fillId="77" borderId="66" applyNumberFormat="0" applyAlignment="0" applyProtection="0">
      <alignment vertical="center"/>
    </xf>
    <xf numFmtId="0" fontId="102" fillId="0" borderId="67" applyNumberFormat="0" applyFill="0" applyAlignment="0" applyProtection="0">
      <alignment vertical="center"/>
    </xf>
    <xf numFmtId="0" fontId="102" fillId="0" borderId="67" applyNumberFormat="0" applyFill="0" applyAlignment="0" applyProtection="0">
      <alignment vertical="center"/>
    </xf>
    <xf numFmtId="0" fontId="95" fillId="77" borderId="66" applyNumberFormat="0" applyAlignment="0" applyProtection="0">
      <alignment vertical="center"/>
    </xf>
    <xf numFmtId="0" fontId="53" fillId="56" borderId="66" applyNumberFormat="0" applyAlignment="0" applyProtection="0"/>
    <xf numFmtId="0" fontId="55" fillId="0" borderId="67" applyNumberFormat="0" applyFill="0" applyAlignment="0" applyProtection="0"/>
    <xf numFmtId="0" fontId="118" fillId="0" borderId="64">
      <alignment horizontal="left" vertical="center"/>
    </xf>
    <xf numFmtId="0" fontId="53" fillId="97" borderId="66" applyNumberFormat="0" applyAlignment="0" applyProtection="0"/>
    <xf numFmtId="0" fontId="53" fillId="97" borderId="66" applyNumberFormat="0" applyAlignment="0" applyProtection="0"/>
    <xf numFmtId="0" fontId="55" fillId="0" borderId="68" applyNumberFormat="0" applyFill="0" applyAlignment="0" applyProtection="0"/>
    <xf numFmtId="0" fontId="53" fillId="56" borderId="66" applyNumberFormat="0" applyAlignment="0" applyProtection="0"/>
    <xf numFmtId="0" fontId="102" fillId="0" borderId="67" applyNumberFormat="0" applyFill="0" applyAlignment="0" applyProtection="0">
      <alignment vertical="center"/>
    </xf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3" fillId="56" borderId="66" applyNumberFormat="0" applyAlignment="0" applyProtection="0"/>
    <xf numFmtId="0" fontId="118" fillId="0" borderId="64">
      <alignment horizontal="left" vertical="center"/>
    </xf>
    <xf numFmtId="0" fontId="53" fillId="97" borderId="66" applyNumberFormat="0" applyAlignment="0" applyProtection="0"/>
    <xf numFmtId="0" fontId="95" fillId="77" borderId="66" applyNumberFormat="0" applyAlignment="0" applyProtection="0">
      <alignment vertical="center"/>
    </xf>
    <xf numFmtId="0" fontId="53" fillId="56" borderId="66" applyNumberFormat="0" applyAlignment="0" applyProtection="0"/>
    <xf numFmtId="0" fontId="55" fillId="0" borderId="67" applyNumberFormat="0" applyFill="0" applyAlignment="0" applyProtection="0"/>
    <xf numFmtId="0" fontId="102" fillId="0" borderId="67" applyNumberFormat="0" applyFill="0" applyAlignment="0" applyProtection="0">
      <alignment vertical="center"/>
    </xf>
    <xf numFmtId="0" fontId="102" fillId="0" borderId="67" applyNumberFormat="0" applyFill="0" applyAlignment="0" applyProtection="0">
      <alignment vertical="center"/>
    </xf>
    <xf numFmtId="0" fontId="102" fillId="0" borderId="67" applyNumberFormat="0" applyFill="0" applyAlignment="0" applyProtection="0">
      <alignment vertical="center"/>
    </xf>
    <xf numFmtId="0" fontId="95" fillId="77" borderId="66" applyNumberFormat="0" applyAlignment="0" applyProtection="0">
      <alignment vertical="center"/>
    </xf>
    <xf numFmtId="0" fontId="95" fillId="77" borderId="66" applyNumberFormat="0" applyAlignment="0" applyProtection="0">
      <alignment vertical="center"/>
    </xf>
    <xf numFmtId="0" fontId="102" fillId="0" borderId="67" applyNumberFormat="0" applyFill="0" applyAlignment="0" applyProtection="0">
      <alignment vertical="center"/>
    </xf>
    <xf numFmtId="0" fontId="55" fillId="0" borderId="68" applyNumberFormat="0" applyFill="0" applyAlignment="0" applyProtection="0"/>
    <xf numFmtId="0" fontId="95" fillId="77" borderId="66" applyNumberFormat="0" applyAlignment="0" applyProtection="0">
      <alignment vertical="center"/>
    </xf>
    <xf numFmtId="0" fontId="102" fillId="0" borderId="67" applyNumberFormat="0" applyFill="0" applyAlignment="0" applyProtection="0">
      <alignment vertical="center"/>
    </xf>
    <xf numFmtId="0" fontId="95" fillId="77" borderId="66" applyNumberFormat="0" applyAlignment="0" applyProtection="0">
      <alignment vertical="center"/>
    </xf>
    <xf numFmtId="0" fontId="95" fillId="77" borderId="66" applyNumberFormat="0" applyAlignment="0" applyProtection="0">
      <alignment vertical="center"/>
    </xf>
    <xf numFmtId="0" fontId="50" fillId="43" borderId="65" applyNumberFormat="0" applyAlignment="0" applyProtection="0"/>
    <xf numFmtId="0" fontId="43" fillId="56" borderId="65" applyNumberFormat="0" applyAlignment="0" applyProtection="0"/>
    <xf numFmtId="0" fontId="5" fillId="59" borderId="58" applyNumberFormat="0" applyFont="0" applyAlignment="0" applyProtection="0"/>
    <xf numFmtId="0" fontId="2" fillId="59" borderId="58" applyNumberFormat="0" applyFont="0" applyAlignment="0" applyProtection="0"/>
    <xf numFmtId="0" fontId="50" fillId="43" borderId="65" applyNumberFormat="0" applyAlignment="0" applyProtection="0"/>
    <xf numFmtId="0" fontId="93" fillId="77" borderId="65" applyNumberFormat="0" applyAlignment="0" applyProtection="0">
      <alignment vertical="center"/>
    </xf>
    <xf numFmtId="0" fontId="107" fillId="83" borderId="65" applyNumberFormat="0" applyAlignment="0" applyProtection="0">
      <alignment vertical="center"/>
    </xf>
    <xf numFmtId="0" fontId="50" fillId="43" borderId="65" applyNumberFormat="0" applyAlignment="0" applyProtection="0"/>
    <xf numFmtId="0" fontId="93" fillId="77" borderId="65" applyNumberFormat="0" applyAlignment="0" applyProtection="0">
      <alignment vertical="center"/>
    </xf>
    <xf numFmtId="0" fontId="107" fillId="83" borderId="65" applyNumberFormat="0" applyAlignment="0" applyProtection="0">
      <alignment vertical="center"/>
    </xf>
    <xf numFmtId="177" fontId="1" fillId="12" borderId="15" applyNumberFormat="0" applyFont="0" applyAlignment="0" applyProtection="0"/>
    <xf numFmtId="0" fontId="107" fillId="83" borderId="65" applyNumberFormat="0" applyAlignment="0" applyProtection="0">
      <alignment vertical="center"/>
    </xf>
    <xf numFmtId="0" fontId="43" fillId="97" borderId="65" applyNumberFormat="0" applyAlignment="0" applyProtection="0"/>
    <xf numFmtId="0" fontId="50" fillId="43" borderId="65" applyNumberFormat="0" applyAlignment="0" applyProtection="0"/>
    <xf numFmtId="0" fontId="93" fillId="77" borderId="65" applyNumberFormat="0" applyAlignment="0" applyProtection="0">
      <alignment vertical="center"/>
    </xf>
    <xf numFmtId="0" fontId="107" fillId="83" borderId="65" applyNumberFormat="0" applyAlignment="0" applyProtection="0">
      <alignment vertical="center"/>
    </xf>
    <xf numFmtId="178" fontId="1" fillId="0" borderId="0" applyFont="0" applyFill="0" applyBorder="0" applyAlignment="0" applyProtection="0"/>
    <xf numFmtId="0" fontId="93" fillId="77" borderId="65" applyNumberFormat="0" applyAlignment="0" applyProtection="0">
      <alignment vertical="center"/>
    </xf>
    <xf numFmtId="0" fontId="107" fillId="83" borderId="65" applyNumberFormat="0" applyAlignment="0" applyProtection="0">
      <alignment vertical="center"/>
    </xf>
    <xf numFmtId="0" fontId="93" fillId="77" borderId="65" applyNumberFormat="0" applyAlignment="0" applyProtection="0">
      <alignment vertical="center"/>
    </xf>
    <xf numFmtId="0" fontId="93" fillId="77" borderId="65" applyNumberFormat="0" applyAlignment="0" applyProtection="0">
      <alignment vertical="center"/>
    </xf>
    <xf numFmtId="0" fontId="118" fillId="0" borderId="69">
      <alignment horizontal="left" vertical="center"/>
    </xf>
    <xf numFmtId="0" fontId="118" fillId="0" borderId="69">
      <alignment horizontal="left" vertical="center"/>
    </xf>
    <xf numFmtId="0" fontId="118" fillId="0" borderId="69">
      <alignment horizontal="left" vertical="center"/>
    </xf>
    <xf numFmtId="0" fontId="118" fillId="0" borderId="69">
      <alignment horizontal="left" vertical="center"/>
    </xf>
    <xf numFmtId="0" fontId="126" fillId="59" borderId="58" applyNumberFormat="0" applyFont="0" applyAlignment="0" applyProtection="0"/>
    <xf numFmtId="0" fontId="50" fillId="58" borderId="65" applyNumberFormat="0" applyAlignment="0" applyProtection="0"/>
    <xf numFmtId="0" fontId="53" fillId="56" borderId="66" applyNumberFormat="0" applyAlignment="0" applyProtection="0"/>
    <xf numFmtId="0" fontId="50" fillId="43" borderId="65" applyNumberFormat="0" applyAlignment="0" applyProtection="0"/>
    <xf numFmtId="0" fontId="55" fillId="0" borderId="67" applyNumberFormat="0" applyFill="0" applyAlignment="0" applyProtection="0"/>
    <xf numFmtId="0" fontId="50" fillId="43" borderId="65" applyNumberFormat="0" applyAlignment="0" applyProtection="0"/>
    <xf numFmtId="0" fontId="55" fillId="0" borderId="67" applyNumberFormat="0" applyFill="0" applyAlignment="0" applyProtection="0"/>
    <xf numFmtId="0" fontId="5" fillId="59" borderId="58" applyNumberFormat="0" applyFont="0" applyAlignment="0" applyProtection="0"/>
    <xf numFmtId="0" fontId="50" fillId="43" borderId="65" applyNumberFormat="0" applyAlignment="0" applyProtection="0"/>
    <xf numFmtId="0" fontId="53" fillId="56" borderId="66" applyNumberFormat="0" applyAlignment="0" applyProtection="0"/>
    <xf numFmtId="0" fontId="53" fillId="97" borderId="66" applyNumberFormat="0" applyAlignment="0" applyProtection="0"/>
    <xf numFmtId="0" fontId="53" fillId="56" borderId="66" applyNumberFormat="0" applyAlignment="0" applyProtection="0"/>
    <xf numFmtId="0" fontId="5" fillId="59" borderId="58" applyNumberFormat="0" applyFont="0" applyAlignment="0" applyProtection="0"/>
    <xf numFmtId="0" fontId="55" fillId="0" borderId="67" applyNumberFormat="0" applyFill="0" applyAlignment="0" applyProtection="0"/>
    <xf numFmtId="0" fontId="2" fillId="59" borderId="58" applyNumberFormat="0" applyFont="0" applyAlignment="0" applyProtection="0"/>
    <xf numFmtId="0" fontId="50" fillId="43" borderId="65" applyNumberFormat="0" applyAlignment="0" applyProtection="0"/>
    <xf numFmtId="0" fontId="53" fillId="56" borderId="66" applyNumberFormat="0" applyAlignment="0" applyProtection="0"/>
    <xf numFmtId="0" fontId="55" fillId="0" borderId="68" applyNumberFormat="0" applyFill="0" applyAlignment="0" applyProtection="0"/>
    <xf numFmtId="0" fontId="53" fillId="56" borderId="66" applyNumberFormat="0" applyAlignment="0" applyProtection="0"/>
    <xf numFmtId="177" fontId="1" fillId="12" borderId="15" applyNumberFormat="0" applyFont="0" applyAlignment="0" applyProtection="0"/>
    <xf numFmtId="178" fontId="1" fillId="0" borderId="0" applyFont="0" applyFill="0" applyBorder="0" applyAlignment="0" applyProtection="0"/>
    <xf numFmtId="0" fontId="5" fillId="59" borderId="58" applyNumberFormat="0" applyFont="0" applyAlignment="0" applyProtection="0"/>
    <xf numFmtId="0" fontId="126" fillId="59" borderId="58" applyNumberFormat="0" applyFont="0" applyAlignment="0" applyProtection="0"/>
    <xf numFmtId="0" fontId="50" fillId="58" borderId="65" applyNumberFormat="0" applyAlignment="0" applyProtection="0"/>
    <xf numFmtId="0" fontId="50" fillId="58" borderId="65" applyNumberFormat="0" applyAlignment="0" applyProtection="0"/>
    <xf numFmtId="0" fontId="53" fillId="56" borderId="66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" fillId="59" borderId="58" applyNumberFormat="0" applyFont="0" applyAlignment="0" applyProtection="0"/>
    <xf numFmtId="0" fontId="2" fillId="59" borderId="58" applyNumberFormat="0" applyFont="0" applyAlignment="0" applyProtection="0"/>
    <xf numFmtId="0" fontId="126" fillId="59" borderId="58" applyNumberFormat="0" applyFont="0" applyAlignment="0" applyProtection="0"/>
    <xf numFmtId="0" fontId="53" fillId="56" borderId="66" applyNumberFormat="0" applyAlignment="0" applyProtection="0"/>
    <xf numFmtId="0" fontId="50" fillId="43" borderId="65" applyNumberFormat="0" applyAlignment="0" applyProtection="0"/>
    <xf numFmtId="0" fontId="55" fillId="0" borderId="67" applyNumberFormat="0" applyFill="0" applyAlignment="0" applyProtection="0"/>
    <xf numFmtId="0" fontId="126" fillId="59" borderId="58" applyNumberFormat="0" applyFont="0" applyAlignment="0" applyProtection="0"/>
    <xf numFmtId="0" fontId="53" fillId="56" borderId="66" applyNumberFormat="0" applyAlignment="0" applyProtection="0"/>
    <xf numFmtId="0" fontId="50" fillId="43" borderId="65" applyNumberFormat="0" applyAlignment="0" applyProtection="0"/>
    <xf numFmtId="0" fontId="5" fillId="59" borderId="58" applyNumberFormat="0" applyFont="0" applyAlignment="0" applyProtection="0"/>
    <xf numFmtId="0" fontId="53" fillId="56" borderId="66" applyNumberFormat="0" applyAlignment="0" applyProtection="0"/>
    <xf numFmtId="0" fontId="55" fillId="0" borderId="67" applyNumberFormat="0" applyFill="0" applyAlignment="0" applyProtection="0"/>
    <xf numFmtId="0" fontId="50" fillId="43" borderId="65" applyNumberFormat="0" applyAlignment="0" applyProtection="0"/>
    <xf numFmtId="0" fontId="55" fillId="0" borderId="67" applyNumberFormat="0" applyFill="0" applyAlignment="0" applyProtection="0"/>
    <xf numFmtId="0" fontId="5" fillId="59" borderId="58" applyNumberFormat="0" applyFont="0" applyAlignment="0" applyProtection="0"/>
    <xf numFmtId="0" fontId="43" fillId="56" borderId="65" applyNumberFormat="0" applyAlignment="0" applyProtection="0"/>
    <xf numFmtId="0" fontId="5" fillId="59" borderId="58" applyNumberFormat="0" applyFont="0" applyAlignment="0" applyProtection="0"/>
    <xf numFmtId="0" fontId="50" fillId="58" borderId="65" applyNumberFormat="0" applyAlignment="0" applyProtection="0"/>
    <xf numFmtId="0" fontId="50" fillId="43" borderId="65" applyNumberFormat="0" applyAlignment="0" applyProtection="0"/>
    <xf numFmtId="0" fontId="5" fillId="59" borderId="58" applyNumberFormat="0" applyFont="0" applyAlignment="0" applyProtection="0"/>
    <xf numFmtId="0" fontId="50" fillId="43" borderId="65" applyNumberFormat="0" applyAlignment="0" applyProtection="0"/>
    <xf numFmtId="0" fontId="2" fillId="59" borderId="58" applyNumberFormat="0" applyFont="0" applyAlignment="0" applyProtection="0"/>
    <xf numFmtId="0" fontId="53" fillId="56" borderId="66" applyNumberFormat="0" applyAlignment="0" applyProtection="0"/>
    <xf numFmtId="0" fontId="55" fillId="0" borderId="67" applyNumberFormat="0" applyFill="0" applyAlignment="0" applyProtection="0"/>
    <xf numFmtId="0" fontId="126" fillId="59" borderId="58" applyNumberFormat="0" applyFont="0" applyAlignment="0" applyProtection="0"/>
    <xf numFmtId="0" fontId="50" fillId="58" borderId="65" applyNumberFormat="0" applyAlignment="0" applyProtection="0"/>
    <xf numFmtId="0" fontId="126" fillId="59" borderId="58" applyNumberFormat="0" applyFont="0" applyAlignment="0" applyProtection="0"/>
    <xf numFmtId="0" fontId="53" fillId="97" borderId="66" applyNumberFormat="0" applyAlignment="0" applyProtection="0"/>
    <xf numFmtId="0" fontId="55" fillId="0" borderId="68" applyNumberFormat="0" applyFill="0" applyAlignment="0" applyProtection="0"/>
    <xf numFmtId="0" fontId="126" fillId="59" borderId="58" applyNumberFormat="0" applyFont="0" applyAlignment="0" applyProtection="0"/>
    <xf numFmtId="0" fontId="50" fillId="58" borderId="65" applyNumberFormat="0" applyAlignment="0" applyProtection="0"/>
    <xf numFmtId="0" fontId="53" fillId="56" borderId="66" applyNumberFormat="0" applyAlignment="0" applyProtection="0"/>
    <xf numFmtId="0" fontId="2" fillId="59" borderId="58" applyNumberFormat="0" applyFont="0" applyAlignment="0" applyProtection="0"/>
    <xf numFmtId="0" fontId="50" fillId="43" borderId="65" applyNumberFormat="0" applyAlignment="0" applyProtection="0"/>
    <xf numFmtId="0" fontId="55" fillId="0" borderId="67" applyNumberFormat="0" applyFill="0" applyAlignment="0" applyProtection="0"/>
    <xf numFmtId="0" fontId="53" fillId="97" borderId="66" applyNumberFormat="0" applyAlignment="0" applyProtection="0"/>
    <xf numFmtId="0" fontId="126" fillId="59" borderId="58" applyNumberFormat="0" applyFont="0" applyAlignment="0" applyProtection="0"/>
    <xf numFmtId="0" fontId="53" fillId="56" borderId="66" applyNumberFormat="0" applyAlignment="0" applyProtection="0"/>
    <xf numFmtId="0" fontId="5" fillId="59" borderId="58" applyNumberFormat="0" applyFont="0" applyAlignment="0" applyProtection="0"/>
    <xf numFmtId="0" fontId="55" fillId="0" borderId="67" applyNumberFormat="0" applyFill="0" applyAlignment="0" applyProtection="0"/>
    <xf numFmtId="0" fontId="2" fillId="59" borderId="58" applyNumberFormat="0" applyFont="0" applyAlignment="0" applyProtection="0"/>
    <xf numFmtId="0" fontId="50" fillId="43" borderId="65" applyNumberFormat="0" applyAlignment="0" applyProtection="0"/>
    <xf numFmtId="43" fontId="5" fillId="0" borderId="0" applyFont="0" applyFill="0" applyBorder="0" applyAlignment="0" applyProtection="0"/>
    <xf numFmtId="0" fontId="50" fillId="43" borderId="65" applyNumberFormat="0" applyAlignment="0" applyProtection="0"/>
    <xf numFmtId="0" fontId="55" fillId="0" borderId="68" applyNumberFormat="0" applyFill="0" applyAlignment="0" applyProtection="0"/>
    <xf numFmtId="0" fontId="50" fillId="58" borderId="65" applyNumberFormat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8" applyNumberFormat="0" applyFill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" fillId="59" borderId="58" applyNumberFormat="0" applyFont="0" applyAlignment="0" applyProtection="0"/>
    <xf numFmtId="0" fontId="50" fillId="43" borderId="65" applyNumberFormat="0" applyAlignment="0" applyProtection="0"/>
    <xf numFmtId="0" fontId="5" fillId="59" borderId="58" applyNumberFormat="0" applyFont="0" applyAlignment="0" applyProtection="0"/>
    <xf numFmtId="0" fontId="2" fillId="59" borderId="58" applyNumberFormat="0" applyFont="0" applyAlignment="0" applyProtection="0"/>
    <xf numFmtId="0" fontId="53" fillId="56" borderId="66" applyNumberFormat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0" fillId="58" borderId="65" applyNumberFormat="0" applyAlignment="0" applyProtection="0"/>
    <xf numFmtId="0" fontId="5" fillId="59" borderId="58" applyNumberFormat="0" applyFont="0" applyAlignment="0" applyProtection="0"/>
    <xf numFmtId="0" fontId="53" fillId="56" borderId="66" applyNumberFormat="0" applyAlignment="0" applyProtection="0"/>
    <xf numFmtId="0" fontId="55" fillId="0" borderId="67" applyNumberFormat="0" applyFill="0" applyAlignment="0" applyProtection="0"/>
    <xf numFmtId="0" fontId="53" fillId="97" borderId="66" applyNumberFormat="0" applyAlignment="0" applyProtection="0"/>
    <xf numFmtId="0" fontId="55" fillId="0" borderId="68" applyNumberFormat="0" applyFill="0" applyAlignment="0" applyProtection="0"/>
    <xf numFmtId="0" fontId="53" fillId="56" borderId="66" applyNumberFormat="0" applyAlignment="0" applyProtection="0"/>
    <xf numFmtId="0" fontId="55" fillId="0" borderId="67" applyNumberFormat="0" applyFill="0" applyAlignment="0" applyProtection="0"/>
    <xf numFmtId="0" fontId="53" fillId="97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5" fillId="0" borderId="67" applyNumberFormat="0" applyFill="0" applyAlignment="0" applyProtection="0"/>
    <xf numFmtId="0" fontId="2" fillId="59" borderId="58" applyNumberFormat="0" applyFont="0" applyAlignment="0" applyProtection="0"/>
    <xf numFmtId="0" fontId="50" fillId="43" borderId="65" applyNumberFormat="0" applyAlignment="0" applyProtection="0"/>
    <xf numFmtId="0" fontId="55" fillId="0" borderId="68" applyNumberFormat="0" applyFill="0" applyAlignment="0" applyProtection="0"/>
    <xf numFmtId="0" fontId="53" fillId="97" borderId="66" applyNumberFormat="0" applyAlignment="0" applyProtection="0"/>
    <xf numFmtId="0" fontId="5" fillId="59" borderId="58" applyNumberFormat="0" applyFont="0" applyAlignment="0" applyProtection="0"/>
    <xf numFmtId="0" fontId="2" fillId="59" borderId="58" applyNumberFormat="0" applyFont="0" applyAlignment="0" applyProtection="0"/>
    <xf numFmtId="0" fontId="50" fillId="43" borderId="65" applyNumberFormat="0" applyAlignment="0" applyProtection="0"/>
    <xf numFmtId="0" fontId="55" fillId="0" borderId="67" applyNumberFormat="0" applyFill="0" applyAlignment="0" applyProtection="0"/>
    <xf numFmtId="0" fontId="50" fillId="58" borderId="65" applyNumberFormat="0" applyAlignment="0" applyProtection="0"/>
    <xf numFmtId="177" fontId="31" fillId="10" borderId="12" applyNumberFormat="0" applyAlignment="0" applyProtection="0"/>
    <xf numFmtId="0" fontId="50" fillId="58" borderId="65" applyNumberFormat="0" applyAlignment="0" applyProtection="0"/>
    <xf numFmtId="0" fontId="50" fillId="43" borderId="65" applyNumberFormat="0" applyAlignment="0" applyProtection="0"/>
    <xf numFmtId="0" fontId="5" fillId="59" borderId="58" applyNumberFormat="0" applyFont="0" applyAlignment="0" applyProtection="0"/>
    <xf numFmtId="0" fontId="53" fillId="56" borderId="66" applyNumberFormat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3" fillId="56" borderId="66" applyNumberFormat="0" applyAlignment="0" applyProtection="0"/>
    <xf numFmtId="0" fontId="55" fillId="0" borderId="67" applyNumberFormat="0" applyFill="0" applyAlignment="0" applyProtection="0"/>
    <xf numFmtId="0" fontId="53" fillId="97" borderId="66" applyNumberFormat="0" applyAlignment="0" applyProtection="0"/>
    <xf numFmtId="0" fontId="55" fillId="0" borderId="68" applyNumberFormat="0" applyFill="0" applyAlignment="0" applyProtection="0"/>
    <xf numFmtId="0" fontId="53" fillId="56" borderId="66" applyNumberFormat="0" applyAlignment="0" applyProtection="0"/>
    <xf numFmtId="0" fontId="55" fillId="0" borderId="67" applyNumberFormat="0" applyFill="0" applyAlignment="0" applyProtection="0"/>
    <xf numFmtId="0" fontId="53" fillId="97" borderId="66" applyNumberFormat="0" applyAlignment="0" applyProtection="0"/>
    <xf numFmtId="0" fontId="53" fillId="56" borderId="66" applyNumberFormat="0" applyAlignment="0" applyProtection="0"/>
    <xf numFmtId="0" fontId="55" fillId="0" borderId="67" applyNumberFormat="0" applyFill="0" applyAlignment="0" applyProtection="0"/>
    <xf numFmtId="0" fontId="50" fillId="43" borderId="65" applyNumberFormat="0" applyAlignment="0" applyProtection="0"/>
    <xf numFmtId="0" fontId="55" fillId="0" borderId="68" applyNumberFormat="0" applyFill="0" applyAlignment="0" applyProtection="0"/>
    <xf numFmtId="0" fontId="53" fillId="97" borderId="66" applyNumberFormat="0" applyAlignment="0" applyProtection="0"/>
    <xf numFmtId="0" fontId="5" fillId="59" borderId="58" applyNumberFormat="0" applyFont="0" applyAlignment="0" applyProtection="0"/>
    <xf numFmtId="0" fontId="2" fillId="59" borderId="58" applyNumberFormat="0" applyFon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" fillId="59" borderId="58" applyNumberFormat="0" applyFont="0" applyAlignment="0" applyProtection="0"/>
    <xf numFmtId="0" fontId="53" fillId="56" borderId="66" applyNumberFormat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3" fillId="56" borderId="66" applyNumberFormat="0" applyAlignment="0" applyProtection="0"/>
    <xf numFmtId="0" fontId="55" fillId="0" borderId="67" applyNumberFormat="0" applyFill="0" applyAlignment="0" applyProtection="0"/>
    <xf numFmtId="0" fontId="53" fillId="97" borderId="66" applyNumberFormat="0" applyAlignment="0" applyProtection="0"/>
    <xf numFmtId="0" fontId="55" fillId="0" borderId="68" applyNumberFormat="0" applyFill="0" applyAlignment="0" applyProtection="0"/>
    <xf numFmtId="0" fontId="53" fillId="56" borderId="66" applyNumberFormat="0" applyAlignment="0" applyProtection="0"/>
    <xf numFmtId="0" fontId="55" fillId="0" borderId="67" applyNumberFormat="0" applyFill="0" applyAlignment="0" applyProtection="0"/>
    <xf numFmtId="0" fontId="53" fillId="97" borderId="66" applyNumberFormat="0" applyAlignment="0" applyProtection="0"/>
    <xf numFmtId="0" fontId="53" fillId="56" borderId="66" applyNumberFormat="0" applyAlignment="0" applyProtection="0"/>
    <xf numFmtId="0" fontId="55" fillId="0" borderId="67" applyNumberFormat="0" applyFill="0" applyAlignment="0" applyProtection="0"/>
    <xf numFmtId="0" fontId="55" fillId="0" borderId="68" applyNumberFormat="0" applyFill="0" applyAlignment="0" applyProtection="0"/>
    <xf numFmtId="0" fontId="5" fillId="59" borderId="58" applyNumberFormat="0" applyFont="0" applyAlignment="0" applyProtection="0"/>
    <xf numFmtId="0" fontId="2" fillId="59" borderId="58" applyNumberFormat="0" applyFont="0" applyAlignment="0" applyProtection="0"/>
    <xf numFmtId="0" fontId="50" fillId="43" borderId="65" applyNumberFormat="0" applyAlignment="0" applyProtection="0"/>
    <xf numFmtId="0" fontId="2" fillId="0" borderId="0"/>
    <xf numFmtId="43" fontId="5" fillId="0" borderId="0" applyFont="0" applyFill="0" applyBorder="0" applyAlignment="0" applyProtection="0"/>
    <xf numFmtId="0" fontId="2" fillId="0" borderId="0"/>
    <xf numFmtId="193" fontId="2" fillId="0" borderId="0" applyFont="0" applyFill="0" applyBorder="0" applyAlignment="0" applyProtection="0"/>
    <xf numFmtId="0" fontId="1" fillId="15" borderId="0" applyNumberFormat="0" applyFont="0" applyBorder="0" applyAlignment="0" applyProtection="0"/>
    <xf numFmtId="0" fontId="1" fillId="15" borderId="0" applyNumberFormat="0" applyFont="0" applyBorder="0" applyAlignment="0" applyProtection="0"/>
    <xf numFmtId="0" fontId="2" fillId="0" borderId="0"/>
    <xf numFmtId="193" fontId="2" fillId="0" borderId="0" applyFont="0" applyFill="0" applyBorder="0" applyAlignment="0" applyProtection="0"/>
    <xf numFmtId="19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5" fillId="0" borderId="0"/>
    <xf numFmtId="0" fontId="42" fillId="86" borderId="0" applyNumberFormat="0" applyBorder="0" applyAlignment="0" applyProtection="0"/>
    <xf numFmtId="0" fontId="2" fillId="0" borderId="0"/>
    <xf numFmtId="0" fontId="2" fillId="0" borderId="0"/>
    <xf numFmtId="0" fontId="57" fillId="0" borderId="0"/>
    <xf numFmtId="165" fontId="2" fillId="0" borderId="71" quotePrefix="1">
      <alignment horizontal="justify" vertical="justify" textRotation="127" wrapText="1" justifyLastLine="1"/>
      <protection hidden="1"/>
    </xf>
    <xf numFmtId="0" fontId="2" fillId="0" borderId="71" quotePrefix="1">
      <alignment horizontal="justify" vertical="justify" textRotation="127" wrapText="1" justifyLastLine="1"/>
      <protection hidden="1"/>
    </xf>
    <xf numFmtId="0" fontId="2" fillId="0" borderId="71" quotePrefix="1">
      <alignment horizontal="justify" vertical="justify" textRotation="127" wrapText="1" justifyLastLine="1"/>
      <protection hidden="1"/>
    </xf>
    <xf numFmtId="0" fontId="2" fillId="0" borderId="0"/>
    <xf numFmtId="0" fontId="2" fillId="0" borderId="71" quotePrefix="1">
      <alignment horizontal="justify" vertical="justify" textRotation="127" wrapText="1" justifyLastLine="1"/>
      <protection hidden="1"/>
    </xf>
    <xf numFmtId="0" fontId="58" fillId="0" borderId="0"/>
    <xf numFmtId="0" fontId="2" fillId="0" borderId="0"/>
    <xf numFmtId="0" fontId="2" fillId="0" borderId="0" applyNumberFormat="0" applyFill="0" applyBorder="0" applyAlignment="0" applyProtection="0"/>
    <xf numFmtId="180" fontId="2" fillId="0" borderId="0"/>
    <xf numFmtId="0" fontId="2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7" fillId="0" borderId="0"/>
    <xf numFmtId="0" fontId="57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71" quotePrefix="1">
      <alignment horizontal="justify" vertical="justify" textRotation="127" wrapText="1" justifyLastLine="1"/>
      <protection hidden="1"/>
    </xf>
    <xf numFmtId="0" fontId="2" fillId="0" borderId="71" quotePrefix="1">
      <alignment horizontal="justify" vertical="justify" textRotation="127" wrapText="1" justifyLastLine="1"/>
      <protection hidden="1"/>
    </xf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177" fontId="2" fillId="0" borderId="0" applyNumberFormat="0" applyFill="0" applyBorder="0" applyAlignment="0" applyProtection="0"/>
    <xf numFmtId="195" fontId="2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77" fontId="2" fillId="0" borderId="0" applyNumberFormat="0" applyFill="0" applyBorder="0" applyAlignment="0" applyProtection="0"/>
    <xf numFmtId="177" fontId="2" fillId="0" borderId="0" applyNumberFormat="0" applyFill="0" applyBorder="0" applyAlignment="0" applyProtection="0"/>
    <xf numFmtId="177" fontId="2" fillId="0" borderId="0" applyNumberFormat="0" applyFill="0" applyBorder="0" applyAlignment="0" applyProtection="0"/>
    <xf numFmtId="177" fontId="2" fillId="0" borderId="0" applyNumberFormat="0" applyFill="0" applyBorder="0" applyAlignment="0" applyProtection="0"/>
    <xf numFmtId="177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71" quotePrefix="1">
      <alignment horizontal="justify" vertical="justify" textRotation="127" wrapText="1" justifyLastLine="1"/>
      <protection hidden="1"/>
    </xf>
    <xf numFmtId="0" fontId="2" fillId="0" borderId="71" quotePrefix="1">
      <alignment horizontal="justify" vertical="justify" textRotation="127" wrapText="1" justifyLastLine="1"/>
      <protection hidden="1"/>
    </xf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77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7" fillId="0" borderId="0"/>
    <xf numFmtId="0" fontId="2" fillId="0" borderId="0" applyNumberFormat="0" applyFill="0" applyBorder="0" applyAlignment="0" applyProtection="0"/>
    <xf numFmtId="0" fontId="2" fillId="0" borderId="0"/>
    <xf numFmtId="0" fontId="1" fillId="14" borderId="0" applyNumberFormat="0" applyBorder="0" applyAlignment="0" applyProtection="0"/>
    <xf numFmtId="0" fontId="5" fillId="38" borderId="0" applyNumberFormat="0" applyBorder="0" applyAlignment="0" applyProtection="0"/>
    <xf numFmtId="0" fontId="5" fillId="38" borderId="0" applyNumberFormat="0" applyBorder="0" applyAlignment="0" applyProtection="0"/>
    <xf numFmtId="0" fontId="5" fillId="38" borderId="0" applyNumberFormat="0" applyBorder="0" applyAlignment="0" applyProtection="0"/>
    <xf numFmtId="0" fontId="5" fillId="38" borderId="0" applyNumberFormat="0" applyBorder="0" applyAlignment="0" applyProtection="0"/>
    <xf numFmtId="0" fontId="5" fillId="38" borderId="0" applyNumberFormat="0" applyBorder="0" applyAlignment="0" applyProtection="0"/>
    <xf numFmtId="0" fontId="5" fillId="38" borderId="0" applyNumberFormat="0" applyBorder="0" applyAlignment="0" applyProtection="0"/>
    <xf numFmtId="0" fontId="5" fillId="38" borderId="0" applyNumberFormat="0" applyBorder="0" applyAlignment="0" applyProtection="0"/>
    <xf numFmtId="0" fontId="5" fillId="38" borderId="0" applyNumberFormat="0" applyBorder="0" applyAlignment="0" applyProtection="0"/>
    <xf numFmtId="0" fontId="5" fillId="38" borderId="0" applyNumberFormat="0" applyBorder="0" applyAlignment="0" applyProtection="0"/>
    <xf numFmtId="0" fontId="5" fillId="38" borderId="0" applyNumberFormat="0" applyBorder="0" applyAlignment="0" applyProtection="0"/>
    <xf numFmtId="0" fontId="132" fillId="14" borderId="0" applyNumberFormat="0" applyBorder="0" applyAlignment="0" applyProtection="0"/>
    <xf numFmtId="0" fontId="5" fillId="38" borderId="0" applyNumberFormat="0" applyBorder="0" applyAlignment="0" applyProtection="0"/>
    <xf numFmtId="0" fontId="5" fillId="38" borderId="0" applyNumberFormat="0" applyBorder="0" applyAlignment="0" applyProtection="0"/>
    <xf numFmtId="0" fontId="5" fillId="38" borderId="0" applyNumberFormat="0" applyBorder="0" applyAlignment="0" applyProtection="0"/>
    <xf numFmtId="0" fontId="5" fillId="38" borderId="0" applyNumberFormat="0" applyBorder="0" applyAlignment="0" applyProtection="0"/>
    <xf numFmtId="0" fontId="5" fillId="38" borderId="0" applyNumberFormat="0" applyBorder="0" applyAlignment="0" applyProtection="0"/>
    <xf numFmtId="0" fontId="5" fillId="38" borderId="0" applyNumberFormat="0" applyBorder="0" applyAlignment="0" applyProtection="0"/>
    <xf numFmtId="0" fontId="5" fillId="38" borderId="0" applyNumberFormat="0" applyBorder="0" applyAlignment="0" applyProtection="0"/>
    <xf numFmtId="0" fontId="5" fillId="38" borderId="0" applyNumberFormat="0" applyBorder="0" applyAlignment="0" applyProtection="0"/>
    <xf numFmtId="0" fontId="5" fillId="38" borderId="0" applyNumberFormat="0" applyBorder="0" applyAlignment="0" applyProtection="0"/>
    <xf numFmtId="0" fontId="132" fillId="14" borderId="0" applyNumberFormat="0" applyBorder="0" applyAlignment="0" applyProtection="0"/>
    <xf numFmtId="0" fontId="5" fillId="38" borderId="0" applyNumberFormat="0" applyBorder="0" applyAlignment="0" applyProtection="0"/>
    <xf numFmtId="0" fontId="5" fillId="38" borderId="0" applyNumberFormat="0" applyBorder="0" applyAlignment="0" applyProtection="0"/>
    <xf numFmtId="0" fontId="5" fillId="38" borderId="0" applyNumberFormat="0" applyBorder="0" applyAlignment="0" applyProtection="0"/>
    <xf numFmtId="0" fontId="5" fillId="38" borderId="0" applyNumberFormat="0" applyBorder="0" applyAlignment="0" applyProtection="0"/>
    <xf numFmtId="0" fontId="5" fillId="38" borderId="0" applyNumberFormat="0" applyBorder="0" applyAlignment="0" applyProtection="0"/>
    <xf numFmtId="0" fontId="5" fillId="38" borderId="0" applyNumberFormat="0" applyBorder="0" applyAlignment="0" applyProtection="0"/>
    <xf numFmtId="0" fontId="5" fillId="38" borderId="0" applyNumberFormat="0" applyBorder="0" applyAlignment="0" applyProtection="0"/>
    <xf numFmtId="0" fontId="5" fillId="38" borderId="0" applyNumberFormat="0" applyBorder="0" applyAlignment="0" applyProtection="0"/>
    <xf numFmtId="0" fontId="5" fillId="38" borderId="0" applyNumberFormat="0" applyBorder="0" applyAlignment="0" applyProtection="0"/>
    <xf numFmtId="0" fontId="1" fillId="14" borderId="0" applyNumberFormat="0" applyBorder="0" applyAlignment="0" applyProtection="0"/>
    <xf numFmtId="0" fontId="5" fillId="38" borderId="0" applyNumberFormat="0" applyBorder="0" applyAlignment="0" applyProtection="0"/>
    <xf numFmtId="0" fontId="5" fillId="38" borderId="0" applyNumberFormat="0" applyBorder="0" applyAlignment="0" applyProtection="0"/>
    <xf numFmtId="0" fontId="5" fillId="38" borderId="0" applyNumberFormat="0" applyBorder="0" applyAlignment="0" applyProtection="0"/>
    <xf numFmtId="0" fontId="5" fillId="38" borderId="0" applyNumberFormat="0" applyBorder="0" applyAlignment="0" applyProtection="0"/>
    <xf numFmtId="0" fontId="5" fillId="38" borderId="0" applyNumberFormat="0" applyBorder="0" applyAlignment="0" applyProtection="0"/>
    <xf numFmtId="0" fontId="5" fillId="38" borderId="0" applyNumberFormat="0" applyBorder="0" applyAlignment="0" applyProtection="0"/>
    <xf numFmtId="0" fontId="5" fillId="38" borderId="0" applyNumberFormat="0" applyBorder="0" applyAlignment="0" applyProtection="0"/>
    <xf numFmtId="0" fontId="5" fillId="38" borderId="0" applyNumberFormat="0" applyBorder="0" applyAlignment="0" applyProtection="0"/>
    <xf numFmtId="0" fontId="5" fillId="38" borderId="0" applyNumberFormat="0" applyBorder="0" applyAlignment="0" applyProtection="0"/>
    <xf numFmtId="0" fontId="1" fillId="18" borderId="0" applyNumberFormat="0" applyBorder="0" applyAlignment="0" applyProtection="0"/>
    <xf numFmtId="0" fontId="5" fillId="39" borderId="0" applyNumberFormat="0" applyBorder="0" applyAlignment="0" applyProtection="0"/>
    <xf numFmtId="0" fontId="5" fillId="39" borderId="0" applyNumberFormat="0" applyBorder="0" applyAlignment="0" applyProtection="0"/>
    <xf numFmtId="0" fontId="5" fillId="39" borderId="0" applyNumberFormat="0" applyBorder="0" applyAlignment="0" applyProtection="0"/>
    <xf numFmtId="0" fontId="5" fillId="39" borderId="0" applyNumberFormat="0" applyBorder="0" applyAlignment="0" applyProtection="0"/>
    <xf numFmtId="0" fontId="5" fillId="39" borderId="0" applyNumberFormat="0" applyBorder="0" applyAlignment="0" applyProtection="0"/>
    <xf numFmtId="0" fontId="5" fillId="39" borderId="0" applyNumberFormat="0" applyBorder="0" applyAlignment="0" applyProtection="0"/>
    <xf numFmtId="0" fontId="5" fillId="39" borderId="0" applyNumberFormat="0" applyBorder="0" applyAlignment="0" applyProtection="0"/>
    <xf numFmtId="0" fontId="5" fillId="39" borderId="0" applyNumberFormat="0" applyBorder="0" applyAlignment="0" applyProtection="0"/>
    <xf numFmtId="0" fontId="5" fillId="39" borderId="0" applyNumberFormat="0" applyBorder="0" applyAlignment="0" applyProtection="0"/>
    <xf numFmtId="0" fontId="5" fillId="39" borderId="0" applyNumberFormat="0" applyBorder="0" applyAlignment="0" applyProtection="0"/>
    <xf numFmtId="0" fontId="132" fillId="18" borderId="0" applyNumberFormat="0" applyBorder="0" applyAlignment="0" applyProtection="0"/>
    <xf numFmtId="0" fontId="5" fillId="39" borderId="0" applyNumberFormat="0" applyBorder="0" applyAlignment="0" applyProtection="0"/>
    <xf numFmtId="0" fontId="5" fillId="39" borderId="0" applyNumberFormat="0" applyBorder="0" applyAlignment="0" applyProtection="0"/>
    <xf numFmtId="0" fontId="5" fillId="39" borderId="0" applyNumberFormat="0" applyBorder="0" applyAlignment="0" applyProtection="0"/>
    <xf numFmtId="0" fontId="5" fillId="39" borderId="0" applyNumberFormat="0" applyBorder="0" applyAlignment="0" applyProtection="0"/>
    <xf numFmtId="0" fontId="5" fillId="39" borderId="0" applyNumberFormat="0" applyBorder="0" applyAlignment="0" applyProtection="0"/>
    <xf numFmtId="0" fontId="5" fillId="39" borderId="0" applyNumberFormat="0" applyBorder="0" applyAlignment="0" applyProtection="0"/>
    <xf numFmtId="0" fontId="5" fillId="39" borderId="0" applyNumberFormat="0" applyBorder="0" applyAlignment="0" applyProtection="0"/>
    <xf numFmtId="0" fontId="5" fillId="39" borderId="0" applyNumberFormat="0" applyBorder="0" applyAlignment="0" applyProtection="0"/>
    <xf numFmtId="0" fontId="5" fillId="39" borderId="0" applyNumberFormat="0" applyBorder="0" applyAlignment="0" applyProtection="0"/>
    <xf numFmtId="0" fontId="132" fillId="18" borderId="0" applyNumberFormat="0" applyBorder="0" applyAlignment="0" applyProtection="0"/>
    <xf numFmtId="0" fontId="5" fillId="39" borderId="0" applyNumberFormat="0" applyBorder="0" applyAlignment="0" applyProtection="0"/>
    <xf numFmtId="0" fontId="5" fillId="39" borderId="0" applyNumberFormat="0" applyBorder="0" applyAlignment="0" applyProtection="0"/>
    <xf numFmtId="0" fontId="5" fillId="39" borderId="0" applyNumberFormat="0" applyBorder="0" applyAlignment="0" applyProtection="0"/>
    <xf numFmtId="0" fontId="5" fillId="39" borderId="0" applyNumberFormat="0" applyBorder="0" applyAlignment="0" applyProtection="0"/>
    <xf numFmtId="0" fontId="5" fillId="39" borderId="0" applyNumberFormat="0" applyBorder="0" applyAlignment="0" applyProtection="0"/>
    <xf numFmtId="0" fontId="5" fillId="39" borderId="0" applyNumberFormat="0" applyBorder="0" applyAlignment="0" applyProtection="0"/>
    <xf numFmtId="0" fontId="5" fillId="39" borderId="0" applyNumberFormat="0" applyBorder="0" applyAlignment="0" applyProtection="0"/>
    <xf numFmtId="0" fontId="5" fillId="39" borderId="0" applyNumberFormat="0" applyBorder="0" applyAlignment="0" applyProtection="0"/>
    <xf numFmtId="0" fontId="5" fillId="39" borderId="0" applyNumberFormat="0" applyBorder="0" applyAlignment="0" applyProtection="0"/>
    <xf numFmtId="0" fontId="1" fillId="18" borderId="0" applyNumberFormat="0" applyBorder="0" applyAlignment="0" applyProtection="0"/>
    <xf numFmtId="0" fontId="5" fillId="39" borderId="0" applyNumberFormat="0" applyBorder="0" applyAlignment="0" applyProtection="0"/>
    <xf numFmtId="0" fontId="5" fillId="39" borderId="0" applyNumberFormat="0" applyBorder="0" applyAlignment="0" applyProtection="0"/>
    <xf numFmtId="0" fontId="5" fillId="39" borderId="0" applyNumberFormat="0" applyBorder="0" applyAlignment="0" applyProtection="0"/>
    <xf numFmtId="0" fontId="5" fillId="39" borderId="0" applyNumberFormat="0" applyBorder="0" applyAlignment="0" applyProtection="0"/>
    <xf numFmtId="0" fontId="5" fillId="39" borderId="0" applyNumberFormat="0" applyBorder="0" applyAlignment="0" applyProtection="0"/>
    <xf numFmtId="0" fontId="5" fillId="39" borderId="0" applyNumberFormat="0" applyBorder="0" applyAlignment="0" applyProtection="0"/>
    <xf numFmtId="0" fontId="5" fillId="39" borderId="0" applyNumberFormat="0" applyBorder="0" applyAlignment="0" applyProtection="0"/>
    <xf numFmtId="0" fontId="5" fillId="39" borderId="0" applyNumberFormat="0" applyBorder="0" applyAlignment="0" applyProtection="0"/>
    <xf numFmtId="0" fontId="5" fillId="39" borderId="0" applyNumberFormat="0" applyBorder="0" applyAlignment="0" applyProtection="0"/>
    <xf numFmtId="0" fontId="1" fillId="22" borderId="0" applyNumberFormat="0" applyBorder="0" applyAlignment="0" applyProtection="0"/>
    <xf numFmtId="0" fontId="5" fillId="40" borderId="0" applyNumberFormat="0" applyBorder="0" applyAlignment="0" applyProtection="0"/>
    <xf numFmtId="0" fontId="5" fillId="40" borderId="0" applyNumberFormat="0" applyBorder="0" applyAlignment="0" applyProtection="0"/>
    <xf numFmtId="0" fontId="5" fillId="40" borderId="0" applyNumberFormat="0" applyBorder="0" applyAlignment="0" applyProtection="0"/>
    <xf numFmtId="0" fontId="5" fillId="40" borderId="0" applyNumberFormat="0" applyBorder="0" applyAlignment="0" applyProtection="0"/>
    <xf numFmtId="0" fontId="5" fillId="40" borderId="0" applyNumberFormat="0" applyBorder="0" applyAlignment="0" applyProtection="0"/>
    <xf numFmtId="0" fontId="5" fillId="40" borderId="0" applyNumberFormat="0" applyBorder="0" applyAlignment="0" applyProtection="0"/>
    <xf numFmtId="0" fontId="5" fillId="40" borderId="0" applyNumberFormat="0" applyBorder="0" applyAlignment="0" applyProtection="0"/>
    <xf numFmtId="0" fontId="5" fillId="40" borderId="0" applyNumberFormat="0" applyBorder="0" applyAlignment="0" applyProtection="0"/>
    <xf numFmtId="0" fontId="5" fillId="40" borderId="0" applyNumberFormat="0" applyBorder="0" applyAlignment="0" applyProtection="0"/>
    <xf numFmtId="0" fontId="5" fillId="40" borderId="0" applyNumberFormat="0" applyBorder="0" applyAlignment="0" applyProtection="0"/>
    <xf numFmtId="0" fontId="132" fillId="22" borderId="0" applyNumberFormat="0" applyBorder="0" applyAlignment="0" applyProtection="0"/>
    <xf numFmtId="0" fontId="5" fillId="40" borderId="0" applyNumberFormat="0" applyBorder="0" applyAlignment="0" applyProtection="0"/>
    <xf numFmtId="0" fontId="5" fillId="40" borderId="0" applyNumberFormat="0" applyBorder="0" applyAlignment="0" applyProtection="0"/>
    <xf numFmtId="0" fontId="5" fillId="40" borderId="0" applyNumberFormat="0" applyBorder="0" applyAlignment="0" applyProtection="0"/>
    <xf numFmtId="0" fontId="5" fillId="40" borderId="0" applyNumberFormat="0" applyBorder="0" applyAlignment="0" applyProtection="0"/>
    <xf numFmtId="0" fontId="5" fillId="40" borderId="0" applyNumberFormat="0" applyBorder="0" applyAlignment="0" applyProtection="0"/>
    <xf numFmtId="0" fontId="5" fillId="40" borderId="0" applyNumberFormat="0" applyBorder="0" applyAlignment="0" applyProtection="0"/>
    <xf numFmtId="0" fontId="5" fillId="40" borderId="0" applyNumberFormat="0" applyBorder="0" applyAlignment="0" applyProtection="0"/>
    <xf numFmtId="0" fontId="5" fillId="40" borderId="0" applyNumberFormat="0" applyBorder="0" applyAlignment="0" applyProtection="0"/>
    <xf numFmtId="0" fontId="5" fillId="40" borderId="0" applyNumberFormat="0" applyBorder="0" applyAlignment="0" applyProtection="0"/>
    <xf numFmtId="0" fontId="132" fillId="22" borderId="0" applyNumberFormat="0" applyBorder="0" applyAlignment="0" applyProtection="0"/>
    <xf numFmtId="0" fontId="5" fillId="40" borderId="0" applyNumberFormat="0" applyBorder="0" applyAlignment="0" applyProtection="0"/>
    <xf numFmtId="0" fontId="5" fillId="40" borderId="0" applyNumberFormat="0" applyBorder="0" applyAlignment="0" applyProtection="0"/>
    <xf numFmtId="0" fontId="5" fillId="40" borderId="0" applyNumberFormat="0" applyBorder="0" applyAlignment="0" applyProtection="0"/>
    <xf numFmtId="0" fontId="5" fillId="40" borderId="0" applyNumberFormat="0" applyBorder="0" applyAlignment="0" applyProtection="0"/>
    <xf numFmtId="0" fontId="5" fillId="40" borderId="0" applyNumberFormat="0" applyBorder="0" applyAlignment="0" applyProtection="0"/>
    <xf numFmtId="0" fontId="5" fillId="40" borderId="0" applyNumberFormat="0" applyBorder="0" applyAlignment="0" applyProtection="0"/>
    <xf numFmtId="0" fontId="5" fillId="40" borderId="0" applyNumberFormat="0" applyBorder="0" applyAlignment="0" applyProtection="0"/>
    <xf numFmtId="0" fontId="5" fillId="40" borderId="0" applyNumberFormat="0" applyBorder="0" applyAlignment="0" applyProtection="0"/>
    <xf numFmtId="0" fontId="5" fillId="40" borderId="0" applyNumberFormat="0" applyBorder="0" applyAlignment="0" applyProtection="0"/>
    <xf numFmtId="0" fontId="1" fillId="22" borderId="0" applyNumberFormat="0" applyBorder="0" applyAlignment="0" applyProtection="0"/>
    <xf numFmtId="0" fontId="5" fillId="40" borderId="0" applyNumberFormat="0" applyBorder="0" applyAlignment="0" applyProtection="0"/>
    <xf numFmtId="0" fontId="5" fillId="40" borderId="0" applyNumberFormat="0" applyBorder="0" applyAlignment="0" applyProtection="0"/>
    <xf numFmtId="0" fontId="5" fillId="40" borderId="0" applyNumberFormat="0" applyBorder="0" applyAlignment="0" applyProtection="0"/>
    <xf numFmtId="0" fontId="5" fillId="40" borderId="0" applyNumberFormat="0" applyBorder="0" applyAlignment="0" applyProtection="0"/>
    <xf numFmtId="0" fontId="5" fillId="40" borderId="0" applyNumberFormat="0" applyBorder="0" applyAlignment="0" applyProtection="0"/>
    <xf numFmtId="0" fontId="5" fillId="40" borderId="0" applyNumberFormat="0" applyBorder="0" applyAlignment="0" applyProtection="0"/>
    <xf numFmtId="0" fontId="5" fillId="40" borderId="0" applyNumberFormat="0" applyBorder="0" applyAlignment="0" applyProtection="0"/>
    <xf numFmtId="0" fontId="5" fillId="40" borderId="0" applyNumberFormat="0" applyBorder="0" applyAlignment="0" applyProtection="0"/>
    <xf numFmtId="0" fontId="5" fillId="40" borderId="0" applyNumberFormat="0" applyBorder="0" applyAlignment="0" applyProtection="0"/>
    <xf numFmtId="0" fontId="1" fillId="26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132" fillId="26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132" fillId="26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1" fillId="26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1" fillId="30" borderId="0" applyNumberFormat="0" applyBorder="0" applyAlignment="0" applyProtection="0"/>
    <xf numFmtId="0" fontId="5" fillId="42" borderId="0" applyNumberFormat="0" applyBorder="0" applyAlignment="0" applyProtection="0"/>
    <xf numFmtId="0" fontId="5" fillId="42" borderId="0" applyNumberFormat="0" applyBorder="0" applyAlignment="0" applyProtection="0"/>
    <xf numFmtId="0" fontId="5" fillId="42" borderId="0" applyNumberFormat="0" applyBorder="0" applyAlignment="0" applyProtection="0"/>
    <xf numFmtId="0" fontId="5" fillId="42" borderId="0" applyNumberFormat="0" applyBorder="0" applyAlignment="0" applyProtection="0"/>
    <xf numFmtId="0" fontId="5" fillId="42" borderId="0" applyNumberFormat="0" applyBorder="0" applyAlignment="0" applyProtection="0"/>
    <xf numFmtId="0" fontId="5" fillId="42" borderId="0" applyNumberFormat="0" applyBorder="0" applyAlignment="0" applyProtection="0"/>
    <xf numFmtId="0" fontId="5" fillId="42" borderId="0" applyNumberFormat="0" applyBorder="0" applyAlignment="0" applyProtection="0"/>
    <xf numFmtId="0" fontId="5" fillId="42" borderId="0" applyNumberFormat="0" applyBorder="0" applyAlignment="0" applyProtection="0"/>
    <xf numFmtId="0" fontId="5" fillId="42" borderId="0" applyNumberFormat="0" applyBorder="0" applyAlignment="0" applyProtection="0"/>
    <xf numFmtId="0" fontId="5" fillId="42" borderId="0" applyNumberFormat="0" applyBorder="0" applyAlignment="0" applyProtection="0"/>
    <xf numFmtId="0" fontId="132" fillId="30" borderId="0" applyNumberFormat="0" applyBorder="0" applyAlignment="0" applyProtection="0"/>
    <xf numFmtId="0" fontId="5" fillId="42" borderId="0" applyNumberFormat="0" applyBorder="0" applyAlignment="0" applyProtection="0"/>
    <xf numFmtId="0" fontId="5" fillId="42" borderId="0" applyNumberFormat="0" applyBorder="0" applyAlignment="0" applyProtection="0"/>
    <xf numFmtId="0" fontId="5" fillId="42" borderId="0" applyNumberFormat="0" applyBorder="0" applyAlignment="0" applyProtection="0"/>
    <xf numFmtId="0" fontId="5" fillId="42" borderId="0" applyNumberFormat="0" applyBorder="0" applyAlignment="0" applyProtection="0"/>
    <xf numFmtId="0" fontId="5" fillId="42" borderId="0" applyNumberFormat="0" applyBorder="0" applyAlignment="0" applyProtection="0"/>
    <xf numFmtId="0" fontId="5" fillId="42" borderId="0" applyNumberFormat="0" applyBorder="0" applyAlignment="0" applyProtection="0"/>
    <xf numFmtId="0" fontId="5" fillId="42" borderId="0" applyNumberFormat="0" applyBorder="0" applyAlignment="0" applyProtection="0"/>
    <xf numFmtId="0" fontId="5" fillId="42" borderId="0" applyNumberFormat="0" applyBorder="0" applyAlignment="0" applyProtection="0"/>
    <xf numFmtId="0" fontId="5" fillId="42" borderId="0" applyNumberFormat="0" applyBorder="0" applyAlignment="0" applyProtection="0"/>
    <xf numFmtId="0" fontId="132" fillId="30" borderId="0" applyNumberFormat="0" applyBorder="0" applyAlignment="0" applyProtection="0"/>
    <xf numFmtId="0" fontId="5" fillId="42" borderId="0" applyNumberFormat="0" applyBorder="0" applyAlignment="0" applyProtection="0"/>
    <xf numFmtId="0" fontId="5" fillId="42" borderId="0" applyNumberFormat="0" applyBorder="0" applyAlignment="0" applyProtection="0"/>
    <xf numFmtId="0" fontId="5" fillId="42" borderId="0" applyNumberFormat="0" applyBorder="0" applyAlignment="0" applyProtection="0"/>
    <xf numFmtId="0" fontId="5" fillId="42" borderId="0" applyNumberFormat="0" applyBorder="0" applyAlignment="0" applyProtection="0"/>
    <xf numFmtId="0" fontId="5" fillId="42" borderId="0" applyNumberFormat="0" applyBorder="0" applyAlignment="0" applyProtection="0"/>
    <xf numFmtId="0" fontId="5" fillId="42" borderId="0" applyNumberFormat="0" applyBorder="0" applyAlignment="0" applyProtection="0"/>
    <xf numFmtId="0" fontId="5" fillId="42" borderId="0" applyNumberFormat="0" applyBorder="0" applyAlignment="0" applyProtection="0"/>
    <xf numFmtId="0" fontId="5" fillId="42" borderId="0" applyNumberFormat="0" applyBorder="0" applyAlignment="0" applyProtection="0"/>
    <xf numFmtId="0" fontId="5" fillId="42" borderId="0" applyNumberFormat="0" applyBorder="0" applyAlignment="0" applyProtection="0"/>
    <xf numFmtId="0" fontId="1" fillId="30" borderId="0" applyNumberFormat="0" applyBorder="0" applyAlignment="0" applyProtection="0"/>
    <xf numFmtId="0" fontId="5" fillId="42" borderId="0" applyNumberFormat="0" applyBorder="0" applyAlignment="0" applyProtection="0"/>
    <xf numFmtId="0" fontId="5" fillId="42" borderId="0" applyNumberFormat="0" applyBorder="0" applyAlignment="0" applyProtection="0"/>
    <xf numFmtId="0" fontId="5" fillId="42" borderId="0" applyNumberFormat="0" applyBorder="0" applyAlignment="0" applyProtection="0"/>
    <xf numFmtId="0" fontId="5" fillId="42" borderId="0" applyNumberFormat="0" applyBorder="0" applyAlignment="0" applyProtection="0"/>
    <xf numFmtId="0" fontId="5" fillId="42" borderId="0" applyNumberFormat="0" applyBorder="0" applyAlignment="0" applyProtection="0"/>
    <xf numFmtId="0" fontId="5" fillId="42" borderId="0" applyNumberFormat="0" applyBorder="0" applyAlignment="0" applyProtection="0"/>
    <xf numFmtId="0" fontId="5" fillId="42" borderId="0" applyNumberFormat="0" applyBorder="0" applyAlignment="0" applyProtection="0"/>
    <xf numFmtId="0" fontId="5" fillId="42" borderId="0" applyNumberFormat="0" applyBorder="0" applyAlignment="0" applyProtection="0"/>
    <xf numFmtId="0" fontId="5" fillId="42" borderId="0" applyNumberFormat="0" applyBorder="0" applyAlignment="0" applyProtection="0"/>
    <xf numFmtId="0" fontId="1" fillId="34" borderId="0" applyNumberFormat="0" applyBorder="0" applyAlignment="0" applyProtection="0"/>
    <xf numFmtId="0" fontId="5" fillId="43" borderId="0" applyNumberFormat="0" applyBorder="0" applyAlignment="0" applyProtection="0"/>
    <xf numFmtId="0" fontId="5" fillId="43" borderId="0" applyNumberFormat="0" applyBorder="0" applyAlignment="0" applyProtection="0"/>
    <xf numFmtId="0" fontId="5" fillId="43" borderId="0" applyNumberFormat="0" applyBorder="0" applyAlignment="0" applyProtection="0"/>
    <xf numFmtId="0" fontId="5" fillId="43" borderId="0" applyNumberFormat="0" applyBorder="0" applyAlignment="0" applyProtection="0"/>
    <xf numFmtId="0" fontId="5" fillId="43" borderId="0" applyNumberFormat="0" applyBorder="0" applyAlignment="0" applyProtection="0"/>
    <xf numFmtId="0" fontId="5" fillId="43" borderId="0" applyNumberFormat="0" applyBorder="0" applyAlignment="0" applyProtection="0"/>
    <xf numFmtId="0" fontId="5" fillId="43" borderId="0" applyNumberFormat="0" applyBorder="0" applyAlignment="0" applyProtection="0"/>
    <xf numFmtId="0" fontId="5" fillId="43" borderId="0" applyNumberFormat="0" applyBorder="0" applyAlignment="0" applyProtection="0"/>
    <xf numFmtId="0" fontId="5" fillId="43" borderId="0" applyNumberFormat="0" applyBorder="0" applyAlignment="0" applyProtection="0"/>
    <xf numFmtId="0" fontId="5" fillId="43" borderId="0" applyNumberFormat="0" applyBorder="0" applyAlignment="0" applyProtection="0"/>
    <xf numFmtId="0" fontId="132" fillId="34" borderId="0" applyNumberFormat="0" applyBorder="0" applyAlignment="0" applyProtection="0"/>
    <xf numFmtId="0" fontId="5" fillId="43" borderId="0" applyNumberFormat="0" applyBorder="0" applyAlignment="0" applyProtection="0"/>
    <xf numFmtId="0" fontId="5" fillId="43" borderId="0" applyNumberFormat="0" applyBorder="0" applyAlignment="0" applyProtection="0"/>
    <xf numFmtId="0" fontId="5" fillId="43" borderId="0" applyNumberFormat="0" applyBorder="0" applyAlignment="0" applyProtection="0"/>
    <xf numFmtId="0" fontId="5" fillId="43" borderId="0" applyNumberFormat="0" applyBorder="0" applyAlignment="0" applyProtection="0"/>
    <xf numFmtId="0" fontId="5" fillId="43" borderId="0" applyNumberFormat="0" applyBorder="0" applyAlignment="0" applyProtection="0"/>
    <xf numFmtId="0" fontId="5" fillId="43" borderId="0" applyNumberFormat="0" applyBorder="0" applyAlignment="0" applyProtection="0"/>
    <xf numFmtId="0" fontId="5" fillId="43" borderId="0" applyNumberFormat="0" applyBorder="0" applyAlignment="0" applyProtection="0"/>
    <xf numFmtId="0" fontId="5" fillId="43" borderId="0" applyNumberFormat="0" applyBorder="0" applyAlignment="0" applyProtection="0"/>
    <xf numFmtId="0" fontId="5" fillId="43" borderId="0" applyNumberFormat="0" applyBorder="0" applyAlignment="0" applyProtection="0"/>
    <xf numFmtId="0" fontId="132" fillId="34" borderId="0" applyNumberFormat="0" applyBorder="0" applyAlignment="0" applyProtection="0"/>
    <xf numFmtId="0" fontId="5" fillId="43" borderId="0" applyNumberFormat="0" applyBorder="0" applyAlignment="0" applyProtection="0"/>
    <xf numFmtId="0" fontId="5" fillId="43" borderId="0" applyNumberFormat="0" applyBorder="0" applyAlignment="0" applyProtection="0"/>
    <xf numFmtId="0" fontId="5" fillId="43" borderId="0" applyNumberFormat="0" applyBorder="0" applyAlignment="0" applyProtection="0"/>
    <xf numFmtId="0" fontId="5" fillId="43" borderId="0" applyNumberFormat="0" applyBorder="0" applyAlignment="0" applyProtection="0"/>
    <xf numFmtId="0" fontId="5" fillId="43" borderId="0" applyNumberFormat="0" applyBorder="0" applyAlignment="0" applyProtection="0"/>
    <xf numFmtId="0" fontId="5" fillId="43" borderId="0" applyNumberFormat="0" applyBorder="0" applyAlignment="0" applyProtection="0"/>
    <xf numFmtId="0" fontId="5" fillId="43" borderId="0" applyNumberFormat="0" applyBorder="0" applyAlignment="0" applyProtection="0"/>
    <xf numFmtId="0" fontId="5" fillId="43" borderId="0" applyNumberFormat="0" applyBorder="0" applyAlignment="0" applyProtection="0"/>
    <xf numFmtId="0" fontId="5" fillId="43" borderId="0" applyNumberFormat="0" applyBorder="0" applyAlignment="0" applyProtection="0"/>
    <xf numFmtId="0" fontId="1" fillId="34" borderId="0" applyNumberFormat="0" applyBorder="0" applyAlignment="0" applyProtection="0"/>
    <xf numFmtId="0" fontId="5" fillId="43" borderId="0" applyNumberFormat="0" applyBorder="0" applyAlignment="0" applyProtection="0"/>
    <xf numFmtId="0" fontId="5" fillId="43" borderId="0" applyNumberFormat="0" applyBorder="0" applyAlignment="0" applyProtection="0"/>
    <xf numFmtId="0" fontId="5" fillId="43" borderId="0" applyNumberFormat="0" applyBorder="0" applyAlignment="0" applyProtection="0"/>
    <xf numFmtId="0" fontId="5" fillId="43" borderId="0" applyNumberFormat="0" applyBorder="0" applyAlignment="0" applyProtection="0"/>
    <xf numFmtId="0" fontId="5" fillId="43" borderId="0" applyNumberFormat="0" applyBorder="0" applyAlignment="0" applyProtection="0"/>
    <xf numFmtId="0" fontId="5" fillId="43" borderId="0" applyNumberFormat="0" applyBorder="0" applyAlignment="0" applyProtection="0"/>
    <xf numFmtId="0" fontId="5" fillId="43" borderId="0" applyNumberFormat="0" applyBorder="0" applyAlignment="0" applyProtection="0"/>
    <xf numFmtId="0" fontId="5" fillId="43" borderId="0" applyNumberFormat="0" applyBorder="0" applyAlignment="0" applyProtection="0"/>
    <xf numFmtId="0" fontId="5" fillId="43" borderId="0" applyNumberFormat="0" applyBorder="0" applyAlignment="0" applyProtection="0"/>
    <xf numFmtId="0" fontId="1" fillId="15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132" fillId="15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132" fillId="15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1" fillId="15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1" fillId="19" borderId="0" applyNumberFormat="0" applyBorder="0" applyAlignment="0" applyProtection="0"/>
    <xf numFmtId="0" fontId="5" fillId="45" borderId="0" applyNumberFormat="0" applyBorder="0" applyAlignment="0" applyProtection="0"/>
    <xf numFmtId="0" fontId="5" fillId="45" borderId="0" applyNumberFormat="0" applyBorder="0" applyAlignment="0" applyProtection="0"/>
    <xf numFmtId="0" fontId="5" fillId="45" borderId="0" applyNumberFormat="0" applyBorder="0" applyAlignment="0" applyProtection="0"/>
    <xf numFmtId="0" fontId="5" fillId="45" borderId="0" applyNumberFormat="0" applyBorder="0" applyAlignment="0" applyProtection="0"/>
    <xf numFmtId="0" fontId="5" fillId="45" borderId="0" applyNumberFormat="0" applyBorder="0" applyAlignment="0" applyProtection="0"/>
    <xf numFmtId="0" fontId="5" fillId="45" borderId="0" applyNumberFormat="0" applyBorder="0" applyAlignment="0" applyProtection="0"/>
    <xf numFmtId="0" fontId="5" fillId="45" borderId="0" applyNumberFormat="0" applyBorder="0" applyAlignment="0" applyProtection="0"/>
    <xf numFmtId="0" fontId="5" fillId="45" borderId="0" applyNumberFormat="0" applyBorder="0" applyAlignment="0" applyProtection="0"/>
    <xf numFmtId="0" fontId="5" fillId="45" borderId="0" applyNumberFormat="0" applyBorder="0" applyAlignment="0" applyProtection="0"/>
    <xf numFmtId="0" fontId="5" fillId="45" borderId="0" applyNumberFormat="0" applyBorder="0" applyAlignment="0" applyProtection="0"/>
    <xf numFmtId="0" fontId="132" fillId="19" borderId="0" applyNumberFormat="0" applyBorder="0" applyAlignment="0" applyProtection="0"/>
    <xf numFmtId="0" fontId="5" fillId="45" borderId="0" applyNumberFormat="0" applyBorder="0" applyAlignment="0" applyProtection="0"/>
    <xf numFmtId="0" fontId="5" fillId="45" borderId="0" applyNumberFormat="0" applyBorder="0" applyAlignment="0" applyProtection="0"/>
    <xf numFmtId="0" fontId="5" fillId="45" borderId="0" applyNumberFormat="0" applyBorder="0" applyAlignment="0" applyProtection="0"/>
    <xf numFmtId="0" fontId="5" fillId="45" borderId="0" applyNumberFormat="0" applyBorder="0" applyAlignment="0" applyProtection="0"/>
    <xf numFmtId="0" fontId="5" fillId="45" borderId="0" applyNumberFormat="0" applyBorder="0" applyAlignment="0" applyProtection="0"/>
    <xf numFmtId="0" fontId="5" fillId="45" borderId="0" applyNumberFormat="0" applyBorder="0" applyAlignment="0" applyProtection="0"/>
    <xf numFmtId="0" fontId="5" fillId="45" borderId="0" applyNumberFormat="0" applyBorder="0" applyAlignment="0" applyProtection="0"/>
    <xf numFmtId="0" fontId="5" fillId="45" borderId="0" applyNumberFormat="0" applyBorder="0" applyAlignment="0" applyProtection="0"/>
    <xf numFmtId="0" fontId="5" fillId="45" borderId="0" applyNumberFormat="0" applyBorder="0" applyAlignment="0" applyProtection="0"/>
    <xf numFmtId="0" fontId="132" fillId="19" borderId="0" applyNumberFormat="0" applyBorder="0" applyAlignment="0" applyProtection="0"/>
    <xf numFmtId="0" fontId="5" fillId="45" borderId="0" applyNumberFormat="0" applyBorder="0" applyAlignment="0" applyProtection="0"/>
    <xf numFmtId="0" fontId="5" fillId="45" borderId="0" applyNumberFormat="0" applyBorder="0" applyAlignment="0" applyProtection="0"/>
    <xf numFmtId="0" fontId="5" fillId="45" borderId="0" applyNumberFormat="0" applyBorder="0" applyAlignment="0" applyProtection="0"/>
    <xf numFmtId="0" fontId="5" fillId="45" borderId="0" applyNumberFormat="0" applyBorder="0" applyAlignment="0" applyProtection="0"/>
    <xf numFmtId="0" fontId="5" fillId="45" borderId="0" applyNumberFormat="0" applyBorder="0" applyAlignment="0" applyProtection="0"/>
    <xf numFmtId="0" fontId="5" fillId="45" borderId="0" applyNumberFormat="0" applyBorder="0" applyAlignment="0" applyProtection="0"/>
    <xf numFmtId="0" fontId="5" fillId="45" borderId="0" applyNumberFormat="0" applyBorder="0" applyAlignment="0" applyProtection="0"/>
    <xf numFmtId="0" fontId="5" fillId="45" borderId="0" applyNumberFormat="0" applyBorder="0" applyAlignment="0" applyProtection="0"/>
    <xf numFmtId="0" fontId="5" fillId="45" borderId="0" applyNumberFormat="0" applyBorder="0" applyAlignment="0" applyProtection="0"/>
    <xf numFmtId="0" fontId="1" fillId="19" borderId="0" applyNumberFormat="0" applyBorder="0" applyAlignment="0" applyProtection="0"/>
    <xf numFmtId="0" fontId="5" fillId="45" borderId="0" applyNumberFormat="0" applyBorder="0" applyAlignment="0" applyProtection="0"/>
    <xf numFmtId="0" fontId="5" fillId="45" borderId="0" applyNumberFormat="0" applyBorder="0" applyAlignment="0" applyProtection="0"/>
    <xf numFmtId="0" fontId="5" fillId="45" borderId="0" applyNumberFormat="0" applyBorder="0" applyAlignment="0" applyProtection="0"/>
    <xf numFmtId="0" fontId="5" fillId="45" borderId="0" applyNumberFormat="0" applyBorder="0" applyAlignment="0" applyProtection="0"/>
    <xf numFmtId="0" fontId="5" fillId="45" borderId="0" applyNumberFormat="0" applyBorder="0" applyAlignment="0" applyProtection="0"/>
    <xf numFmtId="0" fontId="5" fillId="45" borderId="0" applyNumberFormat="0" applyBorder="0" applyAlignment="0" applyProtection="0"/>
    <xf numFmtId="0" fontId="5" fillId="45" borderId="0" applyNumberFormat="0" applyBorder="0" applyAlignment="0" applyProtection="0"/>
    <xf numFmtId="0" fontId="5" fillId="45" borderId="0" applyNumberFormat="0" applyBorder="0" applyAlignment="0" applyProtection="0"/>
    <xf numFmtId="0" fontId="5" fillId="45" borderId="0" applyNumberFormat="0" applyBorder="0" applyAlignment="0" applyProtection="0"/>
    <xf numFmtId="0" fontId="1" fillId="23" borderId="0" applyNumberFormat="0" applyBorder="0" applyAlignment="0" applyProtection="0"/>
    <xf numFmtId="0" fontId="5" fillId="46" borderId="0" applyNumberFormat="0" applyBorder="0" applyAlignment="0" applyProtection="0"/>
    <xf numFmtId="0" fontId="5" fillId="46" borderId="0" applyNumberFormat="0" applyBorder="0" applyAlignment="0" applyProtection="0"/>
    <xf numFmtId="0" fontId="5" fillId="46" borderId="0" applyNumberFormat="0" applyBorder="0" applyAlignment="0" applyProtection="0"/>
    <xf numFmtId="0" fontId="5" fillId="46" borderId="0" applyNumberFormat="0" applyBorder="0" applyAlignment="0" applyProtection="0"/>
    <xf numFmtId="0" fontId="5" fillId="46" borderId="0" applyNumberFormat="0" applyBorder="0" applyAlignment="0" applyProtection="0"/>
    <xf numFmtId="0" fontId="5" fillId="46" borderId="0" applyNumberFormat="0" applyBorder="0" applyAlignment="0" applyProtection="0"/>
    <xf numFmtId="0" fontId="5" fillId="46" borderId="0" applyNumberFormat="0" applyBorder="0" applyAlignment="0" applyProtection="0"/>
    <xf numFmtId="0" fontId="5" fillId="46" borderId="0" applyNumberFormat="0" applyBorder="0" applyAlignment="0" applyProtection="0"/>
    <xf numFmtId="0" fontId="5" fillId="46" borderId="0" applyNumberFormat="0" applyBorder="0" applyAlignment="0" applyProtection="0"/>
    <xf numFmtId="0" fontId="5" fillId="46" borderId="0" applyNumberFormat="0" applyBorder="0" applyAlignment="0" applyProtection="0"/>
    <xf numFmtId="0" fontId="132" fillId="23" borderId="0" applyNumberFormat="0" applyBorder="0" applyAlignment="0" applyProtection="0"/>
    <xf numFmtId="0" fontId="5" fillId="46" borderId="0" applyNumberFormat="0" applyBorder="0" applyAlignment="0" applyProtection="0"/>
    <xf numFmtId="0" fontId="5" fillId="46" borderId="0" applyNumberFormat="0" applyBorder="0" applyAlignment="0" applyProtection="0"/>
    <xf numFmtId="0" fontId="5" fillId="46" borderId="0" applyNumberFormat="0" applyBorder="0" applyAlignment="0" applyProtection="0"/>
    <xf numFmtId="0" fontId="5" fillId="46" borderId="0" applyNumberFormat="0" applyBorder="0" applyAlignment="0" applyProtection="0"/>
    <xf numFmtId="0" fontId="5" fillId="46" borderId="0" applyNumberFormat="0" applyBorder="0" applyAlignment="0" applyProtection="0"/>
    <xf numFmtId="0" fontId="5" fillId="46" borderId="0" applyNumberFormat="0" applyBorder="0" applyAlignment="0" applyProtection="0"/>
    <xf numFmtId="0" fontId="5" fillId="46" borderId="0" applyNumberFormat="0" applyBorder="0" applyAlignment="0" applyProtection="0"/>
    <xf numFmtId="0" fontId="5" fillId="46" borderId="0" applyNumberFormat="0" applyBorder="0" applyAlignment="0" applyProtection="0"/>
    <xf numFmtId="0" fontId="5" fillId="46" borderId="0" applyNumberFormat="0" applyBorder="0" applyAlignment="0" applyProtection="0"/>
    <xf numFmtId="0" fontId="132" fillId="23" borderId="0" applyNumberFormat="0" applyBorder="0" applyAlignment="0" applyProtection="0"/>
    <xf numFmtId="0" fontId="5" fillId="46" borderId="0" applyNumberFormat="0" applyBorder="0" applyAlignment="0" applyProtection="0"/>
    <xf numFmtId="0" fontId="5" fillId="46" borderId="0" applyNumberFormat="0" applyBorder="0" applyAlignment="0" applyProtection="0"/>
    <xf numFmtId="0" fontId="5" fillId="46" borderId="0" applyNumberFormat="0" applyBorder="0" applyAlignment="0" applyProtection="0"/>
    <xf numFmtId="0" fontId="5" fillId="46" borderId="0" applyNumberFormat="0" applyBorder="0" applyAlignment="0" applyProtection="0"/>
    <xf numFmtId="0" fontId="5" fillId="46" borderId="0" applyNumberFormat="0" applyBorder="0" applyAlignment="0" applyProtection="0"/>
    <xf numFmtId="0" fontId="5" fillId="46" borderId="0" applyNumberFormat="0" applyBorder="0" applyAlignment="0" applyProtection="0"/>
    <xf numFmtId="0" fontId="5" fillId="46" borderId="0" applyNumberFormat="0" applyBorder="0" applyAlignment="0" applyProtection="0"/>
    <xf numFmtId="0" fontId="5" fillId="46" borderId="0" applyNumberFormat="0" applyBorder="0" applyAlignment="0" applyProtection="0"/>
    <xf numFmtId="0" fontId="5" fillId="46" borderId="0" applyNumberFormat="0" applyBorder="0" applyAlignment="0" applyProtection="0"/>
    <xf numFmtId="0" fontId="1" fillId="23" borderId="0" applyNumberFormat="0" applyBorder="0" applyAlignment="0" applyProtection="0"/>
    <xf numFmtId="0" fontId="5" fillId="46" borderId="0" applyNumberFormat="0" applyBorder="0" applyAlignment="0" applyProtection="0"/>
    <xf numFmtId="0" fontId="5" fillId="46" borderId="0" applyNumberFormat="0" applyBorder="0" applyAlignment="0" applyProtection="0"/>
    <xf numFmtId="0" fontId="5" fillId="46" borderId="0" applyNumberFormat="0" applyBorder="0" applyAlignment="0" applyProtection="0"/>
    <xf numFmtId="0" fontId="5" fillId="46" borderId="0" applyNumberFormat="0" applyBorder="0" applyAlignment="0" applyProtection="0"/>
    <xf numFmtId="0" fontId="5" fillId="46" borderId="0" applyNumberFormat="0" applyBorder="0" applyAlignment="0" applyProtection="0"/>
    <xf numFmtId="0" fontId="5" fillId="46" borderId="0" applyNumberFormat="0" applyBorder="0" applyAlignment="0" applyProtection="0"/>
    <xf numFmtId="0" fontId="5" fillId="46" borderId="0" applyNumberFormat="0" applyBorder="0" applyAlignment="0" applyProtection="0"/>
    <xf numFmtId="0" fontId="5" fillId="46" borderId="0" applyNumberFormat="0" applyBorder="0" applyAlignment="0" applyProtection="0"/>
    <xf numFmtId="0" fontId="5" fillId="46" borderId="0" applyNumberFormat="0" applyBorder="0" applyAlignment="0" applyProtection="0"/>
    <xf numFmtId="0" fontId="1" fillId="27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132" fillId="27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132" fillId="27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1" fillId="27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1" fillId="31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132" fillId="31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132" fillId="31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1" fillId="31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1" fillId="35" borderId="0" applyNumberFormat="0" applyBorder="0" applyAlignment="0" applyProtection="0"/>
    <xf numFmtId="0" fontId="5" fillId="47" borderId="0" applyNumberFormat="0" applyBorder="0" applyAlignment="0" applyProtection="0"/>
    <xf numFmtId="0" fontId="5" fillId="47" borderId="0" applyNumberFormat="0" applyBorder="0" applyAlignment="0" applyProtection="0"/>
    <xf numFmtId="0" fontId="5" fillId="47" borderId="0" applyNumberFormat="0" applyBorder="0" applyAlignment="0" applyProtection="0"/>
    <xf numFmtId="0" fontId="5" fillId="47" borderId="0" applyNumberFormat="0" applyBorder="0" applyAlignment="0" applyProtection="0"/>
    <xf numFmtId="0" fontId="5" fillId="47" borderId="0" applyNumberFormat="0" applyBorder="0" applyAlignment="0" applyProtection="0"/>
    <xf numFmtId="0" fontId="5" fillId="47" borderId="0" applyNumberFormat="0" applyBorder="0" applyAlignment="0" applyProtection="0"/>
    <xf numFmtId="0" fontId="5" fillId="47" borderId="0" applyNumberFormat="0" applyBorder="0" applyAlignment="0" applyProtection="0"/>
    <xf numFmtId="0" fontId="5" fillId="47" borderId="0" applyNumberFormat="0" applyBorder="0" applyAlignment="0" applyProtection="0"/>
    <xf numFmtId="0" fontId="5" fillId="47" borderId="0" applyNumberFormat="0" applyBorder="0" applyAlignment="0" applyProtection="0"/>
    <xf numFmtId="0" fontId="5" fillId="47" borderId="0" applyNumberFormat="0" applyBorder="0" applyAlignment="0" applyProtection="0"/>
    <xf numFmtId="0" fontId="132" fillId="35" borderId="0" applyNumberFormat="0" applyBorder="0" applyAlignment="0" applyProtection="0"/>
    <xf numFmtId="0" fontId="5" fillId="47" borderId="0" applyNumberFormat="0" applyBorder="0" applyAlignment="0" applyProtection="0"/>
    <xf numFmtId="0" fontId="5" fillId="47" borderId="0" applyNumberFormat="0" applyBorder="0" applyAlignment="0" applyProtection="0"/>
    <xf numFmtId="0" fontId="5" fillId="47" borderId="0" applyNumberFormat="0" applyBorder="0" applyAlignment="0" applyProtection="0"/>
    <xf numFmtId="0" fontId="5" fillId="47" borderId="0" applyNumberFormat="0" applyBorder="0" applyAlignment="0" applyProtection="0"/>
    <xf numFmtId="0" fontId="5" fillId="47" borderId="0" applyNumberFormat="0" applyBorder="0" applyAlignment="0" applyProtection="0"/>
    <xf numFmtId="0" fontId="5" fillId="47" borderId="0" applyNumberFormat="0" applyBorder="0" applyAlignment="0" applyProtection="0"/>
    <xf numFmtId="0" fontId="5" fillId="47" borderId="0" applyNumberFormat="0" applyBorder="0" applyAlignment="0" applyProtection="0"/>
    <xf numFmtId="0" fontId="5" fillId="47" borderId="0" applyNumberFormat="0" applyBorder="0" applyAlignment="0" applyProtection="0"/>
    <xf numFmtId="0" fontId="5" fillId="47" borderId="0" applyNumberFormat="0" applyBorder="0" applyAlignment="0" applyProtection="0"/>
    <xf numFmtId="0" fontId="132" fillId="35" borderId="0" applyNumberFormat="0" applyBorder="0" applyAlignment="0" applyProtection="0"/>
    <xf numFmtId="0" fontId="5" fillId="47" borderId="0" applyNumberFormat="0" applyBorder="0" applyAlignment="0" applyProtection="0"/>
    <xf numFmtId="0" fontId="5" fillId="47" borderId="0" applyNumberFormat="0" applyBorder="0" applyAlignment="0" applyProtection="0"/>
    <xf numFmtId="0" fontId="5" fillId="47" borderId="0" applyNumberFormat="0" applyBorder="0" applyAlignment="0" applyProtection="0"/>
    <xf numFmtId="0" fontId="5" fillId="47" borderId="0" applyNumberFormat="0" applyBorder="0" applyAlignment="0" applyProtection="0"/>
    <xf numFmtId="0" fontId="5" fillId="47" borderId="0" applyNumberFormat="0" applyBorder="0" applyAlignment="0" applyProtection="0"/>
    <xf numFmtId="0" fontId="5" fillId="47" borderId="0" applyNumberFormat="0" applyBorder="0" applyAlignment="0" applyProtection="0"/>
    <xf numFmtId="0" fontId="5" fillId="47" borderId="0" applyNumberFormat="0" applyBorder="0" applyAlignment="0" applyProtection="0"/>
    <xf numFmtId="0" fontId="5" fillId="47" borderId="0" applyNumberFormat="0" applyBorder="0" applyAlignment="0" applyProtection="0"/>
    <xf numFmtId="0" fontId="5" fillId="47" borderId="0" applyNumberFormat="0" applyBorder="0" applyAlignment="0" applyProtection="0"/>
    <xf numFmtId="0" fontId="1" fillId="35" borderId="0" applyNumberFormat="0" applyBorder="0" applyAlignment="0" applyProtection="0"/>
    <xf numFmtId="0" fontId="5" fillId="47" borderId="0" applyNumberFormat="0" applyBorder="0" applyAlignment="0" applyProtection="0"/>
    <xf numFmtId="0" fontId="5" fillId="47" borderId="0" applyNumberFormat="0" applyBorder="0" applyAlignment="0" applyProtection="0"/>
    <xf numFmtId="0" fontId="5" fillId="47" borderId="0" applyNumberFormat="0" applyBorder="0" applyAlignment="0" applyProtection="0"/>
    <xf numFmtId="0" fontId="5" fillId="47" borderId="0" applyNumberFormat="0" applyBorder="0" applyAlignment="0" applyProtection="0"/>
    <xf numFmtId="0" fontId="5" fillId="47" borderId="0" applyNumberFormat="0" applyBorder="0" applyAlignment="0" applyProtection="0"/>
    <xf numFmtId="0" fontId="5" fillId="47" borderId="0" applyNumberFormat="0" applyBorder="0" applyAlignment="0" applyProtection="0"/>
    <xf numFmtId="0" fontId="5" fillId="47" borderId="0" applyNumberFormat="0" applyBorder="0" applyAlignment="0" applyProtection="0"/>
    <xf numFmtId="0" fontId="5" fillId="47" borderId="0" applyNumberFormat="0" applyBorder="0" applyAlignment="0" applyProtection="0"/>
    <xf numFmtId="0" fontId="5" fillId="47" borderId="0" applyNumberFormat="0" applyBorder="0" applyAlignment="0" applyProtection="0"/>
    <xf numFmtId="0" fontId="1" fillId="16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132" fillId="16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132" fillId="16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1" fillId="16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1" fillId="20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132" fillId="20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132" fillId="20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1" fillId="20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1" fillId="24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132" fillId="24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132" fillId="24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1" fillId="24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1" fillId="28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132" fillId="28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132" fillId="28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1" fillId="28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1" fillId="32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132" fillId="32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132" fillId="32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1" fillId="32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1" fillId="36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132" fillId="36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132" fillId="36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1" fillId="36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2" fillId="0" borderId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21" fillId="13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21" fillId="17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21" fillId="21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21" fillId="25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21" fillId="29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5" borderId="0" applyNumberFormat="0" applyBorder="0" applyAlignment="0" applyProtection="0"/>
    <xf numFmtId="0" fontId="41" fillId="55" borderId="0" applyNumberFormat="0" applyBorder="0" applyAlignment="0" applyProtection="0"/>
    <xf numFmtId="0" fontId="41" fillId="55" borderId="0" applyNumberFormat="0" applyBorder="0" applyAlignment="0" applyProtection="0"/>
    <xf numFmtId="0" fontId="41" fillId="55" borderId="0" applyNumberFormat="0" applyBorder="0" applyAlignment="0" applyProtection="0"/>
    <xf numFmtId="0" fontId="41" fillId="55" borderId="0" applyNumberFormat="0" applyBorder="0" applyAlignment="0" applyProtection="0"/>
    <xf numFmtId="0" fontId="41" fillId="55" borderId="0" applyNumberFormat="0" applyBorder="0" applyAlignment="0" applyProtection="0"/>
    <xf numFmtId="0" fontId="41" fillId="55" borderId="0" applyNumberFormat="0" applyBorder="0" applyAlignment="0" applyProtection="0"/>
    <xf numFmtId="0" fontId="41" fillId="55" borderId="0" applyNumberFormat="0" applyBorder="0" applyAlignment="0" applyProtection="0"/>
    <xf numFmtId="0" fontId="41" fillId="55" borderId="0" applyNumberFormat="0" applyBorder="0" applyAlignment="0" applyProtection="0"/>
    <xf numFmtId="0" fontId="21" fillId="33" borderId="0" applyNumberFormat="0" applyBorder="0" applyAlignment="0" applyProtection="0"/>
    <xf numFmtId="0" fontId="41" fillId="55" borderId="0" applyNumberFormat="0" applyBorder="0" applyAlignment="0" applyProtection="0"/>
    <xf numFmtId="0" fontId="41" fillId="55" borderId="0" applyNumberFormat="0" applyBorder="0" applyAlignment="0" applyProtection="0"/>
    <xf numFmtId="0" fontId="41" fillId="55" borderId="0" applyNumberFormat="0" applyBorder="0" applyAlignment="0" applyProtection="0"/>
    <xf numFmtId="0" fontId="41" fillId="55" borderId="0" applyNumberFormat="0" applyBorder="0" applyAlignment="0" applyProtection="0"/>
    <xf numFmtId="0" fontId="41" fillId="55" borderId="0" applyNumberFormat="0" applyBorder="0" applyAlignment="0" applyProtection="0"/>
    <xf numFmtId="0" fontId="41" fillId="55" borderId="0" applyNumberFormat="0" applyBorder="0" applyAlignment="0" applyProtection="0"/>
    <xf numFmtId="0" fontId="41" fillId="55" borderId="0" applyNumberFormat="0" applyBorder="0" applyAlignment="0" applyProtection="0"/>
    <xf numFmtId="0" fontId="41" fillId="55" borderId="0" applyNumberFormat="0" applyBorder="0" applyAlignment="0" applyProtection="0"/>
    <xf numFmtId="0" fontId="41" fillId="55" borderId="0" applyNumberFormat="0" applyBorder="0" applyAlignment="0" applyProtection="0"/>
    <xf numFmtId="0" fontId="41" fillId="55" borderId="0" applyNumberFormat="0" applyBorder="0" applyAlignment="0" applyProtection="0"/>
    <xf numFmtId="0" fontId="41" fillId="55" borderId="0" applyNumberFormat="0" applyBorder="0" applyAlignment="0" applyProtection="0"/>
    <xf numFmtId="0" fontId="41" fillId="55" borderId="0" applyNumberFormat="0" applyBorder="0" applyAlignment="0" applyProtection="0"/>
    <xf numFmtId="0" fontId="41" fillId="55" borderId="0" applyNumberFormat="0" applyBorder="0" applyAlignment="0" applyProtection="0"/>
    <xf numFmtId="0" fontId="41" fillId="55" borderId="0" applyNumberFormat="0" applyBorder="0" applyAlignment="0" applyProtection="0"/>
    <xf numFmtId="0" fontId="41" fillId="55" borderId="0" applyNumberFormat="0" applyBorder="0" applyAlignment="0" applyProtection="0"/>
    <xf numFmtId="0" fontId="41" fillId="55" borderId="0" applyNumberFormat="0" applyBorder="0" applyAlignment="0" applyProtection="0"/>
    <xf numFmtId="0" fontId="41" fillId="55" borderId="0" applyNumberFormat="0" applyBorder="0" applyAlignment="0" applyProtection="0"/>
    <xf numFmtId="0" fontId="41" fillId="55" borderId="0" applyNumberFormat="0" applyBorder="0" applyAlignment="0" applyProtection="0"/>
    <xf numFmtId="0" fontId="41" fillId="55" borderId="0" applyNumberFormat="0" applyBorder="0" applyAlignment="0" applyProtection="0"/>
    <xf numFmtId="0" fontId="41" fillId="55" borderId="0" applyNumberFormat="0" applyBorder="0" applyAlignment="0" applyProtection="0"/>
    <xf numFmtId="0" fontId="41" fillId="55" borderId="0" applyNumberFormat="0" applyBorder="0" applyAlignment="0" applyProtection="0"/>
    <xf numFmtId="0" fontId="41" fillId="55" borderId="0" applyNumberFormat="0" applyBorder="0" applyAlignment="0" applyProtection="0"/>
    <xf numFmtId="0" fontId="41" fillId="55" borderId="0" applyNumberFormat="0" applyBorder="0" applyAlignment="0" applyProtection="0"/>
    <xf numFmtId="0" fontId="41" fillId="55" borderId="0" applyNumberFormat="0" applyBorder="0" applyAlignment="0" applyProtection="0"/>
    <xf numFmtId="0" fontId="41" fillId="55" borderId="0" applyNumberFormat="0" applyBorder="0" applyAlignment="0" applyProtection="0"/>
    <xf numFmtId="0" fontId="41" fillId="55" borderId="0" applyNumberFormat="0" applyBorder="0" applyAlignment="0" applyProtection="0"/>
    <xf numFmtId="0" fontId="41" fillId="55" borderId="0" applyNumberFormat="0" applyBorder="0" applyAlignment="0" applyProtection="0"/>
    <xf numFmtId="37" fontId="133" fillId="99" borderId="55" applyBorder="0" applyProtection="0">
      <alignment vertical="center"/>
    </xf>
    <xf numFmtId="37" fontId="133" fillId="99" borderId="55" applyBorder="0" applyProtection="0">
      <alignment vertical="center"/>
    </xf>
    <xf numFmtId="37" fontId="133" fillId="99" borderId="55" applyBorder="0" applyProtection="0">
      <alignment vertical="center"/>
    </xf>
    <xf numFmtId="37" fontId="133" fillId="99" borderId="55" applyBorder="0" applyProtection="0">
      <alignment vertical="center"/>
    </xf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134" fillId="0" borderId="0" applyNumberFormat="0" applyFill="0" applyBorder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3" fillId="56" borderId="65" applyNumberFormat="0" applyAlignment="0" applyProtection="0"/>
    <xf numFmtId="0" fontId="44" fillId="57" borderId="19" applyNumberFormat="0" applyAlignment="0" applyProtection="0"/>
    <xf numFmtId="0" fontId="44" fillId="57" borderId="19" applyNumberFormat="0" applyAlignment="0" applyProtection="0"/>
    <xf numFmtId="0" fontId="44" fillId="57" borderId="19" applyNumberFormat="0" applyAlignment="0" applyProtection="0"/>
    <xf numFmtId="0" fontId="44" fillId="57" borderId="19" applyNumberFormat="0" applyAlignment="0" applyProtection="0"/>
    <xf numFmtId="0" fontId="44" fillId="57" borderId="19" applyNumberFormat="0" applyAlignment="0" applyProtection="0"/>
    <xf numFmtId="0" fontId="44" fillId="57" borderId="19" applyNumberFormat="0" applyAlignment="0" applyProtection="0"/>
    <xf numFmtId="0" fontId="44" fillId="57" borderId="19" applyNumberFormat="0" applyAlignment="0" applyProtection="0"/>
    <xf numFmtId="0" fontId="44" fillId="57" borderId="19" applyNumberFormat="0" applyAlignment="0" applyProtection="0"/>
    <xf numFmtId="0" fontId="44" fillId="57" borderId="19" applyNumberFormat="0" applyAlignment="0" applyProtection="0"/>
    <xf numFmtId="0" fontId="34" fillId="11" borderId="14" applyNumberFormat="0" applyAlignment="0" applyProtection="0"/>
    <xf numFmtId="0" fontId="44" fillId="57" borderId="19" applyNumberFormat="0" applyAlignment="0" applyProtection="0"/>
    <xf numFmtId="0" fontId="44" fillId="57" borderId="19" applyNumberFormat="0" applyAlignment="0" applyProtection="0"/>
    <xf numFmtId="0" fontId="44" fillId="57" borderId="19" applyNumberFormat="0" applyAlignment="0" applyProtection="0"/>
    <xf numFmtId="0" fontId="44" fillId="57" borderId="19" applyNumberFormat="0" applyAlignment="0" applyProtection="0"/>
    <xf numFmtId="0" fontId="44" fillId="57" borderId="19" applyNumberFormat="0" applyAlignment="0" applyProtection="0"/>
    <xf numFmtId="0" fontId="44" fillId="57" borderId="19" applyNumberFormat="0" applyAlignment="0" applyProtection="0"/>
    <xf numFmtId="0" fontId="44" fillId="57" borderId="19" applyNumberFormat="0" applyAlignment="0" applyProtection="0"/>
    <xf numFmtId="0" fontId="44" fillId="57" borderId="19" applyNumberFormat="0" applyAlignment="0" applyProtection="0"/>
    <xf numFmtId="0" fontId="44" fillId="57" borderId="19" applyNumberFormat="0" applyAlignment="0" applyProtection="0"/>
    <xf numFmtId="0" fontId="44" fillId="57" borderId="19" applyNumberFormat="0" applyAlignment="0" applyProtection="0"/>
    <xf numFmtId="0" fontId="44" fillId="57" borderId="19" applyNumberFormat="0" applyAlignment="0" applyProtection="0"/>
    <xf numFmtId="0" fontId="44" fillId="57" borderId="19" applyNumberFormat="0" applyAlignment="0" applyProtection="0"/>
    <xf numFmtId="0" fontId="44" fillId="57" borderId="19" applyNumberFormat="0" applyAlignment="0" applyProtection="0"/>
    <xf numFmtId="0" fontId="44" fillId="57" borderId="19" applyNumberFormat="0" applyAlignment="0" applyProtection="0"/>
    <xf numFmtId="0" fontId="44" fillId="57" borderId="19" applyNumberFormat="0" applyAlignment="0" applyProtection="0"/>
    <xf numFmtId="0" fontId="44" fillId="57" borderId="19" applyNumberFormat="0" applyAlignment="0" applyProtection="0"/>
    <xf numFmtId="0" fontId="44" fillId="57" borderId="19" applyNumberFormat="0" applyAlignment="0" applyProtection="0"/>
    <xf numFmtId="0" fontId="44" fillId="57" borderId="19" applyNumberFormat="0" applyAlignment="0" applyProtection="0"/>
    <xf numFmtId="0" fontId="44" fillId="57" borderId="19" applyNumberFormat="0" applyAlignment="0" applyProtection="0"/>
    <xf numFmtId="0" fontId="44" fillId="57" borderId="19" applyNumberFormat="0" applyAlignment="0" applyProtection="0"/>
    <xf numFmtId="0" fontId="44" fillId="57" borderId="19" applyNumberFormat="0" applyAlignment="0" applyProtection="0"/>
    <xf numFmtId="0" fontId="44" fillId="57" borderId="19" applyNumberFormat="0" applyAlignment="0" applyProtection="0"/>
    <xf numFmtId="0" fontId="44" fillId="57" borderId="19" applyNumberFormat="0" applyAlignment="0" applyProtection="0"/>
    <xf numFmtId="0" fontId="44" fillId="57" borderId="19" applyNumberFormat="0" applyAlignment="0" applyProtection="0"/>
    <xf numFmtId="0" fontId="44" fillId="57" borderId="19" applyNumberFormat="0" applyAlignment="0" applyProtection="0"/>
    <xf numFmtId="0" fontId="44" fillId="57" borderId="19" applyNumberFormat="0" applyAlignment="0" applyProtection="0"/>
    <xf numFmtId="0" fontId="44" fillId="57" borderId="19" applyNumberFormat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96" fontId="135" fillId="0" borderId="70" applyBorder="0"/>
    <xf numFmtId="196" fontId="135" fillId="0" borderId="70" applyBorder="0"/>
    <xf numFmtId="196" fontId="135" fillId="0" borderId="70" applyBorder="0"/>
    <xf numFmtId="196" fontId="135" fillId="0" borderId="70" applyBorder="0"/>
    <xf numFmtId="196" fontId="136" fillId="0" borderId="0">
      <protection locked="0"/>
    </xf>
    <xf numFmtId="196" fontId="130" fillId="0" borderId="72"/>
    <xf numFmtId="196" fontId="130" fillId="0" borderId="72"/>
    <xf numFmtId="196" fontId="130" fillId="0" borderId="72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40" borderId="0" applyNumberFormat="0" applyBorder="0" applyAlignment="0" applyProtection="0"/>
    <xf numFmtId="0" fontId="46" fillId="40" borderId="0" applyNumberFormat="0" applyBorder="0" applyAlignment="0" applyProtection="0"/>
    <xf numFmtId="0" fontId="46" fillId="40" borderId="0" applyNumberFormat="0" applyBorder="0" applyAlignment="0" applyProtection="0"/>
    <xf numFmtId="0" fontId="46" fillId="40" borderId="0" applyNumberFormat="0" applyBorder="0" applyAlignment="0" applyProtection="0"/>
    <xf numFmtId="0" fontId="46" fillId="40" borderId="0" applyNumberFormat="0" applyBorder="0" applyAlignment="0" applyProtection="0"/>
    <xf numFmtId="0" fontId="46" fillId="40" borderId="0" applyNumberFormat="0" applyBorder="0" applyAlignment="0" applyProtection="0"/>
    <xf numFmtId="0" fontId="46" fillId="40" borderId="0" applyNumberFormat="0" applyBorder="0" applyAlignment="0" applyProtection="0"/>
    <xf numFmtId="0" fontId="46" fillId="40" borderId="0" applyNumberFormat="0" applyBorder="0" applyAlignment="0" applyProtection="0"/>
    <xf numFmtId="0" fontId="46" fillId="40" borderId="0" applyNumberFormat="0" applyBorder="0" applyAlignment="0" applyProtection="0"/>
    <xf numFmtId="0" fontId="27" fillId="6" borderId="0" applyNumberFormat="0" applyBorder="0" applyAlignment="0" applyProtection="0"/>
    <xf numFmtId="0" fontId="46" fillId="40" borderId="0" applyNumberFormat="0" applyBorder="0" applyAlignment="0" applyProtection="0"/>
    <xf numFmtId="0" fontId="46" fillId="40" borderId="0" applyNumberFormat="0" applyBorder="0" applyAlignment="0" applyProtection="0"/>
    <xf numFmtId="0" fontId="46" fillId="40" borderId="0" applyNumberFormat="0" applyBorder="0" applyAlignment="0" applyProtection="0"/>
    <xf numFmtId="0" fontId="46" fillId="40" borderId="0" applyNumberFormat="0" applyBorder="0" applyAlignment="0" applyProtection="0"/>
    <xf numFmtId="0" fontId="46" fillId="40" borderId="0" applyNumberFormat="0" applyBorder="0" applyAlignment="0" applyProtection="0"/>
    <xf numFmtId="0" fontId="46" fillId="40" borderId="0" applyNumberFormat="0" applyBorder="0" applyAlignment="0" applyProtection="0"/>
    <xf numFmtId="0" fontId="46" fillId="40" borderId="0" applyNumberFormat="0" applyBorder="0" applyAlignment="0" applyProtection="0"/>
    <xf numFmtId="0" fontId="46" fillId="40" borderId="0" applyNumberFormat="0" applyBorder="0" applyAlignment="0" applyProtection="0"/>
    <xf numFmtId="0" fontId="46" fillId="40" borderId="0" applyNumberFormat="0" applyBorder="0" applyAlignment="0" applyProtection="0"/>
    <xf numFmtId="0" fontId="46" fillId="40" borderId="0" applyNumberFormat="0" applyBorder="0" applyAlignment="0" applyProtection="0"/>
    <xf numFmtId="0" fontId="46" fillId="40" borderId="0" applyNumberFormat="0" applyBorder="0" applyAlignment="0" applyProtection="0"/>
    <xf numFmtId="0" fontId="46" fillId="40" borderId="0" applyNumberFormat="0" applyBorder="0" applyAlignment="0" applyProtection="0"/>
    <xf numFmtId="0" fontId="46" fillId="40" borderId="0" applyNumberFormat="0" applyBorder="0" applyAlignment="0" applyProtection="0"/>
    <xf numFmtId="0" fontId="46" fillId="40" borderId="0" applyNumberFormat="0" applyBorder="0" applyAlignment="0" applyProtection="0"/>
    <xf numFmtId="0" fontId="46" fillId="40" borderId="0" applyNumberFormat="0" applyBorder="0" applyAlignment="0" applyProtection="0"/>
    <xf numFmtId="0" fontId="46" fillId="40" borderId="0" applyNumberFormat="0" applyBorder="0" applyAlignment="0" applyProtection="0"/>
    <xf numFmtId="0" fontId="46" fillId="40" borderId="0" applyNumberFormat="0" applyBorder="0" applyAlignment="0" applyProtection="0"/>
    <xf numFmtId="0" fontId="46" fillId="40" borderId="0" applyNumberFormat="0" applyBorder="0" applyAlignment="0" applyProtection="0"/>
    <xf numFmtId="0" fontId="46" fillId="40" borderId="0" applyNumberFormat="0" applyBorder="0" applyAlignment="0" applyProtection="0"/>
    <xf numFmtId="0" fontId="46" fillId="40" borderId="0" applyNumberFormat="0" applyBorder="0" applyAlignment="0" applyProtection="0"/>
    <xf numFmtId="0" fontId="46" fillId="40" borderId="0" applyNumberFormat="0" applyBorder="0" applyAlignment="0" applyProtection="0"/>
    <xf numFmtId="0" fontId="46" fillId="40" borderId="0" applyNumberFormat="0" applyBorder="0" applyAlignment="0" applyProtection="0"/>
    <xf numFmtId="0" fontId="46" fillId="40" borderId="0" applyNumberFormat="0" applyBorder="0" applyAlignment="0" applyProtection="0"/>
    <xf numFmtId="0" fontId="46" fillId="40" borderId="0" applyNumberFormat="0" applyBorder="0" applyAlignment="0" applyProtection="0"/>
    <xf numFmtId="0" fontId="46" fillId="40" borderId="0" applyNumberFormat="0" applyBorder="0" applyAlignment="0" applyProtection="0"/>
    <xf numFmtId="0" fontId="46" fillId="40" borderId="0" applyNumberFormat="0" applyBorder="0" applyAlignment="0" applyProtection="0"/>
    <xf numFmtId="0" fontId="46" fillId="40" borderId="0" applyNumberFormat="0" applyBorder="0" applyAlignment="0" applyProtection="0"/>
    <xf numFmtId="37" fontId="137" fillId="100" borderId="3" applyBorder="0">
      <alignment horizontal="left" vertical="center" indent="1"/>
    </xf>
    <xf numFmtId="0" fontId="138" fillId="0" borderId="2" applyNumberFormat="0" applyFill="0">
      <alignment horizontal="centerContinuous" vertical="top"/>
    </xf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24" fillId="0" borderId="8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25" fillId="0" borderId="9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9" fillId="0" borderId="22" applyNumberFormat="0" applyFill="0" applyAlignment="0" applyProtection="0"/>
    <xf numFmtId="0" fontId="49" fillId="0" borderId="22" applyNumberFormat="0" applyFill="0" applyAlignment="0" applyProtection="0"/>
    <xf numFmtId="0" fontId="49" fillId="0" borderId="22" applyNumberFormat="0" applyFill="0" applyAlignment="0" applyProtection="0"/>
    <xf numFmtId="0" fontId="49" fillId="0" borderId="22" applyNumberFormat="0" applyFill="0" applyAlignment="0" applyProtection="0"/>
    <xf numFmtId="0" fontId="49" fillId="0" borderId="22" applyNumberFormat="0" applyFill="0" applyAlignment="0" applyProtection="0"/>
    <xf numFmtId="0" fontId="49" fillId="0" borderId="22" applyNumberFormat="0" applyFill="0" applyAlignment="0" applyProtection="0"/>
    <xf numFmtId="0" fontId="49" fillId="0" borderId="22" applyNumberFormat="0" applyFill="0" applyAlignment="0" applyProtection="0"/>
    <xf numFmtId="0" fontId="49" fillId="0" borderId="22" applyNumberFormat="0" applyFill="0" applyAlignment="0" applyProtection="0"/>
    <xf numFmtId="0" fontId="49" fillId="0" borderId="22" applyNumberFormat="0" applyFill="0" applyAlignment="0" applyProtection="0"/>
    <xf numFmtId="0" fontId="26" fillId="0" borderId="10" applyNumberFormat="0" applyFill="0" applyAlignment="0" applyProtection="0"/>
    <xf numFmtId="0" fontId="49" fillId="0" borderId="22" applyNumberFormat="0" applyFill="0" applyAlignment="0" applyProtection="0"/>
    <xf numFmtId="0" fontId="49" fillId="0" borderId="22" applyNumberFormat="0" applyFill="0" applyAlignment="0" applyProtection="0"/>
    <xf numFmtId="0" fontId="49" fillId="0" borderId="22" applyNumberFormat="0" applyFill="0" applyAlignment="0" applyProtection="0"/>
    <xf numFmtId="0" fontId="49" fillId="0" borderId="22" applyNumberFormat="0" applyFill="0" applyAlignment="0" applyProtection="0"/>
    <xf numFmtId="0" fontId="49" fillId="0" borderId="22" applyNumberFormat="0" applyFill="0" applyAlignment="0" applyProtection="0"/>
    <xf numFmtId="0" fontId="49" fillId="0" borderId="22" applyNumberFormat="0" applyFill="0" applyAlignment="0" applyProtection="0"/>
    <xf numFmtId="0" fontId="49" fillId="0" borderId="22" applyNumberFormat="0" applyFill="0" applyAlignment="0" applyProtection="0"/>
    <xf numFmtId="0" fontId="49" fillId="0" borderId="22" applyNumberFormat="0" applyFill="0" applyAlignment="0" applyProtection="0"/>
    <xf numFmtId="0" fontId="49" fillId="0" borderId="22" applyNumberFormat="0" applyFill="0" applyAlignment="0" applyProtection="0"/>
    <xf numFmtId="0" fontId="49" fillId="0" borderId="22" applyNumberFormat="0" applyFill="0" applyAlignment="0" applyProtection="0"/>
    <xf numFmtId="0" fontId="49" fillId="0" borderId="22" applyNumberFormat="0" applyFill="0" applyAlignment="0" applyProtection="0"/>
    <xf numFmtId="0" fontId="49" fillId="0" borderId="22" applyNumberFormat="0" applyFill="0" applyAlignment="0" applyProtection="0"/>
    <xf numFmtId="0" fontId="49" fillId="0" borderId="22" applyNumberFormat="0" applyFill="0" applyAlignment="0" applyProtection="0"/>
    <xf numFmtId="0" fontId="49" fillId="0" borderId="22" applyNumberFormat="0" applyFill="0" applyAlignment="0" applyProtection="0"/>
    <xf numFmtId="0" fontId="49" fillId="0" borderId="22" applyNumberFormat="0" applyFill="0" applyAlignment="0" applyProtection="0"/>
    <xf numFmtId="0" fontId="49" fillId="0" borderId="22" applyNumberFormat="0" applyFill="0" applyAlignment="0" applyProtection="0"/>
    <xf numFmtId="0" fontId="49" fillId="0" borderId="22" applyNumberFormat="0" applyFill="0" applyAlignment="0" applyProtection="0"/>
    <xf numFmtId="0" fontId="49" fillId="0" borderId="22" applyNumberFormat="0" applyFill="0" applyAlignment="0" applyProtection="0"/>
    <xf numFmtId="0" fontId="49" fillId="0" borderId="22" applyNumberFormat="0" applyFill="0" applyAlignment="0" applyProtection="0"/>
    <xf numFmtId="0" fontId="49" fillId="0" borderId="22" applyNumberFormat="0" applyFill="0" applyAlignment="0" applyProtection="0"/>
    <xf numFmtId="0" fontId="49" fillId="0" borderId="22" applyNumberFormat="0" applyFill="0" applyAlignment="0" applyProtection="0"/>
    <xf numFmtId="0" fontId="49" fillId="0" borderId="22" applyNumberFormat="0" applyFill="0" applyAlignment="0" applyProtection="0"/>
    <xf numFmtId="0" fontId="49" fillId="0" borderId="22" applyNumberFormat="0" applyFill="0" applyAlignment="0" applyProtection="0"/>
    <xf numFmtId="0" fontId="49" fillId="0" borderId="22" applyNumberFormat="0" applyFill="0" applyAlignment="0" applyProtection="0"/>
    <xf numFmtId="0" fontId="49" fillId="0" borderId="22" applyNumberFormat="0" applyFill="0" applyAlignment="0" applyProtection="0"/>
    <xf numFmtId="0" fontId="49" fillId="0" borderId="22" applyNumberFormat="0" applyFill="0" applyAlignment="0" applyProtection="0"/>
    <xf numFmtId="0" fontId="49" fillId="0" borderId="22" applyNumberFormat="0" applyFill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139" fillId="0" borderId="0" applyNumberFormat="0" applyFill="0" applyBorder="0" applyAlignment="0" applyProtection="0">
      <alignment vertical="top"/>
      <protection locked="0"/>
    </xf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50" fillId="43" borderId="65" applyNumberFormat="0" applyAlignment="0" applyProtection="0"/>
    <xf numFmtId="0" fontId="2" fillId="0" borderId="0"/>
    <xf numFmtId="0" fontId="2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80" fontId="2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80" fontId="2" fillId="0" borderId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33" fillId="0" borderId="1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2" fillId="58" borderId="0" applyNumberFormat="0" applyBorder="0" applyAlignment="0" applyProtection="0"/>
    <xf numFmtId="0" fontId="29" fillId="8" borderId="0" applyNumberFormat="0" applyBorder="0" applyAlignment="0" applyProtection="0"/>
    <xf numFmtId="0" fontId="84" fillId="8" borderId="0" applyNumberFormat="0" applyBorder="0" applyAlignment="0" applyProtection="0"/>
    <xf numFmtId="0" fontId="52" fillId="58" borderId="0" applyNumberFormat="0" applyBorder="0" applyAlignment="0" applyProtection="0"/>
    <xf numFmtId="0" fontId="52" fillId="58" borderId="0" applyNumberFormat="0" applyBorder="0" applyAlignment="0" applyProtection="0"/>
    <xf numFmtId="0" fontId="52" fillId="58" borderId="0" applyNumberFormat="0" applyBorder="0" applyAlignment="0" applyProtection="0"/>
    <xf numFmtId="0" fontId="52" fillId="58" borderId="0" applyNumberFormat="0" applyBorder="0" applyAlignment="0" applyProtection="0"/>
    <xf numFmtId="0" fontId="52" fillId="58" borderId="0" applyNumberFormat="0" applyBorder="0" applyAlignment="0" applyProtection="0"/>
    <xf numFmtId="0" fontId="52" fillId="58" borderId="0" applyNumberFormat="0" applyBorder="0" applyAlignment="0" applyProtection="0"/>
    <xf numFmtId="0" fontId="52" fillId="58" borderId="0" applyNumberFormat="0" applyBorder="0" applyAlignment="0" applyProtection="0"/>
    <xf numFmtId="0" fontId="52" fillId="58" borderId="0" applyNumberFormat="0" applyBorder="0" applyAlignment="0" applyProtection="0"/>
    <xf numFmtId="0" fontId="52" fillId="58" borderId="0" applyNumberFormat="0" applyBorder="0" applyAlignment="0" applyProtection="0"/>
    <xf numFmtId="0" fontId="52" fillId="58" borderId="0" applyNumberFormat="0" applyBorder="0" applyAlignment="0" applyProtection="0"/>
    <xf numFmtId="0" fontId="52" fillId="58" borderId="0" applyNumberFormat="0" applyBorder="0" applyAlignment="0" applyProtection="0"/>
    <xf numFmtId="0" fontId="52" fillId="58" borderId="0" applyNumberFormat="0" applyBorder="0" applyAlignment="0" applyProtection="0"/>
    <xf numFmtId="0" fontId="52" fillId="58" borderId="0" applyNumberFormat="0" applyBorder="0" applyAlignment="0" applyProtection="0"/>
    <xf numFmtId="0" fontId="52" fillId="58" borderId="0" applyNumberFormat="0" applyBorder="0" applyAlignment="0" applyProtection="0"/>
    <xf numFmtId="0" fontId="52" fillId="58" borderId="0" applyNumberFormat="0" applyBorder="0" applyAlignment="0" applyProtection="0"/>
    <xf numFmtId="0" fontId="52" fillId="58" borderId="0" applyNumberFormat="0" applyBorder="0" applyAlignment="0" applyProtection="0"/>
    <xf numFmtId="0" fontId="52" fillId="58" borderId="0" applyNumberFormat="0" applyBorder="0" applyAlignment="0" applyProtection="0"/>
    <xf numFmtId="0" fontId="52" fillId="58" borderId="0" applyNumberFormat="0" applyBorder="0" applyAlignment="0" applyProtection="0"/>
    <xf numFmtId="0" fontId="52" fillId="58" borderId="0" applyNumberFormat="0" applyBorder="0" applyAlignment="0" applyProtection="0"/>
    <xf numFmtId="0" fontId="52" fillId="58" borderId="0" applyNumberFormat="0" applyBorder="0" applyAlignment="0" applyProtection="0"/>
    <xf numFmtId="0" fontId="52" fillId="58" borderId="0" applyNumberFormat="0" applyBorder="0" applyAlignment="0" applyProtection="0"/>
    <xf numFmtId="0" fontId="52" fillId="58" borderId="0" applyNumberFormat="0" applyBorder="0" applyAlignment="0" applyProtection="0"/>
    <xf numFmtId="0" fontId="52" fillId="58" borderId="0" applyNumberFormat="0" applyBorder="0" applyAlignment="0" applyProtection="0"/>
    <xf numFmtId="0" fontId="52" fillId="58" borderId="0" applyNumberFormat="0" applyBorder="0" applyAlignment="0" applyProtection="0"/>
    <xf numFmtId="0" fontId="52" fillId="58" borderId="0" applyNumberFormat="0" applyBorder="0" applyAlignment="0" applyProtection="0"/>
    <xf numFmtId="0" fontId="52" fillId="58" borderId="0" applyNumberFormat="0" applyBorder="0" applyAlignment="0" applyProtection="0"/>
    <xf numFmtId="0" fontId="52" fillId="58" borderId="0" applyNumberFormat="0" applyBorder="0" applyAlignment="0" applyProtection="0"/>
    <xf numFmtId="0" fontId="52" fillId="58" borderId="0" applyNumberFormat="0" applyBorder="0" applyAlignment="0" applyProtection="0"/>
    <xf numFmtId="0" fontId="52" fillId="58" borderId="0" applyNumberFormat="0" applyBorder="0" applyAlignment="0" applyProtection="0"/>
    <xf numFmtId="0" fontId="52" fillId="58" borderId="0" applyNumberFormat="0" applyBorder="0" applyAlignment="0" applyProtection="0"/>
    <xf numFmtId="0" fontId="52" fillId="58" borderId="0" applyNumberFormat="0" applyBorder="0" applyAlignment="0" applyProtection="0"/>
    <xf numFmtId="0" fontId="52" fillId="58" borderId="0" applyNumberFormat="0" applyBorder="0" applyAlignment="0" applyProtection="0"/>
    <xf numFmtId="0" fontId="52" fillId="58" borderId="0" applyNumberFormat="0" applyBorder="0" applyAlignment="0" applyProtection="0"/>
    <xf numFmtId="0" fontId="52" fillId="58" borderId="0" applyNumberFormat="0" applyBorder="0" applyAlignment="0" applyProtection="0"/>
    <xf numFmtId="0" fontId="52" fillId="58" borderId="0" applyNumberFormat="0" applyBorder="0" applyAlignment="0" applyProtection="0"/>
    <xf numFmtId="0" fontId="52" fillId="58" borderId="0" applyNumberFormat="0" applyBorder="0" applyAlignment="0" applyProtection="0"/>
    <xf numFmtId="0" fontId="52" fillId="58" borderId="0" applyNumberFormat="0" applyBorder="0" applyAlignment="0" applyProtection="0"/>
    <xf numFmtId="0" fontId="52" fillId="58" borderId="0" applyNumberFormat="0" applyBorder="0" applyAlignment="0" applyProtection="0"/>
    <xf numFmtId="0" fontId="52" fillId="58" borderId="0" applyNumberFormat="0" applyBorder="0" applyAlignment="0" applyProtection="0"/>
    <xf numFmtId="0" fontId="52" fillId="58" borderId="0" applyNumberFormat="0" applyBorder="0" applyAlignment="0" applyProtection="0"/>
    <xf numFmtId="0" fontId="52" fillId="58" borderId="0" applyNumberFormat="0" applyBorder="0" applyAlignment="0" applyProtection="0"/>
    <xf numFmtId="0" fontId="52" fillId="58" borderId="0" applyNumberFormat="0" applyBorder="0" applyAlignment="0" applyProtection="0"/>
    <xf numFmtId="0" fontId="52" fillId="58" borderId="0" applyNumberFormat="0" applyBorder="0" applyAlignment="0" applyProtection="0"/>
    <xf numFmtId="0" fontId="52" fillId="58" borderId="0" applyNumberFormat="0" applyBorder="0" applyAlignment="0" applyProtection="0"/>
    <xf numFmtId="0" fontId="52" fillId="58" borderId="0" applyNumberFormat="0" applyBorder="0" applyAlignment="0" applyProtection="0"/>
    <xf numFmtId="0" fontId="52" fillId="58" borderId="0" applyNumberFormat="0" applyBorder="0" applyAlignment="0" applyProtection="0"/>
    <xf numFmtId="0" fontId="52" fillId="58" borderId="0" applyNumberFormat="0" applyBorder="0" applyAlignment="0" applyProtection="0"/>
    <xf numFmtId="0" fontId="52" fillId="58" borderId="0" applyNumberFormat="0" applyBorder="0" applyAlignment="0" applyProtection="0"/>
    <xf numFmtId="0" fontId="52" fillId="58" borderId="0" applyNumberFormat="0" applyBorder="0" applyAlignment="0" applyProtection="0"/>
    <xf numFmtId="197" fontId="2" fillId="0" borderId="0"/>
    <xf numFmtId="170" fontId="2" fillId="0" borderId="0" applyNumberFormat="0" applyFill="0" applyBorder="0" applyAlignment="0" applyProtection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" fillId="0" borderId="0"/>
    <xf numFmtId="0" fontId="5" fillId="0" borderId="0"/>
    <xf numFmtId="0" fontId="2" fillId="0" borderId="0"/>
    <xf numFmtId="0" fontId="2" fillId="0" borderId="0"/>
    <xf numFmtId="0" fontId="140" fillId="0" borderId="0"/>
    <xf numFmtId="0" fontId="5" fillId="0" borderId="0" applyNumberFormat="0" applyFill="0" applyBorder="0" applyAlignment="0" applyProtection="0"/>
    <xf numFmtId="0" fontId="5" fillId="0" borderId="0"/>
    <xf numFmtId="0" fontId="2" fillId="0" borderId="0"/>
    <xf numFmtId="0" fontId="5" fillId="0" borderId="0"/>
    <xf numFmtId="165" fontId="2" fillId="0" borderId="0"/>
    <xf numFmtId="165" fontId="2" fillId="0" borderId="0"/>
    <xf numFmtId="0" fontId="5" fillId="0" borderId="0"/>
    <xf numFmtId="165" fontId="2" fillId="0" borderId="0"/>
    <xf numFmtId="165" fontId="2" fillId="0" borderId="0"/>
    <xf numFmtId="0" fontId="5" fillId="0" borderId="0"/>
    <xf numFmtId="165" fontId="2" fillId="0" borderId="0"/>
    <xf numFmtId="165" fontId="2" fillId="0" borderId="0"/>
    <xf numFmtId="0" fontId="5" fillId="0" borderId="0"/>
    <xf numFmtId="0" fontId="2" fillId="0" borderId="0"/>
    <xf numFmtId="0" fontId="2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" fillId="0" borderId="0"/>
    <xf numFmtId="0" fontId="2" fillId="0" borderId="0" applyNumberFormat="0" applyFill="0" applyBorder="0" applyAlignment="0" applyProtection="0"/>
    <xf numFmtId="37" fontId="133" fillId="99" borderId="69" applyBorder="0">
      <alignment horizontal="left" vertical="center" indent="2"/>
    </xf>
    <xf numFmtId="37" fontId="133" fillId="99" borderId="69" applyBorder="0">
      <alignment horizontal="left" vertical="center" indent="2"/>
    </xf>
    <xf numFmtId="37" fontId="133" fillId="99" borderId="69" applyBorder="0">
      <alignment horizontal="left" vertical="center" indent="2"/>
    </xf>
    <xf numFmtId="37" fontId="133" fillId="99" borderId="69" applyBorder="0">
      <alignment horizontal="left" vertical="center" indent="2"/>
    </xf>
    <xf numFmtId="0" fontId="5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165" fontId="2" fillId="0" borderId="0"/>
    <xf numFmtId="165" fontId="2" fillId="0" borderId="0"/>
    <xf numFmtId="0" fontId="5" fillId="0" borderId="0"/>
    <xf numFmtId="165" fontId="2" fillId="0" borderId="0"/>
    <xf numFmtId="165" fontId="2" fillId="0" borderId="0"/>
    <xf numFmtId="0" fontId="5" fillId="0" borderId="0"/>
    <xf numFmtId="165" fontId="2" fillId="0" borderId="0"/>
    <xf numFmtId="165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170" fontId="2" fillId="0" borderId="0"/>
    <xf numFmtId="170" fontId="2" fillId="0" borderId="0"/>
    <xf numFmtId="0" fontId="2" fillId="0" borderId="0"/>
    <xf numFmtId="170" fontId="2" fillId="0" borderId="0"/>
    <xf numFmtId="170" fontId="2" fillId="0" borderId="0"/>
    <xf numFmtId="0" fontId="2" fillId="0" borderId="0"/>
    <xf numFmtId="170" fontId="2" fillId="0" borderId="0"/>
    <xf numFmtId="17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165" fontId="2" fillId="0" borderId="0"/>
    <xf numFmtId="165" fontId="2" fillId="0" borderId="0"/>
    <xf numFmtId="0" fontId="5" fillId="0" borderId="0"/>
    <xf numFmtId="165" fontId="2" fillId="0" borderId="0"/>
    <xf numFmtId="165" fontId="2" fillId="0" borderId="0"/>
    <xf numFmtId="0" fontId="5" fillId="0" borderId="0"/>
    <xf numFmtId="165" fontId="2" fillId="0" borderId="0"/>
    <xf numFmtId="165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4" fontId="2" fillId="0" borderId="0"/>
    <xf numFmtId="170" fontId="2" fillId="0" borderId="0"/>
    <xf numFmtId="170" fontId="2" fillId="0" borderId="0"/>
    <xf numFmtId="17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2" fillId="0" borderId="0"/>
    <xf numFmtId="17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0" fontId="2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87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5" fontId="2" fillId="0" borderId="0"/>
    <xf numFmtId="165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2" fillId="0" borderId="0"/>
    <xf numFmtId="165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65" fontId="2" fillId="0" borderId="0"/>
    <xf numFmtId="165" fontId="2" fillId="0" borderId="0"/>
    <xf numFmtId="165" fontId="2" fillId="0" borderId="0"/>
    <xf numFmtId="0" fontId="5" fillId="0" borderId="0"/>
    <xf numFmtId="0" fontId="2" fillId="0" borderId="0"/>
    <xf numFmtId="165" fontId="2" fillId="0" borderId="0"/>
    <xf numFmtId="165" fontId="2" fillId="0" borderId="0"/>
    <xf numFmtId="0" fontId="5" fillId="0" borderId="0"/>
    <xf numFmtId="165" fontId="2" fillId="0" borderId="0"/>
    <xf numFmtId="165" fontId="2" fillId="0" borderId="0"/>
    <xf numFmtId="165" fontId="2" fillId="0" borderId="0"/>
    <xf numFmtId="0" fontId="5" fillId="0" borderId="0"/>
    <xf numFmtId="0" fontId="2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/>
    <xf numFmtId="0" fontId="5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" fillId="0" borderId="0"/>
    <xf numFmtId="165" fontId="2" fillId="0" borderId="0"/>
    <xf numFmtId="165" fontId="2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195" fontId="2" fillId="0" borderId="0"/>
    <xf numFmtId="0" fontId="2" fillId="0" borderId="0"/>
    <xf numFmtId="0" fontId="2" fillId="0" borderId="0"/>
    <xf numFmtId="0" fontId="2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5" fontId="5" fillId="0" borderId="0"/>
    <xf numFmtId="165" fontId="5" fillId="0" borderId="0"/>
    <xf numFmtId="165" fontId="5" fillId="0" borderId="0"/>
    <xf numFmtId="0" fontId="5" fillId="0" borderId="0"/>
    <xf numFmtId="0" fontId="1" fillId="0" borderId="0"/>
    <xf numFmtId="0" fontId="5" fillId="0" borderId="0" applyNumberFormat="0" applyFill="0" applyBorder="0" applyAlignment="0" applyProtection="0"/>
    <xf numFmtId="165" fontId="5" fillId="0" borderId="0"/>
    <xf numFmtId="165" fontId="5" fillId="0" borderId="0"/>
    <xf numFmtId="165" fontId="5" fillId="0" borderId="0"/>
    <xf numFmtId="165" fontId="5" fillId="0" borderId="0"/>
    <xf numFmtId="0" fontId="2" fillId="0" borderId="0"/>
    <xf numFmtId="0" fontId="2" fillId="0" borderId="0"/>
    <xf numFmtId="0" fontId="141" fillId="0" borderId="0"/>
    <xf numFmtId="0" fontId="5" fillId="0" borderId="0"/>
    <xf numFmtId="0" fontId="5" fillId="0" borderId="0"/>
    <xf numFmtId="0" fontId="5" fillId="0" borderId="0"/>
    <xf numFmtId="0" fontId="2" fillId="0" borderId="0"/>
    <xf numFmtId="180" fontId="2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65" fontId="5" fillId="0" borderId="0"/>
    <xf numFmtId="0" fontId="5" fillId="0" borderId="0" applyNumberFormat="0" applyFill="0" applyBorder="0" applyAlignment="0" applyProtection="0"/>
    <xf numFmtId="165" fontId="5" fillId="0" borderId="0"/>
    <xf numFmtId="165" fontId="5" fillId="0" borderId="0"/>
    <xf numFmtId="165" fontId="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65" fontId="5" fillId="0" borderId="0"/>
    <xf numFmtId="165" fontId="5" fillId="0" borderId="0"/>
    <xf numFmtId="165" fontId="5" fillId="0" borderId="0"/>
    <xf numFmtId="165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2" fillId="0" borderId="0" applyNumberFormat="0"/>
    <xf numFmtId="0" fontId="1" fillId="0" borderId="0"/>
    <xf numFmtId="0" fontId="1" fillId="0" borderId="0"/>
    <xf numFmtId="0" fontId="1" fillId="0" borderId="0"/>
    <xf numFmtId="0" fontId="2" fillId="0" borderId="0" applyNumberFormat="0"/>
    <xf numFmtId="0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0" fontId="5" fillId="0" borderId="0"/>
    <xf numFmtId="165" fontId="5" fillId="0" borderId="0"/>
    <xf numFmtId="165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165" fontId="5" fillId="0" borderId="0"/>
    <xf numFmtId="165" fontId="5" fillId="0" borderId="0"/>
    <xf numFmtId="165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2" borderId="15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1" fillId="12" borderId="15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1" fillId="12" borderId="15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132" fillId="12" borderId="15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" fillId="59" borderId="58" applyNumberFormat="0" applyFon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0" fontId="53" fillId="56" borderId="66" applyNumberFormat="0" applyAlignment="0" applyProtection="0"/>
    <xf numFmtId="40" fontId="142" fillId="99" borderId="0">
      <alignment horizontal="right"/>
    </xf>
    <xf numFmtId="0" fontId="143" fillId="99" borderId="0">
      <alignment horizontal="right"/>
    </xf>
    <xf numFmtId="0" fontId="144" fillId="99" borderId="5"/>
    <xf numFmtId="0" fontId="144" fillId="0" borderId="0" applyBorder="0">
      <alignment horizontal="centerContinuous"/>
    </xf>
    <xf numFmtId="0" fontId="145" fillId="0" borderId="0" applyBorder="0">
      <alignment horizontal="centerContinuous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" fontId="146" fillId="2" borderId="66" applyNumberFormat="0" applyProtection="0">
      <alignment vertical="center"/>
    </xf>
    <xf numFmtId="4" fontId="146" fillId="2" borderId="66" applyNumberFormat="0" applyProtection="0">
      <alignment vertical="center"/>
    </xf>
    <xf numFmtId="4" fontId="146" fillId="2" borderId="66" applyNumberFormat="0" applyProtection="0">
      <alignment vertical="center"/>
    </xf>
    <xf numFmtId="4" fontId="147" fillId="2" borderId="66" applyNumberFormat="0" applyProtection="0">
      <alignment vertical="center"/>
    </xf>
    <xf numFmtId="4" fontId="147" fillId="2" borderId="66" applyNumberFormat="0" applyProtection="0">
      <alignment vertical="center"/>
    </xf>
    <xf numFmtId="4" fontId="147" fillId="2" borderId="66" applyNumberFormat="0" applyProtection="0">
      <alignment vertical="center"/>
    </xf>
    <xf numFmtId="4" fontId="146" fillId="2" borderId="66" applyNumberFormat="0" applyProtection="0">
      <alignment horizontal="left" vertical="center" indent="1"/>
    </xf>
    <xf numFmtId="4" fontId="146" fillId="2" borderId="66" applyNumberFormat="0" applyProtection="0">
      <alignment horizontal="left" vertical="center" indent="1"/>
    </xf>
    <xf numFmtId="4" fontId="146" fillId="2" borderId="66" applyNumberFormat="0" applyProtection="0">
      <alignment horizontal="left" vertical="center" indent="1"/>
    </xf>
    <xf numFmtId="4" fontId="146" fillId="2" borderId="66" applyNumberFormat="0" applyProtection="0">
      <alignment horizontal="left" vertical="center" indent="1"/>
    </xf>
    <xf numFmtId="4" fontId="146" fillId="2" borderId="66" applyNumberFormat="0" applyProtection="0">
      <alignment horizontal="left" vertical="center" indent="1"/>
    </xf>
    <xf numFmtId="4" fontId="146" fillId="2" borderId="66" applyNumberFormat="0" applyProtection="0">
      <alignment horizontal="left" vertical="center" indent="1"/>
    </xf>
    <xf numFmtId="0" fontId="2" fillId="79" borderId="66" applyNumberFormat="0" applyProtection="0">
      <alignment horizontal="left" vertical="center" indent="1"/>
    </xf>
    <xf numFmtId="0" fontId="2" fillId="79" borderId="66" applyNumberFormat="0" applyProtection="0">
      <alignment horizontal="left" vertical="center" indent="1"/>
    </xf>
    <xf numFmtId="0" fontId="2" fillId="79" borderId="66" applyNumberFormat="0" applyProtection="0">
      <alignment horizontal="left" vertical="center" indent="1"/>
    </xf>
    <xf numFmtId="4" fontId="146" fillId="86" borderId="66" applyNumberFormat="0" applyProtection="0">
      <alignment horizontal="right" vertical="center"/>
    </xf>
    <xf numFmtId="4" fontId="146" fillId="86" borderId="66" applyNumberFormat="0" applyProtection="0">
      <alignment horizontal="right" vertical="center"/>
    </xf>
    <xf numFmtId="4" fontId="146" fillId="86" borderId="66" applyNumberFormat="0" applyProtection="0">
      <alignment horizontal="right" vertical="center"/>
    </xf>
    <xf numFmtId="4" fontId="146" fillId="87" borderId="66" applyNumberFormat="0" applyProtection="0">
      <alignment horizontal="right" vertical="center"/>
    </xf>
    <xf numFmtId="4" fontId="146" fillId="87" borderId="66" applyNumberFormat="0" applyProtection="0">
      <alignment horizontal="right" vertical="center"/>
    </xf>
    <xf numFmtId="4" fontId="146" fillId="87" borderId="66" applyNumberFormat="0" applyProtection="0">
      <alignment horizontal="right" vertical="center"/>
    </xf>
    <xf numFmtId="4" fontId="146" fillId="93" borderId="66" applyNumberFormat="0" applyProtection="0">
      <alignment horizontal="right" vertical="center"/>
    </xf>
    <xf numFmtId="4" fontId="146" fillId="93" borderId="66" applyNumberFormat="0" applyProtection="0">
      <alignment horizontal="right" vertical="center"/>
    </xf>
    <xf numFmtId="4" fontId="146" fillId="93" borderId="66" applyNumberFormat="0" applyProtection="0">
      <alignment horizontal="right" vertical="center"/>
    </xf>
    <xf numFmtId="4" fontId="146" fillId="81" borderId="66" applyNumberFormat="0" applyProtection="0">
      <alignment horizontal="right" vertical="center"/>
    </xf>
    <xf numFmtId="4" fontId="146" fillId="81" borderId="66" applyNumberFormat="0" applyProtection="0">
      <alignment horizontal="right" vertical="center"/>
    </xf>
    <xf numFmtId="4" fontId="146" fillId="81" borderId="66" applyNumberFormat="0" applyProtection="0">
      <alignment horizontal="right" vertical="center"/>
    </xf>
    <xf numFmtId="4" fontId="146" fillId="90" borderId="66" applyNumberFormat="0" applyProtection="0">
      <alignment horizontal="right" vertical="center"/>
    </xf>
    <xf numFmtId="4" fontId="146" fillId="90" borderId="66" applyNumberFormat="0" applyProtection="0">
      <alignment horizontal="right" vertical="center"/>
    </xf>
    <xf numFmtId="4" fontId="146" fillId="90" borderId="66" applyNumberFormat="0" applyProtection="0">
      <alignment horizontal="right" vertical="center"/>
    </xf>
    <xf numFmtId="4" fontId="146" fillId="95" borderId="66" applyNumberFormat="0" applyProtection="0">
      <alignment horizontal="right" vertical="center"/>
    </xf>
    <xf numFmtId="4" fontId="146" fillId="95" borderId="66" applyNumberFormat="0" applyProtection="0">
      <alignment horizontal="right" vertical="center"/>
    </xf>
    <xf numFmtId="4" fontId="146" fillId="95" borderId="66" applyNumberFormat="0" applyProtection="0">
      <alignment horizontal="right" vertical="center"/>
    </xf>
    <xf numFmtId="4" fontId="146" fillId="94" borderId="66" applyNumberFormat="0" applyProtection="0">
      <alignment horizontal="right" vertical="center"/>
    </xf>
    <xf numFmtId="4" fontId="146" fillId="94" borderId="66" applyNumberFormat="0" applyProtection="0">
      <alignment horizontal="right" vertical="center"/>
    </xf>
    <xf numFmtId="4" fontId="146" fillId="94" borderId="66" applyNumberFormat="0" applyProtection="0">
      <alignment horizontal="right" vertical="center"/>
    </xf>
    <xf numFmtId="4" fontId="146" fillId="101" borderId="66" applyNumberFormat="0" applyProtection="0">
      <alignment horizontal="right" vertical="center"/>
    </xf>
    <xf numFmtId="4" fontId="146" fillId="101" borderId="66" applyNumberFormat="0" applyProtection="0">
      <alignment horizontal="right" vertical="center"/>
    </xf>
    <xf numFmtId="4" fontId="146" fillId="101" borderId="66" applyNumberFormat="0" applyProtection="0">
      <alignment horizontal="right" vertical="center"/>
    </xf>
    <xf numFmtId="4" fontId="146" fillId="85" borderId="66" applyNumberFormat="0" applyProtection="0">
      <alignment horizontal="right" vertical="center"/>
    </xf>
    <xf numFmtId="4" fontId="146" fillId="85" borderId="66" applyNumberFormat="0" applyProtection="0">
      <alignment horizontal="right" vertical="center"/>
    </xf>
    <xf numFmtId="4" fontId="146" fillId="85" borderId="66" applyNumberFormat="0" applyProtection="0">
      <alignment horizontal="right" vertical="center"/>
    </xf>
    <xf numFmtId="4" fontId="20" fillId="102" borderId="66" applyNumberFormat="0" applyProtection="0">
      <alignment horizontal="left" vertical="center" indent="1"/>
    </xf>
    <xf numFmtId="4" fontId="20" fillId="102" borderId="66" applyNumberFormat="0" applyProtection="0">
      <alignment horizontal="left" vertical="center" indent="1"/>
    </xf>
    <xf numFmtId="4" fontId="20" fillId="102" borderId="66" applyNumberFormat="0" applyProtection="0">
      <alignment horizontal="left" vertical="center" indent="1"/>
    </xf>
    <xf numFmtId="4" fontId="146" fillId="103" borderId="73" applyNumberFormat="0" applyProtection="0">
      <alignment horizontal="left" vertical="center" indent="1"/>
    </xf>
    <xf numFmtId="4" fontId="146" fillId="103" borderId="73" applyNumberFormat="0" applyProtection="0">
      <alignment horizontal="left" vertical="center" indent="1"/>
    </xf>
    <xf numFmtId="4" fontId="146" fillId="103" borderId="73" applyNumberFormat="0" applyProtection="0">
      <alignment horizontal="left" vertical="center" indent="1"/>
    </xf>
    <xf numFmtId="4" fontId="146" fillId="103" borderId="73" applyNumberFormat="0" applyProtection="0">
      <alignment horizontal="left" vertical="center" indent="1"/>
    </xf>
    <xf numFmtId="4" fontId="148" fillId="104" borderId="0" applyNumberFormat="0" applyProtection="0">
      <alignment horizontal="left" vertical="center" indent="1"/>
    </xf>
    <xf numFmtId="0" fontId="2" fillId="79" borderId="66" applyNumberFormat="0" applyProtection="0">
      <alignment horizontal="left" vertical="center" indent="1"/>
    </xf>
    <xf numFmtId="0" fontId="2" fillId="79" borderId="66" applyNumberFormat="0" applyProtection="0">
      <alignment horizontal="left" vertical="center" indent="1"/>
    </xf>
    <xf numFmtId="0" fontId="2" fillId="79" borderId="66" applyNumberFormat="0" applyProtection="0">
      <alignment horizontal="left" vertical="center" indent="1"/>
    </xf>
    <xf numFmtId="4" fontId="146" fillId="103" borderId="66" applyNumberFormat="0" applyProtection="0">
      <alignment horizontal="left" vertical="center" indent="1"/>
    </xf>
    <xf numFmtId="4" fontId="146" fillId="103" borderId="66" applyNumberFormat="0" applyProtection="0">
      <alignment horizontal="left" vertical="center" indent="1"/>
    </xf>
    <xf numFmtId="4" fontId="146" fillId="103" borderId="66" applyNumberFormat="0" applyProtection="0">
      <alignment horizontal="left" vertical="center" indent="1"/>
    </xf>
    <xf numFmtId="4" fontId="146" fillId="105" borderId="66" applyNumberFormat="0" applyProtection="0">
      <alignment horizontal="left" vertical="center" indent="1"/>
    </xf>
    <xf numFmtId="4" fontId="146" fillId="105" borderId="66" applyNumberFormat="0" applyProtection="0">
      <alignment horizontal="left" vertical="center" indent="1"/>
    </xf>
    <xf numFmtId="4" fontId="146" fillId="105" borderId="66" applyNumberFormat="0" applyProtection="0">
      <alignment horizontal="left" vertical="center" indent="1"/>
    </xf>
    <xf numFmtId="0" fontId="2" fillId="105" borderId="66" applyNumberFormat="0" applyProtection="0">
      <alignment horizontal="left" vertical="center" indent="1"/>
    </xf>
    <xf numFmtId="0" fontId="2" fillId="105" borderId="66" applyNumberFormat="0" applyProtection="0">
      <alignment horizontal="left" vertical="center" indent="1"/>
    </xf>
    <xf numFmtId="0" fontId="2" fillId="105" borderId="66" applyNumberFormat="0" applyProtection="0">
      <alignment horizontal="left" vertical="center" indent="1"/>
    </xf>
    <xf numFmtId="0" fontId="2" fillId="105" borderId="66" applyNumberFormat="0" applyProtection="0">
      <alignment horizontal="left" vertical="center" indent="1"/>
    </xf>
    <xf numFmtId="0" fontId="2" fillId="105" borderId="66" applyNumberFormat="0" applyProtection="0">
      <alignment horizontal="left" vertical="center" indent="1"/>
    </xf>
    <xf numFmtId="0" fontId="2" fillId="105" borderId="66" applyNumberFormat="0" applyProtection="0">
      <alignment horizontal="left" vertical="center" indent="1"/>
    </xf>
    <xf numFmtId="0" fontId="2" fillId="91" borderId="66" applyNumberFormat="0" applyProtection="0">
      <alignment horizontal="left" vertical="center" indent="1"/>
    </xf>
    <xf numFmtId="0" fontId="2" fillId="91" borderId="66" applyNumberFormat="0" applyProtection="0">
      <alignment horizontal="left" vertical="center" indent="1"/>
    </xf>
    <xf numFmtId="0" fontId="2" fillId="91" borderId="66" applyNumberFormat="0" applyProtection="0">
      <alignment horizontal="left" vertical="center" indent="1"/>
    </xf>
    <xf numFmtId="0" fontId="2" fillId="91" borderId="66" applyNumberFormat="0" applyProtection="0">
      <alignment horizontal="left" vertical="center" indent="1"/>
    </xf>
    <xf numFmtId="0" fontId="2" fillId="91" borderId="66" applyNumberFormat="0" applyProtection="0">
      <alignment horizontal="left" vertical="center" indent="1"/>
    </xf>
    <xf numFmtId="0" fontId="2" fillId="91" borderId="66" applyNumberFormat="0" applyProtection="0">
      <alignment horizontal="left" vertical="center" indent="1"/>
    </xf>
    <xf numFmtId="0" fontId="2" fillId="77" borderId="66" applyNumberFormat="0" applyProtection="0">
      <alignment horizontal="left" vertical="center" indent="1"/>
    </xf>
    <xf numFmtId="0" fontId="2" fillId="77" borderId="66" applyNumberFormat="0" applyProtection="0">
      <alignment horizontal="left" vertical="center" indent="1"/>
    </xf>
    <xf numFmtId="0" fontId="2" fillId="77" borderId="66" applyNumberFormat="0" applyProtection="0">
      <alignment horizontal="left" vertical="center" indent="1"/>
    </xf>
    <xf numFmtId="0" fontId="2" fillId="77" borderId="66" applyNumberFormat="0" applyProtection="0">
      <alignment horizontal="left" vertical="center" indent="1"/>
    </xf>
    <xf numFmtId="0" fontId="2" fillId="77" borderId="66" applyNumberFormat="0" applyProtection="0">
      <alignment horizontal="left" vertical="center" indent="1"/>
    </xf>
    <xf numFmtId="0" fontId="2" fillId="77" borderId="66" applyNumberFormat="0" applyProtection="0">
      <alignment horizontal="left" vertical="center" indent="1"/>
    </xf>
    <xf numFmtId="0" fontId="2" fillId="79" borderId="66" applyNumberFormat="0" applyProtection="0">
      <alignment horizontal="left" vertical="center" indent="1"/>
    </xf>
    <xf numFmtId="0" fontId="2" fillId="79" borderId="66" applyNumberFormat="0" applyProtection="0">
      <alignment horizontal="left" vertical="center" indent="1"/>
    </xf>
    <xf numFmtId="0" fontId="2" fillId="79" borderId="66" applyNumberFormat="0" applyProtection="0">
      <alignment horizontal="left" vertical="center" indent="1"/>
    </xf>
    <xf numFmtId="0" fontId="2" fillId="79" borderId="66" applyNumberFormat="0" applyProtection="0">
      <alignment horizontal="left" vertical="center" indent="1"/>
    </xf>
    <xf numFmtId="0" fontId="2" fillId="79" borderId="66" applyNumberFormat="0" applyProtection="0">
      <alignment horizontal="left" vertical="center" indent="1"/>
    </xf>
    <xf numFmtId="0" fontId="2" fillId="79" borderId="66" applyNumberFormat="0" applyProtection="0">
      <alignment horizontal="left" vertical="center" indent="1"/>
    </xf>
    <xf numFmtId="4" fontId="146" fillId="96" borderId="66" applyNumberFormat="0" applyProtection="0">
      <alignment vertical="center"/>
    </xf>
    <xf numFmtId="4" fontId="146" fillId="96" borderId="66" applyNumberFormat="0" applyProtection="0">
      <alignment vertical="center"/>
    </xf>
    <xf numFmtId="4" fontId="146" fillId="96" borderId="66" applyNumberFormat="0" applyProtection="0">
      <alignment vertical="center"/>
    </xf>
    <xf numFmtId="4" fontId="147" fillId="96" borderId="66" applyNumberFormat="0" applyProtection="0">
      <alignment vertical="center"/>
    </xf>
    <xf numFmtId="4" fontId="147" fillId="96" borderId="66" applyNumberFormat="0" applyProtection="0">
      <alignment vertical="center"/>
    </xf>
    <xf numFmtId="4" fontId="147" fillId="96" borderId="66" applyNumberFormat="0" applyProtection="0">
      <alignment vertical="center"/>
    </xf>
    <xf numFmtId="4" fontId="146" fillId="96" borderId="66" applyNumberFormat="0" applyProtection="0">
      <alignment horizontal="left" vertical="center" indent="1"/>
    </xf>
    <xf numFmtId="4" fontId="146" fillId="96" borderId="66" applyNumberFormat="0" applyProtection="0">
      <alignment horizontal="left" vertical="center" indent="1"/>
    </xf>
    <xf numFmtId="4" fontId="146" fillId="96" borderId="66" applyNumberFormat="0" applyProtection="0">
      <alignment horizontal="left" vertical="center" indent="1"/>
    </xf>
    <xf numFmtId="4" fontId="146" fillId="96" borderId="66" applyNumberFormat="0" applyProtection="0">
      <alignment horizontal="left" vertical="center" indent="1"/>
    </xf>
    <xf numFmtId="4" fontId="146" fillId="96" borderId="66" applyNumberFormat="0" applyProtection="0">
      <alignment horizontal="left" vertical="center" indent="1"/>
    </xf>
    <xf numFmtId="4" fontId="146" fillId="96" borderId="66" applyNumberFormat="0" applyProtection="0">
      <alignment horizontal="left" vertical="center" indent="1"/>
    </xf>
    <xf numFmtId="4" fontId="146" fillId="103" borderId="66" applyNumberFormat="0" applyProtection="0">
      <alignment horizontal="right" vertical="center"/>
    </xf>
    <xf numFmtId="4" fontId="146" fillId="103" borderId="66" applyNumberFormat="0" applyProtection="0">
      <alignment horizontal="right" vertical="center"/>
    </xf>
    <xf numFmtId="4" fontId="146" fillId="103" borderId="66" applyNumberFormat="0" applyProtection="0">
      <alignment horizontal="right" vertical="center"/>
    </xf>
    <xf numFmtId="4" fontId="147" fillId="103" borderId="66" applyNumberFormat="0" applyProtection="0">
      <alignment horizontal="right" vertical="center"/>
    </xf>
    <xf numFmtId="4" fontId="147" fillId="103" borderId="66" applyNumberFormat="0" applyProtection="0">
      <alignment horizontal="right" vertical="center"/>
    </xf>
    <xf numFmtId="4" fontId="147" fillId="103" borderId="66" applyNumberFormat="0" applyProtection="0">
      <alignment horizontal="right" vertical="center"/>
    </xf>
    <xf numFmtId="0" fontId="2" fillId="79" borderId="66" applyNumberFormat="0" applyProtection="0">
      <alignment horizontal="left" vertical="center" indent="1"/>
    </xf>
    <xf numFmtId="0" fontId="2" fillId="79" borderId="66" applyNumberFormat="0" applyProtection="0">
      <alignment horizontal="left" vertical="center" indent="1"/>
    </xf>
    <xf numFmtId="0" fontId="2" fillId="79" borderId="66" applyNumberFormat="0" applyProtection="0">
      <alignment horizontal="left" vertical="center" indent="1"/>
    </xf>
    <xf numFmtId="0" fontId="2" fillId="79" borderId="66" applyNumberFormat="0" applyProtection="0">
      <alignment horizontal="left" vertical="center" indent="1"/>
    </xf>
    <xf numFmtId="0" fontId="2" fillId="79" borderId="66" applyNumberFormat="0" applyProtection="0">
      <alignment horizontal="left" vertical="center" indent="1"/>
    </xf>
    <xf numFmtId="0" fontId="2" fillId="79" borderId="66" applyNumberFormat="0" applyProtection="0">
      <alignment horizontal="left" vertical="center" indent="1"/>
    </xf>
    <xf numFmtId="0" fontId="149" fillId="0" borderId="0"/>
    <xf numFmtId="4" fontId="131" fillId="103" borderId="66" applyNumberFormat="0" applyProtection="0">
      <alignment horizontal="right" vertical="center"/>
    </xf>
    <xf numFmtId="4" fontId="131" fillId="103" borderId="66" applyNumberFormat="0" applyProtection="0">
      <alignment horizontal="right" vertical="center"/>
    </xf>
    <xf numFmtId="4" fontId="131" fillId="103" borderId="66" applyNumberFormat="0" applyProtection="0">
      <alignment horizontal="right"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" fillId="0" borderId="0"/>
    <xf numFmtId="0" fontId="2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7" fillId="0" borderId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5" fillId="0" borderId="67" applyNumberFormat="0" applyFill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150" fillId="0" borderId="0"/>
    <xf numFmtId="0" fontId="6" fillId="0" borderId="0"/>
    <xf numFmtId="0" fontId="57" fillId="0" borderId="0"/>
    <xf numFmtId="37" fontId="133" fillId="99" borderId="75" applyBorder="0" applyProtection="0">
      <alignment vertical="center"/>
    </xf>
    <xf numFmtId="37" fontId="133" fillId="99" borderId="75" applyBorder="0" applyProtection="0">
      <alignment vertical="center"/>
    </xf>
    <xf numFmtId="37" fontId="133" fillId="99" borderId="75" applyBorder="0" applyProtection="0">
      <alignment vertical="center"/>
    </xf>
    <xf numFmtId="37" fontId="133" fillId="99" borderId="75" applyBorder="0" applyProtection="0">
      <alignment vertical="center"/>
    </xf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0" fontId="43" fillId="56" borderId="76" applyNumberFormat="0" applyAlignment="0" applyProtection="0"/>
    <xf numFmtId="196" fontId="135" fillId="0" borderId="74" applyBorder="0"/>
    <xf numFmtId="196" fontId="135" fillId="0" borderId="74" applyBorder="0"/>
    <xf numFmtId="196" fontId="135" fillId="0" borderId="74" applyBorder="0"/>
    <xf numFmtId="196" fontId="135" fillId="0" borderId="74" applyBorder="0"/>
    <xf numFmtId="196" fontId="130" fillId="0" borderId="77"/>
    <xf numFmtId="196" fontId="130" fillId="0" borderId="77"/>
    <xf numFmtId="196" fontId="130" fillId="0" borderId="77"/>
    <xf numFmtId="0" fontId="118" fillId="0" borderId="78">
      <alignment horizontal="left" vertical="center"/>
    </xf>
    <xf numFmtId="0" fontId="118" fillId="0" borderId="78">
      <alignment horizontal="left" vertical="center"/>
    </xf>
    <xf numFmtId="0" fontId="118" fillId="0" borderId="78">
      <alignment horizontal="left" vertical="center"/>
    </xf>
    <xf numFmtId="0" fontId="118" fillId="0" borderId="78">
      <alignment horizontal="left" vertical="center"/>
    </xf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0" fontId="50" fillId="43" borderId="76" applyNumberFormat="0" applyAlignment="0" applyProtection="0"/>
    <xf numFmtId="37" fontId="133" fillId="99" borderId="78" applyBorder="0">
      <alignment horizontal="left" vertical="center" indent="2"/>
    </xf>
    <xf numFmtId="37" fontId="133" fillId="99" borderId="78" applyBorder="0">
      <alignment horizontal="left" vertical="center" indent="2"/>
    </xf>
    <xf numFmtId="37" fontId="133" fillId="99" borderId="78" applyBorder="0">
      <alignment horizontal="left" vertical="center" indent="2"/>
    </xf>
    <xf numFmtId="37" fontId="133" fillId="99" borderId="78" applyBorder="0">
      <alignment horizontal="left" vertical="center" indent="2"/>
    </xf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" fillId="59" borderId="79" applyNumberFormat="0" applyFon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0" fontId="53" fillId="56" borderId="80" applyNumberFormat="0" applyAlignment="0" applyProtection="0"/>
    <xf numFmtId="4" fontId="146" fillId="2" borderId="80" applyNumberFormat="0" applyProtection="0">
      <alignment vertical="center"/>
    </xf>
    <xf numFmtId="4" fontId="146" fillId="2" borderId="80" applyNumberFormat="0" applyProtection="0">
      <alignment vertical="center"/>
    </xf>
    <xf numFmtId="4" fontId="146" fillId="2" borderId="80" applyNumberFormat="0" applyProtection="0">
      <alignment vertical="center"/>
    </xf>
    <xf numFmtId="4" fontId="147" fillId="2" borderId="80" applyNumberFormat="0" applyProtection="0">
      <alignment vertical="center"/>
    </xf>
    <xf numFmtId="4" fontId="147" fillId="2" borderId="80" applyNumberFormat="0" applyProtection="0">
      <alignment vertical="center"/>
    </xf>
    <xf numFmtId="4" fontId="147" fillId="2" borderId="80" applyNumberFormat="0" applyProtection="0">
      <alignment vertical="center"/>
    </xf>
    <xf numFmtId="4" fontId="146" fillId="2" borderId="80" applyNumberFormat="0" applyProtection="0">
      <alignment horizontal="left" vertical="center" indent="1"/>
    </xf>
    <xf numFmtId="4" fontId="146" fillId="2" borderId="80" applyNumberFormat="0" applyProtection="0">
      <alignment horizontal="left" vertical="center" indent="1"/>
    </xf>
    <xf numFmtId="4" fontId="146" fillId="2" borderId="80" applyNumberFormat="0" applyProtection="0">
      <alignment horizontal="left" vertical="center" indent="1"/>
    </xf>
    <xf numFmtId="4" fontId="146" fillId="2" borderId="80" applyNumberFormat="0" applyProtection="0">
      <alignment horizontal="left" vertical="center" indent="1"/>
    </xf>
    <xf numFmtId="4" fontId="146" fillId="2" borderId="80" applyNumberFormat="0" applyProtection="0">
      <alignment horizontal="left" vertical="center" indent="1"/>
    </xf>
    <xf numFmtId="4" fontId="146" fillId="2" borderId="80" applyNumberFormat="0" applyProtection="0">
      <alignment horizontal="left" vertical="center" indent="1"/>
    </xf>
    <xf numFmtId="0" fontId="2" fillId="79" borderId="80" applyNumberFormat="0" applyProtection="0">
      <alignment horizontal="left" vertical="center" indent="1"/>
    </xf>
    <xf numFmtId="0" fontId="2" fillId="79" borderId="80" applyNumberFormat="0" applyProtection="0">
      <alignment horizontal="left" vertical="center" indent="1"/>
    </xf>
    <xf numFmtId="0" fontId="2" fillId="79" borderId="80" applyNumberFormat="0" applyProtection="0">
      <alignment horizontal="left" vertical="center" indent="1"/>
    </xf>
    <xf numFmtId="4" fontId="146" fillId="86" borderId="80" applyNumberFormat="0" applyProtection="0">
      <alignment horizontal="right" vertical="center"/>
    </xf>
    <xf numFmtId="4" fontId="146" fillId="86" borderId="80" applyNumberFormat="0" applyProtection="0">
      <alignment horizontal="right" vertical="center"/>
    </xf>
    <xf numFmtId="4" fontId="146" fillId="86" borderId="80" applyNumberFormat="0" applyProtection="0">
      <alignment horizontal="right" vertical="center"/>
    </xf>
    <xf numFmtId="4" fontId="146" fillId="87" borderId="80" applyNumberFormat="0" applyProtection="0">
      <alignment horizontal="right" vertical="center"/>
    </xf>
    <xf numFmtId="4" fontId="146" fillId="87" borderId="80" applyNumberFormat="0" applyProtection="0">
      <alignment horizontal="right" vertical="center"/>
    </xf>
    <xf numFmtId="4" fontId="146" fillId="87" borderId="80" applyNumberFormat="0" applyProtection="0">
      <alignment horizontal="right" vertical="center"/>
    </xf>
    <xf numFmtId="4" fontId="146" fillId="93" borderId="80" applyNumberFormat="0" applyProtection="0">
      <alignment horizontal="right" vertical="center"/>
    </xf>
    <xf numFmtId="4" fontId="146" fillId="93" borderId="80" applyNumberFormat="0" applyProtection="0">
      <alignment horizontal="right" vertical="center"/>
    </xf>
    <xf numFmtId="4" fontId="146" fillId="93" borderId="80" applyNumberFormat="0" applyProtection="0">
      <alignment horizontal="right" vertical="center"/>
    </xf>
    <xf numFmtId="4" fontId="146" fillId="81" borderId="80" applyNumberFormat="0" applyProtection="0">
      <alignment horizontal="right" vertical="center"/>
    </xf>
    <xf numFmtId="4" fontId="146" fillId="81" borderId="80" applyNumberFormat="0" applyProtection="0">
      <alignment horizontal="right" vertical="center"/>
    </xf>
    <xf numFmtId="4" fontId="146" fillId="81" borderId="80" applyNumberFormat="0" applyProtection="0">
      <alignment horizontal="right" vertical="center"/>
    </xf>
    <xf numFmtId="4" fontId="146" fillId="90" borderId="80" applyNumberFormat="0" applyProtection="0">
      <alignment horizontal="right" vertical="center"/>
    </xf>
    <xf numFmtId="4" fontId="146" fillId="90" borderId="80" applyNumberFormat="0" applyProtection="0">
      <alignment horizontal="right" vertical="center"/>
    </xf>
    <xf numFmtId="4" fontId="146" fillId="90" borderId="80" applyNumberFormat="0" applyProtection="0">
      <alignment horizontal="right" vertical="center"/>
    </xf>
    <xf numFmtId="4" fontId="146" fillId="95" borderId="80" applyNumberFormat="0" applyProtection="0">
      <alignment horizontal="right" vertical="center"/>
    </xf>
    <xf numFmtId="4" fontId="146" fillId="95" borderId="80" applyNumberFormat="0" applyProtection="0">
      <alignment horizontal="right" vertical="center"/>
    </xf>
    <xf numFmtId="4" fontId="146" fillId="95" borderId="80" applyNumberFormat="0" applyProtection="0">
      <alignment horizontal="right" vertical="center"/>
    </xf>
    <xf numFmtId="4" fontId="146" fillId="94" borderId="80" applyNumberFormat="0" applyProtection="0">
      <alignment horizontal="right" vertical="center"/>
    </xf>
    <xf numFmtId="4" fontId="146" fillId="94" borderId="80" applyNumberFormat="0" applyProtection="0">
      <alignment horizontal="right" vertical="center"/>
    </xf>
    <xf numFmtId="4" fontId="146" fillId="94" borderId="80" applyNumberFormat="0" applyProtection="0">
      <alignment horizontal="right" vertical="center"/>
    </xf>
    <xf numFmtId="4" fontId="146" fillId="101" borderId="80" applyNumberFormat="0" applyProtection="0">
      <alignment horizontal="right" vertical="center"/>
    </xf>
    <xf numFmtId="4" fontId="146" fillId="101" borderId="80" applyNumberFormat="0" applyProtection="0">
      <alignment horizontal="right" vertical="center"/>
    </xf>
    <xf numFmtId="4" fontId="146" fillId="101" borderId="80" applyNumberFormat="0" applyProtection="0">
      <alignment horizontal="right" vertical="center"/>
    </xf>
    <xf numFmtId="4" fontId="146" fillId="85" borderId="80" applyNumberFormat="0" applyProtection="0">
      <alignment horizontal="right" vertical="center"/>
    </xf>
    <xf numFmtId="4" fontId="146" fillId="85" borderId="80" applyNumberFormat="0" applyProtection="0">
      <alignment horizontal="right" vertical="center"/>
    </xf>
    <xf numFmtId="4" fontId="146" fillId="85" borderId="80" applyNumberFormat="0" applyProtection="0">
      <alignment horizontal="right" vertical="center"/>
    </xf>
    <xf numFmtId="4" fontId="20" fillId="102" borderId="80" applyNumberFormat="0" applyProtection="0">
      <alignment horizontal="left" vertical="center" indent="1"/>
    </xf>
    <xf numFmtId="4" fontId="20" fillId="102" borderId="80" applyNumberFormat="0" applyProtection="0">
      <alignment horizontal="left" vertical="center" indent="1"/>
    </xf>
    <xf numFmtId="4" fontId="20" fillId="102" borderId="80" applyNumberFormat="0" applyProtection="0">
      <alignment horizontal="left" vertical="center" indent="1"/>
    </xf>
    <xf numFmtId="4" fontId="146" fillId="103" borderId="81" applyNumberFormat="0" applyProtection="0">
      <alignment horizontal="left" vertical="center" indent="1"/>
    </xf>
    <xf numFmtId="4" fontId="146" fillId="103" borderId="81" applyNumberFormat="0" applyProtection="0">
      <alignment horizontal="left" vertical="center" indent="1"/>
    </xf>
    <xf numFmtId="4" fontId="146" fillId="103" borderId="81" applyNumberFormat="0" applyProtection="0">
      <alignment horizontal="left" vertical="center" indent="1"/>
    </xf>
    <xf numFmtId="4" fontId="146" fillId="103" borderId="81" applyNumberFormat="0" applyProtection="0">
      <alignment horizontal="left" vertical="center" indent="1"/>
    </xf>
    <xf numFmtId="0" fontId="2" fillId="79" borderId="80" applyNumberFormat="0" applyProtection="0">
      <alignment horizontal="left" vertical="center" indent="1"/>
    </xf>
    <xf numFmtId="0" fontId="2" fillId="79" borderId="80" applyNumberFormat="0" applyProtection="0">
      <alignment horizontal="left" vertical="center" indent="1"/>
    </xf>
    <xf numFmtId="0" fontId="2" fillId="79" borderId="80" applyNumberFormat="0" applyProtection="0">
      <alignment horizontal="left" vertical="center" indent="1"/>
    </xf>
    <xf numFmtId="4" fontId="146" fillId="103" borderId="80" applyNumberFormat="0" applyProtection="0">
      <alignment horizontal="left" vertical="center" indent="1"/>
    </xf>
    <xf numFmtId="4" fontId="146" fillId="103" borderId="80" applyNumberFormat="0" applyProtection="0">
      <alignment horizontal="left" vertical="center" indent="1"/>
    </xf>
    <xf numFmtId="4" fontId="146" fillId="103" borderId="80" applyNumberFormat="0" applyProtection="0">
      <alignment horizontal="left" vertical="center" indent="1"/>
    </xf>
    <xf numFmtId="4" fontId="146" fillId="105" borderId="80" applyNumberFormat="0" applyProtection="0">
      <alignment horizontal="left" vertical="center" indent="1"/>
    </xf>
    <xf numFmtId="4" fontId="146" fillId="105" borderId="80" applyNumberFormat="0" applyProtection="0">
      <alignment horizontal="left" vertical="center" indent="1"/>
    </xf>
    <xf numFmtId="4" fontId="146" fillId="105" borderId="80" applyNumberFormat="0" applyProtection="0">
      <alignment horizontal="left" vertical="center" indent="1"/>
    </xf>
    <xf numFmtId="0" fontId="2" fillId="105" borderId="80" applyNumberFormat="0" applyProtection="0">
      <alignment horizontal="left" vertical="center" indent="1"/>
    </xf>
    <xf numFmtId="0" fontId="2" fillId="105" borderId="80" applyNumberFormat="0" applyProtection="0">
      <alignment horizontal="left" vertical="center" indent="1"/>
    </xf>
    <xf numFmtId="0" fontId="2" fillId="105" borderId="80" applyNumberFormat="0" applyProtection="0">
      <alignment horizontal="left" vertical="center" indent="1"/>
    </xf>
    <xf numFmtId="0" fontId="2" fillId="105" borderId="80" applyNumberFormat="0" applyProtection="0">
      <alignment horizontal="left" vertical="center" indent="1"/>
    </xf>
    <xf numFmtId="0" fontId="2" fillId="105" borderId="80" applyNumberFormat="0" applyProtection="0">
      <alignment horizontal="left" vertical="center" indent="1"/>
    </xf>
    <xf numFmtId="0" fontId="2" fillId="105" borderId="80" applyNumberFormat="0" applyProtection="0">
      <alignment horizontal="left" vertical="center" indent="1"/>
    </xf>
    <xf numFmtId="0" fontId="2" fillId="91" borderId="80" applyNumberFormat="0" applyProtection="0">
      <alignment horizontal="left" vertical="center" indent="1"/>
    </xf>
    <xf numFmtId="0" fontId="2" fillId="91" borderId="80" applyNumberFormat="0" applyProtection="0">
      <alignment horizontal="left" vertical="center" indent="1"/>
    </xf>
    <xf numFmtId="0" fontId="2" fillId="91" borderId="80" applyNumberFormat="0" applyProtection="0">
      <alignment horizontal="left" vertical="center" indent="1"/>
    </xf>
    <xf numFmtId="0" fontId="2" fillId="91" borderId="80" applyNumberFormat="0" applyProtection="0">
      <alignment horizontal="left" vertical="center" indent="1"/>
    </xf>
    <xf numFmtId="0" fontId="2" fillId="91" borderId="80" applyNumberFormat="0" applyProtection="0">
      <alignment horizontal="left" vertical="center" indent="1"/>
    </xf>
    <xf numFmtId="0" fontId="2" fillId="91" borderId="80" applyNumberFormat="0" applyProtection="0">
      <alignment horizontal="left" vertical="center" indent="1"/>
    </xf>
    <xf numFmtId="0" fontId="2" fillId="77" borderId="80" applyNumberFormat="0" applyProtection="0">
      <alignment horizontal="left" vertical="center" indent="1"/>
    </xf>
    <xf numFmtId="0" fontId="2" fillId="77" borderId="80" applyNumberFormat="0" applyProtection="0">
      <alignment horizontal="left" vertical="center" indent="1"/>
    </xf>
    <xf numFmtId="0" fontId="2" fillId="77" borderId="80" applyNumberFormat="0" applyProtection="0">
      <alignment horizontal="left" vertical="center" indent="1"/>
    </xf>
    <xf numFmtId="0" fontId="2" fillId="77" borderId="80" applyNumberFormat="0" applyProtection="0">
      <alignment horizontal="left" vertical="center" indent="1"/>
    </xf>
    <xf numFmtId="0" fontId="2" fillId="77" borderId="80" applyNumberFormat="0" applyProtection="0">
      <alignment horizontal="left" vertical="center" indent="1"/>
    </xf>
    <xf numFmtId="0" fontId="2" fillId="77" borderId="80" applyNumberFormat="0" applyProtection="0">
      <alignment horizontal="left" vertical="center" indent="1"/>
    </xf>
    <xf numFmtId="0" fontId="2" fillId="79" borderId="80" applyNumberFormat="0" applyProtection="0">
      <alignment horizontal="left" vertical="center" indent="1"/>
    </xf>
    <xf numFmtId="0" fontId="2" fillId="79" borderId="80" applyNumberFormat="0" applyProtection="0">
      <alignment horizontal="left" vertical="center" indent="1"/>
    </xf>
    <xf numFmtId="0" fontId="2" fillId="79" borderId="80" applyNumberFormat="0" applyProtection="0">
      <alignment horizontal="left" vertical="center" indent="1"/>
    </xf>
    <xf numFmtId="0" fontId="2" fillId="79" borderId="80" applyNumberFormat="0" applyProtection="0">
      <alignment horizontal="left" vertical="center" indent="1"/>
    </xf>
    <xf numFmtId="0" fontId="2" fillId="79" borderId="80" applyNumberFormat="0" applyProtection="0">
      <alignment horizontal="left" vertical="center" indent="1"/>
    </xf>
    <xf numFmtId="0" fontId="2" fillId="79" borderId="80" applyNumberFormat="0" applyProtection="0">
      <alignment horizontal="left" vertical="center" indent="1"/>
    </xf>
    <xf numFmtId="4" fontId="146" fillId="96" borderId="80" applyNumberFormat="0" applyProtection="0">
      <alignment vertical="center"/>
    </xf>
    <xf numFmtId="4" fontId="146" fillId="96" borderId="80" applyNumberFormat="0" applyProtection="0">
      <alignment vertical="center"/>
    </xf>
    <xf numFmtId="4" fontId="146" fillId="96" borderId="80" applyNumberFormat="0" applyProtection="0">
      <alignment vertical="center"/>
    </xf>
    <xf numFmtId="4" fontId="147" fillId="96" borderId="80" applyNumberFormat="0" applyProtection="0">
      <alignment vertical="center"/>
    </xf>
    <xf numFmtId="4" fontId="147" fillId="96" borderId="80" applyNumberFormat="0" applyProtection="0">
      <alignment vertical="center"/>
    </xf>
    <xf numFmtId="4" fontId="147" fillId="96" borderId="80" applyNumberFormat="0" applyProtection="0">
      <alignment vertical="center"/>
    </xf>
    <xf numFmtId="4" fontId="146" fillId="96" borderId="80" applyNumberFormat="0" applyProtection="0">
      <alignment horizontal="left" vertical="center" indent="1"/>
    </xf>
    <xf numFmtId="4" fontId="146" fillId="96" borderId="80" applyNumberFormat="0" applyProtection="0">
      <alignment horizontal="left" vertical="center" indent="1"/>
    </xf>
    <xf numFmtId="4" fontId="146" fillId="96" borderId="80" applyNumberFormat="0" applyProtection="0">
      <alignment horizontal="left" vertical="center" indent="1"/>
    </xf>
    <xf numFmtId="4" fontId="146" fillId="96" borderId="80" applyNumberFormat="0" applyProtection="0">
      <alignment horizontal="left" vertical="center" indent="1"/>
    </xf>
    <xf numFmtId="4" fontId="146" fillId="96" borderId="80" applyNumberFormat="0" applyProtection="0">
      <alignment horizontal="left" vertical="center" indent="1"/>
    </xf>
    <xf numFmtId="4" fontId="146" fillId="96" borderId="80" applyNumberFormat="0" applyProtection="0">
      <alignment horizontal="left" vertical="center" indent="1"/>
    </xf>
    <xf numFmtId="4" fontId="146" fillId="103" borderId="80" applyNumberFormat="0" applyProtection="0">
      <alignment horizontal="right" vertical="center"/>
    </xf>
    <xf numFmtId="4" fontId="146" fillId="103" borderId="80" applyNumberFormat="0" applyProtection="0">
      <alignment horizontal="right" vertical="center"/>
    </xf>
    <xf numFmtId="4" fontId="146" fillId="103" borderId="80" applyNumberFormat="0" applyProtection="0">
      <alignment horizontal="right" vertical="center"/>
    </xf>
    <xf numFmtId="4" fontId="147" fillId="103" borderId="80" applyNumberFormat="0" applyProtection="0">
      <alignment horizontal="right" vertical="center"/>
    </xf>
    <xf numFmtId="4" fontId="147" fillId="103" borderId="80" applyNumberFormat="0" applyProtection="0">
      <alignment horizontal="right" vertical="center"/>
    </xf>
    <xf numFmtId="4" fontId="147" fillId="103" borderId="80" applyNumberFormat="0" applyProtection="0">
      <alignment horizontal="right" vertical="center"/>
    </xf>
    <xf numFmtId="0" fontId="2" fillId="79" borderId="80" applyNumberFormat="0" applyProtection="0">
      <alignment horizontal="left" vertical="center" indent="1"/>
    </xf>
    <xf numFmtId="0" fontId="2" fillId="79" borderId="80" applyNumberFormat="0" applyProtection="0">
      <alignment horizontal="left" vertical="center" indent="1"/>
    </xf>
    <xf numFmtId="0" fontId="2" fillId="79" borderId="80" applyNumberFormat="0" applyProtection="0">
      <alignment horizontal="left" vertical="center" indent="1"/>
    </xf>
    <xf numFmtId="0" fontId="2" fillId="79" borderId="80" applyNumberFormat="0" applyProtection="0">
      <alignment horizontal="left" vertical="center" indent="1"/>
    </xf>
    <xf numFmtId="0" fontId="2" fillId="79" borderId="80" applyNumberFormat="0" applyProtection="0">
      <alignment horizontal="left" vertical="center" indent="1"/>
    </xf>
    <xf numFmtId="0" fontId="2" fillId="79" borderId="80" applyNumberFormat="0" applyProtection="0">
      <alignment horizontal="left" vertical="center" indent="1"/>
    </xf>
    <xf numFmtId="4" fontId="131" fillId="103" borderId="80" applyNumberFormat="0" applyProtection="0">
      <alignment horizontal="right" vertical="center"/>
    </xf>
    <xf numFmtId="4" fontId="131" fillId="103" borderId="80" applyNumberFormat="0" applyProtection="0">
      <alignment horizontal="right" vertical="center"/>
    </xf>
    <xf numFmtId="4" fontId="131" fillId="103" borderId="80" applyNumberFormat="0" applyProtection="0">
      <alignment horizontal="right" vertical="center"/>
    </xf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0" fontId="55" fillId="0" borderId="82" applyNumberFormat="0" applyFill="0" applyAlignment="0" applyProtection="0"/>
    <xf numFmtId="37" fontId="133" fillId="99" borderId="84" applyBorder="0" applyProtection="0">
      <alignment vertical="center"/>
    </xf>
    <xf numFmtId="37" fontId="133" fillId="99" borderId="84" applyBorder="0" applyProtection="0">
      <alignment vertical="center"/>
    </xf>
    <xf numFmtId="37" fontId="133" fillId="99" borderId="84" applyBorder="0" applyProtection="0">
      <alignment vertical="center"/>
    </xf>
    <xf numFmtId="37" fontId="133" fillId="99" borderId="84" applyBorder="0" applyProtection="0">
      <alignment vertical="center"/>
    </xf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0" fontId="43" fillId="56" borderId="85" applyNumberFormat="0" applyAlignment="0" applyProtection="0"/>
    <xf numFmtId="43" fontId="5" fillId="0" borderId="0" applyFont="0" applyFill="0" applyBorder="0" applyAlignment="0" applyProtection="0"/>
    <xf numFmtId="196" fontId="135" fillId="0" borderId="83" applyBorder="0"/>
    <xf numFmtId="196" fontId="135" fillId="0" borderId="83" applyBorder="0"/>
    <xf numFmtId="196" fontId="135" fillId="0" borderId="83" applyBorder="0"/>
    <xf numFmtId="196" fontId="135" fillId="0" borderId="83" applyBorder="0"/>
    <xf numFmtId="196" fontId="130" fillId="0" borderId="86"/>
    <xf numFmtId="196" fontId="130" fillId="0" borderId="86"/>
    <xf numFmtId="196" fontId="130" fillId="0" borderId="86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50" fillId="43" borderId="85" applyNumberFormat="0" applyAlignment="0" applyProtection="0"/>
    <xf numFmtId="0" fontId="1" fillId="12" borderId="15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" fillId="59" borderId="87" applyNumberFormat="0" applyFon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0" fontId="53" fillId="56" borderId="88" applyNumberFormat="0" applyAlignment="0" applyProtection="0"/>
    <xf numFmtId="4" fontId="146" fillId="2" borderId="88" applyNumberFormat="0" applyProtection="0">
      <alignment vertical="center"/>
    </xf>
    <xf numFmtId="4" fontId="146" fillId="2" borderId="88" applyNumberFormat="0" applyProtection="0">
      <alignment vertical="center"/>
    </xf>
    <xf numFmtId="4" fontId="146" fillId="2" borderId="88" applyNumberFormat="0" applyProtection="0">
      <alignment vertical="center"/>
    </xf>
    <xf numFmtId="4" fontId="147" fillId="2" borderId="88" applyNumberFormat="0" applyProtection="0">
      <alignment vertical="center"/>
    </xf>
    <xf numFmtId="4" fontId="147" fillId="2" borderId="88" applyNumberFormat="0" applyProtection="0">
      <alignment vertical="center"/>
    </xf>
    <xf numFmtId="4" fontId="147" fillId="2" borderId="88" applyNumberFormat="0" applyProtection="0">
      <alignment vertical="center"/>
    </xf>
    <xf numFmtId="4" fontId="146" fillId="2" borderId="88" applyNumberFormat="0" applyProtection="0">
      <alignment horizontal="left" vertical="center" indent="1"/>
    </xf>
    <xf numFmtId="4" fontId="146" fillId="2" borderId="88" applyNumberFormat="0" applyProtection="0">
      <alignment horizontal="left" vertical="center" indent="1"/>
    </xf>
    <xf numFmtId="4" fontId="146" fillId="2" borderId="88" applyNumberFormat="0" applyProtection="0">
      <alignment horizontal="left" vertical="center" indent="1"/>
    </xf>
    <xf numFmtId="4" fontId="146" fillId="2" borderId="88" applyNumberFormat="0" applyProtection="0">
      <alignment horizontal="left" vertical="center" indent="1"/>
    </xf>
    <xf numFmtId="4" fontId="146" fillId="2" borderId="88" applyNumberFormat="0" applyProtection="0">
      <alignment horizontal="left" vertical="center" indent="1"/>
    </xf>
    <xf numFmtId="4" fontId="146" fillId="2" borderId="88" applyNumberFormat="0" applyProtection="0">
      <alignment horizontal="left" vertical="center" indent="1"/>
    </xf>
    <xf numFmtId="0" fontId="2" fillId="79" borderId="88" applyNumberFormat="0" applyProtection="0">
      <alignment horizontal="left" vertical="center" indent="1"/>
    </xf>
    <xf numFmtId="0" fontId="2" fillId="79" borderId="88" applyNumberFormat="0" applyProtection="0">
      <alignment horizontal="left" vertical="center" indent="1"/>
    </xf>
    <xf numFmtId="0" fontId="2" fillId="79" borderId="88" applyNumberFormat="0" applyProtection="0">
      <alignment horizontal="left" vertical="center" indent="1"/>
    </xf>
    <xf numFmtId="4" fontId="146" fillId="86" borderId="88" applyNumberFormat="0" applyProtection="0">
      <alignment horizontal="right" vertical="center"/>
    </xf>
    <xf numFmtId="4" fontId="146" fillId="86" borderId="88" applyNumberFormat="0" applyProtection="0">
      <alignment horizontal="right" vertical="center"/>
    </xf>
    <xf numFmtId="4" fontId="146" fillId="86" borderId="88" applyNumberFormat="0" applyProtection="0">
      <alignment horizontal="right" vertical="center"/>
    </xf>
    <xf numFmtId="4" fontId="146" fillId="87" borderId="88" applyNumberFormat="0" applyProtection="0">
      <alignment horizontal="right" vertical="center"/>
    </xf>
    <xf numFmtId="4" fontId="146" fillId="87" borderId="88" applyNumberFormat="0" applyProtection="0">
      <alignment horizontal="right" vertical="center"/>
    </xf>
    <xf numFmtId="4" fontId="146" fillId="87" borderId="88" applyNumberFormat="0" applyProtection="0">
      <alignment horizontal="right" vertical="center"/>
    </xf>
    <xf numFmtId="4" fontId="146" fillId="93" borderId="88" applyNumberFormat="0" applyProtection="0">
      <alignment horizontal="right" vertical="center"/>
    </xf>
    <xf numFmtId="4" fontId="146" fillId="93" borderId="88" applyNumberFormat="0" applyProtection="0">
      <alignment horizontal="right" vertical="center"/>
    </xf>
    <xf numFmtId="4" fontId="146" fillId="93" borderId="88" applyNumberFormat="0" applyProtection="0">
      <alignment horizontal="right" vertical="center"/>
    </xf>
    <xf numFmtId="4" fontId="146" fillId="81" borderId="88" applyNumberFormat="0" applyProtection="0">
      <alignment horizontal="right" vertical="center"/>
    </xf>
    <xf numFmtId="4" fontId="146" fillId="81" borderId="88" applyNumberFormat="0" applyProtection="0">
      <alignment horizontal="right" vertical="center"/>
    </xf>
    <xf numFmtId="4" fontId="146" fillId="81" borderId="88" applyNumberFormat="0" applyProtection="0">
      <alignment horizontal="right" vertical="center"/>
    </xf>
    <xf numFmtId="4" fontId="146" fillId="90" borderId="88" applyNumberFormat="0" applyProtection="0">
      <alignment horizontal="right" vertical="center"/>
    </xf>
    <xf numFmtId="4" fontId="146" fillId="90" borderId="88" applyNumberFormat="0" applyProtection="0">
      <alignment horizontal="right" vertical="center"/>
    </xf>
    <xf numFmtId="4" fontId="146" fillId="90" borderId="88" applyNumberFormat="0" applyProtection="0">
      <alignment horizontal="right" vertical="center"/>
    </xf>
    <xf numFmtId="4" fontId="146" fillId="95" borderId="88" applyNumberFormat="0" applyProtection="0">
      <alignment horizontal="right" vertical="center"/>
    </xf>
    <xf numFmtId="4" fontId="146" fillId="95" borderId="88" applyNumberFormat="0" applyProtection="0">
      <alignment horizontal="right" vertical="center"/>
    </xf>
    <xf numFmtId="4" fontId="146" fillId="95" borderId="88" applyNumberFormat="0" applyProtection="0">
      <alignment horizontal="right" vertical="center"/>
    </xf>
    <xf numFmtId="4" fontId="146" fillId="94" borderId="88" applyNumberFormat="0" applyProtection="0">
      <alignment horizontal="right" vertical="center"/>
    </xf>
    <xf numFmtId="4" fontId="146" fillId="94" borderId="88" applyNumberFormat="0" applyProtection="0">
      <alignment horizontal="right" vertical="center"/>
    </xf>
    <xf numFmtId="4" fontId="146" fillId="94" borderId="88" applyNumberFormat="0" applyProtection="0">
      <alignment horizontal="right" vertical="center"/>
    </xf>
    <xf numFmtId="4" fontId="146" fillId="101" borderId="88" applyNumberFormat="0" applyProtection="0">
      <alignment horizontal="right" vertical="center"/>
    </xf>
    <xf numFmtId="4" fontId="146" fillId="101" borderId="88" applyNumberFormat="0" applyProtection="0">
      <alignment horizontal="right" vertical="center"/>
    </xf>
    <xf numFmtId="4" fontId="146" fillId="101" borderId="88" applyNumberFormat="0" applyProtection="0">
      <alignment horizontal="right" vertical="center"/>
    </xf>
    <xf numFmtId="4" fontId="146" fillId="85" borderId="88" applyNumberFormat="0" applyProtection="0">
      <alignment horizontal="right" vertical="center"/>
    </xf>
    <xf numFmtId="4" fontId="146" fillId="85" borderId="88" applyNumberFormat="0" applyProtection="0">
      <alignment horizontal="right" vertical="center"/>
    </xf>
    <xf numFmtId="4" fontId="146" fillId="85" borderId="88" applyNumberFormat="0" applyProtection="0">
      <alignment horizontal="right" vertical="center"/>
    </xf>
    <xf numFmtId="4" fontId="20" fillId="102" borderId="88" applyNumberFormat="0" applyProtection="0">
      <alignment horizontal="left" vertical="center" indent="1"/>
    </xf>
    <xf numFmtId="4" fontId="20" fillId="102" borderId="88" applyNumberFormat="0" applyProtection="0">
      <alignment horizontal="left" vertical="center" indent="1"/>
    </xf>
    <xf numFmtId="4" fontId="20" fillId="102" borderId="88" applyNumberFormat="0" applyProtection="0">
      <alignment horizontal="left" vertical="center" indent="1"/>
    </xf>
    <xf numFmtId="0" fontId="2" fillId="79" borderId="88" applyNumberFormat="0" applyProtection="0">
      <alignment horizontal="left" vertical="center" indent="1"/>
    </xf>
    <xf numFmtId="0" fontId="2" fillId="79" borderId="88" applyNumberFormat="0" applyProtection="0">
      <alignment horizontal="left" vertical="center" indent="1"/>
    </xf>
    <xf numFmtId="0" fontId="2" fillId="79" borderId="88" applyNumberFormat="0" applyProtection="0">
      <alignment horizontal="left" vertical="center" indent="1"/>
    </xf>
    <xf numFmtId="4" fontId="146" fillId="103" borderId="88" applyNumberFormat="0" applyProtection="0">
      <alignment horizontal="left" vertical="center" indent="1"/>
    </xf>
    <xf numFmtId="4" fontId="146" fillId="103" borderId="88" applyNumberFormat="0" applyProtection="0">
      <alignment horizontal="left" vertical="center" indent="1"/>
    </xf>
    <xf numFmtId="4" fontId="146" fillId="103" borderId="88" applyNumberFormat="0" applyProtection="0">
      <alignment horizontal="left" vertical="center" indent="1"/>
    </xf>
    <xf numFmtId="4" fontId="146" fillId="105" borderId="88" applyNumberFormat="0" applyProtection="0">
      <alignment horizontal="left" vertical="center" indent="1"/>
    </xf>
    <xf numFmtId="4" fontId="146" fillId="105" borderId="88" applyNumberFormat="0" applyProtection="0">
      <alignment horizontal="left" vertical="center" indent="1"/>
    </xf>
    <xf numFmtId="4" fontId="146" fillId="105" borderId="88" applyNumberFormat="0" applyProtection="0">
      <alignment horizontal="left" vertical="center" indent="1"/>
    </xf>
    <xf numFmtId="0" fontId="2" fillId="105" borderId="88" applyNumberFormat="0" applyProtection="0">
      <alignment horizontal="left" vertical="center" indent="1"/>
    </xf>
    <xf numFmtId="0" fontId="2" fillId="105" borderId="88" applyNumberFormat="0" applyProtection="0">
      <alignment horizontal="left" vertical="center" indent="1"/>
    </xf>
    <xf numFmtId="0" fontId="2" fillId="105" borderId="88" applyNumberFormat="0" applyProtection="0">
      <alignment horizontal="left" vertical="center" indent="1"/>
    </xf>
    <xf numFmtId="0" fontId="2" fillId="105" borderId="88" applyNumberFormat="0" applyProtection="0">
      <alignment horizontal="left" vertical="center" indent="1"/>
    </xf>
    <xf numFmtId="0" fontId="2" fillId="105" borderId="88" applyNumberFormat="0" applyProtection="0">
      <alignment horizontal="left" vertical="center" indent="1"/>
    </xf>
    <xf numFmtId="0" fontId="2" fillId="105" borderId="88" applyNumberFormat="0" applyProtection="0">
      <alignment horizontal="left" vertical="center" indent="1"/>
    </xf>
    <xf numFmtId="0" fontId="2" fillId="91" borderId="88" applyNumberFormat="0" applyProtection="0">
      <alignment horizontal="left" vertical="center" indent="1"/>
    </xf>
    <xf numFmtId="0" fontId="2" fillId="91" borderId="88" applyNumberFormat="0" applyProtection="0">
      <alignment horizontal="left" vertical="center" indent="1"/>
    </xf>
    <xf numFmtId="0" fontId="2" fillId="91" borderId="88" applyNumberFormat="0" applyProtection="0">
      <alignment horizontal="left" vertical="center" indent="1"/>
    </xf>
    <xf numFmtId="0" fontId="2" fillId="91" borderId="88" applyNumberFormat="0" applyProtection="0">
      <alignment horizontal="left" vertical="center" indent="1"/>
    </xf>
    <xf numFmtId="0" fontId="2" fillId="91" borderId="88" applyNumberFormat="0" applyProtection="0">
      <alignment horizontal="left" vertical="center" indent="1"/>
    </xf>
    <xf numFmtId="0" fontId="2" fillId="91" borderId="88" applyNumberFormat="0" applyProtection="0">
      <alignment horizontal="left" vertical="center" indent="1"/>
    </xf>
    <xf numFmtId="0" fontId="2" fillId="77" borderId="88" applyNumberFormat="0" applyProtection="0">
      <alignment horizontal="left" vertical="center" indent="1"/>
    </xf>
    <xf numFmtId="0" fontId="2" fillId="77" borderId="88" applyNumberFormat="0" applyProtection="0">
      <alignment horizontal="left" vertical="center" indent="1"/>
    </xf>
    <xf numFmtId="0" fontId="2" fillId="77" borderId="88" applyNumberFormat="0" applyProtection="0">
      <alignment horizontal="left" vertical="center" indent="1"/>
    </xf>
    <xf numFmtId="0" fontId="2" fillId="77" borderId="88" applyNumberFormat="0" applyProtection="0">
      <alignment horizontal="left" vertical="center" indent="1"/>
    </xf>
    <xf numFmtId="0" fontId="2" fillId="77" borderId="88" applyNumberFormat="0" applyProtection="0">
      <alignment horizontal="left" vertical="center" indent="1"/>
    </xf>
    <xf numFmtId="0" fontId="2" fillId="77" borderId="88" applyNumberFormat="0" applyProtection="0">
      <alignment horizontal="left" vertical="center" indent="1"/>
    </xf>
    <xf numFmtId="0" fontId="2" fillId="79" borderId="88" applyNumberFormat="0" applyProtection="0">
      <alignment horizontal="left" vertical="center" indent="1"/>
    </xf>
    <xf numFmtId="0" fontId="2" fillId="79" borderId="88" applyNumberFormat="0" applyProtection="0">
      <alignment horizontal="left" vertical="center" indent="1"/>
    </xf>
    <xf numFmtId="0" fontId="2" fillId="79" borderId="88" applyNumberFormat="0" applyProtection="0">
      <alignment horizontal="left" vertical="center" indent="1"/>
    </xf>
    <xf numFmtId="0" fontId="2" fillId="79" borderId="88" applyNumberFormat="0" applyProtection="0">
      <alignment horizontal="left" vertical="center" indent="1"/>
    </xf>
    <xf numFmtId="0" fontId="2" fillId="79" borderId="88" applyNumberFormat="0" applyProtection="0">
      <alignment horizontal="left" vertical="center" indent="1"/>
    </xf>
    <xf numFmtId="0" fontId="2" fillId="79" borderId="88" applyNumberFormat="0" applyProtection="0">
      <alignment horizontal="left" vertical="center" indent="1"/>
    </xf>
    <xf numFmtId="4" fontId="146" fillId="96" borderId="88" applyNumberFormat="0" applyProtection="0">
      <alignment vertical="center"/>
    </xf>
    <xf numFmtId="4" fontId="146" fillId="96" borderId="88" applyNumberFormat="0" applyProtection="0">
      <alignment vertical="center"/>
    </xf>
    <xf numFmtId="4" fontId="146" fillId="96" borderId="88" applyNumberFormat="0" applyProtection="0">
      <alignment vertical="center"/>
    </xf>
    <xf numFmtId="4" fontId="147" fillId="96" borderId="88" applyNumberFormat="0" applyProtection="0">
      <alignment vertical="center"/>
    </xf>
    <xf numFmtId="4" fontId="147" fillId="96" borderId="88" applyNumberFormat="0" applyProtection="0">
      <alignment vertical="center"/>
    </xf>
    <xf numFmtId="4" fontId="147" fillId="96" borderId="88" applyNumberFormat="0" applyProtection="0">
      <alignment vertical="center"/>
    </xf>
    <xf numFmtId="4" fontId="146" fillId="96" borderId="88" applyNumberFormat="0" applyProtection="0">
      <alignment horizontal="left" vertical="center" indent="1"/>
    </xf>
    <xf numFmtId="4" fontId="146" fillId="96" borderId="88" applyNumberFormat="0" applyProtection="0">
      <alignment horizontal="left" vertical="center" indent="1"/>
    </xf>
    <xf numFmtId="4" fontId="146" fillId="96" borderId="88" applyNumberFormat="0" applyProtection="0">
      <alignment horizontal="left" vertical="center" indent="1"/>
    </xf>
    <xf numFmtId="4" fontId="146" fillId="96" borderId="88" applyNumberFormat="0" applyProtection="0">
      <alignment horizontal="left" vertical="center" indent="1"/>
    </xf>
    <xf numFmtId="4" fontId="146" fillId="96" borderId="88" applyNumberFormat="0" applyProtection="0">
      <alignment horizontal="left" vertical="center" indent="1"/>
    </xf>
    <xf numFmtId="4" fontId="146" fillId="96" borderId="88" applyNumberFormat="0" applyProtection="0">
      <alignment horizontal="left" vertical="center" indent="1"/>
    </xf>
    <xf numFmtId="4" fontId="146" fillId="103" borderId="88" applyNumberFormat="0" applyProtection="0">
      <alignment horizontal="right" vertical="center"/>
    </xf>
    <xf numFmtId="4" fontId="146" fillId="103" borderId="88" applyNumberFormat="0" applyProtection="0">
      <alignment horizontal="right" vertical="center"/>
    </xf>
    <xf numFmtId="4" fontId="146" fillId="103" borderId="88" applyNumberFormat="0" applyProtection="0">
      <alignment horizontal="right" vertical="center"/>
    </xf>
    <xf numFmtId="4" fontId="147" fillId="103" borderId="88" applyNumberFormat="0" applyProtection="0">
      <alignment horizontal="right" vertical="center"/>
    </xf>
    <xf numFmtId="4" fontId="147" fillId="103" borderId="88" applyNumberFormat="0" applyProtection="0">
      <alignment horizontal="right" vertical="center"/>
    </xf>
    <xf numFmtId="4" fontId="147" fillId="103" borderId="88" applyNumberFormat="0" applyProtection="0">
      <alignment horizontal="right" vertical="center"/>
    </xf>
    <xf numFmtId="0" fontId="2" fillId="79" borderId="88" applyNumberFormat="0" applyProtection="0">
      <alignment horizontal="left" vertical="center" indent="1"/>
    </xf>
    <xf numFmtId="0" fontId="2" fillId="79" borderId="88" applyNumberFormat="0" applyProtection="0">
      <alignment horizontal="left" vertical="center" indent="1"/>
    </xf>
    <xf numFmtId="0" fontId="2" fillId="79" borderId="88" applyNumberFormat="0" applyProtection="0">
      <alignment horizontal="left" vertical="center" indent="1"/>
    </xf>
    <xf numFmtId="0" fontId="2" fillId="79" borderId="88" applyNumberFormat="0" applyProtection="0">
      <alignment horizontal="left" vertical="center" indent="1"/>
    </xf>
    <xf numFmtId="0" fontId="2" fillId="79" borderId="88" applyNumberFormat="0" applyProtection="0">
      <alignment horizontal="left" vertical="center" indent="1"/>
    </xf>
    <xf numFmtId="0" fontId="2" fillId="79" borderId="88" applyNumberFormat="0" applyProtection="0">
      <alignment horizontal="left" vertical="center" indent="1"/>
    </xf>
    <xf numFmtId="4" fontId="131" fillId="103" borderId="88" applyNumberFormat="0" applyProtection="0">
      <alignment horizontal="right" vertical="center"/>
    </xf>
    <xf numFmtId="4" fontId="131" fillId="103" borderId="88" applyNumberFormat="0" applyProtection="0">
      <alignment horizontal="right" vertical="center"/>
    </xf>
    <xf numFmtId="4" fontId="131" fillId="103" borderId="88" applyNumberFormat="0" applyProtection="0">
      <alignment horizontal="right" vertical="center"/>
    </xf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0" fontId="55" fillId="0" borderId="89" applyNumberFormat="0" applyFill="0" applyAlignment="0" applyProtection="0"/>
    <xf numFmtId="37" fontId="133" fillId="99" borderId="91" applyBorder="0" applyProtection="0">
      <alignment vertical="center"/>
    </xf>
    <xf numFmtId="37" fontId="133" fillId="99" borderId="91" applyBorder="0" applyProtection="0">
      <alignment vertical="center"/>
    </xf>
    <xf numFmtId="37" fontId="133" fillId="99" borderId="91" applyBorder="0" applyProtection="0">
      <alignment vertical="center"/>
    </xf>
    <xf numFmtId="37" fontId="133" fillId="99" borderId="91" applyBorder="0" applyProtection="0">
      <alignment vertical="center"/>
    </xf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0" fontId="43" fillId="56" borderId="92" applyNumberFormat="0" applyAlignment="0" applyProtection="0"/>
    <xf numFmtId="196" fontId="135" fillId="0" borderId="90" applyBorder="0"/>
    <xf numFmtId="196" fontId="135" fillId="0" borderId="90" applyBorder="0"/>
    <xf numFmtId="196" fontId="135" fillId="0" borderId="90" applyBorder="0"/>
    <xf numFmtId="196" fontId="135" fillId="0" borderId="90" applyBorder="0"/>
    <xf numFmtId="196" fontId="130" fillId="0" borderId="93"/>
    <xf numFmtId="196" fontId="130" fillId="0" borderId="93"/>
    <xf numFmtId="196" fontId="130" fillId="0" borderId="93"/>
    <xf numFmtId="0" fontId="118" fillId="0" borderId="94">
      <alignment horizontal="left" vertical="center"/>
    </xf>
    <xf numFmtId="0" fontId="118" fillId="0" borderId="94">
      <alignment horizontal="left" vertical="center"/>
    </xf>
    <xf numFmtId="0" fontId="118" fillId="0" borderId="94">
      <alignment horizontal="left" vertical="center"/>
    </xf>
    <xf numFmtId="0" fontId="118" fillId="0" borderId="94">
      <alignment horizontal="left" vertical="center"/>
    </xf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0" fontId="50" fillId="43" borderId="92" applyNumberFormat="0" applyAlignment="0" applyProtection="0"/>
    <xf numFmtId="37" fontId="133" fillId="99" borderId="94" applyBorder="0">
      <alignment horizontal="left" vertical="center" indent="2"/>
    </xf>
    <xf numFmtId="37" fontId="133" fillId="99" borderId="94" applyBorder="0">
      <alignment horizontal="left" vertical="center" indent="2"/>
    </xf>
    <xf numFmtId="37" fontId="133" fillId="99" borderId="94" applyBorder="0">
      <alignment horizontal="left" vertical="center" indent="2"/>
    </xf>
    <xf numFmtId="37" fontId="133" fillId="99" borderId="94" applyBorder="0">
      <alignment horizontal="left" vertical="center" indent="2"/>
    </xf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" fillId="59" borderId="95" applyNumberFormat="0" applyFon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0" fontId="53" fillId="56" borderId="96" applyNumberFormat="0" applyAlignment="0" applyProtection="0"/>
    <xf numFmtId="4" fontId="146" fillId="2" borderId="96" applyNumberFormat="0" applyProtection="0">
      <alignment vertical="center"/>
    </xf>
    <xf numFmtId="4" fontId="146" fillId="2" borderId="96" applyNumberFormat="0" applyProtection="0">
      <alignment vertical="center"/>
    </xf>
    <xf numFmtId="4" fontId="146" fillId="2" borderId="96" applyNumberFormat="0" applyProtection="0">
      <alignment vertical="center"/>
    </xf>
    <xf numFmtId="4" fontId="147" fillId="2" borderId="96" applyNumberFormat="0" applyProtection="0">
      <alignment vertical="center"/>
    </xf>
    <xf numFmtId="4" fontId="147" fillId="2" borderId="96" applyNumberFormat="0" applyProtection="0">
      <alignment vertical="center"/>
    </xf>
    <xf numFmtId="4" fontId="147" fillId="2" borderId="96" applyNumberFormat="0" applyProtection="0">
      <alignment vertical="center"/>
    </xf>
    <xf numFmtId="4" fontId="146" fillId="2" borderId="96" applyNumberFormat="0" applyProtection="0">
      <alignment horizontal="left" vertical="center" indent="1"/>
    </xf>
    <xf numFmtId="4" fontId="146" fillId="2" borderId="96" applyNumberFormat="0" applyProtection="0">
      <alignment horizontal="left" vertical="center" indent="1"/>
    </xf>
    <xf numFmtId="4" fontId="146" fillId="2" borderId="96" applyNumberFormat="0" applyProtection="0">
      <alignment horizontal="left" vertical="center" indent="1"/>
    </xf>
    <xf numFmtId="4" fontId="146" fillId="2" borderId="96" applyNumberFormat="0" applyProtection="0">
      <alignment horizontal="left" vertical="center" indent="1"/>
    </xf>
    <xf numFmtId="4" fontId="146" fillId="2" borderId="96" applyNumberFormat="0" applyProtection="0">
      <alignment horizontal="left" vertical="center" indent="1"/>
    </xf>
    <xf numFmtId="4" fontId="146" fillId="2" borderId="96" applyNumberFormat="0" applyProtection="0">
      <alignment horizontal="left" vertical="center" indent="1"/>
    </xf>
    <xf numFmtId="0" fontId="2" fillId="79" borderId="96" applyNumberFormat="0" applyProtection="0">
      <alignment horizontal="left" vertical="center" indent="1"/>
    </xf>
    <xf numFmtId="0" fontId="2" fillId="79" borderId="96" applyNumberFormat="0" applyProtection="0">
      <alignment horizontal="left" vertical="center" indent="1"/>
    </xf>
    <xf numFmtId="0" fontId="2" fillId="79" borderId="96" applyNumberFormat="0" applyProtection="0">
      <alignment horizontal="left" vertical="center" indent="1"/>
    </xf>
    <xf numFmtId="4" fontId="146" fillId="86" borderId="96" applyNumberFormat="0" applyProtection="0">
      <alignment horizontal="right" vertical="center"/>
    </xf>
    <xf numFmtId="4" fontId="146" fillId="86" borderId="96" applyNumberFormat="0" applyProtection="0">
      <alignment horizontal="right" vertical="center"/>
    </xf>
    <xf numFmtId="4" fontId="146" fillId="86" borderId="96" applyNumberFormat="0" applyProtection="0">
      <alignment horizontal="right" vertical="center"/>
    </xf>
    <xf numFmtId="4" fontId="146" fillId="87" borderId="96" applyNumberFormat="0" applyProtection="0">
      <alignment horizontal="right" vertical="center"/>
    </xf>
    <xf numFmtId="4" fontId="146" fillId="87" borderId="96" applyNumberFormat="0" applyProtection="0">
      <alignment horizontal="right" vertical="center"/>
    </xf>
    <xf numFmtId="4" fontId="146" fillId="87" borderId="96" applyNumberFormat="0" applyProtection="0">
      <alignment horizontal="right" vertical="center"/>
    </xf>
    <xf numFmtId="4" fontId="146" fillId="93" borderId="96" applyNumberFormat="0" applyProtection="0">
      <alignment horizontal="right" vertical="center"/>
    </xf>
    <xf numFmtId="4" fontId="146" fillId="93" borderId="96" applyNumberFormat="0" applyProtection="0">
      <alignment horizontal="right" vertical="center"/>
    </xf>
    <xf numFmtId="4" fontId="146" fillId="93" borderId="96" applyNumberFormat="0" applyProtection="0">
      <alignment horizontal="right" vertical="center"/>
    </xf>
    <xf numFmtId="4" fontId="146" fillId="81" borderId="96" applyNumberFormat="0" applyProtection="0">
      <alignment horizontal="right" vertical="center"/>
    </xf>
    <xf numFmtId="4" fontId="146" fillId="81" borderId="96" applyNumberFormat="0" applyProtection="0">
      <alignment horizontal="right" vertical="center"/>
    </xf>
    <xf numFmtId="4" fontId="146" fillId="81" borderId="96" applyNumberFormat="0" applyProtection="0">
      <alignment horizontal="right" vertical="center"/>
    </xf>
    <xf numFmtId="4" fontId="146" fillId="90" borderId="96" applyNumberFormat="0" applyProtection="0">
      <alignment horizontal="right" vertical="center"/>
    </xf>
    <xf numFmtId="4" fontId="146" fillId="90" borderId="96" applyNumberFormat="0" applyProtection="0">
      <alignment horizontal="right" vertical="center"/>
    </xf>
    <xf numFmtId="4" fontId="146" fillId="90" borderId="96" applyNumberFormat="0" applyProtection="0">
      <alignment horizontal="right" vertical="center"/>
    </xf>
    <xf numFmtId="4" fontId="146" fillId="95" borderId="96" applyNumberFormat="0" applyProtection="0">
      <alignment horizontal="right" vertical="center"/>
    </xf>
    <xf numFmtId="4" fontId="146" fillId="95" borderId="96" applyNumberFormat="0" applyProtection="0">
      <alignment horizontal="right" vertical="center"/>
    </xf>
    <xf numFmtId="4" fontId="146" fillId="95" borderId="96" applyNumberFormat="0" applyProtection="0">
      <alignment horizontal="right" vertical="center"/>
    </xf>
    <xf numFmtId="4" fontId="146" fillId="94" borderId="96" applyNumberFormat="0" applyProtection="0">
      <alignment horizontal="right" vertical="center"/>
    </xf>
    <xf numFmtId="4" fontId="146" fillId="94" borderId="96" applyNumberFormat="0" applyProtection="0">
      <alignment horizontal="right" vertical="center"/>
    </xf>
    <xf numFmtId="4" fontId="146" fillId="94" borderId="96" applyNumberFormat="0" applyProtection="0">
      <alignment horizontal="right" vertical="center"/>
    </xf>
    <xf numFmtId="4" fontId="146" fillId="101" borderId="96" applyNumberFormat="0" applyProtection="0">
      <alignment horizontal="right" vertical="center"/>
    </xf>
    <xf numFmtId="4" fontId="146" fillId="101" borderId="96" applyNumberFormat="0" applyProtection="0">
      <alignment horizontal="right" vertical="center"/>
    </xf>
    <xf numFmtId="4" fontId="146" fillId="101" borderId="96" applyNumberFormat="0" applyProtection="0">
      <alignment horizontal="right" vertical="center"/>
    </xf>
    <xf numFmtId="4" fontId="146" fillId="85" borderId="96" applyNumberFormat="0" applyProtection="0">
      <alignment horizontal="right" vertical="center"/>
    </xf>
    <xf numFmtId="4" fontId="146" fillId="85" borderId="96" applyNumberFormat="0" applyProtection="0">
      <alignment horizontal="right" vertical="center"/>
    </xf>
    <xf numFmtId="4" fontId="146" fillId="85" borderId="96" applyNumberFormat="0" applyProtection="0">
      <alignment horizontal="right" vertical="center"/>
    </xf>
    <xf numFmtId="4" fontId="20" fillId="102" borderId="96" applyNumberFormat="0" applyProtection="0">
      <alignment horizontal="left" vertical="center" indent="1"/>
    </xf>
    <xf numFmtId="4" fontId="20" fillId="102" borderId="96" applyNumberFormat="0" applyProtection="0">
      <alignment horizontal="left" vertical="center" indent="1"/>
    </xf>
    <xf numFmtId="4" fontId="20" fillId="102" borderId="96" applyNumberFormat="0" applyProtection="0">
      <alignment horizontal="left" vertical="center" indent="1"/>
    </xf>
    <xf numFmtId="4" fontId="146" fillId="103" borderId="97" applyNumberFormat="0" applyProtection="0">
      <alignment horizontal="left" vertical="center" indent="1"/>
    </xf>
    <xf numFmtId="4" fontId="146" fillId="103" borderId="97" applyNumberFormat="0" applyProtection="0">
      <alignment horizontal="left" vertical="center" indent="1"/>
    </xf>
    <xf numFmtId="4" fontId="146" fillId="103" borderId="97" applyNumberFormat="0" applyProtection="0">
      <alignment horizontal="left" vertical="center" indent="1"/>
    </xf>
    <xf numFmtId="4" fontId="146" fillId="103" borderId="97" applyNumberFormat="0" applyProtection="0">
      <alignment horizontal="left" vertical="center" indent="1"/>
    </xf>
    <xf numFmtId="0" fontId="2" fillId="79" borderId="96" applyNumberFormat="0" applyProtection="0">
      <alignment horizontal="left" vertical="center" indent="1"/>
    </xf>
    <xf numFmtId="0" fontId="2" fillId="79" borderId="96" applyNumberFormat="0" applyProtection="0">
      <alignment horizontal="left" vertical="center" indent="1"/>
    </xf>
    <xf numFmtId="0" fontId="2" fillId="79" borderId="96" applyNumberFormat="0" applyProtection="0">
      <alignment horizontal="left" vertical="center" indent="1"/>
    </xf>
    <xf numFmtId="4" fontId="146" fillId="103" borderId="96" applyNumberFormat="0" applyProtection="0">
      <alignment horizontal="left" vertical="center" indent="1"/>
    </xf>
    <xf numFmtId="4" fontId="146" fillId="103" borderId="96" applyNumberFormat="0" applyProtection="0">
      <alignment horizontal="left" vertical="center" indent="1"/>
    </xf>
    <xf numFmtId="4" fontId="146" fillId="103" borderId="96" applyNumberFormat="0" applyProtection="0">
      <alignment horizontal="left" vertical="center" indent="1"/>
    </xf>
    <xf numFmtId="4" fontId="146" fillId="105" borderId="96" applyNumberFormat="0" applyProtection="0">
      <alignment horizontal="left" vertical="center" indent="1"/>
    </xf>
    <xf numFmtId="4" fontId="146" fillId="105" borderId="96" applyNumberFormat="0" applyProtection="0">
      <alignment horizontal="left" vertical="center" indent="1"/>
    </xf>
    <xf numFmtId="4" fontId="146" fillId="105" borderId="96" applyNumberFormat="0" applyProtection="0">
      <alignment horizontal="left" vertical="center" indent="1"/>
    </xf>
    <xf numFmtId="0" fontId="2" fillId="105" borderId="96" applyNumberFormat="0" applyProtection="0">
      <alignment horizontal="left" vertical="center" indent="1"/>
    </xf>
    <xf numFmtId="0" fontId="2" fillId="105" borderId="96" applyNumberFormat="0" applyProtection="0">
      <alignment horizontal="left" vertical="center" indent="1"/>
    </xf>
    <xf numFmtId="0" fontId="2" fillId="105" borderId="96" applyNumberFormat="0" applyProtection="0">
      <alignment horizontal="left" vertical="center" indent="1"/>
    </xf>
    <xf numFmtId="0" fontId="2" fillId="105" borderId="96" applyNumberFormat="0" applyProtection="0">
      <alignment horizontal="left" vertical="center" indent="1"/>
    </xf>
    <xf numFmtId="0" fontId="2" fillId="105" borderId="96" applyNumberFormat="0" applyProtection="0">
      <alignment horizontal="left" vertical="center" indent="1"/>
    </xf>
    <xf numFmtId="0" fontId="2" fillId="105" borderId="96" applyNumberFormat="0" applyProtection="0">
      <alignment horizontal="left" vertical="center" indent="1"/>
    </xf>
    <xf numFmtId="0" fontId="2" fillId="91" borderId="96" applyNumberFormat="0" applyProtection="0">
      <alignment horizontal="left" vertical="center" indent="1"/>
    </xf>
    <xf numFmtId="0" fontId="2" fillId="91" borderId="96" applyNumberFormat="0" applyProtection="0">
      <alignment horizontal="left" vertical="center" indent="1"/>
    </xf>
    <xf numFmtId="0" fontId="2" fillId="91" borderId="96" applyNumberFormat="0" applyProtection="0">
      <alignment horizontal="left" vertical="center" indent="1"/>
    </xf>
    <xf numFmtId="0" fontId="2" fillId="91" borderId="96" applyNumberFormat="0" applyProtection="0">
      <alignment horizontal="left" vertical="center" indent="1"/>
    </xf>
    <xf numFmtId="0" fontId="2" fillId="91" borderId="96" applyNumberFormat="0" applyProtection="0">
      <alignment horizontal="left" vertical="center" indent="1"/>
    </xf>
    <xf numFmtId="0" fontId="2" fillId="91" borderId="96" applyNumberFormat="0" applyProtection="0">
      <alignment horizontal="left" vertical="center" indent="1"/>
    </xf>
    <xf numFmtId="0" fontId="2" fillId="77" borderId="96" applyNumberFormat="0" applyProtection="0">
      <alignment horizontal="left" vertical="center" indent="1"/>
    </xf>
    <xf numFmtId="0" fontId="2" fillId="77" borderId="96" applyNumberFormat="0" applyProtection="0">
      <alignment horizontal="left" vertical="center" indent="1"/>
    </xf>
    <xf numFmtId="0" fontId="2" fillId="77" borderId="96" applyNumberFormat="0" applyProtection="0">
      <alignment horizontal="left" vertical="center" indent="1"/>
    </xf>
    <xf numFmtId="0" fontId="2" fillId="77" borderId="96" applyNumberFormat="0" applyProtection="0">
      <alignment horizontal="left" vertical="center" indent="1"/>
    </xf>
    <xf numFmtId="0" fontId="2" fillId="77" borderId="96" applyNumberFormat="0" applyProtection="0">
      <alignment horizontal="left" vertical="center" indent="1"/>
    </xf>
    <xf numFmtId="0" fontId="2" fillId="77" borderId="96" applyNumberFormat="0" applyProtection="0">
      <alignment horizontal="left" vertical="center" indent="1"/>
    </xf>
    <xf numFmtId="0" fontId="2" fillId="79" borderId="96" applyNumberFormat="0" applyProtection="0">
      <alignment horizontal="left" vertical="center" indent="1"/>
    </xf>
    <xf numFmtId="0" fontId="2" fillId="79" borderId="96" applyNumberFormat="0" applyProtection="0">
      <alignment horizontal="left" vertical="center" indent="1"/>
    </xf>
    <xf numFmtId="0" fontId="2" fillId="79" borderId="96" applyNumberFormat="0" applyProtection="0">
      <alignment horizontal="left" vertical="center" indent="1"/>
    </xf>
    <xf numFmtId="0" fontId="2" fillId="79" borderId="96" applyNumberFormat="0" applyProtection="0">
      <alignment horizontal="left" vertical="center" indent="1"/>
    </xf>
    <xf numFmtId="0" fontId="2" fillId="79" borderId="96" applyNumberFormat="0" applyProtection="0">
      <alignment horizontal="left" vertical="center" indent="1"/>
    </xf>
    <xf numFmtId="0" fontId="2" fillId="79" borderId="96" applyNumberFormat="0" applyProtection="0">
      <alignment horizontal="left" vertical="center" indent="1"/>
    </xf>
    <xf numFmtId="4" fontId="146" fillId="96" borderId="96" applyNumberFormat="0" applyProtection="0">
      <alignment vertical="center"/>
    </xf>
    <xf numFmtId="4" fontId="146" fillId="96" borderId="96" applyNumberFormat="0" applyProtection="0">
      <alignment vertical="center"/>
    </xf>
    <xf numFmtId="4" fontId="146" fillId="96" borderId="96" applyNumberFormat="0" applyProtection="0">
      <alignment vertical="center"/>
    </xf>
    <xf numFmtId="4" fontId="147" fillId="96" borderId="96" applyNumberFormat="0" applyProtection="0">
      <alignment vertical="center"/>
    </xf>
    <xf numFmtId="4" fontId="147" fillId="96" borderId="96" applyNumberFormat="0" applyProtection="0">
      <alignment vertical="center"/>
    </xf>
    <xf numFmtId="4" fontId="147" fillId="96" borderId="96" applyNumberFormat="0" applyProtection="0">
      <alignment vertical="center"/>
    </xf>
    <xf numFmtId="4" fontId="146" fillId="96" borderId="96" applyNumberFormat="0" applyProtection="0">
      <alignment horizontal="left" vertical="center" indent="1"/>
    </xf>
    <xf numFmtId="4" fontId="146" fillId="96" borderId="96" applyNumberFormat="0" applyProtection="0">
      <alignment horizontal="left" vertical="center" indent="1"/>
    </xf>
    <xf numFmtId="4" fontId="146" fillId="96" borderId="96" applyNumberFormat="0" applyProtection="0">
      <alignment horizontal="left" vertical="center" indent="1"/>
    </xf>
    <xf numFmtId="4" fontId="146" fillId="96" borderId="96" applyNumberFormat="0" applyProtection="0">
      <alignment horizontal="left" vertical="center" indent="1"/>
    </xf>
    <xf numFmtId="4" fontId="146" fillId="96" borderId="96" applyNumberFormat="0" applyProtection="0">
      <alignment horizontal="left" vertical="center" indent="1"/>
    </xf>
    <xf numFmtId="4" fontId="146" fillId="96" borderId="96" applyNumberFormat="0" applyProtection="0">
      <alignment horizontal="left" vertical="center" indent="1"/>
    </xf>
    <xf numFmtId="4" fontId="146" fillId="103" borderId="96" applyNumberFormat="0" applyProtection="0">
      <alignment horizontal="right" vertical="center"/>
    </xf>
    <xf numFmtId="4" fontId="146" fillId="103" borderId="96" applyNumberFormat="0" applyProtection="0">
      <alignment horizontal="right" vertical="center"/>
    </xf>
    <xf numFmtId="4" fontId="146" fillId="103" borderId="96" applyNumberFormat="0" applyProtection="0">
      <alignment horizontal="right" vertical="center"/>
    </xf>
    <xf numFmtId="4" fontId="147" fillId="103" borderId="96" applyNumberFormat="0" applyProtection="0">
      <alignment horizontal="right" vertical="center"/>
    </xf>
    <xf numFmtId="4" fontId="147" fillId="103" borderId="96" applyNumberFormat="0" applyProtection="0">
      <alignment horizontal="right" vertical="center"/>
    </xf>
    <xf numFmtId="4" fontId="147" fillId="103" borderId="96" applyNumberFormat="0" applyProtection="0">
      <alignment horizontal="right" vertical="center"/>
    </xf>
    <xf numFmtId="0" fontId="2" fillId="79" borderId="96" applyNumberFormat="0" applyProtection="0">
      <alignment horizontal="left" vertical="center" indent="1"/>
    </xf>
    <xf numFmtId="0" fontId="2" fillId="79" borderId="96" applyNumberFormat="0" applyProtection="0">
      <alignment horizontal="left" vertical="center" indent="1"/>
    </xf>
    <xf numFmtId="0" fontId="2" fillId="79" borderId="96" applyNumberFormat="0" applyProtection="0">
      <alignment horizontal="left" vertical="center" indent="1"/>
    </xf>
    <xf numFmtId="0" fontId="2" fillId="79" borderId="96" applyNumberFormat="0" applyProtection="0">
      <alignment horizontal="left" vertical="center" indent="1"/>
    </xf>
    <xf numFmtId="0" fontId="2" fillId="79" borderId="96" applyNumberFormat="0" applyProtection="0">
      <alignment horizontal="left" vertical="center" indent="1"/>
    </xf>
    <xf numFmtId="0" fontId="2" fillId="79" borderId="96" applyNumberFormat="0" applyProtection="0">
      <alignment horizontal="left" vertical="center" indent="1"/>
    </xf>
    <xf numFmtId="4" fontId="131" fillId="103" borderId="96" applyNumberFormat="0" applyProtection="0">
      <alignment horizontal="right" vertical="center"/>
    </xf>
    <xf numFmtId="4" fontId="131" fillId="103" borderId="96" applyNumberFormat="0" applyProtection="0">
      <alignment horizontal="right" vertical="center"/>
    </xf>
    <xf numFmtId="4" fontId="131" fillId="103" borderId="96" applyNumberFormat="0" applyProtection="0">
      <alignment horizontal="right" vertical="center"/>
    </xf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0" fontId="55" fillId="0" borderId="98" applyNumberFormat="0" applyFill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59" fillId="0" borderId="0">
      <alignment vertical="center"/>
    </xf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29" fillId="0" borderId="0"/>
  </cellStyleXfs>
  <cellXfs count="116">
    <xf numFmtId="0" fontId="0" fillId="0" borderId="0" xfId="0"/>
    <xf numFmtId="0" fontId="4" fillId="0" borderId="0" xfId="8"/>
    <xf numFmtId="0" fontId="7" fillId="0" borderId="0" xfId="8" applyFont="1"/>
    <xf numFmtId="0" fontId="8" fillId="0" borderId="0" xfId="8" applyFont="1"/>
    <xf numFmtId="0" fontId="8" fillId="0" borderId="0" xfId="8" applyFont="1" applyAlignment="1">
      <alignment wrapText="1"/>
    </xf>
    <xf numFmtId="0" fontId="8" fillId="0" borderId="0" xfId="8" applyFont="1" applyAlignment="1">
      <alignment horizontal="left" wrapText="1"/>
    </xf>
    <xf numFmtId="0" fontId="8" fillId="0" borderId="2" xfId="8" applyFont="1" applyBorder="1"/>
    <xf numFmtId="0" fontId="8" fillId="0" borderId="2" xfId="8" applyFont="1" applyBorder="1" applyAlignment="1">
      <alignment horizontal="center"/>
    </xf>
    <xf numFmtId="0" fontId="8" fillId="0" borderId="0" xfId="8" applyFont="1" applyAlignment="1">
      <alignment horizontal="left"/>
    </xf>
    <xf numFmtId="0" fontId="8" fillId="0" borderId="0" xfId="8" applyFont="1" applyAlignment="1">
      <alignment horizontal="center"/>
    </xf>
    <xf numFmtId="165" fontId="8" fillId="0" borderId="0" xfId="8" applyNumberFormat="1" applyFont="1" applyAlignment="1">
      <alignment horizontal="left"/>
    </xf>
    <xf numFmtId="0" fontId="7" fillId="0" borderId="0" xfId="8" applyFont="1" applyAlignment="1">
      <alignment horizontal="right"/>
    </xf>
    <xf numFmtId="0" fontId="14" fillId="5" borderId="0" xfId="8" applyFont="1" applyFill="1" applyAlignment="1">
      <alignment horizontal="left"/>
    </xf>
    <xf numFmtId="165" fontId="14" fillId="5" borderId="0" xfId="8" applyNumberFormat="1" applyFont="1" applyFill="1" applyAlignment="1">
      <alignment horizontal="left"/>
    </xf>
    <xf numFmtId="167" fontId="13" fillId="0" borderId="0" xfId="8" applyNumberFormat="1" applyFont="1" applyAlignment="1">
      <alignment horizontal="right" vertical="center" wrapText="1"/>
    </xf>
    <xf numFmtId="0" fontId="4" fillId="0" borderId="0" xfId="8" applyAlignment="1">
      <alignment horizontal="right"/>
    </xf>
    <xf numFmtId="14" fontId="4" fillId="0" borderId="0" xfId="8" applyNumberFormat="1"/>
    <xf numFmtId="9" fontId="4" fillId="0" borderId="0" xfId="8" applyNumberFormat="1"/>
    <xf numFmtId="0" fontId="13" fillId="0" borderId="0" xfId="8" applyFont="1" applyAlignment="1">
      <alignment horizontal="right"/>
    </xf>
    <xf numFmtId="0" fontId="13" fillId="0" borderId="0" xfId="8" applyFont="1" applyAlignment="1">
      <alignment horizontal="left"/>
    </xf>
    <xf numFmtId="0" fontId="7" fillId="0" borderId="0" xfId="8" applyFont="1" applyAlignment="1">
      <alignment horizontal="left"/>
    </xf>
    <xf numFmtId="49" fontId="13" fillId="0" borderId="0" xfId="8" applyNumberFormat="1" applyFont="1" applyAlignment="1">
      <alignment horizontal="center"/>
    </xf>
    <xf numFmtId="49" fontId="13" fillId="0" borderId="0" xfId="8" applyNumberFormat="1" applyFont="1" applyAlignment="1">
      <alignment horizontal="left"/>
    </xf>
    <xf numFmtId="0" fontId="13" fillId="0" borderId="0" xfId="8" applyFont="1" applyAlignment="1">
      <alignment horizontal="center"/>
    </xf>
    <xf numFmtId="166" fontId="13" fillId="0" borderId="0" xfId="8" applyNumberFormat="1" applyFont="1" applyAlignment="1">
      <alignment horizontal="center"/>
    </xf>
    <xf numFmtId="164" fontId="13" fillId="0" borderId="0" xfId="8" applyNumberFormat="1" applyFont="1" applyAlignment="1">
      <alignment horizontal="right"/>
    </xf>
    <xf numFmtId="164" fontId="13" fillId="0" borderId="0" xfId="8" applyNumberFormat="1" applyFont="1" applyAlignment="1">
      <alignment horizontal="right" vertical="center" wrapText="1"/>
    </xf>
    <xf numFmtId="0" fontId="13" fillId="0" borderId="0" xfId="7" applyFont="1" applyAlignment="1">
      <alignment horizontal="center"/>
    </xf>
    <xf numFmtId="0" fontId="13" fillId="0" borderId="0" xfId="7" applyFont="1"/>
    <xf numFmtId="0" fontId="13" fillId="0" borderId="0" xfId="7" applyFont="1" applyAlignment="1">
      <alignment horizontal="right"/>
    </xf>
    <xf numFmtId="167" fontId="13" fillId="0" borderId="0" xfId="7" applyNumberFormat="1" applyFont="1" applyAlignment="1">
      <alignment horizontal="right"/>
    </xf>
    <xf numFmtId="0" fontId="13" fillId="0" borderId="0" xfId="8" applyFont="1"/>
    <xf numFmtId="0" fontId="8" fillId="0" borderId="0" xfId="7" applyFont="1"/>
    <xf numFmtId="0" fontId="11" fillId="0" borderId="0" xfId="8" applyFont="1"/>
    <xf numFmtId="0" fontId="11" fillId="0" borderId="0" xfId="7" applyFont="1"/>
    <xf numFmtId="0" fontId="15" fillId="0" borderId="0" xfId="7" applyFont="1" applyAlignment="1">
      <alignment horizontal="center"/>
    </xf>
    <xf numFmtId="164" fontId="15" fillId="0" borderId="0" xfId="9" applyNumberFormat="1" applyFont="1" applyFill="1" applyBorder="1" applyAlignment="1">
      <alignment horizontal="right"/>
    </xf>
    <xf numFmtId="0" fontId="10" fillId="0" borderId="0" xfId="8" applyFont="1"/>
    <xf numFmtId="169" fontId="9" fillId="0" borderId="0" xfId="8" applyNumberFormat="1" applyFont="1"/>
    <xf numFmtId="0" fontId="11" fillId="0" borderId="0" xfId="8" applyFont="1" applyAlignment="1">
      <alignment horizontal="right"/>
    </xf>
    <xf numFmtId="169" fontId="4" fillId="0" borderId="0" xfId="8" applyNumberFormat="1"/>
    <xf numFmtId="49" fontId="13" fillId="0" borderId="0" xfId="8" applyNumberFormat="1" applyFont="1"/>
    <xf numFmtId="0" fontId="13" fillId="0" borderId="0" xfId="8" applyFont="1" applyAlignment="1">
      <alignment horizontal="left" vertical="center"/>
    </xf>
    <xf numFmtId="0" fontId="12" fillId="0" borderId="0" xfId="7" applyFont="1" applyAlignment="1">
      <alignment horizontal="left"/>
    </xf>
    <xf numFmtId="165" fontId="14" fillId="0" borderId="0" xfId="8" applyNumberFormat="1" applyFont="1" applyAlignment="1">
      <alignment horizontal="left"/>
    </xf>
    <xf numFmtId="9" fontId="8" fillId="0" borderId="0" xfId="8" applyNumberFormat="1" applyFont="1"/>
    <xf numFmtId="9" fontId="7" fillId="0" borderId="0" xfId="8" applyNumberFormat="1" applyFont="1"/>
    <xf numFmtId="9" fontId="14" fillId="0" borderId="0" xfId="8" applyNumberFormat="1" applyFont="1" applyAlignment="1">
      <alignment horizontal="left"/>
    </xf>
    <xf numFmtId="9" fontId="8" fillId="0" borderId="0" xfId="8" applyNumberFormat="1" applyFont="1" applyAlignment="1">
      <alignment horizontal="left"/>
    </xf>
    <xf numFmtId="9" fontId="8" fillId="0" borderId="0" xfId="8" applyNumberFormat="1" applyFont="1" applyAlignment="1">
      <alignment horizontal="left" wrapText="1"/>
    </xf>
    <xf numFmtId="9" fontId="13" fillId="0" borderId="0" xfId="8" applyNumberFormat="1" applyFont="1" applyAlignment="1">
      <alignment horizontal="right"/>
    </xf>
    <xf numFmtId="9" fontId="13" fillId="0" borderId="0" xfId="8" applyNumberFormat="1" applyFont="1" applyAlignment="1">
      <alignment horizontal="right" vertical="center" wrapText="1"/>
    </xf>
    <xf numFmtId="9" fontId="13" fillId="0" borderId="0" xfId="7" applyNumberFormat="1" applyFont="1" applyAlignment="1">
      <alignment horizontal="right"/>
    </xf>
    <xf numFmtId="9" fontId="15" fillId="0" borderId="0" xfId="9" applyNumberFormat="1" applyFont="1" applyFill="1" applyBorder="1" applyAlignment="1">
      <alignment horizontal="right"/>
    </xf>
    <xf numFmtId="9" fontId="9" fillId="0" borderId="0" xfId="8" applyNumberFormat="1" applyFont="1"/>
    <xf numFmtId="0" fontId="14" fillId="0" borderId="0" xfId="7" applyFont="1" applyAlignment="1">
      <alignment horizontal="center"/>
    </xf>
    <xf numFmtId="0" fontId="14" fillId="0" borderId="0" xfId="7" applyFont="1" applyAlignment="1">
      <alignment horizontal="right"/>
    </xf>
    <xf numFmtId="0" fontId="15" fillId="0" borderId="17" xfId="7" applyFont="1" applyBorder="1"/>
    <xf numFmtId="0" fontId="11" fillId="0" borderId="17" xfId="8" applyFont="1" applyBorder="1"/>
    <xf numFmtId="0" fontId="77" fillId="0" borderId="0" xfId="8" applyFont="1" applyAlignment="1">
      <alignment horizontal="left"/>
    </xf>
    <xf numFmtId="0" fontId="77" fillId="0" borderId="0" xfId="8" applyFont="1" applyAlignment="1">
      <alignment horizontal="right"/>
    </xf>
    <xf numFmtId="0" fontId="76" fillId="5" borderId="0" xfId="8" applyFont="1" applyFill="1" applyAlignment="1">
      <alignment horizontal="left"/>
    </xf>
    <xf numFmtId="14" fontId="77" fillId="5" borderId="0" xfId="8" applyNumberFormat="1" applyFont="1" applyFill="1" applyAlignment="1">
      <alignment horizontal="left"/>
    </xf>
    <xf numFmtId="0" fontId="11" fillId="0" borderId="0" xfId="8" applyFont="1" applyAlignment="1">
      <alignment horizontal="left"/>
    </xf>
    <xf numFmtId="0" fontId="78" fillId="0" borderId="3" xfId="8" applyFont="1" applyBorder="1"/>
    <xf numFmtId="0" fontId="78" fillId="0" borderId="0" xfId="8" applyFont="1"/>
    <xf numFmtId="0" fontId="78" fillId="0" borderId="5" xfId="8" applyFont="1" applyBorder="1"/>
    <xf numFmtId="0" fontId="78" fillId="0" borderId="50" xfId="8" applyFont="1" applyBorder="1"/>
    <xf numFmtId="43" fontId="78" fillId="0" borderId="4" xfId="1" applyFont="1" applyBorder="1"/>
    <xf numFmtId="43" fontId="78" fillId="0" borderId="6" xfId="1" applyFont="1" applyBorder="1"/>
    <xf numFmtId="43" fontId="78" fillId="0" borderId="0" xfId="1" applyFont="1" applyBorder="1"/>
    <xf numFmtId="43" fontId="78" fillId="0" borderId="0" xfId="8" applyNumberFormat="1" applyFont="1"/>
    <xf numFmtId="7" fontId="78" fillId="0" borderId="5" xfId="8" applyNumberFormat="1" applyFont="1" applyBorder="1"/>
    <xf numFmtId="0" fontId="78" fillId="0" borderId="4" xfId="8" applyFont="1" applyBorder="1"/>
    <xf numFmtId="7" fontId="78" fillId="0" borderId="6" xfId="8" applyNumberFormat="1" applyFont="1" applyBorder="1"/>
    <xf numFmtId="0" fontId="78" fillId="0" borderId="0" xfId="8" applyFont="1" applyAlignment="1">
      <alignment horizontal="right" vertical="center"/>
    </xf>
    <xf numFmtId="43" fontId="78" fillId="0" borderId="4" xfId="1" applyFont="1" applyBorder="1" applyAlignment="1">
      <alignment horizontal="right" vertical="center"/>
    </xf>
    <xf numFmtId="43" fontId="78" fillId="0" borderId="0" xfId="1" applyFont="1" applyBorder="1" applyAlignment="1">
      <alignment horizontal="right" vertical="center"/>
    </xf>
    <xf numFmtId="0" fontId="78" fillId="0" borderId="4" xfId="8" applyFont="1" applyBorder="1" applyAlignment="1">
      <alignment horizontal="right" vertical="center"/>
    </xf>
    <xf numFmtId="171" fontId="8" fillId="0" borderId="0" xfId="8" applyNumberFormat="1" applyFont="1"/>
    <xf numFmtId="0" fontId="80" fillId="0" borderId="0" xfId="8" applyFont="1"/>
    <xf numFmtId="0" fontId="80" fillId="0" borderId="0" xfId="8" applyFont="1" applyAlignment="1">
      <alignment horizontal="center"/>
    </xf>
    <xf numFmtId="0" fontId="80" fillId="0" borderId="0" xfId="8" applyFont="1" applyAlignment="1">
      <alignment horizontal="center" wrapText="1"/>
    </xf>
    <xf numFmtId="0" fontId="80" fillId="0" borderId="17" xfId="8" applyFont="1" applyBorder="1" applyAlignment="1">
      <alignment horizontal="center"/>
    </xf>
    <xf numFmtId="9" fontId="80" fillId="0" borderId="17" xfId="8" applyNumberFormat="1" applyFont="1" applyBorder="1" applyAlignment="1">
      <alignment horizontal="right"/>
    </xf>
    <xf numFmtId="0" fontId="80" fillId="0" borderId="17" xfId="8" applyFont="1" applyBorder="1" applyAlignment="1">
      <alignment horizontal="right"/>
    </xf>
    <xf numFmtId="0" fontId="81" fillId="0" borderId="0" xfId="8" applyFont="1"/>
    <xf numFmtId="0" fontId="81" fillId="0" borderId="0" xfId="8" applyFont="1" applyAlignment="1">
      <alignment horizontal="right"/>
    </xf>
    <xf numFmtId="0" fontId="82" fillId="0" borderId="0" xfId="8" applyFont="1"/>
    <xf numFmtId="0" fontId="3" fillId="5" borderId="0" xfId="8" applyFont="1" applyFill="1"/>
    <xf numFmtId="0" fontId="85" fillId="5" borderId="0" xfId="8" applyFont="1" applyFill="1"/>
    <xf numFmtId="0" fontId="85" fillId="37" borderId="0" xfId="8" applyFont="1" applyFill="1"/>
    <xf numFmtId="0" fontId="4" fillId="3" borderId="0" xfId="8" applyFill="1"/>
    <xf numFmtId="43" fontId="78" fillId="0" borderId="5" xfId="8" applyNumberFormat="1" applyFont="1" applyBorder="1"/>
    <xf numFmtId="49" fontId="13" fillId="0" borderId="99" xfId="8" applyNumberFormat="1" applyFont="1" applyBorder="1" applyAlignment="1">
      <alignment horizontal="center"/>
    </xf>
    <xf numFmtId="0" fontId="78" fillId="0" borderId="100" xfId="8" applyFont="1" applyBorder="1"/>
    <xf numFmtId="49" fontId="13" fillId="0" borderId="101" xfId="8" applyNumberFormat="1" applyFont="1" applyBorder="1" applyAlignment="1">
      <alignment horizontal="center"/>
    </xf>
    <xf numFmtId="43" fontId="78" fillId="0" borderId="99" xfId="1" applyFont="1" applyBorder="1" applyAlignment="1">
      <alignment horizontal="right" vertical="center"/>
    </xf>
    <xf numFmtId="43" fontId="78" fillId="0" borderId="99" xfId="1" applyFont="1" applyBorder="1"/>
    <xf numFmtId="43" fontId="78" fillId="0" borderId="101" xfId="1" applyFont="1" applyBorder="1"/>
    <xf numFmtId="0" fontId="78" fillId="0" borderId="99" xfId="8" applyFont="1" applyBorder="1" applyAlignment="1">
      <alignment horizontal="right" vertical="center"/>
    </xf>
    <xf numFmtId="0" fontId="78" fillId="0" borderId="99" xfId="8" applyFont="1" applyBorder="1"/>
    <xf numFmtId="4" fontId="12" fillId="5" borderId="1" xfId="9" applyNumberFormat="1" applyFont="1" applyFill="1" applyBorder="1" applyAlignment="1" applyProtection="1">
      <alignment horizontal="right"/>
    </xf>
    <xf numFmtId="164" fontId="12" fillId="0" borderId="0" xfId="9" applyNumberFormat="1" applyFont="1" applyFill="1" applyBorder="1" applyAlignment="1" applyProtection="1">
      <alignment horizontal="right"/>
    </xf>
    <xf numFmtId="9" fontId="12" fillId="0" borderId="0" xfId="9" applyNumberFormat="1" applyFont="1" applyFill="1" applyBorder="1" applyAlignment="1" applyProtection="1">
      <alignment horizontal="right"/>
    </xf>
    <xf numFmtId="164" fontId="12" fillId="0" borderId="0" xfId="9" applyNumberFormat="1" applyFont="1" applyFill="1" applyBorder="1" applyAlignment="1">
      <alignment horizontal="right"/>
    </xf>
    <xf numFmtId="9" fontId="12" fillId="0" borderId="0" xfId="9" applyNumberFormat="1" applyFont="1" applyFill="1" applyBorder="1" applyAlignment="1">
      <alignment horizontal="right"/>
    </xf>
    <xf numFmtId="49" fontId="13" fillId="0" borderId="0" xfId="8" applyNumberFormat="1" applyFont="1" applyAlignment="1">
      <alignment horizontal="left" wrapText="1"/>
    </xf>
    <xf numFmtId="49" fontId="13" fillId="0" borderId="0" xfId="8" applyNumberFormat="1" applyFont="1" applyAlignment="1" applyProtection="1">
      <alignment horizontal="left"/>
      <protection locked="0"/>
    </xf>
    <xf numFmtId="166" fontId="13" fillId="0" borderId="0" xfId="8" applyNumberFormat="1" applyFont="1" applyAlignment="1">
      <alignment horizontal="left"/>
    </xf>
    <xf numFmtId="164" fontId="13" fillId="0" borderId="0" xfId="8" applyNumberFormat="1" applyFont="1" applyAlignment="1">
      <alignment horizontal="left"/>
    </xf>
    <xf numFmtId="9" fontId="13" fillId="0" borderId="0" xfId="8" applyNumberFormat="1" applyFont="1" applyAlignment="1">
      <alignment horizontal="left"/>
    </xf>
    <xf numFmtId="0" fontId="4" fillId="0" borderId="0" xfId="8" applyAlignment="1">
      <alignment horizontal="left"/>
    </xf>
    <xf numFmtId="0" fontId="79" fillId="0" borderId="0" xfId="8" applyFont="1" applyAlignment="1">
      <alignment horizontal="right"/>
    </xf>
    <xf numFmtId="0" fontId="8" fillId="0" borderId="0" xfId="8" applyFont="1" applyAlignment="1">
      <alignment horizontal="left" wrapText="1"/>
    </xf>
    <xf numFmtId="0" fontId="8" fillId="0" borderId="0" xfId="8" applyFont="1" applyAlignment="1">
      <alignment horizontal="left" vertical="center" wrapText="1"/>
    </xf>
  </cellXfs>
  <cellStyles count="32225">
    <cellStyle name=" 1" xfId="26106" xr:uid="{70CB4CDD-58D8-4705-AAC7-6AB76C7B9396}"/>
    <cellStyle name=" 1 2" xfId="27102" xr:uid="{FB59FDE2-92FB-4001-ACBF-5C68D8BEA955}"/>
    <cellStyle name=" Task]_x000a__x000a_TaskName=Scan At_x000a__x000a_TaskID=3_x000a__x000a_WorkstationName=SmarTone_x000a__x000a_LastExecuted=0_x000a__x000a_LastSt" xfId="27103" xr:uid="{24D1C3ED-1B1D-465F-B45F-F5630FCEB27E}"/>
    <cellStyle name=" Task]_x000d__x000a_TaskName=Scan At_x000d__x000a_TaskID=3_x000d__x000a_WorkstationName=SmarTone_x000d__x000a_LastExecuted=0_x000d__x000a_LastSt" xfId="27104" xr:uid="{789305EB-A15D-4C51-8AA0-B2447AFDA8EE}"/>
    <cellStyle name=" Task]_x000d__x000a_TaskName=Scan At_x000d__x000a_TaskID=3_x000d__x000a_WorkstationName=SmarTone_x000d__x000a_LastExecuted=0_x000d__x000a_LastSt 2" xfId="27105" xr:uid="{6B629D1A-A070-4A71-B0A6-E595BC9BD5B3}"/>
    <cellStyle name=" Task]_x000d__x000a_TaskName=Scan At_x000d__x000a_TaskID=3_x000d__x000a_WorkstationName=SmarTone_x000d__x000a_LastExecuted=0_x000d__x000a_LastSt 2 2" xfId="27106" xr:uid="{ECD7E764-FC0E-4CFF-8408-5D4E6A827F95}"/>
    <cellStyle name=" Task]_x000d__x000a_TaskName=Scan At_x000d__x000a_TaskID=3_x000d__x000a_WorkstationName=SmarTone_x000d__x000a_LastExecuted=0_x000d__x000a_LastSt 3" xfId="27107" xr:uid="{DCF96989-AACC-4C52-AD50-FC04FCB9497D}"/>
    <cellStyle name=" Task]_x000d__x000a_TaskName=Scan At_x000d__x000a_TaskID=3_x000d__x000a_WorkstationName=SmarTone_x000d__x000a_LastExecuted=0_x000d__x000a_LastSt_Daily Summary Sheet" xfId="27108" xr:uid="{0015642E-32BF-4028-B9DD-3037807C92C0}"/>
    <cellStyle name="_x000a__x000a_JournalTemplate=C:\COMFO\CTALK\JOURSTD.TPL_x000a__x000a_LbStateAddress=3 3 0 251 1 89 2 311_x000a__x000a_LbStateJou" xfId="27109" xr:uid="{11D32F03-BC88-47C3-B9FB-63C136F26FCD}"/>
    <cellStyle name="_x000a_shell=progma 2" xfId="27101" xr:uid="{77777645-A8CF-453B-B7D7-63C8FC715BBB}"/>
    <cellStyle name="_x000d__x000a_JournalTemplate=C:\COMFO\CTALK\JOURSTD.TPL_x000d__x000a_LbStateAddress=3 3 0 251 1 89 2 311_x000d__x000a_LbStateJou" xfId="74" xr:uid="{00000000-0005-0000-0000-000000000000}"/>
    <cellStyle name="_x000d__x000a_JournalTemplate=C:\COMFO\CTALK\JOURSTD.TPL_x000d__x000a_LbStateAddress=3 3 0 251 1 89 2 311_x000d__x000a_LbStateJou 2" xfId="27110" xr:uid="{AE0FC553-A06D-402C-B248-EF5A0033434C}"/>
    <cellStyle name="%" xfId="27111" xr:uid="{03EDF513-6CDD-4F81-9CE3-BA4F1F29D015}"/>
    <cellStyle name="% 2 2" xfId="27112" xr:uid="{4029D6FE-F127-42FC-B27C-E00E5922955A}"/>
    <cellStyle name="??&amp;O龡&amp;H?_x0008_??_x0007__x0001__x0001_" xfId="26010" xr:uid="{14A31FCE-8EBC-49FC-9FA1-03DC9E240824}"/>
    <cellStyle name="??&amp;O龡&amp;H?_x0008_??_x0007__x0001__x0001_ 2" xfId="26036" xr:uid="{B39175A7-6FAB-4732-80B2-B3EB6D48EE5B}"/>
    <cellStyle name="??&amp;O龡&amp;H?_x0008_??_x0007__x0001__x0001_ 2 2" xfId="26193" xr:uid="{4C268833-F538-45E0-AE2F-7F25BB9D0725}"/>
    <cellStyle name="??&amp;O龡&amp;H?_x0008_??_x0007__x0001__x0001_ 2 3" xfId="26103" xr:uid="{3343AA3F-B6CF-4017-8C44-021D5FD7A1EE}"/>
    <cellStyle name="??&amp;O龡&amp;H?_x0008_??_x0007__x0001__x0001_ 3" xfId="26032" xr:uid="{5C9F60DF-9DA5-47C0-BAEF-CC327ED96B9B}"/>
    <cellStyle name="??&amp;O龡&amp;H?_x0008_??_x0007__x0001__x0001_ 3 2" xfId="26190" xr:uid="{26271B97-D949-4BB7-879E-CB835A5C8E9B}"/>
    <cellStyle name="??&amp;O龡&amp;H?_x0008_??_x0007__x0001__x0001_ 3 3" xfId="26105" xr:uid="{9B13928F-711C-4A70-86AB-2E92AD590042}"/>
    <cellStyle name="??&amp;O龡&amp;H?_x0008_??_x0007__x0001__x0001_ 4" xfId="26053" xr:uid="{6A575ECA-CAFC-4640-96B8-CBE386809DD7}"/>
    <cellStyle name="??&amp;O龡&amp;H?_x0008_??_x0007__x0001__x0001_ 5" xfId="26177" xr:uid="{560DCF60-211F-409D-95D9-CA1F47C3EFF1}"/>
    <cellStyle name="??&amp;O龡&amp;H?_x0008_??_x0007__x0001__x0001_ 6" xfId="26087" xr:uid="{B3E14CEF-E538-40EA-A415-F2699CBE0EA4}"/>
    <cellStyle name="_AP Master Tracker _15th Dec'08" xfId="27113" xr:uid="{F4EA126F-8EC3-4A63-A8C7-6EC4613EBB56}"/>
    <cellStyle name="_Book9" xfId="27114" xr:uid="{6B8597A4-E8A4-4F89-8B44-C782213618F9}"/>
    <cellStyle name="_Book9_Revised Punjab Handover_8 Sep_10_Final (2)" xfId="27115" xr:uid="{619CBDA6-2C00-43E7-98AE-F9A0078F45CA}"/>
    <cellStyle name="_CDMA" xfId="27116" xr:uid="{D832DD28-7C5B-479C-9099-8B2077B28BAD}"/>
    <cellStyle name="_CDMA_Revised Punjab Handover_8 Sep_10_Final (2)" xfId="27117" xr:uid="{5B95ACD2-7395-4C15-BDA6-5FB87E25ED47}"/>
    <cellStyle name="_Detail Required Upgrade Dpendency (PDH-SDH)  Recevied LB Details_08 08 2009" xfId="27118" xr:uid="{2A565433-54BF-466E-976C-36232CB3B13B}"/>
    <cellStyle name="_dU BOM Project Scope 200708 QC Updated AWH 161108" xfId="26095" xr:uid="{D23A5566-706F-4EBA-BA70-D7B5EC2C3A55}"/>
    <cellStyle name="_Du WH_ETA_PO_Ordered Qty 021208 v1_0" xfId="26121" xr:uid="{6C1129FF-E506-416D-8BDB-94BACBDCDCE2}"/>
    <cellStyle name="_Du WH_ETA_PO_Ordered Qty 050109" xfId="26098" xr:uid="{E24397F5-6032-4FEB-A675-E44CBCE17D79}"/>
    <cellStyle name="_Du WH_ETA_PO_Ordered Qty 151208" xfId="26101" xr:uid="{CA61AFB3-12A3-4106-8E4F-DADCD0B98850}"/>
    <cellStyle name="_Du WH_ETA_PO_Ordered Qty 171108 (2)" xfId="26119" xr:uid="{D9E2F7B6-9231-463E-8E9F-BF8EB92CF602}"/>
    <cellStyle name="_Du WH_ETA_PO_Ordered Qty 241108 (2)" xfId="26120" xr:uid="{6CBF45A6-FD27-49F2-B19A-8ED1DD56E5EE}"/>
    <cellStyle name="_final sheet for dpr" xfId="27119" xr:uid="{7BFE278F-E92B-4F55-96CB-825F2E79D3BE}"/>
    <cellStyle name="_HYD CDMA SITE SURVEY TRAKER" xfId="27120" xr:uid="{D9C785B5-5236-48B7-9D01-0A0D794CB9CC}"/>
    <cellStyle name="_Integration Plan and issue register 12 08 2009 (2)" xfId="27121" xr:uid="{A707014D-7735-4B7A-B4E1-D948B38CCE83}"/>
    <cellStyle name="_Integration Plan and issue register 12 08 2009 (2) (2)" xfId="27122" xr:uid="{35D68509-3EAE-4D47-9D90-B04CEDD13AB5}"/>
    <cellStyle name="_Integration Plan and issue register 12 08 2009 (2) (2)_Revised Punjab Handover_8 Sep_10_Final (2)" xfId="27123" xr:uid="{86675013-839D-4B14-BD47-C845D9B547EA}"/>
    <cellStyle name="_Integration Plan and issue register 12 08 2009 (2)_Revised Punjab Handover_8 Sep_10_Final (2)" xfId="27124" xr:uid="{FCC0347A-3F44-4FCE-9EAC-0EA0BA5097CE}"/>
    <cellStyle name="_Inventory Report as on 15-Jan-09" xfId="27125" xr:uid="{6B008E6B-1269-45D9-A739-D4C0CF9EA796}"/>
    <cellStyle name="_Master Tx Implementation Tracker - Punjab 7th Aug'09" xfId="27126" xr:uid="{AAAF6236-38A2-4DD5-926C-DDD66799D643}"/>
    <cellStyle name="_Other Towns" xfId="27127" xr:uid="{A48BF888-318D-4D07-A4D1-9D27AFCBB187}"/>
    <cellStyle name="_Other Towns_Revised Punjab Handover_8 Sep_10_Final (2)" xfId="27128" xr:uid="{798DA5CB-79E1-421F-8AEC-776CFB0DF0A5}"/>
    <cellStyle name="_Phase 3 RN Full BoQ v3e" xfId="26114" xr:uid="{8C623E88-FD4C-4B56-841B-BF4842D9248C}"/>
    <cellStyle name="_power update " xfId="26111" xr:uid="{E934399C-2A2D-43F8-9D9C-2EF0E55B54A2}"/>
    <cellStyle name="_Sheet1" xfId="27129" xr:uid="{8E13DB5D-1783-43FB-96A3-F157E46D55D8}"/>
    <cellStyle name="_Sheet1_Revised Punjab Handover_8 Sep_10_Final (2)" xfId="27130" xr:uid="{413FF752-C6DE-48BA-9640-3CFCFDDF3402}"/>
    <cellStyle name="_Site Survey Tracker_UPW _3rd_April_09_1264" xfId="27131" xr:uid="{13674E82-CAD7-4991-B5C5-09D2FF963B7F}"/>
    <cellStyle name="_Site Survey Tracker_UPW _3rd_April_09_1264_Masterdatabase_After validation_UP_20042009 west_Updated.28.04" xfId="27132" xr:uid="{B5F1A0E1-E246-4F1E-8394-411DCCECA693}"/>
    <cellStyle name="_Site Survey Tracker_UPW _3rd_April_09_1264_Masterdatabase_After validation_UP_20042009 west_Updated.rana sir" xfId="27133" xr:uid="{559E401A-370F-4D54-ACD0-3DCACF7F5443}"/>
    <cellStyle name="_TI TRACKER STATUS_7-AUG-09" xfId="27134" xr:uid="{1ABFB690-CA4D-4F98-B01D-7303B360EBE4}"/>
    <cellStyle name="_Towns Gret 5" xfId="27135" xr:uid="{44FA1A40-8871-4422-A5D3-FB40E341A84A}"/>
    <cellStyle name="_Towns Gret 5_Revised Punjab Handover_8 Sep_10_Final (2)" xfId="27136" xr:uid="{30311AE5-9265-43F8-933C-0D6D086E4D68}"/>
    <cellStyle name="_UPE1" xfId="27137" xr:uid="{FFBF1253-42B8-4A1E-93D5-DB5A311EC979}"/>
    <cellStyle name="_UPE1_Revised Punjab Handover_8 Sep_10_Final (2)" xfId="27138" xr:uid="{9FE4F5EF-F3BC-4691-AC02-BC3651F97EBE}"/>
    <cellStyle name="=C:\WINNT\SYSTEM32\COMMAND.COM" xfId="27139" xr:uid="{5A04DCE6-60E7-40CB-9A77-5372473EEA8B}"/>
    <cellStyle name="=C:\WINNT\SYSTEM32\COMMAND.COM 10" xfId="27140" xr:uid="{234DEDE0-7F62-46B5-B9FF-248AD773E267}"/>
    <cellStyle name="=C:\WINNT\SYSTEM32\COMMAND.COM 10 2" xfId="27141" xr:uid="{F075F30C-2BEA-4CFD-BD0A-9F1766990E21}"/>
    <cellStyle name="=C:\WINNT\SYSTEM32\COMMAND.COM 10 2 10" xfId="27142" xr:uid="{1516914C-6D29-497C-9D59-B7CABEEF2A1A}"/>
    <cellStyle name="=C:\WINNT\SYSTEM32\COMMAND.COM 10 2 11" xfId="27143" xr:uid="{C77F2DCF-7220-4583-8212-A1E255A68351}"/>
    <cellStyle name="=C:\WINNT\SYSTEM32\COMMAND.COM 10 2 11 2" xfId="27144" xr:uid="{854A3870-AEEC-412E-998D-A98D5BB874A8}"/>
    <cellStyle name="=C:\WINNT\SYSTEM32\COMMAND.COM 10 2 2" xfId="27145" xr:uid="{659740CB-58D8-4442-B879-A217C0EC2517}"/>
    <cellStyle name="=C:\WINNT\SYSTEM32\COMMAND.COM 10 2 2 2" xfId="27146" xr:uid="{8E2AB423-4030-4051-A32E-02B86DF437F1}"/>
    <cellStyle name="=C:\WINNT\SYSTEM32\COMMAND.COM 10 2 2 2 2" xfId="27147" xr:uid="{D025706C-EF77-49F3-AB0D-242AA22432A3}"/>
    <cellStyle name="=C:\WINNT\SYSTEM32\COMMAND.COM 10 2 2 3" xfId="27148" xr:uid="{A081752A-5449-4BE8-AE7E-69AE93CA9516}"/>
    <cellStyle name="=C:\WINNT\SYSTEM32\COMMAND.COM 10 2 3" xfId="27149" xr:uid="{6287E0EC-E7D8-4AC0-9AF9-7EC56DBE7543}"/>
    <cellStyle name="=C:\WINNT\SYSTEM32\COMMAND.COM 10 2 4" xfId="27150" xr:uid="{7E503072-D840-4A67-B966-FFB4BD68E67D}"/>
    <cellStyle name="=C:\WINNT\SYSTEM32\COMMAND.COM 10 2 4 2" xfId="27151" xr:uid="{725E28EB-E43B-4F5B-BC76-8878140A27A2}"/>
    <cellStyle name="=C:\WINNT\SYSTEM32\COMMAND.COM 10 2 4 3" xfId="27152" xr:uid="{DA20EBA8-C318-4F1D-A3F9-7F5E2ACA9B57}"/>
    <cellStyle name="=C:\WINNT\SYSTEM32\COMMAND.COM 10 2 5" xfId="27153" xr:uid="{A651679B-3472-4943-B758-D5BF72A40FDA}"/>
    <cellStyle name="=C:\WINNT\SYSTEM32\COMMAND.COM 10 2 6" xfId="27154" xr:uid="{91D55C62-5E71-4509-B97A-BE0241167AE9}"/>
    <cellStyle name="=C:\WINNT\SYSTEM32\COMMAND.COM 10 2 7" xfId="27155" xr:uid="{65D97C93-39AC-4911-9EAB-7CCFAB631C00}"/>
    <cellStyle name="=C:\WINNT\SYSTEM32\COMMAND.COM 10 2 8" xfId="27156" xr:uid="{D1CF56EB-20F6-45F5-B339-67DCFA4D5F25}"/>
    <cellStyle name="=C:\WINNT\SYSTEM32\COMMAND.COM 10 2 9" xfId="27157" xr:uid="{FB587F67-7F02-4F6A-9DA6-7B503A61EEAF}"/>
    <cellStyle name="=C:\WINNT\SYSTEM32\COMMAND.COM 10 3" xfId="27158" xr:uid="{2FE48160-08BD-4359-8CA8-501F82905EB2}"/>
    <cellStyle name="=C:\WINNT\SYSTEM32\COMMAND.COM 10 4" xfId="27159" xr:uid="{58B63883-0915-4FD6-A522-E452E9908A1E}"/>
    <cellStyle name="=C:\WINNT\SYSTEM32\COMMAND.COM 10 5" xfId="27160" xr:uid="{94BA5F46-E500-4330-9B75-43AFBE1DC0CA}"/>
    <cellStyle name="=C:\WINNT\SYSTEM32\COMMAND.COM 10 6" xfId="27161" xr:uid="{E12F4822-87BB-4417-BB3A-D46B5136D2D5}"/>
    <cellStyle name="=C:\WINNT\SYSTEM32\COMMAND.COM 10 7" xfId="27162" xr:uid="{995F178F-7966-44C2-BAF2-2133D827BF25}"/>
    <cellStyle name="=C:\WINNT\SYSTEM32\COMMAND.COM 10 8" xfId="27163" xr:uid="{C50DC143-914F-4539-B261-CB35DD767FAD}"/>
    <cellStyle name="=C:\WINNT\SYSTEM32\COMMAND.COM 10 9" xfId="27164" xr:uid="{8B0E8C95-C184-44A9-84B4-8330811F2C03}"/>
    <cellStyle name="=C:\WINNT\SYSTEM32\COMMAND.COM 11" xfId="27165" xr:uid="{C60E3AF2-0C1A-41C6-B66E-DCAC048F60F2}"/>
    <cellStyle name="=C:\WINNT\SYSTEM32\COMMAND.COM 12" xfId="27166" xr:uid="{89E50587-0DBC-423E-9267-DC0430AA11DE}"/>
    <cellStyle name="=C:\WINNT\SYSTEM32\COMMAND.COM 13" xfId="27167" xr:uid="{759C8328-1A3C-4252-A632-C0553C77A201}"/>
    <cellStyle name="=C:\WINNT\SYSTEM32\COMMAND.COM 14" xfId="27168" xr:uid="{2CD98992-DEAD-4A75-BB39-EF605BAE29C0}"/>
    <cellStyle name="=C:\WINNT\SYSTEM32\COMMAND.COM 15" xfId="27169" xr:uid="{5503E762-F680-4825-AADE-DF475C24735F}"/>
    <cellStyle name="=C:\WINNT\SYSTEM32\COMMAND.COM 16" xfId="27170" xr:uid="{71EF8FA9-6C22-4081-897B-8B2A973D360A}"/>
    <cellStyle name="=C:\WINNT\SYSTEM32\COMMAND.COM 17" xfId="27171" xr:uid="{9B376556-E290-46AD-839E-B92A1AE0DB41}"/>
    <cellStyle name="=C:\WINNT\SYSTEM32\COMMAND.COM 18" xfId="27172" xr:uid="{CFB6CFA4-038E-4A75-90A2-1DCBE498566A}"/>
    <cellStyle name="=C:\WINNT\SYSTEM32\COMMAND.COM 19" xfId="27173" xr:uid="{2C3964AA-195E-4507-9D16-E98D1E28F98C}"/>
    <cellStyle name="=C:\WINNT\SYSTEM32\COMMAND.COM 2" xfId="27174" xr:uid="{2656BF96-E0DB-417E-B8EA-44E9A8D0D40D}"/>
    <cellStyle name="=C:\WINNT\SYSTEM32\COMMAND.COM 2 2" xfId="27175" xr:uid="{5656B813-EF96-47FF-A24C-6ED9BBE4EDB2}"/>
    <cellStyle name="=C:\WINNT\SYSTEM32\COMMAND.COM 2 2 2" xfId="27176" xr:uid="{AA09607C-8F32-43EA-A0DE-22308955652D}"/>
    <cellStyle name="=C:\WINNT\SYSTEM32\COMMAND.COM 2 2 3" xfId="27177" xr:uid="{9EF4B555-A2A8-42C4-ADD2-A36E16D6F717}"/>
    <cellStyle name="=C:\WINNT\SYSTEM32\COMMAND.COM 2 3" xfId="27178" xr:uid="{F07E3BDE-C796-40BA-A138-9B6ED33C4711}"/>
    <cellStyle name="=C:\WINNT\SYSTEM32\COMMAND.COM 2 4" xfId="27179" xr:uid="{F7FF45E1-DC0E-41B9-A82D-4E6E23D13EDE}"/>
    <cellStyle name="=C:\WINNT\SYSTEM32\COMMAND.COM 2 5" xfId="27180" xr:uid="{8BF0AA67-ACC8-41F2-ADB3-44DF84E41E26}"/>
    <cellStyle name="=C:\WINNT\SYSTEM32\COMMAND.COM 2 6" xfId="27181" xr:uid="{68F5FEEA-8C81-4D73-8B2B-E85700F5240A}"/>
    <cellStyle name="=C:\WINNT\SYSTEM32\COMMAND.COM 2 8" xfId="27182" xr:uid="{0FEFF1D7-C76D-4362-8FDD-B62865B2720A}"/>
    <cellStyle name="=C:\WINNT\SYSTEM32\COMMAND.COM 20" xfId="27183" xr:uid="{E956415D-EFF9-469E-8517-8987D07182EC}"/>
    <cellStyle name="=C:\WINNT\SYSTEM32\COMMAND.COM 21" xfId="27184" xr:uid="{621B6B31-813E-48B4-B446-2007E7B504B0}"/>
    <cellStyle name="=C:\WINNT\SYSTEM32\COMMAND.COM 22" xfId="27185" xr:uid="{E1FFF949-EF99-4A59-9B8A-F16C7DF7F9C5}"/>
    <cellStyle name="=C:\WINNT\SYSTEM32\COMMAND.COM 23" xfId="27186" xr:uid="{E278724D-8816-460A-BD04-CA0F9FEAB05C}"/>
    <cellStyle name="=C:\WINNT\SYSTEM32\COMMAND.COM 24" xfId="27187" xr:uid="{63F84D35-54F4-428A-925A-35D8E8086670}"/>
    <cellStyle name="=C:\WINNT\SYSTEM32\COMMAND.COM 25" xfId="27188" xr:uid="{8AFF6D57-E310-4D0C-A05B-6B77A6B3671E}"/>
    <cellStyle name="=C:\WINNT\SYSTEM32\COMMAND.COM 26" xfId="27189" xr:uid="{D622CEB5-9170-4246-B392-09D21CA45DBD}"/>
    <cellStyle name="=C:\WINNT\SYSTEM32\COMMAND.COM 27" xfId="27190" xr:uid="{ED847874-182F-40B2-B6BE-9DD731203E7E}"/>
    <cellStyle name="=C:\WINNT\SYSTEM32\COMMAND.COM 28" xfId="27191" xr:uid="{C3958B2E-0E1B-4F16-9BF4-D54BD4DC8B7D}"/>
    <cellStyle name="=C:\WINNT\SYSTEM32\COMMAND.COM 29" xfId="27192" xr:uid="{CD4CB78B-8B75-48A8-B43B-754E35EF5E82}"/>
    <cellStyle name="=C:\WINNT\SYSTEM32\COMMAND.COM 3" xfId="27193" xr:uid="{F9A7F7BE-C6BF-4FF2-823C-DE2D11655504}"/>
    <cellStyle name="=C:\WINNT\SYSTEM32\COMMAND.COM 3 2" xfId="27194" xr:uid="{8F9C64CC-DA72-44D5-B24A-D6EA15549863}"/>
    <cellStyle name="=C:\WINNT\SYSTEM32\COMMAND.COM 30" xfId="27195" xr:uid="{C81B664C-C1B3-4CB1-8316-9872B5F828E5}"/>
    <cellStyle name="=C:\WINNT\SYSTEM32\COMMAND.COM 31" xfId="27196" xr:uid="{3A5DB487-42D3-4902-8082-71A11D8C63DD}"/>
    <cellStyle name="=C:\WINNT\SYSTEM32\COMMAND.COM 32" xfId="27197" xr:uid="{7672A5B0-EF31-4747-BEDF-A17C46B16D29}"/>
    <cellStyle name="=C:\WINNT\SYSTEM32\COMMAND.COM 32 2" xfId="27198" xr:uid="{CD297633-A926-435D-A771-342391D5B373}"/>
    <cellStyle name="=C:\WINNT\SYSTEM32\COMMAND.COM 33" xfId="27199" xr:uid="{E7558445-05A1-4DE0-98AD-C3E07598AB23}"/>
    <cellStyle name="=C:\WINNT\SYSTEM32\COMMAND.COM 34" xfId="27200" xr:uid="{068DBD29-2FEA-4475-8613-AFAC5B029ABE}"/>
    <cellStyle name="=C:\WINNT\SYSTEM32\COMMAND.COM 35" xfId="27201" xr:uid="{03813CA9-52EC-4A8A-AC0A-A7FF16DE8F5F}"/>
    <cellStyle name="=C:\WINNT\SYSTEM32\COMMAND.COM 36" xfId="27202" xr:uid="{02B92B39-5810-4FD2-9871-D136189B827E}"/>
    <cellStyle name="=C:\WINNT\SYSTEM32\COMMAND.COM 4" xfId="27203" xr:uid="{3B5EDC19-2B7A-4A67-AEBA-9C2C3A86D5C8}"/>
    <cellStyle name="=C:\WINNT\SYSTEM32\COMMAND.COM 5" xfId="27204" xr:uid="{1CFED052-2137-4D7E-8892-4C343AB1CBE2}"/>
    <cellStyle name="=C:\WINNT\SYSTEM32\COMMAND.COM 6" xfId="27205" xr:uid="{0E4CD9C9-D6F8-41D7-9C55-28313D52EAF6}"/>
    <cellStyle name="=C:\WINNT\SYSTEM32\COMMAND.COM 7" xfId="27206" xr:uid="{4E257AEF-E28C-4008-A247-CC181E105420}"/>
    <cellStyle name="=C:\WINNT\SYSTEM32\COMMAND.COM 8" xfId="27207" xr:uid="{E4EA4290-29CE-43DD-B338-4CF332A1E5FC}"/>
    <cellStyle name="=C:\WINNT\SYSTEM32\COMMAND.COM 9" xfId="27208" xr:uid="{536B003C-DC2E-4676-951E-112BE1971C10}"/>
    <cellStyle name="=C:\WINNT\SYSTEM32\COMMAND.COM__HR_BHW_005" xfId="27209" xr:uid="{257EFB58-4FDD-46B5-A3D3-9CB3518D9EDC}"/>
    <cellStyle name="0,0_x000a__x000a_NA_x000a__x000a_" xfId="27210" xr:uid="{AA017EBE-1E5B-4D95-B2AD-ACAB10D72AF0}"/>
    <cellStyle name="0,0_x000d__x000a_NA_x000d__x000a_" xfId="75" xr:uid="{00000000-0005-0000-0000-000001000000}"/>
    <cellStyle name="0,0_x000d__x000a_NA_x000d__x000a_ 2" xfId="26009" xr:uid="{89394583-9790-454D-AC93-4BDA439D0E8E}"/>
    <cellStyle name="0,0_x000d__x000a_NA_x000d__x000a_ 2 10" xfId="26025" xr:uid="{316A6C14-4CA3-48D2-AAEF-771F26017BAA}"/>
    <cellStyle name="0,0_x000d__x000a_NA_x000d__x000a_ 2 2" xfId="26011" xr:uid="{A5E2E66E-7B91-4894-A500-0E5D8B86CDD4}"/>
    <cellStyle name="0,0_x000d__x000a_NA_x000d__x000a_ 2 2 2" xfId="26026" xr:uid="{6F1FA952-8C46-487B-96AA-059DA1DD1A12}"/>
    <cellStyle name="0,0_x000d__x000a_NA_x000d__x000a_ 2 2 3" xfId="25886" xr:uid="{73A92958-8298-4665-BEDB-944F8D87972A}"/>
    <cellStyle name="0,0_x000d__x000a_NA_x000d__x000a_ 2 2 3 19" xfId="25893" xr:uid="{BE3E5558-D580-4B9A-BA7E-18DB37B4D8B5}"/>
    <cellStyle name="0,0_x000d__x000a_NA_x000d__x000a_ 2 2 3 22" xfId="25896" xr:uid="{0C5A094F-443E-4BD4-83C1-18605F5AAFB3}"/>
    <cellStyle name="0,0_x000d__x000a_NA_x000d__x000a_ 2 2 3 3" xfId="25900" xr:uid="{6093AB48-4F23-4A7A-AB5F-705B178893E4}"/>
    <cellStyle name="0,0_x000d__x000a_NA_x000d__x000a_ 2 2 3 3 12" xfId="25972" xr:uid="{160D0164-9F5B-48C6-800F-46F4916F0EC2}"/>
    <cellStyle name="0,0_x000d__x000a_NA_x000d__x000a_ 2 2 3 4" xfId="25894" xr:uid="{289F6BF3-716A-4E55-A30B-28C83746AA20}"/>
    <cellStyle name="0,0_x000d__x000a_NA_x000d__x000a_ 2 3" xfId="26047" xr:uid="{8B462758-7500-4BC8-894C-950362644D4C}"/>
    <cellStyle name="0,0_x000d__x000a_NA_x000d__x000a_ 3" xfId="30064" xr:uid="{F596A19C-7CD3-4F82-9932-730BFCB39D26}"/>
    <cellStyle name="0,0_x000d__x000a_NA_x000d__x000a_ 4" xfId="27211" xr:uid="{21157D8E-5FED-41DA-8002-09E2848CB8C6}"/>
    <cellStyle name="0,0_x000d__x000a_NA_x000d__x000a__PO Creation" xfId="27212" xr:uid="{24F7E634-CE6E-4458-A449-BE3BF5E568D3}"/>
    <cellStyle name="20% - Accent1" xfId="41" builtinId="30" customBuiltin="1"/>
    <cellStyle name="20% - Accent1 2" xfId="76" xr:uid="{00000000-0005-0000-0000-000003000000}"/>
    <cellStyle name="20% - Accent1 2 10" xfId="27214" xr:uid="{5DEA7CDE-79DB-406C-A181-9444BD1282DB}"/>
    <cellStyle name="20% - Accent1 2 11" xfId="27213" xr:uid="{0FFB78C0-A39A-4144-8683-592E7A6AA7C5}"/>
    <cellStyle name="20% - Accent1 2 2" xfId="26228" xr:uid="{87311FB1-7DC1-426A-97F9-8A789193E94C}"/>
    <cellStyle name="20% - Accent1 2 2 2" xfId="27215" xr:uid="{2D40E114-6F94-4842-BE3E-4ED6684F134A}"/>
    <cellStyle name="20% - Accent1 2 3" xfId="26108" xr:uid="{A037CB64-6622-406E-91D0-35F8B8489C9B}"/>
    <cellStyle name="20% - Accent1 2 3 2" xfId="27216" xr:uid="{9A1895AD-3E3C-4DA0-9916-5FE7EF05BF47}"/>
    <cellStyle name="20% - Accent1 2 4" xfId="27217" xr:uid="{EDD11B0F-F0F5-4408-81D0-84348E6F4B9B}"/>
    <cellStyle name="20% - Accent1 2 5" xfId="27218" xr:uid="{5303CD33-565B-4E3A-99AD-199131958D7C}"/>
    <cellStyle name="20% - Accent1 2 6" xfId="27219" xr:uid="{F9869E4C-9770-4239-9085-C70ECA5A5775}"/>
    <cellStyle name="20% - Accent1 2 7" xfId="27220" xr:uid="{8F205EB8-64AE-401B-866D-D131EA35C093}"/>
    <cellStyle name="20% - Accent1 2 8" xfId="27221" xr:uid="{C52DB383-D803-4BA6-AC6D-17F85C4E7195}"/>
    <cellStyle name="20% - Accent1 2 9" xfId="27222" xr:uid="{74B5FC1E-9F03-4B07-AB75-32ED89E46432}"/>
    <cellStyle name="20% - Accent1 2_PO Creation" xfId="27223" xr:uid="{D2BECCD4-32B4-407C-A6D3-8F797B0921D8}"/>
    <cellStyle name="20% - Accent1 3" xfId="146" xr:uid="{00000000-0005-0000-0000-000004000000}"/>
    <cellStyle name="20% - Accent1 3 10" xfId="27225" xr:uid="{9B72A7C9-DD77-4252-922E-46F2D930DAFA}"/>
    <cellStyle name="20% - Accent1 3 11" xfId="27224" xr:uid="{B1D08F48-E2B7-41CE-96EE-623BB90512F6}"/>
    <cellStyle name="20% - Accent1 3 2" xfId="27226" xr:uid="{F3D5601A-2E53-4FF0-86AD-61870E16797A}"/>
    <cellStyle name="20% - Accent1 3 3" xfId="27227" xr:uid="{AF12FA63-9346-4CBC-BBD6-7B12361A8CDE}"/>
    <cellStyle name="20% - Accent1 3 4" xfId="27228" xr:uid="{DED85454-F7EB-4587-AF1F-6E2AFFD01FC5}"/>
    <cellStyle name="20% - Accent1 3 5" xfId="27229" xr:uid="{A09F51C0-89E5-43C1-BF10-FA98832DF8E4}"/>
    <cellStyle name="20% - Accent1 3 6" xfId="27230" xr:uid="{E33247E9-18AA-41AE-A8D7-61B62E34388E}"/>
    <cellStyle name="20% - Accent1 3 7" xfId="27231" xr:uid="{F2C10300-A1DE-4411-9334-93783657759B}"/>
    <cellStyle name="20% - Accent1 3 8" xfId="27232" xr:uid="{BFDDB8D4-C981-431A-A322-A9C55C30060E}"/>
    <cellStyle name="20% - Accent1 3 9" xfId="27233" xr:uid="{601EF14A-1C1C-4FAD-8A83-281A2BF2ED4B}"/>
    <cellStyle name="20% - Accent1 4" xfId="27234" xr:uid="{28263181-0758-485C-A4F9-630DC2FC33C4}"/>
    <cellStyle name="20% - Accent1 4 10" xfId="27235" xr:uid="{01F03288-E577-4F26-9324-8E41577A8C3B}"/>
    <cellStyle name="20% - Accent1 4 2" xfId="27236" xr:uid="{893F6E62-04BE-4D0E-BAFB-51B77B2B8D11}"/>
    <cellStyle name="20% - Accent1 4 3" xfId="27237" xr:uid="{EEA2A6C4-B2F5-4FC1-A360-27AD350CFAE6}"/>
    <cellStyle name="20% - Accent1 4 4" xfId="27238" xr:uid="{0472AB4F-808E-47A6-96A6-C26B21437601}"/>
    <cellStyle name="20% - Accent1 4 5" xfId="27239" xr:uid="{DFFBE18E-DB26-41DA-B897-FC1B9822FCA0}"/>
    <cellStyle name="20% - Accent1 4 6" xfId="27240" xr:uid="{55EF6CA1-304A-445B-82E6-31373FEB654E}"/>
    <cellStyle name="20% - Accent1 4 7" xfId="27241" xr:uid="{57AFB649-B2E5-48B6-980B-1673C7A1EEC6}"/>
    <cellStyle name="20% - Accent1 4 8" xfId="27242" xr:uid="{DD3AFB5B-2666-40A6-82CA-4D89CF2C88D1}"/>
    <cellStyle name="20% - Accent1 4 9" xfId="27243" xr:uid="{60B48C22-1EE2-4DA8-85B2-75C9A3EC64CA}"/>
    <cellStyle name="20% - Accent1 5" xfId="27244" xr:uid="{46B33E9E-73ED-4C92-9079-4E4ED3B5BF97}"/>
    <cellStyle name="20% - Accent1 5 10" xfId="27245" xr:uid="{9495A8A6-5611-4F21-8AD8-CB4454B51A01}"/>
    <cellStyle name="20% - Accent1 5 2" xfId="27246" xr:uid="{C41F8379-F68F-46BC-98A5-C90BA0E0E4EC}"/>
    <cellStyle name="20% - Accent1 5 3" xfId="27247" xr:uid="{0453AE2C-5F60-48FA-9CF8-99E870CE4202}"/>
    <cellStyle name="20% - Accent1 5 4" xfId="27248" xr:uid="{271D331D-CD4A-4286-9E9E-37BCB16939D8}"/>
    <cellStyle name="20% - Accent1 5 5" xfId="27249" xr:uid="{79B1478C-4BD6-426D-9FF3-DFBC111B6607}"/>
    <cellStyle name="20% - Accent1 5 6" xfId="27250" xr:uid="{857D6FEC-DCE8-4DB8-AE61-5B43A3EEA547}"/>
    <cellStyle name="20% - Accent1 5 7" xfId="27251" xr:uid="{8D744564-4166-48DD-A924-7498E79A8A68}"/>
    <cellStyle name="20% - Accent1 5 8" xfId="27252" xr:uid="{00912D2A-E035-4682-8306-567BDC654E24}"/>
    <cellStyle name="20% - Accent1 5 9" xfId="27253" xr:uid="{CA4A6B47-8D14-4D8D-AA2B-79300AFBABAB}"/>
    <cellStyle name="20% - Accent2" xfId="45" builtinId="34" customBuiltin="1"/>
    <cellStyle name="20% - Accent2 2" xfId="77" xr:uid="{00000000-0005-0000-0000-000006000000}"/>
    <cellStyle name="20% - Accent2 2 10" xfId="27255" xr:uid="{B7706FCD-F09B-460A-82DD-678C2E547815}"/>
    <cellStyle name="20% - Accent2 2 11" xfId="27254" xr:uid="{744221F8-0BA4-4776-BCFE-465D47BDD549}"/>
    <cellStyle name="20% - Accent2 2 2" xfId="26234" xr:uid="{29ADCAAC-BD7A-4F4B-970F-13A763C3C6C5}"/>
    <cellStyle name="20% - Accent2 2 2 2" xfId="27256" xr:uid="{2198A794-B210-4AA0-8313-FE085E732CE3}"/>
    <cellStyle name="20% - Accent2 2 3" xfId="26113" xr:uid="{5B4C0D17-C42A-49B5-A948-C43BD738CA49}"/>
    <cellStyle name="20% - Accent2 2 3 2" xfId="27257" xr:uid="{7B306939-ADD7-4E5A-B2B0-53C3FE234A76}"/>
    <cellStyle name="20% - Accent2 2 4" xfId="27258" xr:uid="{74118FA4-7FEE-49A8-BD06-7F91B7C7F4FF}"/>
    <cellStyle name="20% - Accent2 2 5" xfId="27259" xr:uid="{CCF6D3AB-3C34-454E-B9DE-951BCB43ADDB}"/>
    <cellStyle name="20% - Accent2 2 6" xfId="27260" xr:uid="{5440FF26-B062-4311-9A21-1A527701D000}"/>
    <cellStyle name="20% - Accent2 2 7" xfId="27261" xr:uid="{002197B3-04B0-4A9E-ABA1-B6EEEC163C32}"/>
    <cellStyle name="20% - Accent2 2 8" xfId="27262" xr:uid="{4FDEECCC-8B35-4482-94A9-82AE7496732D}"/>
    <cellStyle name="20% - Accent2 2 9" xfId="27263" xr:uid="{91BCD27E-CA2D-4CC2-8642-EB0B022BD6F8}"/>
    <cellStyle name="20% - Accent2 2_PO Creation" xfId="27264" xr:uid="{6B9C1015-80A4-4265-80C4-5FDC2052D0A7}"/>
    <cellStyle name="20% - Accent2 3" xfId="147" xr:uid="{00000000-0005-0000-0000-000007000000}"/>
    <cellStyle name="20% - Accent2 3 10" xfId="27266" xr:uid="{124848AE-94D6-4EDF-A6CF-6607BB06D8B4}"/>
    <cellStyle name="20% - Accent2 3 11" xfId="27265" xr:uid="{ECD2FC84-A73F-476E-B6AD-AD38A5FE7DE1}"/>
    <cellStyle name="20% - Accent2 3 2" xfId="27267" xr:uid="{52721DAC-85EF-4665-A326-FADC9482AE02}"/>
    <cellStyle name="20% - Accent2 3 3" xfId="27268" xr:uid="{BE23CFC5-0A63-4A85-BC32-6055AB338FE3}"/>
    <cellStyle name="20% - Accent2 3 4" xfId="27269" xr:uid="{D3E90A2F-15A0-4F91-97BE-476C415A81C0}"/>
    <cellStyle name="20% - Accent2 3 5" xfId="27270" xr:uid="{15ABE3DC-3C1D-481C-9A51-C03617DAF89B}"/>
    <cellStyle name="20% - Accent2 3 6" xfId="27271" xr:uid="{117A9B0E-1CA0-43A4-A7B1-B9988F75D5CF}"/>
    <cellStyle name="20% - Accent2 3 7" xfId="27272" xr:uid="{AD5B16ED-3A2C-4DD2-87D6-5F636A49239D}"/>
    <cellStyle name="20% - Accent2 3 8" xfId="27273" xr:uid="{E04F2823-72A1-45A4-99A7-C9D25B929EC7}"/>
    <cellStyle name="20% - Accent2 3 9" xfId="27274" xr:uid="{E3928B72-8C32-4D5F-B300-BE8EAAAE5A73}"/>
    <cellStyle name="20% - Accent2 4" xfId="27275" xr:uid="{E1BB62E9-F2C8-499E-AA63-66646CE154B0}"/>
    <cellStyle name="20% - Accent2 4 10" xfId="27276" xr:uid="{4E4F4B57-7940-48F2-9123-F43FF2A6B927}"/>
    <cellStyle name="20% - Accent2 4 2" xfId="27277" xr:uid="{991BC153-FA90-466D-A0D0-E7D49F0CA086}"/>
    <cellStyle name="20% - Accent2 4 3" xfId="27278" xr:uid="{D9D7886A-12B5-4327-9ADF-B6EFC1DA1DC5}"/>
    <cellStyle name="20% - Accent2 4 4" xfId="27279" xr:uid="{9B953B34-2D01-4EF0-801D-7ADF9B1FAC17}"/>
    <cellStyle name="20% - Accent2 4 5" xfId="27280" xr:uid="{567B9A14-370D-462F-8D27-A18632419CDC}"/>
    <cellStyle name="20% - Accent2 4 6" xfId="27281" xr:uid="{B14EE4DB-792F-4B72-BB51-A148FC6FE6F1}"/>
    <cellStyle name="20% - Accent2 4 7" xfId="27282" xr:uid="{E5C9EE8E-6837-41A9-8E2B-74F7129C6F6D}"/>
    <cellStyle name="20% - Accent2 4 8" xfId="27283" xr:uid="{C02D6319-8B96-46BC-94DB-0B86BC73FA26}"/>
    <cellStyle name="20% - Accent2 4 9" xfId="27284" xr:uid="{A55A8818-9858-498F-A3CB-D1A50825B1D5}"/>
    <cellStyle name="20% - Accent2 5" xfId="27285" xr:uid="{C3C68CD3-E09D-4FF5-A809-3909F916896A}"/>
    <cellStyle name="20% - Accent2 5 10" xfId="27286" xr:uid="{932648BE-AB26-41B8-88FE-C55108F2CA5F}"/>
    <cellStyle name="20% - Accent2 5 2" xfId="27287" xr:uid="{8583D864-7DC6-443F-A849-A3B709E295CC}"/>
    <cellStyle name="20% - Accent2 5 3" xfId="27288" xr:uid="{B11229A9-C17D-4C77-88F1-D2FC67FFE07C}"/>
    <cellStyle name="20% - Accent2 5 4" xfId="27289" xr:uid="{6E89C66B-237C-49AB-BE38-AD1B935E3C1F}"/>
    <cellStyle name="20% - Accent2 5 5" xfId="27290" xr:uid="{9C3B4366-D50C-41E4-A123-3A56E9797239}"/>
    <cellStyle name="20% - Accent2 5 6" xfId="27291" xr:uid="{BD75E87A-66D8-4B14-B083-0F71A5B46E8F}"/>
    <cellStyle name="20% - Accent2 5 7" xfId="27292" xr:uid="{42131F8C-B681-4638-B884-8EFCF92E3EFE}"/>
    <cellStyle name="20% - Accent2 5 8" xfId="27293" xr:uid="{2E2D2636-F126-4B00-A311-DA3D8DFD8F9D}"/>
    <cellStyle name="20% - Accent2 5 9" xfId="27294" xr:uid="{70B781A4-7CD9-4599-85FF-9087C884981D}"/>
    <cellStyle name="20% - Accent3" xfId="49" builtinId="38" customBuiltin="1"/>
    <cellStyle name="20% - Accent3 2" xfId="78" xr:uid="{00000000-0005-0000-0000-000009000000}"/>
    <cellStyle name="20% - Accent3 2 10" xfId="27296" xr:uid="{4226453D-3163-4BBE-97BC-D89DB2DF318B}"/>
    <cellStyle name="20% - Accent3 2 11" xfId="27295" xr:uid="{A8FC92BB-C65E-4339-A9B9-1DD8817AF973}"/>
    <cellStyle name="20% - Accent3 2 2" xfId="26209" xr:uid="{F3A9B3EA-BF14-4CC5-9EBF-F6E3A37EF9E4}"/>
    <cellStyle name="20% - Accent3 2 2 2" xfId="27297" xr:uid="{E3BBC9B2-B8AE-4AB2-95EF-21B0A89A57B4}"/>
    <cellStyle name="20% - Accent3 2 3" xfId="26104" xr:uid="{B5EA88E4-CD65-4C4A-B336-F977AFA73BB6}"/>
    <cellStyle name="20% - Accent3 2 3 2" xfId="27298" xr:uid="{3565C70B-59AB-4B98-92DA-3891A7AEE96C}"/>
    <cellStyle name="20% - Accent3 2 4" xfId="27299" xr:uid="{6222024E-55A8-44B8-A444-6E0B0258F0EF}"/>
    <cellStyle name="20% - Accent3 2 5" xfId="27300" xr:uid="{27A4E9C6-D19B-46A6-9786-423D2579FD2C}"/>
    <cellStyle name="20% - Accent3 2 6" xfId="27301" xr:uid="{DF274DE6-0DD9-4894-A20E-C08C646BAF69}"/>
    <cellStyle name="20% - Accent3 2 7" xfId="27302" xr:uid="{76C7F161-BC24-44E0-BF79-282A71A6808C}"/>
    <cellStyle name="20% - Accent3 2 8" xfId="27303" xr:uid="{FDAB6697-7910-4CEB-B777-FBD58EC5FE67}"/>
    <cellStyle name="20% - Accent3 2 9" xfId="27304" xr:uid="{BFF444DD-61FF-40AD-8C17-88435D265F90}"/>
    <cellStyle name="20% - Accent3 2_PO Creation" xfId="27305" xr:uid="{EE81282F-DE42-4415-B992-97316146CE0A}"/>
    <cellStyle name="20% - Accent3 3" xfId="149" xr:uid="{00000000-0005-0000-0000-00000A000000}"/>
    <cellStyle name="20% - Accent3 3 10" xfId="27307" xr:uid="{BC6ADC52-7023-453A-BBDF-CCF8EC4B0213}"/>
    <cellStyle name="20% - Accent3 3 11" xfId="27306" xr:uid="{E6A2DCD6-4C8D-44B5-8CE3-01E21A716DFE}"/>
    <cellStyle name="20% - Accent3 3 2" xfId="27308" xr:uid="{C9F4BC6A-09F7-452F-9433-D057613D1F38}"/>
    <cellStyle name="20% - Accent3 3 3" xfId="27309" xr:uid="{B0E55EF6-FB07-4251-933E-B6D4D2DCE7BD}"/>
    <cellStyle name="20% - Accent3 3 4" xfId="27310" xr:uid="{67C50CC8-4515-4BAE-BEC5-6F02686FF385}"/>
    <cellStyle name="20% - Accent3 3 5" xfId="27311" xr:uid="{95DEF2F3-E5E4-4E3D-881B-8FBF469912D8}"/>
    <cellStyle name="20% - Accent3 3 6" xfId="27312" xr:uid="{5546FDA1-70B6-4F16-8093-DDB436E0586D}"/>
    <cellStyle name="20% - Accent3 3 7" xfId="27313" xr:uid="{DCE9FCB0-75FD-4861-BD2E-EFE68FAF6940}"/>
    <cellStyle name="20% - Accent3 3 8" xfId="27314" xr:uid="{BC4771C4-968F-4997-88E8-7E511EBEC486}"/>
    <cellStyle name="20% - Accent3 3 9" xfId="27315" xr:uid="{24627C90-47AF-4A49-8AC0-0ABE5C99CDBB}"/>
    <cellStyle name="20% - Accent3 4" xfId="27316" xr:uid="{E843CFD8-7EC4-4CB8-99D4-00B262D7E6B6}"/>
    <cellStyle name="20% - Accent3 4 10" xfId="27317" xr:uid="{EB1CB64E-C207-4116-BDA1-C10256309B2E}"/>
    <cellStyle name="20% - Accent3 4 2" xfId="27318" xr:uid="{81D92F53-448D-42FB-8B38-684AE5739701}"/>
    <cellStyle name="20% - Accent3 4 3" xfId="27319" xr:uid="{1EC6AC4F-78E1-4159-A96A-BC8D2D1571F7}"/>
    <cellStyle name="20% - Accent3 4 4" xfId="27320" xr:uid="{448942A2-8633-4955-A185-0093FCA65482}"/>
    <cellStyle name="20% - Accent3 4 5" xfId="27321" xr:uid="{E43CC1FA-F293-4987-8910-5C9EE81E1C7E}"/>
    <cellStyle name="20% - Accent3 4 6" xfId="27322" xr:uid="{F1961A22-CA4A-4637-8C7E-1481E7EAE402}"/>
    <cellStyle name="20% - Accent3 4 7" xfId="27323" xr:uid="{03F85D80-8A98-4D1F-BAEA-F61CB70569B0}"/>
    <cellStyle name="20% - Accent3 4 8" xfId="27324" xr:uid="{50191906-6AB1-422C-BBA8-2AE3DA1AD028}"/>
    <cellStyle name="20% - Accent3 4 9" xfId="27325" xr:uid="{686B1247-C42D-4ACE-8794-92B789FAB142}"/>
    <cellStyle name="20% - Accent3 5" xfId="27326" xr:uid="{366ADB79-BCC9-41DA-BEBF-7557645CB844}"/>
    <cellStyle name="20% - Accent3 5 10" xfId="27327" xr:uid="{39AF01BC-4BB5-40C4-83D5-49CE6E41C56F}"/>
    <cellStyle name="20% - Accent3 5 2" xfId="27328" xr:uid="{8E6084CE-BE37-4FB4-81F3-B06FF616CF95}"/>
    <cellStyle name="20% - Accent3 5 3" xfId="27329" xr:uid="{2D345C13-837C-4305-B142-B736E9E036EA}"/>
    <cellStyle name="20% - Accent3 5 4" xfId="27330" xr:uid="{6C2081E9-9AD5-4BF6-9690-5C5011A41214}"/>
    <cellStyle name="20% - Accent3 5 5" xfId="27331" xr:uid="{B1E68DF0-8818-462B-A8DD-D7C8DE57505C}"/>
    <cellStyle name="20% - Accent3 5 6" xfId="27332" xr:uid="{755A3398-A914-4335-BCB4-DDC54E1B44D3}"/>
    <cellStyle name="20% - Accent3 5 7" xfId="27333" xr:uid="{93D613C6-198F-470B-ABA6-FB929EC66A2E}"/>
    <cellStyle name="20% - Accent3 5 8" xfId="27334" xr:uid="{CED34080-E7C7-4545-B0B9-9BACC32D1DD5}"/>
    <cellStyle name="20% - Accent3 5 9" xfId="27335" xr:uid="{EEBAEBD4-80E7-434E-A2AA-19A94755081E}"/>
    <cellStyle name="20% - Accent4" xfId="53" builtinId="42" customBuiltin="1"/>
    <cellStyle name="20% - Accent4 2" xfId="79" xr:uid="{00000000-0005-0000-0000-00000C000000}"/>
    <cellStyle name="20% - Accent4 2 10" xfId="27337" xr:uid="{8810C8F6-7EB5-4FF3-89BE-276C7D66FA7A}"/>
    <cellStyle name="20% - Accent4 2 11" xfId="27336" xr:uid="{3EF0BD72-3AB3-4C28-B097-B8F234B6B8E2}"/>
    <cellStyle name="20% - Accent4 2 2" xfId="26203" xr:uid="{2ABDCD5F-88C9-4D0D-9E1A-0C8C5C14A2FD}"/>
    <cellStyle name="20% - Accent4 2 2 2" xfId="27338" xr:uid="{B4E8FAA5-0643-44DC-A401-B50C6AE2E700}"/>
    <cellStyle name="20% - Accent4 2 3" xfId="26097" xr:uid="{EF643485-9F96-451F-93C4-1E843BA16091}"/>
    <cellStyle name="20% - Accent4 2 3 2" xfId="27339" xr:uid="{68D9ED49-A1CC-4F4B-90F4-9807063080C5}"/>
    <cellStyle name="20% - Accent4 2 4" xfId="27340" xr:uid="{0272C7C9-BD45-4397-9C8C-6766929F94CB}"/>
    <cellStyle name="20% - Accent4 2 5" xfId="27341" xr:uid="{FD2E1825-6A63-4F68-AED0-E06206C2C6A6}"/>
    <cellStyle name="20% - Accent4 2 6" xfId="27342" xr:uid="{B7AA9295-F51A-49AF-9FC4-03CC86C6263A}"/>
    <cellStyle name="20% - Accent4 2 7" xfId="27343" xr:uid="{AE0258AD-4008-4EC1-A0BD-DA830C3F27BE}"/>
    <cellStyle name="20% - Accent4 2 8" xfId="27344" xr:uid="{77D66989-02D7-4B41-958F-F1E14FC3BC8E}"/>
    <cellStyle name="20% - Accent4 2 9" xfId="27345" xr:uid="{5D45909E-FB01-4EB4-9CDC-7972AC8FC844}"/>
    <cellStyle name="20% - Accent4 2_PO Creation" xfId="27346" xr:uid="{9BD7DAF6-47E1-482F-B5F8-3E7EC7E7E4C3}"/>
    <cellStyle name="20% - Accent4 3" xfId="150" xr:uid="{00000000-0005-0000-0000-00000D000000}"/>
    <cellStyle name="20% - Accent4 3 10" xfId="27348" xr:uid="{D24EA7E8-9320-43F2-AB26-B47BAE64B586}"/>
    <cellStyle name="20% - Accent4 3 11" xfId="27347" xr:uid="{EE93CCAA-E1CD-4D39-AB19-BF1649551474}"/>
    <cellStyle name="20% - Accent4 3 2" xfId="27349" xr:uid="{286EBED6-C540-41CC-8BB7-752A64DA8E61}"/>
    <cellStyle name="20% - Accent4 3 3" xfId="27350" xr:uid="{65B520C3-ECBC-4DD8-823D-4B2887AA2417}"/>
    <cellStyle name="20% - Accent4 3 4" xfId="27351" xr:uid="{6BF3E096-ECD6-4C35-BE6E-C54170B0FFDF}"/>
    <cellStyle name="20% - Accent4 3 5" xfId="27352" xr:uid="{FB6AFEE6-96A0-4676-80F7-65B294B4DFBA}"/>
    <cellStyle name="20% - Accent4 3 6" xfId="27353" xr:uid="{0AD436A8-6B3D-4483-AFA8-43BB2F1EF8D3}"/>
    <cellStyle name="20% - Accent4 3 7" xfId="27354" xr:uid="{1DE659DB-E60F-4D7C-ACAC-5846922DEC4C}"/>
    <cellStyle name="20% - Accent4 3 8" xfId="27355" xr:uid="{E1F8F91E-B1E0-47D8-A847-29724752377A}"/>
    <cellStyle name="20% - Accent4 3 9" xfId="27356" xr:uid="{7FC46908-4C08-4294-972E-E21E148E2756}"/>
    <cellStyle name="20% - Accent4 4" xfId="27357" xr:uid="{1F397952-5164-4913-BEBF-AEAB6C48A128}"/>
    <cellStyle name="20% - Accent4 4 10" xfId="27358" xr:uid="{C5DA4D52-4297-4085-AAF2-322DBE049841}"/>
    <cellStyle name="20% - Accent4 4 2" xfId="27359" xr:uid="{9F717879-8178-43D2-8B09-3D6B641B1628}"/>
    <cellStyle name="20% - Accent4 4 3" xfId="27360" xr:uid="{CBC5F106-5810-4041-B842-60C29F7396DE}"/>
    <cellStyle name="20% - Accent4 4 4" xfId="27361" xr:uid="{1E59784B-BD7F-44B9-B0AC-7FA340E6A0B0}"/>
    <cellStyle name="20% - Accent4 4 5" xfId="27362" xr:uid="{65CAC0A4-F8D1-43B6-A695-CDAF8446FD44}"/>
    <cellStyle name="20% - Accent4 4 6" xfId="27363" xr:uid="{2756AF4F-939D-42CE-9E32-E899B117C4A9}"/>
    <cellStyle name="20% - Accent4 4 7" xfId="27364" xr:uid="{3807CB06-B283-4877-95BD-35DCF032ABF7}"/>
    <cellStyle name="20% - Accent4 4 8" xfId="27365" xr:uid="{3A1E4D09-202B-490E-AF5F-F19EB659033C}"/>
    <cellStyle name="20% - Accent4 4 9" xfId="27366" xr:uid="{90FE7411-285E-4728-9F13-6582485F59BD}"/>
    <cellStyle name="20% - Accent4 5" xfId="27367" xr:uid="{016F914E-56F9-4032-B353-B3484F567CB6}"/>
    <cellStyle name="20% - Accent4 5 10" xfId="27368" xr:uid="{F16F7F7C-C591-433E-AF69-C459C9DC9F9B}"/>
    <cellStyle name="20% - Accent4 5 2" xfId="27369" xr:uid="{6D696F03-E04F-4207-96CE-BE668B833A50}"/>
    <cellStyle name="20% - Accent4 5 3" xfId="27370" xr:uid="{B72B6C08-CB93-49A3-8F42-D3ADB0386071}"/>
    <cellStyle name="20% - Accent4 5 4" xfId="27371" xr:uid="{89626D71-BEEB-4714-AEBB-5CE404A374DC}"/>
    <cellStyle name="20% - Accent4 5 5" xfId="27372" xr:uid="{77D66146-69C4-4A72-BFF0-9ECBD79CE762}"/>
    <cellStyle name="20% - Accent4 5 6" xfId="27373" xr:uid="{FA0C8E94-528E-4768-829B-48F96E459A58}"/>
    <cellStyle name="20% - Accent4 5 7" xfId="27374" xr:uid="{40612457-7ACC-4B73-A810-080B79D78675}"/>
    <cellStyle name="20% - Accent4 5 8" xfId="27375" xr:uid="{61FEBCA7-7932-48A8-9CF5-3BE88132C1CB}"/>
    <cellStyle name="20% - Accent4 5 9" xfId="27376" xr:uid="{B6DBAB84-44FB-4712-AE08-CF1E77B22675}"/>
    <cellStyle name="20% - Accent5" xfId="57" builtinId="46" customBuiltin="1"/>
    <cellStyle name="20% - Accent5 2" xfId="80" xr:uid="{00000000-0005-0000-0000-00000F000000}"/>
    <cellStyle name="20% - Accent5 2 10" xfId="27378" xr:uid="{0947018F-7337-44EE-A2CF-BBF8B195895D}"/>
    <cellStyle name="20% - Accent5 2 11" xfId="27377" xr:uid="{34AA6F05-F574-4DED-8217-593CE6DFC60D}"/>
    <cellStyle name="20% - Accent5 2 2" xfId="26237" xr:uid="{69E827FE-85CD-408B-8FDF-771E6C43FEC3}"/>
    <cellStyle name="20% - Accent5 2 2 2" xfId="27379" xr:uid="{CDFC7F02-46D7-4E36-BD16-F0E22F10492E}"/>
    <cellStyle name="20% - Accent5 2 3" xfId="27380" xr:uid="{2FD1117E-68DF-4307-9C1B-92F5C9A92B93}"/>
    <cellStyle name="20% - Accent5 2 4" xfId="27381" xr:uid="{83BC1A2C-A6E8-4E46-8615-BCB6CBAE2721}"/>
    <cellStyle name="20% - Accent5 2 5" xfId="27382" xr:uid="{C8ED20EC-C708-4F88-BFE1-74FB96A66B17}"/>
    <cellStyle name="20% - Accent5 2 6" xfId="27383" xr:uid="{5A6BF5D2-6E24-4791-A98E-88D22CBFE4F4}"/>
    <cellStyle name="20% - Accent5 2 7" xfId="27384" xr:uid="{BB4A5B39-543D-49DD-B915-6E05203F10DB}"/>
    <cellStyle name="20% - Accent5 2 8" xfId="27385" xr:uid="{2062507D-BC38-43AE-BA46-A5EA4685ABB9}"/>
    <cellStyle name="20% - Accent5 2 9" xfId="27386" xr:uid="{7F10362E-F84B-40F7-BA0F-7DCAF159E9DE}"/>
    <cellStyle name="20% - Accent5 2_PO Creation" xfId="27387" xr:uid="{A1951066-FE80-46F0-88B7-7DEF074512F6}"/>
    <cellStyle name="20% - Accent5 3" xfId="151" xr:uid="{00000000-0005-0000-0000-000010000000}"/>
    <cellStyle name="20% - Accent5 3 10" xfId="27389" xr:uid="{1BA3F9F0-C26F-46F8-A0D5-DF674C371B1B}"/>
    <cellStyle name="20% - Accent5 3 11" xfId="27388" xr:uid="{9EAAF707-9DFA-4F30-8C59-6E33C29B3639}"/>
    <cellStyle name="20% - Accent5 3 2" xfId="27390" xr:uid="{0DD8E1EA-68BA-499E-A576-0D9F52A6B093}"/>
    <cellStyle name="20% - Accent5 3 3" xfId="27391" xr:uid="{2CEA8885-307F-4C83-A472-AD1CF5EEB03A}"/>
    <cellStyle name="20% - Accent5 3 4" xfId="27392" xr:uid="{FCA99017-E230-4606-AF12-E53182529A62}"/>
    <cellStyle name="20% - Accent5 3 5" xfId="27393" xr:uid="{0B3577C4-2EAD-4743-8EB0-94913B2DAF5B}"/>
    <cellStyle name="20% - Accent5 3 6" xfId="27394" xr:uid="{D169B479-B0D8-4A67-A981-B862AA7DB4B0}"/>
    <cellStyle name="20% - Accent5 3 7" xfId="27395" xr:uid="{264CCFF5-DBDD-4320-9376-7D279DB8A02C}"/>
    <cellStyle name="20% - Accent5 3 8" xfId="27396" xr:uid="{7A43D05F-0F4C-46F7-9507-30E56DA7B173}"/>
    <cellStyle name="20% - Accent5 3 9" xfId="27397" xr:uid="{E8C5335F-6A2F-49DB-9931-23DE71EA5186}"/>
    <cellStyle name="20% - Accent5 4" xfId="27398" xr:uid="{1C5C8DD4-B907-41EF-B13E-B1AB951A579D}"/>
    <cellStyle name="20% - Accent5 4 10" xfId="27399" xr:uid="{7DC85320-7808-4D36-8B79-956F66813C9F}"/>
    <cellStyle name="20% - Accent5 4 2" xfId="27400" xr:uid="{427751C7-DDBD-46FC-97E1-4A0A699FF7CF}"/>
    <cellStyle name="20% - Accent5 4 3" xfId="27401" xr:uid="{8A3A12F1-6068-45EA-A6DE-71D909BB3444}"/>
    <cellStyle name="20% - Accent5 4 4" xfId="27402" xr:uid="{FB579944-99DA-40D0-B319-A2EE6F8FC8FE}"/>
    <cellStyle name="20% - Accent5 4 5" xfId="27403" xr:uid="{2E534E84-43FA-44E5-B8B2-0F40B4EA9B17}"/>
    <cellStyle name="20% - Accent5 4 6" xfId="27404" xr:uid="{3669F29F-69A0-4A7F-ADC6-85D1CE667F75}"/>
    <cellStyle name="20% - Accent5 4 7" xfId="27405" xr:uid="{4DE19B9E-B995-4B3E-9AAC-C5C8883096F5}"/>
    <cellStyle name="20% - Accent5 4 8" xfId="27406" xr:uid="{C263FEE2-CA0F-48E8-BC72-8E051EE4B4D0}"/>
    <cellStyle name="20% - Accent5 4 9" xfId="27407" xr:uid="{81FAE88A-B8C2-4504-9850-C10D9031EF45}"/>
    <cellStyle name="20% - Accent5 5" xfId="27408" xr:uid="{412A181A-19A6-46A8-BD3B-3C90F1493E03}"/>
    <cellStyle name="20% - Accent5 5 10" xfId="27409" xr:uid="{68FBFF30-F5B6-4805-8279-1A037057F896}"/>
    <cellStyle name="20% - Accent5 5 2" xfId="27410" xr:uid="{F1034987-2414-49BB-986A-E21E6CFA0CE7}"/>
    <cellStyle name="20% - Accent5 5 3" xfId="27411" xr:uid="{AEFB4EF8-C51C-4A3C-BAD2-22EE6EC1EE0F}"/>
    <cellStyle name="20% - Accent5 5 4" xfId="27412" xr:uid="{0AC573AD-7414-481A-89B5-D398368E56D6}"/>
    <cellStyle name="20% - Accent5 5 5" xfId="27413" xr:uid="{C4CAEAEF-3C70-462C-8D08-2D7A259E679A}"/>
    <cellStyle name="20% - Accent5 5 6" xfId="27414" xr:uid="{370F0EB7-646A-4162-82A6-47753993B377}"/>
    <cellStyle name="20% - Accent5 5 7" xfId="27415" xr:uid="{DFF5A00D-7E1C-4BE1-9F06-0D68E0B962BC}"/>
    <cellStyle name="20% - Accent5 5 8" xfId="27416" xr:uid="{285B4B73-9DC1-4715-8AF7-B885CBC02BA2}"/>
    <cellStyle name="20% - Accent5 5 9" xfId="27417" xr:uid="{47D7F814-8B69-4118-A93F-8A8B3266776A}"/>
    <cellStyle name="20% - Accent6" xfId="61" builtinId="50" customBuiltin="1"/>
    <cellStyle name="20% - Accent6 2" xfId="81" xr:uid="{00000000-0005-0000-0000-000012000000}"/>
    <cellStyle name="20% - Accent6 2 10" xfId="27419" xr:uid="{BF1FF2BE-FD7E-4E15-B48B-39632766A18B}"/>
    <cellStyle name="20% - Accent6 2 11" xfId="27418" xr:uid="{E93545E0-8690-4B77-8CC2-63AD793E3FB2}"/>
    <cellStyle name="20% - Accent6 2 2" xfId="26232" xr:uid="{C2D9C212-D01D-4DFB-9D05-0B21470AA2D4}"/>
    <cellStyle name="20% - Accent6 2 2 2" xfId="27420" xr:uid="{89AF9345-646B-4254-814B-A703D92F3ADC}"/>
    <cellStyle name="20% - Accent6 2 3" xfId="26117" xr:uid="{23B27E58-21D3-4BF9-A341-307D59D2C0E0}"/>
    <cellStyle name="20% - Accent6 2 3 2" xfId="27421" xr:uid="{E62C6CB3-E907-4E23-B5F6-6B5A9343B39D}"/>
    <cellStyle name="20% - Accent6 2 4" xfId="27422" xr:uid="{3E21A9D2-10A8-4038-8DC4-F2D16AE592B0}"/>
    <cellStyle name="20% - Accent6 2 5" xfId="27423" xr:uid="{D7E91FC3-35D5-4FC2-B2B1-76037A80B0F4}"/>
    <cellStyle name="20% - Accent6 2 6" xfId="27424" xr:uid="{02C42E96-D10F-41FB-827D-1C9A0CF85CD7}"/>
    <cellStyle name="20% - Accent6 2 7" xfId="27425" xr:uid="{C03252DB-9E7B-49CD-8572-A6FAB9117CE7}"/>
    <cellStyle name="20% - Accent6 2 8" xfId="27426" xr:uid="{A0A6F815-9638-477F-956B-9AEC1B3D84EF}"/>
    <cellStyle name="20% - Accent6 2 9" xfId="27427" xr:uid="{8D41EA75-5D7D-48A5-AC8B-38FDCF72BA82}"/>
    <cellStyle name="20% - Accent6 2_PO Creation" xfId="27428" xr:uid="{37ED8FD7-CDF7-4266-B1A0-BC4B0BB758EE}"/>
    <cellStyle name="20% - Accent6 3" xfId="153" xr:uid="{00000000-0005-0000-0000-000013000000}"/>
    <cellStyle name="20% - Accent6 3 10" xfId="27430" xr:uid="{E282AD9E-5EEB-4732-86D6-955AB0B5B634}"/>
    <cellStyle name="20% - Accent6 3 11" xfId="27429" xr:uid="{9075EA6C-12BD-4A36-B8EB-48090B879120}"/>
    <cellStyle name="20% - Accent6 3 2" xfId="27431" xr:uid="{7AC2CFB0-B8ED-4131-A71C-94344C71975D}"/>
    <cellStyle name="20% - Accent6 3 3" xfId="27432" xr:uid="{70E3938C-4D7D-45B4-BE66-EA75B8009CC8}"/>
    <cellStyle name="20% - Accent6 3 4" xfId="27433" xr:uid="{BA1F36C4-4285-4073-93F2-D2D309C0702E}"/>
    <cellStyle name="20% - Accent6 3 5" xfId="27434" xr:uid="{CABED78F-F76B-4A0B-B2C9-7D3ACAE350B6}"/>
    <cellStyle name="20% - Accent6 3 6" xfId="27435" xr:uid="{45809643-555A-4D08-9178-961A75387C49}"/>
    <cellStyle name="20% - Accent6 3 7" xfId="27436" xr:uid="{8BA33476-FEB8-4CDE-AACC-059BCA4D66F6}"/>
    <cellStyle name="20% - Accent6 3 8" xfId="27437" xr:uid="{546A1EA0-3290-4AF0-A03D-687078B24ADA}"/>
    <cellStyle name="20% - Accent6 3 9" xfId="27438" xr:uid="{BC4D2FD8-FCB0-404C-BA8E-9EE769CBB70C}"/>
    <cellStyle name="20% - Accent6 4" xfId="27439" xr:uid="{BB8CBCAE-7104-4C3E-BA55-9FDAD18C7797}"/>
    <cellStyle name="20% - Accent6 4 10" xfId="27440" xr:uid="{AEA20B3A-C037-40BA-A542-80530FB29C4E}"/>
    <cellStyle name="20% - Accent6 4 2" xfId="27441" xr:uid="{622CE5D6-98FF-4C50-BE8B-886F89AFE397}"/>
    <cellStyle name="20% - Accent6 4 3" xfId="27442" xr:uid="{BDF568F7-3B3E-4750-A39A-06A0324C175E}"/>
    <cellStyle name="20% - Accent6 4 4" xfId="27443" xr:uid="{7E01408C-1810-47E6-B65D-05AA6C828500}"/>
    <cellStyle name="20% - Accent6 4 5" xfId="27444" xr:uid="{477B6F1E-2405-4757-B7F1-C7D56501048F}"/>
    <cellStyle name="20% - Accent6 4 6" xfId="27445" xr:uid="{8AD76FD3-0780-4F69-9B0F-518821B39F21}"/>
    <cellStyle name="20% - Accent6 4 7" xfId="27446" xr:uid="{9116BDED-23B0-4B54-A272-7CBB3F24D599}"/>
    <cellStyle name="20% - Accent6 4 8" xfId="27447" xr:uid="{BAE0317C-ECFA-4FB9-B2FD-5CADF7DE6AEC}"/>
    <cellStyle name="20% - Accent6 4 9" xfId="27448" xr:uid="{137C7B7D-5E0A-4A6F-9CC4-A1CD3ABF9A19}"/>
    <cellStyle name="20% - Accent6 5" xfId="27449" xr:uid="{57EED70C-DBD0-405F-B877-50F81FCCCD28}"/>
    <cellStyle name="20% - Accent6 5 10" xfId="27450" xr:uid="{460B4A98-8AEF-4EF6-B9ED-A95092FC43EB}"/>
    <cellStyle name="20% - Accent6 5 2" xfId="27451" xr:uid="{53A56AD0-664E-45EE-9C44-BEA8CA4DFE7D}"/>
    <cellStyle name="20% - Accent6 5 3" xfId="27452" xr:uid="{35B2BA8A-0691-403B-B37C-235118348CB5}"/>
    <cellStyle name="20% - Accent6 5 4" xfId="27453" xr:uid="{1D39F43F-2D9E-455A-97E7-D6E0EF0C175C}"/>
    <cellStyle name="20% - Accent6 5 5" xfId="27454" xr:uid="{7F2C2A49-5CB4-427D-977E-032C3E088B40}"/>
    <cellStyle name="20% - Accent6 5 6" xfId="27455" xr:uid="{D4F028CF-0409-4AF2-852E-97B7F1ACCBA8}"/>
    <cellStyle name="20% - Accent6 5 7" xfId="27456" xr:uid="{4BDC7730-E56A-4014-841A-3891A0439518}"/>
    <cellStyle name="20% - Accent6 5 8" xfId="27457" xr:uid="{F5AE1816-1B88-400D-9D6F-75F4A521D2D5}"/>
    <cellStyle name="20% - Accent6 5 9" xfId="27458" xr:uid="{7F31C184-5D0D-402C-A5EC-07EA97072345}"/>
    <cellStyle name="20% - 强调文字颜色 1 2" xfId="25919" xr:uid="{4C46E937-D3F3-4158-AC5D-60BAD54E6A81}"/>
    <cellStyle name="20% - 强调文字颜色 2 2" xfId="25902" xr:uid="{1036DA0D-3E30-413C-BD8E-E841413F284B}"/>
    <cellStyle name="20% - 强调文字颜色 3 2" xfId="25925" xr:uid="{CE17E0CC-EAC0-4A16-ABD4-CC73F95A9633}"/>
    <cellStyle name="20% - 强调文字颜色 4 2" xfId="25926" xr:uid="{8B0F54C5-700F-4C16-BBD6-D359A42A3781}"/>
    <cellStyle name="20% - 强调文字颜色 5 2" xfId="25927" xr:uid="{2674D4D2-A250-40C4-AE7F-B92F963118E8}"/>
    <cellStyle name="20% - 强调文字颜色 6 2" xfId="25928" xr:uid="{970C7FDC-D02A-476B-B92D-9BC72C188AFC}"/>
    <cellStyle name="40% - Accent1" xfId="42" builtinId="31" customBuiltin="1"/>
    <cellStyle name="40% - Accent1 2" xfId="82" xr:uid="{00000000-0005-0000-0000-000015000000}"/>
    <cellStyle name="40% - Accent1 2 10" xfId="27460" xr:uid="{59D36416-7369-4A83-83CC-5B432F1B5E7B}"/>
    <cellStyle name="40% - Accent1 2 11" xfId="27459" xr:uid="{0898893B-8A29-4E01-8366-02C6AD9E42B4}"/>
    <cellStyle name="40% - Accent1 2 2" xfId="26229" xr:uid="{4E4C8DFC-0EFE-4DA4-B1AF-A8103FFA5234}"/>
    <cellStyle name="40% - Accent1 2 2 2" xfId="27461" xr:uid="{DAF0DDF3-9319-4874-A6F8-8D7197305D84}"/>
    <cellStyle name="40% - Accent1 2 3" xfId="26112" xr:uid="{1D1A56BA-5D0D-4584-9ECA-E08F5623F1CF}"/>
    <cellStyle name="40% - Accent1 2 3 2" xfId="27462" xr:uid="{6B5F466D-A88F-4666-A2AE-F5919E7576C8}"/>
    <cellStyle name="40% - Accent1 2 4" xfId="27091" xr:uid="{92ED3B42-B6B6-48F0-AF50-F64AB0AD2A2B}"/>
    <cellStyle name="40% - Accent1 2 4 2" xfId="27463" xr:uid="{DF8C50AB-A118-4642-99E6-B1A86163194D}"/>
    <cellStyle name="40% - Accent1 2 5" xfId="27464" xr:uid="{B2CE9C00-D475-4177-A1E0-718B8791CA3B}"/>
    <cellStyle name="40% - Accent1 2 6" xfId="27465" xr:uid="{9FF66B52-DB84-43F4-A3C2-3263BCC2487E}"/>
    <cellStyle name="40% - Accent1 2 7" xfId="27466" xr:uid="{64FEE91D-0D81-4116-9F57-A62405BE7436}"/>
    <cellStyle name="40% - Accent1 2 8" xfId="27467" xr:uid="{FB48ED23-3C24-4BBF-BC8B-3CCAED696B12}"/>
    <cellStyle name="40% - Accent1 2 9" xfId="27468" xr:uid="{3B96B26F-3E2D-4207-8DCA-5843FE25F7E3}"/>
    <cellStyle name="40% - Accent1 2_PO Creation" xfId="27469" xr:uid="{577CA171-BC78-48B3-8465-050591B18CD5}"/>
    <cellStyle name="40% - Accent1 3" xfId="154" xr:uid="{00000000-0005-0000-0000-000016000000}"/>
    <cellStyle name="40% - Accent1 3 10" xfId="27471" xr:uid="{64195BA4-DA4A-49FE-9414-FB3A7F2F54F7}"/>
    <cellStyle name="40% - Accent1 3 11" xfId="27470" xr:uid="{0D704173-FBB0-455C-B074-322F1A8EBCE4}"/>
    <cellStyle name="40% - Accent1 3 2" xfId="27092" xr:uid="{745D2976-7DD8-47AC-B20E-B7062FF67139}"/>
    <cellStyle name="40% - Accent1 3 2 2" xfId="27472" xr:uid="{7CC32116-CC61-4412-9500-6C412BC8A849}"/>
    <cellStyle name="40% - Accent1 3 3" xfId="27473" xr:uid="{2C2E6B58-8166-45E6-AE75-31DE683DEC35}"/>
    <cellStyle name="40% - Accent1 3 4" xfId="27474" xr:uid="{8703336E-573D-434A-9DB5-405F18D8DB7F}"/>
    <cellStyle name="40% - Accent1 3 5" xfId="27475" xr:uid="{31657F93-0C18-4375-BF44-6A1DC955988B}"/>
    <cellStyle name="40% - Accent1 3 6" xfId="27476" xr:uid="{A73F5C63-FFBA-4C3E-9E46-0EBB81DD71E4}"/>
    <cellStyle name="40% - Accent1 3 7" xfId="27477" xr:uid="{22B83D8F-B9CA-4043-9AAA-3FEFD7C28ADE}"/>
    <cellStyle name="40% - Accent1 3 8" xfId="27478" xr:uid="{192C4222-CA6D-4B7D-BA7C-D89778CF9733}"/>
    <cellStyle name="40% - Accent1 3 9" xfId="27479" xr:uid="{C78CC370-E622-4B84-87C5-0C6163CBD3F4}"/>
    <cellStyle name="40% - Accent1 4" xfId="27480" xr:uid="{20DC710E-CED2-4A6B-8898-F4842DE68A5A}"/>
    <cellStyle name="40% - Accent1 4 10" xfId="27481" xr:uid="{1E583CFE-F95A-4789-A692-1CFECB9B4D2F}"/>
    <cellStyle name="40% - Accent1 4 2" xfId="27482" xr:uid="{CF3B2DFA-1CD0-4D6D-9A39-5306BCB6B3B2}"/>
    <cellStyle name="40% - Accent1 4 3" xfId="27483" xr:uid="{C895DA76-1D62-464C-85FD-90734E700114}"/>
    <cellStyle name="40% - Accent1 4 4" xfId="27484" xr:uid="{BF8C9782-F29C-4715-9764-2C68B6ADE583}"/>
    <cellStyle name="40% - Accent1 4 5" xfId="27485" xr:uid="{BEA2AA22-0285-4A32-AAE3-C8034331C0C8}"/>
    <cellStyle name="40% - Accent1 4 6" xfId="27486" xr:uid="{004A2017-3B21-4141-A110-50DB202BC652}"/>
    <cellStyle name="40% - Accent1 4 7" xfId="27487" xr:uid="{3F377A7C-6B39-4C8E-8320-A69C0F4BF170}"/>
    <cellStyle name="40% - Accent1 4 8" xfId="27488" xr:uid="{6E5485D1-3AF6-42BD-945A-6DDE7757E42B}"/>
    <cellStyle name="40% - Accent1 4 9" xfId="27489" xr:uid="{257F6310-5FBE-437B-8C3C-4050C87192D7}"/>
    <cellStyle name="40% - Accent1 5" xfId="27490" xr:uid="{CDD093B5-DF97-4942-BCE6-012F6143B1B3}"/>
    <cellStyle name="40% - Accent1 5 10" xfId="27491" xr:uid="{9404C2AE-9A14-4454-8A63-12652F06E779}"/>
    <cellStyle name="40% - Accent1 5 2" xfId="27492" xr:uid="{FD254D57-6DEF-4428-8230-84DC24135F0A}"/>
    <cellStyle name="40% - Accent1 5 3" xfId="27493" xr:uid="{2D546D53-3C88-4FFA-B0D8-6B2A0A66C8B1}"/>
    <cellStyle name="40% - Accent1 5 4" xfId="27494" xr:uid="{69E011B8-0EFE-42B9-8CF0-ED85AF0A234C}"/>
    <cellStyle name="40% - Accent1 5 5" xfId="27495" xr:uid="{2E920F8B-1EF9-4E76-860B-EA28AE03EF03}"/>
    <cellStyle name="40% - Accent1 5 6" xfId="27496" xr:uid="{F44C226F-7608-4492-94A4-5DB07124CE76}"/>
    <cellStyle name="40% - Accent1 5 7" xfId="27497" xr:uid="{36A6E63A-8189-4A0D-B5C6-072201F831D2}"/>
    <cellStyle name="40% - Accent1 5 8" xfId="27498" xr:uid="{1BBA2C43-3931-498D-8419-A43C0BDDC405}"/>
    <cellStyle name="40% - Accent1 5 9" xfId="27499" xr:uid="{44B9DA47-F112-4415-9113-5AE71DB692A8}"/>
    <cellStyle name="40% - Accent2" xfId="46" builtinId="35" customBuiltin="1"/>
    <cellStyle name="40% - Accent2 2" xfId="83" xr:uid="{00000000-0005-0000-0000-000018000000}"/>
    <cellStyle name="40% - Accent2 2 10" xfId="27501" xr:uid="{B61D7B07-9F50-4F78-8B03-99D684EB3249}"/>
    <cellStyle name="40% - Accent2 2 11" xfId="27500" xr:uid="{D5776FE5-31D2-4F3E-8CDD-BB8648464044}"/>
    <cellStyle name="40% - Accent2 2 2" xfId="26221" xr:uid="{F6400321-7BDD-4895-AAF5-AC7C439A1B6D}"/>
    <cellStyle name="40% - Accent2 2 2 2" xfId="27502" xr:uid="{F024C3A5-DF63-4558-A08E-C89D6A9306AF}"/>
    <cellStyle name="40% - Accent2 2 3" xfId="27503" xr:uid="{4370449E-80CF-459F-B3FE-93C59D29FB3E}"/>
    <cellStyle name="40% - Accent2 2 4" xfId="27504" xr:uid="{D16D3ED1-84CE-43F9-BF2A-A6FFFC755043}"/>
    <cellStyle name="40% - Accent2 2 5" xfId="27505" xr:uid="{021167FD-3967-4C35-8A96-2C7DC111BA36}"/>
    <cellStyle name="40% - Accent2 2 6" xfId="27506" xr:uid="{18F0B4FF-A145-4290-BDC4-58552C3B0970}"/>
    <cellStyle name="40% - Accent2 2 7" xfId="27507" xr:uid="{3B4B25E4-6186-4A1C-B225-B06A8B82DB85}"/>
    <cellStyle name="40% - Accent2 2 8" xfId="27508" xr:uid="{C6B8B1FF-FDB7-4EC2-BC17-94CBD5A0DC32}"/>
    <cellStyle name="40% - Accent2 2 9" xfId="27509" xr:uid="{0C7B4E5B-3303-4EA8-B433-ED78BD6DD3E0}"/>
    <cellStyle name="40% - Accent2 2_PO Creation" xfId="27510" xr:uid="{75480FEB-49FF-482E-B942-77AB47DEDC3C}"/>
    <cellStyle name="40% - Accent2 3" xfId="155" xr:uid="{00000000-0005-0000-0000-000019000000}"/>
    <cellStyle name="40% - Accent2 3 10" xfId="27512" xr:uid="{CA820466-4F8C-4466-9D64-CA2D843914BA}"/>
    <cellStyle name="40% - Accent2 3 11" xfId="27511" xr:uid="{44E48904-5BBA-4DEB-B6D9-131E126D10E8}"/>
    <cellStyle name="40% - Accent2 3 2" xfId="27513" xr:uid="{C8DDC36E-DA7D-465A-AA0C-6AFF1C0178B1}"/>
    <cellStyle name="40% - Accent2 3 3" xfId="27514" xr:uid="{78C3BDA8-2C95-4DF2-A95C-82DE83CEAC2B}"/>
    <cellStyle name="40% - Accent2 3 4" xfId="27515" xr:uid="{A19D0E7F-F625-4F43-A1D1-C08F0059AA31}"/>
    <cellStyle name="40% - Accent2 3 5" xfId="27516" xr:uid="{E6D1CCA5-F385-4C08-89F3-EA3364DD986F}"/>
    <cellStyle name="40% - Accent2 3 6" xfId="27517" xr:uid="{29EECAA9-897F-413B-9983-B52F8ECB1468}"/>
    <cellStyle name="40% - Accent2 3 7" xfId="27518" xr:uid="{11E2D912-8DD1-42A9-ADFA-3B2127549C3D}"/>
    <cellStyle name="40% - Accent2 3 8" xfId="27519" xr:uid="{633B4787-0847-455E-B778-7EBA9EB09964}"/>
    <cellStyle name="40% - Accent2 3 9" xfId="27520" xr:uid="{1430DD5F-F4AC-41D6-BD8F-152841B7A695}"/>
    <cellStyle name="40% - Accent2 4" xfId="27521" xr:uid="{167ACDD9-93E3-4481-84DE-DF836AB8E701}"/>
    <cellStyle name="40% - Accent2 4 10" xfId="27522" xr:uid="{C7B62342-F433-48B9-B3A9-2C423899E102}"/>
    <cellStyle name="40% - Accent2 4 2" xfId="27523" xr:uid="{B05A17C1-A2C1-4ECE-8BA4-6A13F9C06E4B}"/>
    <cellStyle name="40% - Accent2 4 3" xfId="27524" xr:uid="{FAB32A30-EA6C-483E-B322-E110A1B312FD}"/>
    <cellStyle name="40% - Accent2 4 4" xfId="27525" xr:uid="{548DA25E-2C81-4750-9ED4-865F92A4BA45}"/>
    <cellStyle name="40% - Accent2 4 5" xfId="27526" xr:uid="{414B0886-03AD-41C8-A0A5-A9A29EB4DB3B}"/>
    <cellStyle name="40% - Accent2 4 6" xfId="27527" xr:uid="{F1615BDF-1DD9-47B2-A433-2BDE4144FD09}"/>
    <cellStyle name="40% - Accent2 4 7" xfId="27528" xr:uid="{FF87084A-3C57-4F86-B6EB-EC3069F30FE5}"/>
    <cellStyle name="40% - Accent2 4 8" xfId="27529" xr:uid="{CABADF2A-AD65-467C-B442-6BFC51B972B2}"/>
    <cellStyle name="40% - Accent2 4 9" xfId="27530" xr:uid="{175CD015-4126-4462-A2CD-F93F85E6C1E7}"/>
    <cellStyle name="40% - Accent2 5" xfId="27531" xr:uid="{85A73852-097C-44FB-81AD-CD2B84C3ACB4}"/>
    <cellStyle name="40% - Accent2 5 10" xfId="27532" xr:uid="{CC74D48A-417B-44F2-889D-17432429613D}"/>
    <cellStyle name="40% - Accent2 5 2" xfId="27533" xr:uid="{A851AB4F-EFB9-494B-9D77-F4023B701BEB}"/>
    <cellStyle name="40% - Accent2 5 3" xfId="27534" xr:uid="{527DAC35-61A9-4D5E-B90F-DB0E8DDFCD44}"/>
    <cellStyle name="40% - Accent2 5 4" xfId="27535" xr:uid="{3AD874B4-D3CC-4AF5-8B4D-66FD8E98BD31}"/>
    <cellStyle name="40% - Accent2 5 5" xfId="27536" xr:uid="{145A77E0-D07C-45B3-B73E-4C3A23D5D26A}"/>
    <cellStyle name="40% - Accent2 5 6" xfId="27537" xr:uid="{FEC02871-7F6B-4E39-B914-3D575E285983}"/>
    <cellStyle name="40% - Accent2 5 7" xfId="27538" xr:uid="{85206E6E-0C6E-461D-8255-1A8760CBF901}"/>
    <cellStyle name="40% - Accent2 5 8" xfId="27539" xr:uid="{6848D048-D3B6-4D88-BBD9-EB807E88F1FE}"/>
    <cellStyle name="40% - Accent2 5 9" xfId="27540" xr:uid="{300EC2A2-37FC-41D2-A166-76F3FEF7371B}"/>
    <cellStyle name="40% - Accent3" xfId="50" builtinId="39" customBuiltin="1"/>
    <cellStyle name="40% - Accent3 2" xfId="84" xr:uid="{00000000-0005-0000-0000-00001B000000}"/>
    <cellStyle name="40% - Accent3 2 10" xfId="27542" xr:uid="{50B50D72-4333-44C1-B7BE-BE2603F38E76}"/>
    <cellStyle name="40% - Accent3 2 11" xfId="27541" xr:uid="{8EA64C66-B2D4-4B97-8D94-85D39A09E94E}"/>
    <cellStyle name="40% - Accent3 2 2" xfId="26225" xr:uid="{23472FBD-9758-4C7C-8BA8-6406D588F76F}"/>
    <cellStyle name="40% - Accent3 2 2 2" xfId="27543" xr:uid="{66088AE3-0647-407A-B81F-26EECFA3AF87}"/>
    <cellStyle name="40% - Accent3 2 3" xfId="26116" xr:uid="{03FB52CB-7D7F-4BA0-A207-75138BBDDC5C}"/>
    <cellStyle name="40% - Accent3 2 3 2" xfId="27544" xr:uid="{7D3B251E-3122-408C-8237-E1F0B2A7D697}"/>
    <cellStyle name="40% - Accent3 2 4" xfId="27545" xr:uid="{91DAAC17-D84A-4FA1-816C-19E96D6C5CA7}"/>
    <cellStyle name="40% - Accent3 2 5" xfId="27546" xr:uid="{07364C56-4864-4A73-9A7D-4F3B99433143}"/>
    <cellStyle name="40% - Accent3 2 6" xfId="27547" xr:uid="{FC844C3D-1004-4330-9D26-773B91F86606}"/>
    <cellStyle name="40% - Accent3 2 7" xfId="27548" xr:uid="{8AEAC01B-13D8-4905-A6A2-CF650198E6E6}"/>
    <cellStyle name="40% - Accent3 2 8" xfId="27549" xr:uid="{F310CD33-1E80-46F6-BDDA-AD963A1B9322}"/>
    <cellStyle name="40% - Accent3 2 9" xfId="27550" xr:uid="{389D1EB6-6289-45D5-AD9E-2ED1F7C624B5}"/>
    <cellStyle name="40% - Accent3 2_PO Creation" xfId="27551" xr:uid="{CD1C8D91-1FEF-40E8-A406-2FA07C46CF45}"/>
    <cellStyle name="40% - Accent3 3" xfId="156" xr:uid="{00000000-0005-0000-0000-00001C000000}"/>
    <cellStyle name="40% - Accent3 3 10" xfId="27553" xr:uid="{23CF1FB6-EFE8-47C2-88CB-CFB1532DF9CD}"/>
    <cellStyle name="40% - Accent3 3 11" xfId="27552" xr:uid="{B9B73574-9428-4BA1-8E51-F4F0A6A2D617}"/>
    <cellStyle name="40% - Accent3 3 2" xfId="27554" xr:uid="{92BA8969-6620-452A-84DE-9FD461DDF8D0}"/>
    <cellStyle name="40% - Accent3 3 3" xfId="27555" xr:uid="{213672E4-AAAC-4339-9D91-ECD5907FF1B7}"/>
    <cellStyle name="40% - Accent3 3 4" xfId="27556" xr:uid="{AF0F13F6-A4A2-406A-A118-77361560EF49}"/>
    <cellStyle name="40% - Accent3 3 5" xfId="27557" xr:uid="{CBFF62DF-282E-4717-BF8F-098F5545EC70}"/>
    <cellStyle name="40% - Accent3 3 6" xfId="27558" xr:uid="{147141B6-4AC6-4183-A933-0CACDEC39B37}"/>
    <cellStyle name="40% - Accent3 3 7" xfId="27559" xr:uid="{CCBD93BD-4D83-482A-9BE4-9D2D57443963}"/>
    <cellStyle name="40% - Accent3 3 8" xfId="27560" xr:uid="{3B3AC286-1CAE-47F0-AC59-B0DAB9694CB0}"/>
    <cellStyle name="40% - Accent3 3 9" xfId="27561" xr:uid="{34B6F00C-417A-44D2-972A-0D784DBA2BDF}"/>
    <cellStyle name="40% - Accent3 4" xfId="27562" xr:uid="{00B9FBB4-1B8A-4A17-A1B4-2DC82552CCC4}"/>
    <cellStyle name="40% - Accent3 4 10" xfId="27563" xr:uid="{776723DF-EB96-43A9-ADA7-AE1BBE68355B}"/>
    <cellStyle name="40% - Accent3 4 2" xfId="27564" xr:uid="{B832059A-2524-4FEF-A359-28A0B0C1BA79}"/>
    <cellStyle name="40% - Accent3 4 3" xfId="27565" xr:uid="{47F639AD-88E5-41F8-BA46-387BEE645D4B}"/>
    <cellStyle name="40% - Accent3 4 4" xfId="27566" xr:uid="{8F6D1A26-8456-496E-968C-B9B4BF01D5B9}"/>
    <cellStyle name="40% - Accent3 4 5" xfId="27567" xr:uid="{14CB88A1-A85A-4050-9DA8-1AFD867A1CC2}"/>
    <cellStyle name="40% - Accent3 4 6" xfId="27568" xr:uid="{D3DCE9D6-F81A-4EBD-9860-E302737DE42A}"/>
    <cellStyle name="40% - Accent3 4 7" xfId="27569" xr:uid="{9A5FFCD7-018F-4FDE-A972-D6B6B8F98AEF}"/>
    <cellStyle name="40% - Accent3 4 8" xfId="27570" xr:uid="{A75CCFFE-2BD5-4A85-AC87-4D4C82540173}"/>
    <cellStyle name="40% - Accent3 4 9" xfId="27571" xr:uid="{7D99D25B-F0C2-4D66-8455-B419B4FFB989}"/>
    <cellStyle name="40% - Accent3 5" xfId="27572" xr:uid="{EC3B6362-FAC2-4DDA-8B84-60FFA6A04CD3}"/>
    <cellStyle name="40% - Accent3 5 10" xfId="27573" xr:uid="{7B6FFAAB-9918-4D8B-953B-B2AE69B6FB8B}"/>
    <cellStyle name="40% - Accent3 5 2" xfId="27574" xr:uid="{247DE723-35E0-4116-8C17-35FD65A50BB7}"/>
    <cellStyle name="40% - Accent3 5 3" xfId="27575" xr:uid="{4D5C155E-63D2-4CC1-B142-5D659769844A}"/>
    <cellStyle name="40% - Accent3 5 4" xfId="27576" xr:uid="{88CDD60B-5FD0-41F8-B2ED-6CFC51215A73}"/>
    <cellStyle name="40% - Accent3 5 5" xfId="27577" xr:uid="{47908F59-407D-469D-860A-0B702AEB410B}"/>
    <cellStyle name="40% - Accent3 5 6" xfId="27578" xr:uid="{F2C1F816-DFB0-44B1-B43A-2BE45E4A7F65}"/>
    <cellStyle name="40% - Accent3 5 7" xfId="27579" xr:uid="{C5BD3819-6614-4011-9FD8-FC2BDEE432D4}"/>
    <cellStyle name="40% - Accent3 5 8" xfId="27580" xr:uid="{9E209280-BAE1-47CD-8C68-22CC30E89562}"/>
    <cellStyle name="40% - Accent3 5 9" xfId="27581" xr:uid="{9E1B5F45-C262-489C-A74C-3855489F51C6}"/>
    <cellStyle name="40% - Accent4" xfId="54" builtinId="43" customBuiltin="1"/>
    <cellStyle name="40% - Accent4 2" xfId="85" xr:uid="{00000000-0005-0000-0000-00001E000000}"/>
    <cellStyle name="40% - Accent4 2 10" xfId="27583" xr:uid="{ABC3DC49-3E93-40F1-984E-55921684BBB1}"/>
    <cellStyle name="40% - Accent4 2 11" xfId="27582" xr:uid="{D9ED6500-71EC-4489-A58B-6AE512F5F589}"/>
    <cellStyle name="40% - Accent4 2 2" xfId="26216" xr:uid="{7AC2D763-9447-4AF8-8477-E207C968D1EE}"/>
    <cellStyle name="40% - Accent4 2 2 2" xfId="27584" xr:uid="{E1906A0B-D17E-437C-B598-384260F11898}"/>
    <cellStyle name="40% - Accent4 2 3" xfId="26107" xr:uid="{939DADE2-7EFC-4D91-804B-D3EAD2E49D40}"/>
    <cellStyle name="40% - Accent4 2 3 2" xfId="27585" xr:uid="{28A324C7-600A-4888-A968-1DFB750095B2}"/>
    <cellStyle name="40% - Accent4 2 4" xfId="27586" xr:uid="{0CE31A2D-3A0D-4A04-BB5C-65402BF1A1AC}"/>
    <cellStyle name="40% - Accent4 2 5" xfId="27587" xr:uid="{0008F5C1-840C-4ED0-98C0-B9D0D0E9D79B}"/>
    <cellStyle name="40% - Accent4 2 6" xfId="27588" xr:uid="{B1F72D8C-390D-4AF1-A9BD-64C907C0F7A3}"/>
    <cellStyle name="40% - Accent4 2 7" xfId="27589" xr:uid="{7341BF45-C6C4-4409-957A-4C806231718D}"/>
    <cellStyle name="40% - Accent4 2 8" xfId="27590" xr:uid="{B4C92D0A-AC66-4E95-A01A-809CC90D9B90}"/>
    <cellStyle name="40% - Accent4 2 9" xfId="27591" xr:uid="{1F32E549-A15B-4B7D-A574-52D9BF88FEE1}"/>
    <cellStyle name="40% - Accent4 2_PO Creation" xfId="27592" xr:uid="{0C18D1D8-5FEB-4422-A3DF-38C67943148E}"/>
    <cellStyle name="40% - Accent4 3" xfId="157" xr:uid="{00000000-0005-0000-0000-00001F000000}"/>
    <cellStyle name="40% - Accent4 3 10" xfId="27594" xr:uid="{45DCF5CE-F1D6-4B79-8106-F3B6DE8236FF}"/>
    <cellStyle name="40% - Accent4 3 11" xfId="27593" xr:uid="{58B75068-E757-4E3D-92CE-DFE31FAED431}"/>
    <cellStyle name="40% - Accent4 3 2" xfId="27595" xr:uid="{5AFA01BE-0740-4C3A-AF87-3E2A75AF51F5}"/>
    <cellStyle name="40% - Accent4 3 3" xfId="27596" xr:uid="{55CF5C77-B06B-4C6A-86BD-B7949534144B}"/>
    <cellStyle name="40% - Accent4 3 4" xfId="27597" xr:uid="{DCDDE6F4-D6F7-4FCA-B7AD-5ADC83ED8AC9}"/>
    <cellStyle name="40% - Accent4 3 5" xfId="27598" xr:uid="{F58F5521-BA72-4EE1-BE01-AD527A1848AB}"/>
    <cellStyle name="40% - Accent4 3 6" xfId="27599" xr:uid="{197741A1-BD42-41F4-98ED-99C0372213FB}"/>
    <cellStyle name="40% - Accent4 3 7" xfId="27600" xr:uid="{9E374BA7-02C9-4F97-9857-7CD4556FCAB2}"/>
    <cellStyle name="40% - Accent4 3 8" xfId="27601" xr:uid="{BD8F1FD8-4E34-4495-952B-1BB2376BE3B4}"/>
    <cellStyle name="40% - Accent4 3 9" xfId="27602" xr:uid="{31B6FF0D-C6B7-46F5-9AA2-584E6B513901}"/>
    <cellStyle name="40% - Accent4 4" xfId="27603" xr:uid="{D05AE1A0-635D-490D-A437-FCC39E049249}"/>
    <cellStyle name="40% - Accent4 4 10" xfId="27604" xr:uid="{21A81C8F-5EF5-4194-8214-F2C107028961}"/>
    <cellStyle name="40% - Accent4 4 2" xfId="27605" xr:uid="{5DA57CEC-B99B-4E3F-9EA6-2D7C3F86F577}"/>
    <cellStyle name="40% - Accent4 4 3" xfId="27606" xr:uid="{0786D561-D3E0-4B5F-9C1E-C73B278BBAA1}"/>
    <cellStyle name="40% - Accent4 4 4" xfId="27607" xr:uid="{8FE95DA8-9C23-42A7-969F-EDF89337744D}"/>
    <cellStyle name="40% - Accent4 4 5" xfId="27608" xr:uid="{E46386ED-CE3E-4A33-8908-C4FCB3CA8BEA}"/>
    <cellStyle name="40% - Accent4 4 6" xfId="27609" xr:uid="{94E268EA-C9A6-459E-8597-6CE116D1928C}"/>
    <cellStyle name="40% - Accent4 4 7" xfId="27610" xr:uid="{AD507468-58A3-443F-BA50-60A8AAAE0D8F}"/>
    <cellStyle name="40% - Accent4 4 8" xfId="27611" xr:uid="{BC566DCF-1D43-44B8-AE24-8CA983DE9A9E}"/>
    <cellStyle name="40% - Accent4 4 9" xfId="27612" xr:uid="{6FABC0D2-1865-47D0-A2CD-FFCCEE515144}"/>
    <cellStyle name="40% - Accent4 5" xfId="27613" xr:uid="{36C917B3-6A18-49B4-89E6-7D61D404227E}"/>
    <cellStyle name="40% - Accent4 5 10" xfId="27614" xr:uid="{E8340C2E-C507-480F-9F90-D63CEC96A4A6}"/>
    <cellStyle name="40% - Accent4 5 2" xfId="27615" xr:uid="{B4B992F9-C842-4E0F-8ACF-7C62DE383047}"/>
    <cellStyle name="40% - Accent4 5 3" xfId="27616" xr:uid="{832577DF-2659-4C49-B295-78B8A1A53279}"/>
    <cellStyle name="40% - Accent4 5 4" xfId="27617" xr:uid="{2D729B27-2673-443E-B3C1-A6F97310AD68}"/>
    <cellStyle name="40% - Accent4 5 5" xfId="27618" xr:uid="{EFA0A0B6-3FDA-4E30-897E-1449BE4A076E}"/>
    <cellStyle name="40% - Accent4 5 6" xfId="27619" xr:uid="{987AF17F-FF08-4C74-8D70-2CFE9CA61A02}"/>
    <cellStyle name="40% - Accent4 5 7" xfId="27620" xr:uid="{8893CEFA-972F-4410-8BEA-18D8F39E6ED5}"/>
    <cellStyle name="40% - Accent4 5 8" xfId="27621" xr:uid="{B256898C-6E05-4EAC-9C21-7D68F8B35DAA}"/>
    <cellStyle name="40% - Accent4 5 9" xfId="27622" xr:uid="{15C062A8-1DBD-481D-B296-6BA5FCD266AC}"/>
    <cellStyle name="40% - Accent5" xfId="58" builtinId="47" customBuiltin="1"/>
    <cellStyle name="40% - Accent5 2" xfId="86" xr:uid="{00000000-0005-0000-0000-000021000000}"/>
    <cellStyle name="40% - Accent5 2 10" xfId="27624" xr:uid="{9B5BEA19-85A9-4487-B34F-3A6688DA3F6F}"/>
    <cellStyle name="40% - Accent5 2 11" xfId="27623" xr:uid="{EAF9B242-BE16-42FB-9EF7-BAAB267791AC}"/>
    <cellStyle name="40% - Accent5 2 2" xfId="26201" xr:uid="{2FA45B89-D575-4116-9E8C-30B5D799A930}"/>
    <cellStyle name="40% - Accent5 2 2 2" xfId="27625" xr:uid="{AE406F5F-E837-42DD-8340-2EF0CA71C324}"/>
    <cellStyle name="40% - Accent5 2 3" xfId="27626" xr:uid="{06DBE84B-B370-4715-AEBE-5ACE74BE0DD7}"/>
    <cellStyle name="40% - Accent5 2 4" xfId="27627" xr:uid="{11F62733-C94B-4951-91B6-D63D93D9CB17}"/>
    <cellStyle name="40% - Accent5 2 5" xfId="27628" xr:uid="{BE3D6840-1ED2-4759-BB10-48E530C90236}"/>
    <cellStyle name="40% - Accent5 2 6" xfId="27629" xr:uid="{B643B680-A83B-49EF-995D-4F8C6950CDAD}"/>
    <cellStyle name="40% - Accent5 2 7" xfId="27630" xr:uid="{B8144CE8-1660-439D-AA8C-90258A82A56C}"/>
    <cellStyle name="40% - Accent5 2 8" xfId="27631" xr:uid="{8F7C8F82-5379-4A55-B504-0C26EEBAD0A4}"/>
    <cellStyle name="40% - Accent5 2 9" xfId="27632" xr:uid="{ABA8EF11-F048-4872-BC90-70FB18E0C679}"/>
    <cellStyle name="40% - Accent5 2_PO Creation" xfId="27633" xr:uid="{BC82ECD3-DE5E-4740-B027-31723C5CA86F}"/>
    <cellStyle name="40% - Accent5 3" xfId="158" xr:uid="{00000000-0005-0000-0000-000022000000}"/>
    <cellStyle name="40% - Accent5 3 10" xfId="27635" xr:uid="{59B5E99A-EFC2-4E77-BFA5-7162F0EAC33A}"/>
    <cellStyle name="40% - Accent5 3 11" xfId="27634" xr:uid="{4AAA28D5-1BE2-4421-AB59-5728AAEDC1D4}"/>
    <cellStyle name="40% - Accent5 3 2" xfId="27636" xr:uid="{09E4D40C-C32A-40B3-9320-7B578BFB8D26}"/>
    <cellStyle name="40% - Accent5 3 3" xfId="27637" xr:uid="{3F18DB43-21BA-44F0-9B8F-0B7A712391A6}"/>
    <cellStyle name="40% - Accent5 3 4" xfId="27638" xr:uid="{5A3233AA-3286-4E09-8A4A-06EEC0336968}"/>
    <cellStyle name="40% - Accent5 3 5" xfId="27639" xr:uid="{B63B9D4B-4323-412B-834C-D8FC7E558DE1}"/>
    <cellStyle name="40% - Accent5 3 6" xfId="27640" xr:uid="{79FDF9AF-5094-44D7-AEF2-CB28AB8EBEA7}"/>
    <cellStyle name="40% - Accent5 3 7" xfId="27641" xr:uid="{86823023-935E-4C03-8CF3-6DEBF698EF7B}"/>
    <cellStyle name="40% - Accent5 3 8" xfId="27642" xr:uid="{2E24C0D0-BC78-4849-B922-0D369E24244E}"/>
    <cellStyle name="40% - Accent5 3 9" xfId="27643" xr:uid="{AA38F49E-A947-404A-A32F-6C44FDC4273C}"/>
    <cellStyle name="40% - Accent5 4" xfId="27644" xr:uid="{1F789B28-9218-475E-B4F8-98D2B4D3025E}"/>
    <cellStyle name="40% - Accent5 4 10" xfId="27645" xr:uid="{EF24F50E-3192-4980-BB8C-8004635DFF01}"/>
    <cellStyle name="40% - Accent5 4 2" xfId="27646" xr:uid="{4FC6BB37-B9F3-41B6-AEB0-CFFE86B1C0C2}"/>
    <cellStyle name="40% - Accent5 4 3" xfId="27647" xr:uid="{0B00B4BE-F110-4FF7-A389-09F1B47AC34F}"/>
    <cellStyle name="40% - Accent5 4 4" xfId="27648" xr:uid="{EE9D0851-498F-49E6-8BD5-E3D0C467B936}"/>
    <cellStyle name="40% - Accent5 4 5" xfId="27649" xr:uid="{4174C1F8-FE53-483D-8EA1-298D96DBD793}"/>
    <cellStyle name="40% - Accent5 4 6" xfId="27650" xr:uid="{A228F40B-D7AE-48DA-8141-677ACBC2613C}"/>
    <cellStyle name="40% - Accent5 4 7" xfId="27651" xr:uid="{82EB4208-71E9-4BDF-8C2D-66547564D8A1}"/>
    <cellStyle name="40% - Accent5 4 8" xfId="27652" xr:uid="{A3FB994D-5B76-4692-9CA4-5A5E4557B5F1}"/>
    <cellStyle name="40% - Accent5 4 9" xfId="27653" xr:uid="{353E5236-DB1D-42AE-98E4-9F0061F6AF69}"/>
    <cellStyle name="40% - Accent5 5" xfId="27654" xr:uid="{ED013AC8-19E0-4CD9-B15F-824EDD6533A0}"/>
    <cellStyle name="40% - Accent5 5 10" xfId="27655" xr:uid="{B5F3AAC9-A16D-4B41-A8F1-2F98A7D91ED2}"/>
    <cellStyle name="40% - Accent5 5 2" xfId="27656" xr:uid="{B98862EC-9DC9-4C52-A20D-BA5A9B09D037}"/>
    <cellStyle name="40% - Accent5 5 3" xfId="27657" xr:uid="{AEB70B95-87C6-4CC5-AD8A-E460D019ECCE}"/>
    <cellStyle name="40% - Accent5 5 4" xfId="27658" xr:uid="{29A4E247-FA0D-4D41-BF66-0957F2A194BC}"/>
    <cellStyle name="40% - Accent5 5 5" xfId="27659" xr:uid="{09FB7E37-28E2-4CCA-9AF0-704B0B6E6BA9}"/>
    <cellStyle name="40% - Accent5 5 6" xfId="27660" xr:uid="{A3AA3FA7-431E-44BE-8CF8-85B1B8AE232B}"/>
    <cellStyle name="40% - Accent5 5 7" xfId="27661" xr:uid="{CBDC24E3-5CD3-4825-A25D-A3AEEF220CA7}"/>
    <cellStyle name="40% - Accent5 5 8" xfId="27662" xr:uid="{CB39C094-6B7C-4AA4-AAC0-772E841E0981}"/>
    <cellStyle name="40% - Accent5 5 9" xfId="27663" xr:uid="{935EEEA9-1A3D-4956-9855-8F4A490EACD3}"/>
    <cellStyle name="40% - Accent6" xfId="62" builtinId="51" customBuiltin="1"/>
    <cellStyle name="40% - Accent6 2" xfId="87" xr:uid="{00000000-0005-0000-0000-000024000000}"/>
    <cellStyle name="40% - Accent6 2 10" xfId="27665" xr:uid="{B2978870-ADFC-4E2D-9488-CF4448CB8D5D}"/>
    <cellStyle name="40% - Accent6 2 11" xfId="27664" xr:uid="{9CDA9B50-F33A-48D9-87A6-D459B3806213}"/>
    <cellStyle name="40% - Accent6 2 2" xfId="26235" xr:uid="{F8916E60-CA9B-49F2-A31D-D922D56128F2}"/>
    <cellStyle name="40% - Accent6 2 2 2" xfId="27666" xr:uid="{6AABAC5F-5471-4E9D-8573-824403C7B805}"/>
    <cellStyle name="40% - Accent6 2 3" xfId="26109" xr:uid="{AB31AED1-2B0E-43BB-B8F2-FEE681BDD477}"/>
    <cellStyle name="40% - Accent6 2 3 2" xfId="27667" xr:uid="{8A9E8AAD-92B4-4FED-A140-D71AE20C2ED7}"/>
    <cellStyle name="40% - Accent6 2 4" xfId="27668" xr:uid="{314E630D-465F-4D37-81D2-6BB898230571}"/>
    <cellStyle name="40% - Accent6 2 5" xfId="27669" xr:uid="{9339FDBF-92E0-4396-ABD6-BD19DC4B8CB8}"/>
    <cellStyle name="40% - Accent6 2 6" xfId="27670" xr:uid="{335B8DF5-C273-404A-B3A4-05A0DB59F122}"/>
    <cellStyle name="40% - Accent6 2 7" xfId="27671" xr:uid="{C1130A47-1C3D-41A5-BFFB-33FAF834927D}"/>
    <cellStyle name="40% - Accent6 2 8" xfId="27672" xr:uid="{98ECAD2A-B956-4523-B8F0-9BE06CF0DDD0}"/>
    <cellStyle name="40% - Accent6 2 9" xfId="27673" xr:uid="{4DA1E505-07C4-415B-82F7-2DAEE030F40E}"/>
    <cellStyle name="40% - Accent6 2_PO Creation" xfId="27674" xr:uid="{696C30A7-F048-4ED8-A2DB-030D48E9189F}"/>
    <cellStyle name="40% - Accent6 3" xfId="159" xr:uid="{00000000-0005-0000-0000-000025000000}"/>
    <cellStyle name="40% - Accent6 3 10" xfId="27676" xr:uid="{000D0B12-91A1-4371-87BB-0BBAFDF84EA7}"/>
    <cellStyle name="40% - Accent6 3 11" xfId="27675" xr:uid="{A8FAE2B6-41A6-463D-A1D8-E046CFE3E316}"/>
    <cellStyle name="40% - Accent6 3 2" xfId="27677" xr:uid="{95DF3B65-0F4C-4F79-99C8-7DB66F7DF8ED}"/>
    <cellStyle name="40% - Accent6 3 3" xfId="27678" xr:uid="{AEA1339F-79A7-48B6-8F5D-08F708DDB716}"/>
    <cellStyle name="40% - Accent6 3 4" xfId="27679" xr:uid="{098A33C6-EDBF-477F-9EA8-2D5821DBC3F5}"/>
    <cellStyle name="40% - Accent6 3 5" xfId="27680" xr:uid="{4B1BED46-EBEE-4F4E-B910-CB444B75F946}"/>
    <cellStyle name="40% - Accent6 3 6" xfId="27681" xr:uid="{BA51E11D-2112-466E-90A6-C5E2C47A9116}"/>
    <cellStyle name="40% - Accent6 3 7" xfId="27682" xr:uid="{96AFAC86-43AE-46E8-B296-BD4A352848E9}"/>
    <cellStyle name="40% - Accent6 3 8" xfId="27683" xr:uid="{E581D0C2-09AB-418D-B3BF-BA3756DF088A}"/>
    <cellStyle name="40% - Accent6 3 9" xfId="27684" xr:uid="{61D26B1D-99D7-4C11-AFD0-7C85B8C4661B}"/>
    <cellStyle name="40% - Accent6 4" xfId="27685" xr:uid="{F17B9917-B324-4974-A286-11AFC881F4D1}"/>
    <cellStyle name="40% - Accent6 4 10" xfId="27686" xr:uid="{C2CE2F1A-4961-4105-B791-7573B200D8F1}"/>
    <cellStyle name="40% - Accent6 4 2" xfId="27687" xr:uid="{CA8F8627-5CFF-4CB7-BCE7-3EC8219292E9}"/>
    <cellStyle name="40% - Accent6 4 3" xfId="27688" xr:uid="{1CAF7807-2A5F-4BF2-AA1C-22D97680553E}"/>
    <cellStyle name="40% - Accent6 4 4" xfId="27689" xr:uid="{898F287C-1DC9-40EE-AFD0-DEABBF1C851D}"/>
    <cellStyle name="40% - Accent6 4 5" xfId="27690" xr:uid="{A1B7958F-6218-47F2-8E14-F9D734873005}"/>
    <cellStyle name="40% - Accent6 4 6" xfId="27691" xr:uid="{7AEF38A8-66A6-49EA-BB61-A4448C427551}"/>
    <cellStyle name="40% - Accent6 4 7" xfId="27692" xr:uid="{701567BE-6648-4AC8-AC68-F73D3DA04DD9}"/>
    <cellStyle name="40% - Accent6 4 8" xfId="27693" xr:uid="{A8855A9C-91AB-4505-A0F3-D4E0EE7293E5}"/>
    <cellStyle name="40% - Accent6 4 9" xfId="27694" xr:uid="{5877F983-C12D-44A4-8B76-C26C2A92C0C0}"/>
    <cellStyle name="40% - Accent6 5" xfId="27695" xr:uid="{1AA8C1B3-5E81-46CB-84CA-2903B3A6C028}"/>
    <cellStyle name="40% - Accent6 5 10" xfId="27696" xr:uid="{0F3882A8-1DBA-480C-8DC8-3EAE459B511C}"/>
    <cellStyle name="40% - Accent6 5 2" xfId="27697" xr:uid="{97906A26-60F6-438A-9271-E68A9E158741}"/>
    <cellStyle name="40% - Accent6 5 3" xfId="27698" xr:uid="{897F2334-1F90-4806-96D9-ACC987140269}"/>
    <cellStyle name="40% - Accent6 5 4" xfId="27699" xr:uid="{9BDD73B3-A395-464D-ADA2-2F349FFAA794}"/>
    <cellStyle name="40% - Accent6 5 5" xfId="27700" xr:uid="{A7D51D21-B31B-4AD3-BD88-40F31EF0BF95}"/>
    <cellStyle name="40% - Accent6 5 6" xfId="27701" xr:uid="{415FFA34-FFA2-465C-90EA-6BA09CD81A3D}"/>
    <cellStyle name="40% - Accent6 5 7" xfId="27702" xr:uid="{3F0F7D4D-EAAC-406E-B1F1-2E407C9CEA42}"/>
    <cellStyle name="40% - Accent6 5 8" xfId="27703" xr:uid="{D6C2E1E1-D54D-4E69-A222-191994D37127}"/>
    <cellStyle name="40% - Accent6 5 9" xfId="27704" xr:uid="{B34A5E20-35E6-40C3-9A3D-5CC3BDB352A9}"/>
    <cellStyle name="40% - 强调文字颜色 1 2" xfId="25907" xr:uid="{0FD8B917-E276-4B26-9536-489933905763}"/>
    <cellStyle name="40% - 强调文字颜色 2 2" xfId="25903" xr:uid="{C38ACFD2-A591-427B-8277-73838286AC2C}"/>
    <cellStyle name="40% - 强调文字颜色 3 2" xfId="25929" xr:uid="{0DE7B5B3-EAEF-4E61-93D0-2512DB48DC19}"/>
    <cellStyle name="40% - 强调文字颜色 4 2" xfId="25911" xr:uid="{388BD3C6-079A-41C7-B66E-FE24833A916E}"/>
    <cellStyle name="40% - 强调文字颜色 5 2" xfId="25922" xr:uid="{8DA824D1-5D88-4040-8856-F973F4FE5838}"/>
    <cellStyle name="40% - 强调文字颜色 6 2" xfId="25906" xr:uid="{01EDA641-648A-4764-9869-1CE6B51A702E}"/>
    <cellStyle name="60% - Accent1" xfId="43" builtinId="32" customBuiltin="1"/>
    <cellStyle name="60% - Accent1 2" xfId="88" xr:uid="{00000000-0005-0000-0000-000027000000}"/>
    <cellStyle name="60% - Accent1 2 10" xfId="27706" xr:uid="{FA141C71-9B8F-42C8-9B02-8D3560AB8275}"/>
    <cellStyle name="60% - Accent1 2 11" xfId="27705" xr:uid="{21E9965D-BE71-4770-9BE1-4872021C167E}"/>
    <cellStyle name="60% - Accent1 2 2" xfId="26210" xr:uid="{72196F7B-9280-4366-BB83-5FE0E4890BD3}"/>
    <cellStyle name="60% - Accent1 2 2 2" xfId="27707" xr:uid="{F29B8E68-992F-40FC-88CA-8E9FD74EDF83}"/>
    <cellStyle name="60% - Accent1 2 3" xfId="26115" xr:uid="{CA3FBEAD-2FA7-47D0-8944-AF7B5D5E6861}"/>
    <cellStyle name="60% - Accent1 2 3 2" xfId="27708" xr:uid="{B0EBB1B5-7A47-49CA-8B49-8C85580DB4F7}"/>
    <cellStyle name="60% - Accent1 2 4" xfId="27709" xr:uid="{C1B368A8-F655-407B-B2AC-8CDF2D759301}"/>
    <cellStyle name="60% - Accent1 2 5" xfId="27710" xr:uid="{DABE23F2-7760-4661-BEA7-5286C90BEED2}"/>
    <cellStyle name="60% - Accent1 2 6" xfId="27711" xr:uid="{59FA40AF-DF89-403E-912A-D154798FEF51}"/>
    <cellStyle name="60% - Accent1 2 7" xfId="27712" xr:uid="{AF1D5C02-BBCA-4B68-A363-64F8A22DFB9E}"/>
    <cellStyle name="60% - Accent1 2 8" xfId="27713" xr:uid="{02DF1964-29BD-4550-8761-92ABFB0653D0}"/>
    <cellStyle name="60% - Accent1 2 9" xfId="27714" xr:uid="{4BD5987B-860D-4660-8F80-7FBFFCAF4326}"/>
    <cellStyle name="60% - Accent1 2_PO Creation" xfId="27715" xr:uid="{2C78DA50-15AA-462B-BA76-2FF8F05380E4}"/>
    <cellStyle name="60% - Accent1 3" xfId="261" xr:uid="{00000000-0005-0000-0000-000028000000}"/>
    <cellStyle name="60% - Accent1 3 10" xfId="27717" xr:uid="{EEA6490A-15B1-4364-9271-E167FEA9D582}"/>
    <cellStyle name="60% - Accent1 3 11" xfId="27716" xr:uid="{BB7F16BA-101B-464C-A1C5-2827BD33391B}"/>
    <cellStyle name="60% - Accent1 3 2" xfId="27718" xr:uid="{C4A77E50-AABB-4787-BE54-4F96B1CA1E04}"/>
    <cellStyle name="60% - Accent1 3 3" xfId="27719" xr:uid="{10855926-F053-4BD5-BF56-E17337DCCD7D}"/>
    <cellStyle name="60% - Accent1 3 4" xfId="27720" xr:uid="{7464E707-E030-4792-A130-4C3ADB5C01E3}"/>
    <cellStyle name="60% - Accent1 3 5" xfId="27721" xr:uid="{0DA16C3B-502F-4A9A-BEED-2907481F095A}"/>
    <cellStyle name="60% - Accent1 3 6" xfId="27722" xr:uid="{E4A8F02B-C5DD-4631-B92C-3B5F6823F0A8}"/>
    <cellStyle name="60% - Accent1 3 7" xfId="27723" xr:uid="{03292668-F998-4823-A8A3-47A491761A50}"/>
    <cellStyle name="60% - Accent1 3 8" xfId="27724" xr:uid="{F3CE8F25-0325-4074-AE16-EEF4A3A01503}"/>
    <cellStyle name="60% - Accent1 3 9" xfId="27725" xr:uid="{B748591C-A9A3-4804-80B5-C6D963A3EEDE}"/>
    <cellStyle name="60% - Accent1 4" xfId="25782" xr:uid="{89C3B3E0-30E0-4B66-9F38-8017CA4325E1}"/>
    <cellStyle name="60% - Accent1 4 10" xfId="27727" xr:uid="{675940DD-9E4D-43A5-ACAD-AEDB21074504}"/>
    <cellStyle name="60% - Accent1 4 11" xfId="27726" xr:uid="{7E92F851-8C2D-4E3D-8858-9AEDA3D86D76}"/>
    <cellStyle name="60% - Accent1 4 2" xfId="27728" xr:uid="{4D6711DC-9642-4893-8A42-33836AE76376}"/>
    <cellStyle name="60% - Accent1 4 3" xfId="27729" xr:uid="{F8A8D698-1539-4814-A015-9E14D5E45F4A}"/>
    <cellStyle name="60% - Accent1 4 4" xfId="27730" xr:uid="{920D148A-029C-429A-94CC-C1A3AF0191BD}"/>
    <cellStyle name="60% - Accent1 4 5" xfId="27731" xr:uid="{4F9B0F96-DFF9-441B-A134-97B63F533650}"/>
    <cellStyle name="60% - Accent1 4 6" xfId="27732" xr:uid="{06A70749-4537-4747-9FB6-BA5489C296F7}"/>
    <cellStyle name="60% - Accent1 4 7" xfId="27733" xr:uid="{B5A04CB4-B9BD-49ED-BB8D-F4496DE44FD5}"/>
    <cellStyle name="60% - Accent1 4 8" xfId="27734" xr:uid="{52E54390-9F5D-4CD7-974C-093E9D91A247}"/>
    <cellStyle name="60% - Accent1 4 9" xfId="27735" xr:uid="{12ED4160-412F-4F84-9F32-DC79C57E8780}"/>
    <cellStyle name="60% - Accent1 5" xfId="27736" xr:uid="{AA39579F-E7D3-4E9B-8D99-11FB9C5BBC5C}"/>
    <cellStyle name="60% - Accent1 5 10" xfId="27737" xr:uid="{E482FBF1-3886-46DD-8527-29D11C33E847}"/>
    <cellStyle name="60% - Accent1 5 2" xfId="27738" xr:uid="{6DCBA5A9-577B-4C3C-998E-F7AAD58DE806}"/>
    <cellStyle name="60% - Accent1 5 3" xfId="27739" xr:uid="{ABA5D677-5988-4024-B707-79EC02AF373D}"/>
    <cellStyle name="60% - Accent1 5 4" xfId="27740" xr:uid="{69F55DF2-2DDA-4CC9-8674-B303B81C67E6}"/>
    <cellStyle name="60% - Accent1 5 5" xfId="27741" xr:uid="{4CB0BDCF-20D1-4D83-A67D-8829D3C5A650}"/>
    <cellStyle name="60% - Accent1 5 6" xfId="27742" xr:uid="{350AD8B2-7551-4529-9716-5024D3403C35}"/>
    <cellStyle name="60% - Accent1 5 7" xfId="27743" xr:uid="{504E2EBF-25C0-41C8-8199-2053D1EDE921}"/>
    <cellStyle name="60% - Accent1 5 8" xfId="27744" xr:uid="{EA67BC88-C57F-4B3F-89D0-98609A22CB07}"/>
    <cellStyle name="60% - Accent1 5 9" xfId="27745" xr:uid="{AE30B0D7-37B2-43D2-BD4F-060671572C55}"/>
    <cellStyle name="60% - Accent2" xfId="47" builtinId="36" customBuiltin="1"/>
    <cellStyle name="60% - Accent2 2" xfId="89" xr:uid="{00000000-0005-0000-0000-00002A000000}"/>
    <cellStyle name="60% - Accent2 2 10" xfId="27747" xr:uid="{3C65BBCB-7DD4-4AB7-9B2E-6857FA0F0211}"/>
    <cellStyle name="60% - Accent2 2 11" xfId="27746" xr:uid="{5DF704FB-C95F-45B6-8183-F3CA7619DD94}"/>
    <cellStyle name="60% - Accent2 2 2" xfId="26224" xr:uid="{51C7BE8B-9F23-4F90-B890-7C1926777412}"/>
    <cellStyle name="60% - Accent2 2 2 2" xfId="27748" xr:uid="{35B8057B-E1E0-423D-9B02-291444878D84}"/>
    <cellStyle name="60% - Accent2 2 3" xfId="27749" xr:uid="{83F717C2-72F9-459E-84B9-E3BBABF39FEA}"/>
    <cellStyle name="60% - Accent2 2 4" xfId="27750" xr:uid="{6A6027DB-0AB1-424D-84BF-F19F56DE1988}"/>
    <cellStyle name="60% - Accent2 2 5" xfId="27751" xr:uid="{41B36335-8E51-4C8E-B005-38A0E050CA1E}"/>
    <cellStyle name="60% - Accent2 2 6" xfId="27752" xr:uid="{BC14FA4D-2EE7-4EEC-A9D1-00CDFF2172E6}"/>
    <cellStyle name="60% - Accent2 2 7" xfId="27753" xr:uid="{5C5F3A24-32A6-4493-875D-11EC809E1D43}"/>
    <cellStyle name="60% - Accent2 2 8" xfId="27754" xr:uid="{96EECB31-7C76-4189-A7C1-A4D3CCABDD9D}"/>
    <cellStyle name="60% - Accent2 2 9" xfId="27755" xr:uid="{96E2A756-B60B-421E-B760-0DE985580CEB}"/>
    <cellStyle name="60% - Accent2 2_PO Creation" xfId="27756" xr:uid="{14338FD4-6A14-4C1C-8464-39A0BC0E32DF}"/>
    <cellStyle name="60% - Accent2 3" xfId="262" xr:uid="{00000000-0005-0000-0000-00002B000000}"/>
    <cellStyle name="60% - Accent2 3 10" xfId="27758" xr:uid="{1E0061B0-A073-479A-BC74-07F53E9AF154}"/>
    <cellStyle name="60% - Accent2 3 11" xfId="27757" xr:uid="{11418D21-9962-41C9-A9C7-AA2803E1FD5B}"/>
    <cellStyle name="60% - Accent2 3 2" xfId="27759" xr:uid="{B730FB14-6726-4F17-A891-2E964033EF31}"/>
    <cellStyle name="60% - Accent2 3 3" xfId="27760" xr:uid="{D30ABC7B-0A82-451E-AA6C-AE02DD7F2164}"/>
    <cellStyle name="60% - Accent2 3 4" xfId="27761" xr:uid="{22B35E60-6858-4A5C-9D46-FC74EEA4F0B2}"/>
    <cellStyle name="60% - Accent2 3 5" xfId="27762" xr:uid="{D55C4001-A2E4-49D8-9E5B-A70AD5E9F486}"/>
    <cellStyle name="60% - Accent2 3 6" xfId="27763" xr:uid="{4919F7F6-71A2-4781-A5DF-040F52ED2352}"/>
    <cellStyle name="60% - Accent2 3 7" xfId="27764" xr:uid="{AA0E6241-78E3-4E08-9F30-30DFBE4B8FF1}"/>
    <cellStyle name="60% - Accent2 3 8" xfId="27765" xr:uid="{DE3E9C49-05A7-43FE-8973-4A83F66ED7A0}"/>
    <cellStyle name="60% - Accent2 3 9" xfId="27766" xr:uid="{638AF979-0208-4A8F-AB22-9DCC355859AC}"/>
    <cellStyle name="60% - Accent2 4" xfId="25783" xr:uid="{E92CEC8F-925E-42EE-B49F-9A005E832CDE}"/>
    <cellStyle name="60% - Accent2 4 10" xfId="27768" xr:uid="{351C115C-C1E2-41E6-98A1-D75BF20E93FB}"/>
    <cellStyle name="60% - Accent2 4 11" xfId="27767" xr:uid="{772F7BCA-11FB-459C-9D90-55FBFC81A392}"/>
    <cellStyle name="60% - Accent2 4 2" xfId="27769" xr:uid="{60E4269A-CD12-4047-90F6-E227C69B9997}"/>
    <cellStyle name="60% - Accent2 4 3" xfId="27770" xr:uid="{048525CD-D3D9-4670-9428-0B137A60898A}"/>
    <cellStyle name="60% - Accent2 4 4" xfId="27771" xr:uid="{5F1AAE84-266A-410D-9910-C1C0DCA50233}"/>
    <cellStyle name="60% - Accent2 4 5" xfId="27772" xr:uid="{CABF3714-20DE-4C4C-B506-22361455C68D}"/>
    <cellStyle name="60% - Accent2 4 6" xfId="27773" xr:uid="{F2808DBD-F58F-4946-8D03-EE84DB04AC21}"/>
    <cellStyle name="60% - Accent2 4 7" xfId="27774" xr:uid="{3F515D1E-4071-4F36-B498-1EF12F247A2F}"/>
    <cellStyle name="60% - Accent2 4 8" xfId="27775" xr:uid="{DD7AB4C6-838B-4758-A066-B434FDBF0866}"/>
    <cellStyle name="60% - Accent2 4 9" xfId="27776" xr:uid="{6CF9AB1C-15F2-4BD8-8E2F-EAD71FDA99C9}"/>
    <cellStyle name="60% - Accent2 5" xfId="27777" xr:uid="{B5A08711-654C-463D-A98F-49C0877BA61A}"/>
    <cellStyle name="60% - Accent2 5 10" xfId="27778" xr:uid="{13E0EDA3-E19B-4628-9E3A-88F5BB3F7D6A}"/>
    <cellStyle name="60% - Accent2 5 2" xfId="27779" xr:uid="{3D154AB7-03CF-4B24-88EB-C823550CAC28}"/>
    <cellStyle name="60% - Accent2 5 3" xfId="27780" xr:uid="{65B5DBA1-AD84-4D4A-852E-FD77C5BC2120}"/>
    <cellStyle name="60% - Accent2 5 4" xfId="27781" xr:uid="{A7B1FB22-01E1-4ECC-8378-8EB599EA4271}"/>
    <cellStyle name="60% - Accent2 5 5" xfId="27782" xr:uid="{5F3EC925-B022-4A27-9ACE-3BB72B598BDD}"/>
    <cellStyle name="60% - Accent2 5 6" xfId="27783" xr:uid="{70559E64-9AF7-4321-B0D5-BE683B1537FA}"/>
    <cellStyle name="60% - Accent2 5 7" xfId="27784" xr:uid="{38D8B95E-8313-4175-AE2A-053D2DEB3DAC}"/>
    <cellStyle name="60% - Accent2 5 8" xfId="27785" xr:uid="{567FD29F-EDF9-4601-8B73-5C439F2BC750}"/>
    <cellStyle name="60% - Accent2 5 9" xfId="27786" xr:uid="{4DD453B9-5CF5-485C-B233-5E4E69B5E447}"/>
    <cellStyle name="60% - Accent3" xfId="51" builtinId="40" customBuiltin="1"/>
    <cellStyle name="60% - Accent3 2" xfId="90" xr:uid="{00000000-0005-0000-0000-00002D000000}"/>
    <cellStyle name="60% - Accent3 2 10" xfId="27788" xr:uid="{44F78A75-9148-413C-AB83-6E75E7553A82}"/>
    <cellStyle name="60% - Accent3 2 11" xfId="27787" xr:uid="{3E09DABD-FAE9-405E-AD50-CB5D43DA1BE2}"/>
    <cellStyle name="60% - Accent3 2 2" xfId="26243" xr:uid="{56351D84-11F7-41A6-B481-E40CC6D40B7F}"/>
    <cellStyle name="60% - Accent3 2 2 2" xfId="27789" xr:uid="{CBCAD9B2-E195-4786-ACD3-E1BEC652EFCF}"/>
    <cellStyle name="60% - Accent3 2 3" xfId="26100" xr:uid="{CF219FA0-0A4E-4263-8039-6AC3745F38D2}"/>
    <cellStyle name="60% - Accent3 2 3 2" xfId="27790" xr:uid="{C8075B2F-7AD2-4416-B77B-C93555B0CA51}"/>
    <cellStyle name="60% - Accent3 2 4" xfId="27791" xr:uid="{BACDF70B-FC6C-4C17-95FB-C03EE98940F0}"/>
    <cellStyle name="60% - Accent3 2 5" xfId="27792" xr:uid="{3ECEBF32-5AE2-4193-AB8B-B98BDB25A0A9}"/>
    <cellStyle name="60% - Accent3 2 6" xfId="27793" xr:uid="{043B00BB-CCF7-4C4A-A152-20F8CC01DAFB}"/>
    <cellStyle name="60% - Accent3 2 7" xfId="27794" xr:uid="{0B469F8B-31C9-4711-BF9B-98A2120CE520}"/>
    <cellStyle name="60% - Accent3 2 8" xfId="27795" xr:uid="{AEC21F27-F1EA-472E-B9C4-4F2E234B42E7}"/>
    <cellStyle name="60% - Accent3 2 9" xfId="27796" xr:uid="{6BA3085D-63C0-4EFB-84FD-1FB6C1257D52}"/>
    <cellStyle name="60% - Accent3 2_PO Creation" xfId="27797" xr:uid="{F1EDB743-6DE6-4CC6-A9A8-DC78F2703F4D}"/>
    <cellStyle name="60% - Accent3 3" xfId="263" xr:uid="{00000000-0005-0000-0000-00002E000000}"/>
    <cellStyle name="60% - Accent3 3 10" xfId="27799" xr:uid="{46BD822A-8C01-49EF-BC2C-D8AD185EAC2E}"/>
    <cellStyle name="60% - Accent3 3 11" xfId="27798" xr:uid="{22A67D88-CBE8-42B1-8DAD-A11D27C738F7}"/>
    <cellStyle name="60% - Accent3 3 2" xfId="27800" xr:uid="{6503D97C-B267-4FB3-9EFC-0A77CF863681}"/>
    <cellStyle name="60% - Accent3 3 3" xfId="27801" xr:uid="{42F9CF68-5602-4F18-8768-DD730F2D644F}"/>
    <cellStyle name="60% - Accent3 3 4" xfId="27802" xr:uid="{877A0FF7-BA7D-4C32-9633-127F41605308}"/>
    <cellStyle name="60% - Accent3 3 5" xfId="27803" xr:uid="{391E8042-80FB-49C8-B4A9-5C7B628A5ED2}"/>
    <cellStyle name="60% - Accent3 3 6" xfId="27804" xr:uid="{D01E3CA3-4261-4238-9BEE-ECA9C0D544E6}"/>
    <cellStyle name="60% - Accent3 3 7" xfId="27805" xr:uid="{85C368F1-FC20-466A-8C5A-EA5C11537A68}"/>
    <cellStyle name="60% - Accent3 3 8" xfId="27806" xr:uid="{DA1C59AF-73DC-4D7C-B8CA-1075544CB88C}"/>
    <cellStyle name="60% - Accent3 3 9" xfId="27807" xr:uid="{9DEE785C-1E19-4583-91BA-AF277B370D69}"/>
    <cellStyle name="60% - Accent3 4" xfId="25784" xr:uid="{6F7180F5-DF2C-4FC7-88D9-E05437BBD8E9}"/>
    <cellStyle name="60% - Accent3 4 10" xfId="27809" xr:uid="{670F7FAB-21A3-42BD-AED9-A9C3F9FDAB63}"/>
    <cellStyle name="60% - Accent3 4 11" xfId="27808" xr:uid="{2A9F62CE-EA36-4943-8C58-B5A74571FFCC}"/>
    <cellStyle name="60% - Accent3 4 2" xfId="27810" xr:uid="{A8C99B73-9840-4540-8FB1-EC6FA4BA0C5B}"/>
    <cellStyle name="60% - Accent3 4 3" xfId="27811" xr:uid="{739BFB67-E89F-477C-8E1E-FE5D501F969F}"/>
    <cellStyle name="60% - Accent3 4 4" xfId="27812" xr:uid="{1A6F66F8-8634-4944-807F-8F7063794B45}"/>
    <cellStyle name="60% - Accent3 4 5" xfId="27813" xr:uid="{04B0FF84-F0B9-43F4-9D84-0493D7196D4C}"/>
    <cellStyle name="60% - Accent3 4 6" xfId="27814" xr:uid="{DCB21BCC-92B2-488C-944B-528C27804284}"/>
    <cellStyle name="60% - Accent3 4 7" xfId="27815" xr:uid="{BF0368B5-67DC-426A-9141-7EE0FB5618A5}"/>
    <cellStyle name="60% - Accent3 4 8" xfId="27816" xr:uid="{49327C66-516C-4B67-9083-7BBBEB8494B0}"/>
    <cellStyle name="60% - Accent3 4 9" xfId="27817" xr:uid="{5AA2BD6D-932C-4603-AC9C-7CF0F8C7B1E8}"/>
    <cellStyle name="60% - Accent3 5" xfId="27818" xr:uid="{CC9338B2-C5AA-4BB5-94DF-EC3577D1A488}"/>
    <cellStyle name="60% - Accent3 5 10" xfId="27819" xr:uid="{2CA53E17-692C-494C-BA15-AC0F61391CA4}"/>
    <cellStyle name="60% - Accent3 5 2" xfId="27820" xr:uid="{9E37DDB8-FC41-4751-8A62-61430CED02D6}"/>
    <cellStyle name="60% - Accent3 5 3" xfId="27821" xr:uid="{2B172479-2314-4BBC-9501-C55BBF2672D1}"/>
    <cellStyle name="60% - Accent3 5 4" xfId="27822" xr:uid="{73EA2792-26FE-4866-A71B-69E43ED52476}"/>
    <cellStyle name="60% - Accent3 5 5" xfId="27823" xr:uid="{BF0DE8A7-C04F-427D-B786-8D48A12CEC75}"/>
    <cellStyle name="60% - Accent3 5 6" xfId="27824" xr:uid="{C9A5037D-FE15-4ECA-B88C-8173E9F9816D}"/>
    <cellStyle name="60% - Accent3 5 7" xfId="27825" xr:uid="{4E9CBFD3-5418-481B-93C6-15F2208BFD19}"/>
    <cellStyle name="60% - Accent3 5 8" xfId="27826" xr:uid="{D2CE1C3A-F261-4C96-969E-4C1C8D9AD7AE}"/>
    <cellStyle name="60% - Accent3 5 9" xfId="27827" xr:uid="{8EFA887D-EC3A-44D0-A436-2E26E4FF1ADE}"/>
    <cellStyle name="60% - Accent4" xfId="55" builtinId="44" customBuiltin="1"/>
    <cellStyle name="60% - Accent4 2" xfId="91" xr:uid="{00000000-0005-0000-0000-000030000000}"/>
    <cellStyle name="60% - Accent4 2 10" xfId="27829" xr:uid="{8C6B2C17-685B-4802-BCE0-326DA6A2872B}"/>
    <cellStyle name="60% - Accent4 2 11" xfId="27828" xr:uid="{DCE7470E-B0E8-4F6E-AD66-4B39FFF238C2}"/>
    <cellStyle name="60% - Accent4 2 2" xfId="26197" xr:uid="{B76DB35F-DE59-47D9-91FE-6C5DF5E28680}"/>
    <cellStyle name="60% - Accent4 2 2 2" xfId="27830" xr:uid="{CB7488AF-63F3-45B2-9662-913171F8EF1C}"/>
    <cellStyle name="60% - Accent4 2 3" xfId="26099" xr:uid="{0F95FD22-D7A6-4640-9649-85A194C01726}"/>
    <cellStyle name="60% - Accent4 2 3 2" xfId="27831" xr:uid="{74E90E4E-BD41-48C1-9633-1EEBD7CDB3BE}"/>
    <cellStyle name="60% - Accent4 2 4" xfId="27832" xr:uid="{91DC800A-DC8D-4CE9-A6FE-843C5C1ED4A9}"/>
    <cellStyle name="60% - Accent4 2 5" xfId="27833" xr:uid="{DFC97E62-E018-4DFC-B56C-FFBFA8BA42B8}"/>
    <cellStyle name="60% - Accent4 2 6" xfId="27834" xr:uid="{1555B11A-FE10-4ABA-823F-7AFB2BC71740}"/>
    <cellStyle name="60% - Accent4 2 7" xfId="27835" xr:uid="{788E1A57-F8B9-4B22-BC94-879BEC8FBF84}"/>
    <cellStyle name="60% - Accent4 2 8" xfId="27836" xr:uid="{CF01C7E0-966F-479D-AD0C-C3191D4125F5}"/>
    <cellStyle name="60% - Accent4 2 9" xfId="27837" xr:uid="{CF446994-4FCB-4ED2-A595-C9C32B215E58}"/>
    <cellStyle name="60% - Accent4 2_PO Creation" xfId="27838" xr:uid="{B6813F61-0FB2-4529-90CE-0A11278822E3}"/>
    <cellStyle name="60% - Accent4 3" xfId="264" xr:uid="{00000000-0005-0000-0000-000031000000}"/>
    <cellStyle name="60% - Accent4 3 10" xfId="27840" xr:uid="{07F67F7C-D0DC-420A-A709-5AF0563618BE}"/>
    <cellStyle name="60% - Accent4 3 11" xfId="27839" xr:uid="{A1849B68-F8F0-4D2F-8750-1E7064504983}"/>
    <cellStyle name="60% - Accent4 3 2" xfId="27841" xr:uid="{65852720-763C-45E5-872A-DE466892700D}"/>
    <cellStyle name="60% - Accent4 3 3" xfId="27842" xr:uid="{EBC0DE56-8828-49F6-A143-A32DDDB69CA1}"/>
    <cellStyle name="60% - Accent4 3 4" xfId="27843" xr:uid="{AE1CC102-E4E9-46F4-984E-E1D8D57BEA91}"/>
    <cellStyle name="60% - Accent4 3 5" xfId="27844" xr:uid="{0C09D1B0-5C5A-4A35-A566-68E8FC9A100F}"/>
    <cellStyle name="60% - Accent4 3 6" xfId="27845" xr:uid="{FB2F8F8A-7C52-4DC5-A892-948D74D52580}"/>
    <cellStyle name="60% - Accent4 3 7" xfId="27846" xr:uid="{3AD5AA38-E907-4DE4-A1A2-815F45A26BB6}"/>
    <cellStyle name="60% - Accent4 3 8" xfId="27847" xr:uid="{030AD17B-2EF7-4D35-8E76-E2A9C5542220}"/>
    <cellStyle name="60% - Accent4 3 9" xfId="27848" xr:uid="{48C261D8-CCC6-421D-A5CC-28CEB4CF6274}"/>
    <cellStyle name="60% - Accent4 4" xfId="25785" xr:uid="{979D99CF-9794-4CDB-A618-9E2147A8F8BB}"/>
    <cellStyle name="60% - Accent4 4 10" xfId="27850" xr:uid="{80AA8BB8-0475-4A06-B4D9-A94BC8F34438}"/>
    <cellStyle name="60% - Accent4 4 11" xfId="27849" xr:uid="{39AC5292-DB17-47AD-85B1-76372943DB57}"/>
    <cellStyle name="60% - Accent4 4 2" xfId="27851" xr:uid="{0D2699A5-9D23-4384-816B-487E33449AC0}"/>
    <cellStyle name="60% - Accent4 4 3" xfId="27852" xr:uid="{A63E82E2-919F-4C4E-9E8D-ADB8CF30E2EB}"/>
    <cellStyle name="60% - Accent4 4 4" xfId="27853" xr:uid="{59675C93-B2B3-486C-A4FF-AC4182F13B8C}"/>
    <cellStyle name="60% - Accent4 4 5" xfId="27854" xr:uid="{36A83B12-EEF5-4362-BCA3-01180B2E5DFB}"/>
    <cellStyle name="60% - Accent4 4 6" xfId="27855" xr:uid="{4043B35C-8640-48CB-8EEB-C412702BA06D}"/>
    <cellStyle name="60% - Accent4 4 7" xfId="27856" xr:uid="{F60248CF-56E9-4A02-9D5C-4D37A0846497}"/>
    <cellStyle name="60% - Accent4 4 8" xfId="27857" xr:uid="{B42A5364-9E8C-44B6-877A-7569EAF7351D}"/>
    <cellStyle name="60% - Accent4 4 9" xfId="27858" xr:uid="{CCDE9969-4FB4-4E69-B65A-14F926918098}"/>
    <cellStyle name="60% - Accent4 5" xfId="27859" xr:uid="{DFBA0720-67F7-4F44-95A6-28A7029F8601}"/>
    <cellStyle name="60% - Accent4 5 10" xfId="27860" xr:uid="{5C4D27B3-D722-44FB-9197-72B2D47F946B}"/>
    <cellStyle name="60% - Accent4 5 2" xfId="27861" xr:uid="{D2CBC1AC-38D5-45E6-915E-9417CEF45089}"/>
    <cellStyle name="60% - Accent4 5 3" xfId="27862" xr:uid="{F751F1C7-900D-4C26-A139-6BB1E97C0C3E}"/>
    <cellStyle name="60% - Accent4 5 4" xfId="27863" xr:uid="{0672A50A-47BA-4F12-B602-C3CD9D2A975C}"/>
    <cellStyle name="60% - Accent4 5 5" xfId="27864" xr:uid="{254451B7-84BD-4DB8-B042-64CD8CF4771B}"/>
    <cellStyle name="60% - Accent4 5 6" xfId="27865" xr:uid="{904BE68D-AA4B-49C0-8AD3-44FD8D138F03}"/>
    <cellStyle name="60% - Accent4 5 7" xfId="27866" xr:uid="{3A8C57EE-109E-472B-8403-38137E8D73AB}"/>
    <cellStyle name="60% - Accent4 5 8" xfId="27867" xr:uid="{6754AD23-4144-49E3-986C-D117EB0D6559}"/>
    <cellStyle name="60% - Accent4 5 9" xfId="27868" xr:uid="{8A81983D-1363-4DC4-A0B7-5B29E42DD07F}"/>
    <cellStyle name="60% - Accent5" xfId="59" builtinId="48" customBuiltin="1"/>
    <cellStyle name="60% - Accent5 2" xfId="92" xr:uid="{00000000-0005-0000-0000-000033000000}"/>
    <cellStyle name="60% - Accent5 2 10" xfId="27870" xr:uid="{03CB4301-8AD5-4B66-93DD-E2252DF44282}"/>
    <cellStyle name="60% - Accent5 2 11" xfId="27869" xr:uid="{A3E0B5AD-9D91-42B1-BCBD-10A51CC2E36A}"/>
    <cellStyle name="60% - Accent5 2 2" xfId="26207" xr:uid="{FF6074FF-A069-47EF-A285-EF0E63E90584}"/>
    <cellStyle name="60% - Accent5 2 2 2" xfId="27871" xr:uid="{B6A37CB7-2B7F-4FE3-A49A-B1D3053B0128}"/>
    <cellStyle name="60% - Accent5 2 3" xfId="27872" xr:uid="{E211B20F-7BB1-4E67-AA57-3F917329A710}"/>
    <cellStyle name="60% - Accent5 2 4" xfId="27873" xr:uid="{2337E323-0BBA-4915-BF11-17103D684FC9}"/>
    <cellStyle name="60% - Accent5 2 5" xfId="27874" xr:uid="{49587CF9-609A-4867-87F5-19D51BBA927C}"/>
    <cellStyle name="60% - Accent5 2 6" xfId="27875" xr:uid="{04C8C9E9-87C4-4AE7-BF0A-CE45BE5F55E3}"/>
    <cellStyle name="60% - Accent5 2 7" xfId="27876" xr:uid="{87188350-EBD0-4EF5-9D67-4CAC933D3600}"/>
    <cellStyle name="60% - Accent5 2 8" xfId="27877" xr:uid="{9CDB22F9-BDB6-4938-8FD4-B90B35837057}"/>
    <cellStyle name="60% - Accent5 2 9" xfId="27878" xr:uid="{9F69544F-8FD7-4681-9511-2AB33BAF0564}"/>
    <cellStyle name="60% - Accent5 2_PO Creation" xfId="27879" xr:uid="{E05161EC-F959-41B4-94CA-A86BB9FF807D}"/>
    <cellStyle name="60% - Accent5 3" xfId="265" xr:uid="{00000000-0005-0000-0000-000034000000}"/>
    <cellStyle name="60% - Accent5 3 10" xfId="27881" xr:uid="{AACBB6CF-8024-4DA8-88E6-6FB0BA6394BA}"/>
    <cellStyle name="60% - Accent5 3 11" xfId="27880" xr:uid="{3137F2D3-8443-417D-AD2F-D696E2424A3E}"/>
    <cellStyle name="60% - Accent5 3 2" xfId="27882" xr:uid="{A96FF384-06A6-4467-AD15-08C856B5B848}"/>
    <cellStyle name="60% - Accent5 3 3" xfId="27883" xr:uid="{BB7C59B9-D539-4B63-8ACF-3EEC7485CF13}"/>
    <cellStyle name="60% - Accent5 3 4" xfId="27884" xr:uid="{15938D89-E5B5-49AD-8E13-4B601F2F12BE}"/>
    <cellStyle name="60% - Accent5 3 5" xfId="27885" xr:uid="{C614B79A-A6C0-4020-B501-0D1F17A29AC3}"/>
    <cellStyle name="60% - Accent5 3 6" xfId="27886" xr:uid="{6CCBD01A-F602-49CB-AEF3-20D956A3E29C}"/>
    <cellStyle name="60% - Accent5 3 7" xfId="27887" xr:uid="{C1F23CEC-70F5-46B3-8E70-5703728366BC}"/>
    <cellStyle name="60% - Accent5 3 8" xfId="27888" xr:uid="{3A8CF5FE-58A3-4284-939F-FC05D1FD6C6E}"/>
    <cellStyle name="60% - Accent5 3 9" xfId="27889" xr:uid="{2DD76B4A-DB28-4F99-BD2E-995734FFB74F}"/>
    <cellStyle name="60% - Accent5 4" xfId="25786" xr:uid="{27F211A0-4BB5-4C11-938A-122E8BC0BC2C}"/>
    <cellStyle name="60% - Accent5 4 10" xfId="27891" xr:uid="{39C7380E-4637-4813-96C8-DA610FCBC227}"/>
    <cellStyle name="60% - Accent5 4 11" xfId="27890" xr:uid="{913262B5-EA4D-43C2-AFA7-D9C70AA8641D}"/>
    <cellStyle name="60% - Accent5 4 2" xfId="27892" xr:uid="{B06FC199-BBCE-4D86-A495-0AC913B8916E}"/>
    <cellStyle name="60% - Accent5 4 3" xfId="27893" xr:uid="{7755C02C-B9E8-406A-9BC0-1A0F9244FD5A}"/>
    <cellStyle name="60% - Accent5 4 4" xfId="27894" xr:uid="{6640444B-7D40-47BE-8838-FE78A62157FC}"/>
    <cellStyle name="60% - Accent5 4 5" xfId="27895" xr:uid="{2A8695FB-0777-4436-B090-07E9E038C544}"/>
    <cellStyle name="60% - Accent5 4 6" xfId="27896" xr:uid="{5CB7702E-D064-4193-A043-4554ACE8BA44}"/>
    <cellStyle name="60% - Accent5 4 7" xfId="27897" xr:uid="{F9BBE43E-7BC1-47E0-A6BC-A08340C74CF6}"/>
    <cellStyle name="60% - Accent5 4 8" xfId="27898" xr:uid="{3B9F0CC2-866A-4C55-848C-FFBD8242AF9E}"/>
    <cellStyle name="60% - Accent5 4 9" xfId="27899" xr:uid="{8B1147A8-A664-415F-8163-AE6888292FC0}"/>
    <cellStyle name="60% - Accent5 5" xfId="27900" xr:uid="{55BC1A45-AD31-4EEB-9572-80415E29EAC1}"/>
    <cellStyle name="60% - Accent5 5 10" xfId="27901" xr:uid="{006D2A8A-62DB-4142-9370-001AE1DF61C8}"/>
    <cellStyle name="60% - Accent5 5 2" xfId="27902" xr:uid="{AA133E78-1421-41E9-B5F8-EE050ACC23A5}"/>
    <cellStyle name="60% - Accent5 5 3" xfId="27903" xr:uid="{884E7073-ECE6-42B7-B50E-48A5877E822C}"/>
    <cellStyle name="60% - Accent5 5 4" xfId="27904" xr:uid="{0939A262-987B-429F-9A87-1F74D98FB6FB}"/>
    <cellStyle name="60% - Accent5 5 5" xfId="27905" xr:uid="{59AB75F2-464C-49B0-8D4C-FBBDBC4DE1CC}"/>
    <cellStyle name="60% - Accent5 5 6" xfId="27906" xr:uid="{662B62EE-7C59-416B-A701-3B158D83D8B1}"/>
    <cellStyle name="60% - Accent5 5 7" xfId="27907" xr:uid="{A19CF4BF-A682-41AD-8B10-826B7C75987C}"/>
    <cellStyle name="60% - Accent5 5 8" xfId="27908" xr:uid="{EC4E045F-CC9C-42F2-86B5-5D8507729EE0}"/>
    <cellStyle name="60% - Accent5 5 9" xfId="27909" xr:uid="{618F598E-F455-4A12-82A2-5B7A2392217B}"/>
    <cellStyle name="60% - Accent6" xfId="63" builtinId="52" customBuiltin="1"/>
    <cellStyle name="60% - Accent6 2" xfId="93" xr:uid="{00000000-0005-0000-0000-000036000000}"/>
    <cellStyle name="60% - Accent6 2 10" xfId="27911" xr:uid="{9065F83B-4D4A-4ACE-B80F-2CD0AE8C887C}"/>
    <cellStyle name="60% - Accent6 2 11" xfId="27910" xr:uid="{C0B45EE4-B966-4017-BB27-F937D1A6E21B}"/>
    <cellStyle name="60% - Accent6 2 2" xfId="26218" xr:uid="{091FD332-19A4-4E2A-B7E3-73D3324B9B89}"/>
    <cellStyle name="60% - Accent6 2 2 2" xfId="27912" xr:uid="{C6B13EAB-A047-4911-BC89-E81F2F488C3B}"/>
    <cellStyle name="60% - Accent6 2 3" xfId="26110" xr:uid="{F60F7AAB-4F43-4442-9799-7B5FB6D2663A}"/>
    <cellStyle name="60% - Accent6 2 3 2" xfId="27913" xr:uid="{24E22F58-14B0-42B4-BB5D-4DF62CEC37E2}"/>
    <cellStyle name="60% - Accent6 2 4" xfId="27914" xr:uid="{4E0B57A8-690C-437E-A8A4-E5C8480042AA}"/>
    <cellStyle name="60% - Accent6 2 5" xfId="27915" xr:uid="{234DCA7C-41DD-4D21-8AEF-61E4B5502571}"/>
    <cellStyle name="60% - Accent6 2 6" xfId="27916" xr:uid="{E95D377D-B4AF-4CE2-A9C0-684004E4DDCA}"/>
    <cellStyle name="60% - Accent6 2 7" xfId="27917" xr:uid="{4A210E5F-82F2-45DD-9F45-12BBF14A5663}"/>
    <cellStyle name="60% - Accent6 2 8" xfId="27918" xr:uid="{1AA9615C-9A7D-4965-AFF0-073DDF7C348C}"/>
    <cellStyle name="60% - Accent6 2 9" xfId="27919" xr:uid="{2373FAA7-69E5-4B12-9CCA-3ADF22D2C792}"/>
    <cellStyle name="60% - Accent6 2_PO Creation" xfId="27920" xr:uid="{3408C9CD-894D-41D2-9886-1EAB772CDD7F}"/>
    <cellStyle name="60% - Accent6 3" xfId="266" xr:uid="{00000000-0005-0000-0000-000037000000}"/>
    <cellStyle name="60% - Accent6 3 10" xfId="27922" xr:uid="{B918F6F8-4D3B-453A-B7A4-A145765AEAF0}"/>
    <cellStyle name="60% - Accent6 3 11" xfId="27921" xr:uid="{425A4454-ABDE-436B-8FD0-93703F8B03D7}"/>
    <cellStyle name="60% - Accent6 3 2" xfId="27923" xr:uid="{AA6B375E-5009-44E7-B93F-44036415228D}"/>
    <cellStyle name="60% - Accent6 3 3" xfId="27924" xr:uid="{FA8CDD93-C17B-484A-96B7-80F57FA7AE80}"/>
    <cellStyle name="60% - Accent6 3 4" xfId="27925" xr:uid="{FC85DA7A-AD5E-4B24-A9B2-E46384070461}"/>
    <cellStyle name="60% - Accent6 3 5" xfId="27926" xr:uid="{9D24E7E2-8CB7-43A7-9441-52D84C82D49D}"/>
    <cellStyle name="60% - Accent6 3 6" xfId="27927" xr:uid="{67842900-59A2-4B85-8DF5-0DE968A56056}"/>
    <cellStyle name="60% - Accent6 3 7" xfId="27928" xr:uid="{A72333FF-F1AC-4F1D-A05B-B898CD627634}"/>
    <cellStyle name="60% - Accent6 3 8" xfId="27929" xr:uid="{70CAFF0C-FC6C-4EFC-AAAD-B8CC14B14A09}"/>
    <cellStyle name="60% - Accent6 3 9" xfId="27930" xr:uid="{530E78B5-DCEC-424B-BC47-3AD860075255}"/>
    <cellStyle name="60% - Accent6 4" xfId="25787" xr:uid="{9FEDC77E-ACA8-491C-84AD-3505ACB6A59C}"/>
    <cellStyle name="60% - Accent6 4 10" xfId="27932" xr:uid="{6026FB79-8B30-4DCF-B89C-38BEA4FEB909}"/>
    <cellStyle name="60% - Accent6 4 11" xfId="27931" xr:uid="{36F17B41-9B02-419E-8A08-62C42B01EC95}"/>
    <cellStyle name="60% - Accent6 4 2" xfId="27933" xr:uid="{9C739D59-0D64-43C4-99F7-35B15C398DC1}"/>
    <cellStyle name="60% - Accent6 4 3" xfId="27934" xr:uid="{0C88FED9-7350-4980-AB0F-DD91DAEBA16A}"/>
    <cellStyle name="60% - Accent6 4 4" xfId="27935" xr:uid="{7D4DF212-501B-4533-8C70-BD2F74ABDE55}"/>
    <cellStyle name="60% - Accent6 4 5" xfId="27936" xr:uid="{BAA33B60-7953-437F-B3CB-B8FCB9D0FC41}"/>
    <cellStyle name="60% - Accent6 4 6" xfId="27937" xr:uid="{B2D70F7C-2BE9-4775-ADE2-CEC41A43FB39}"/>
    <cellStyle name="60% - Accent6 4 7" xfId="27938" xr:uid="{1415073E-2E2C-48A7-B1E2-6928BF26F908}"/>
    <cellStyle name="60% - Accent6 4 8" xfId="27939" xr:uid="{A100E0FC-209E-4BAA-B502-95B67A6B94BA}"/>
    <cellStyle name="60% - Accent6 4 9" xfId="27940" xr:uid="{F5BDF4E3-1470-4B11-8115-87438FD826A4}"/>
    <cellStyle name="60% - Accent6 5" xfId="27941" xr:uid="{4BAD21E5-05D9-40A4-BD68-6211B0319644}"/>
    <cellStyle name="60% - Accent6 5 10" xfId="27942" xr:uid="{88A2988F-DDE7-437C-8502-658FCCD51FAA}"/>
    <cellStyle name="60% - Accent6 5 2" xfId="27943" xr:uid="{65C9C0AE-2C64-426D-A5AA-B5B2DA16B429}"/>
    <cellStyle name="60% - Accent6 5 3" xfId="27944" xr:uid="{F5D3E407-6C30-4E36-ACF8-F0B0AB815302}"/>
    <cellStyle name="60% - Accent6 5 4" xfId="27945" xr:uid="{1EC91187-F950-4FF1-BF3F-96A5C948E978}"/>
    <cellStyle name="60% - Accent6 5 5" xfId="27946" xr:uid="{8A14EC38-FD3A-4AE8-98BB-828A575BB294}"/>
    <cellStyle name="60% - Accent6 5 6" xfId="27947" xr:uid="{A3202798-D32A-4A67-9AF3-B9414227DEA4}"/>
    <cellStyle name="60% - Accent6 5 7" xfId="27948" xr:uid="{7896A086-A211-48B1-86D3-FCAFD50483B7}"/>
    <cellStyle name="60% - Accent6 5 8" xfId="27949" xr:uid="{FFEF00C2-A6A7-4B06-B9BF-ADF3ACD0D640}"/>
    <cellStyle name="60% - Accent6 5 9" xfId="27950" xr:uid="{1644B754-1CF1-41FA-90E3-8C5AD32ED291}"/>
    <cellStyle name="60% - 强调文字颜色 1 2" xfId="25930" xr:uid="{FFE1FD3B-22A3-42E2-A174-B4DB08492CF6}"/>
    <cellStyle name="60% - 强调文字颜色 2 2" xfId="25931" xr:uid="{D88783A2-B451-4604-BB26-A671E559E698}"/>
    <cellStyle name="60% - 强调文字颜色 3 2" xfId="25932" xr:uid="{8709F6ED-3F2E-4570-A933-3F498459DF24}"/>
    <cellStyle name="60% - 强调文字颜色 4 2" xfId="25918" xr:uid="{8C10DCF5-628D-4572-A25B-DB1FF6B5070E}"/>
    <cellStyle name="60% - 强调文字颜色 5 2" xfId="25933" xr:uid="{62CC26D3-EA35-49AF-9723-6658E5D1FCA3}"/>
    <cellStyle name="60% - 强调文字颜色 6 2" xfId="25934" xr:uid="{A34CC01C-B1BA-434C-802A-26C42A6A0C84}"/>
    <cellStyle name="9" xfId="27951" xr:uid="{44FEFDCE-A645-4F06-8E33-E3A2FE7284A5}"/>
    <cellStyle name="Accent1" xfId="40" builtinId="29" customBuiltin="1"/>
    <cellStyle name="Accent1 2" xfId="94" xr:uid="{00000000-0005-0000-0000-000039000000}"/>
    <cellStyle name="Accent1 2 10" xfId="27952" xr:uid="{E1755CDE-1906-45CC-88CA-860D18DC522F}"/>
    <cellStyle name="Accent1 2 2" xfId="26205" xr:uid="{4079F20E-EBF3-421C-BC92-951C4D124402}"/>
    <cellStyle name="Accent1 2 2 2" xfId="27953" xr:uid="{66839B59-5590-4BE0-8F39-A956FCA226C0}"/>
    <cellStyle name="Accent1 2 3" xfId="26118" xr:uid="{4E932D64-AFB2-4248-9A2D-8BFFE06827DA}"/>
    <cellStyle name="Accent1 2 3 2" xfId="27954" xr:uid="{A8DD83AB-4665-42AD-B74C-528B5FACEA5A}"/>
    <cellStyle name="Accent1 2 4" xfId="27955" xr:uid="{61524F35-5D29-4736-84E7-0CB380098F4C}"/>
    <cellStyle name="Accent1 2 5" xfId="27956" xr:uid="{7DC0E2F1-A3B1-48FC-B09C-69798FB574AA}"/>
    <cellStyle name="Accent1 2 6" xfId="27957" xr:uid="{3025EA1F-0739-432F-AB24-990085587557}"/>
    <cellStyle name="Accent1 2 7" xfId="27958" xr:uid="{A1D898CF-EED6-40F8-878D-C2D7466CFAE5}"/>
    <cellStyle name="Accent1 2 8" xfId="27959" xr:uid="{8BA773C2-948A-4B21-95A1-A8B62DB72802}"/>
    <cellStyle name="Accent1 2 9" xfId="27960" xr:uid="{704A16F7-BE98-408E-A2AB-A9D550E4FAFA}"/>
    <cellStyle name="Accent1 2_WBS Creation" xfId="27961" xr:uid="{358F7658-7F01-4783-B441-256556EBE390}"/>
    <cellStyle name="Accent1 3 10" xfId="27962" xr:uid="{998EEC58-DE6B-44C1-9E65-6C3B736BAA26}"/>
    <cellStyle name="Accent1 3 2" xfId="27963" xr:uid="{64856220-D1DD-45DB-B3EC-29FE475727FE}"/>
    <cellStyle name="Accent1 3 3" xfId="27964" xr:uid="{1A84B7B4-8A94-446B-B245-4C10BE1B5511}"/>
    <cellStyle name="Accent1 3 4" xfId="27965" xr:uid="{5A4D7185-CB36-4ADC-9AE8-4787E39C0DDF}"/>
    <cellStyle name="Accent1 3 5" xfId="27966" xr:uid="{71345724-8AC2-4F67-8475-C9997EE440D7}"/>
    <cellStyle name="Accent1 3 6" xfId="27967" xr:uid="{363AB1EE-2FC0-4FC3-8EA4-1D68497C0303}"/>
    <cellStyle name="Accent1 3 7" xfId="27968" xr:uid="{C77C949E-ADC1-4F01-96C3-D45722459C32}"/>
    <cellStyle name="Accent1 3 8" xfId="27969" xr:uid="{09BBB17A-1AF8-4B81-82CE-68C692B85A4C}"/>
    <cellStyle name="Accent1 3 9" xfId="27970" xr:uid="{CC7E7CBD-4F4A-4E7A-9594-9AE419FDB55E}"/>
    <cellStyle name="Accent1 4 10" xfId="27971" xr:uid="{DF71A1F9-D859-4804-8EE9-60EB0A8DEE99}"/>
    <cellStyle name="Accent1 4 2" xfId="27972" xr:uid="{8BA64F68-0BAC-487A-A396-3BCF5387D7F8}"/>
    <cellStyle name="Accent1 4 3" xfId="27973" xr:uid="{E4F21E7A-1C89-4E20-8375-BEEA9CE15837}"/>
    <cellStyle name="Accent1 4 4" xfId="27974" xr:uid="{0D2E7FE8-9003-4B27-9A13-91C0F965D9B6}"/>
    <cellStyle name="Accent1 4 5" xfId="27975" xr:uid="{CBF8A557-6A88-4CBD-8E2E-DA57CFE6CFE5}"/>
    <cellStyle name="Accent1 4 6" xfId="27976" xr:uid="{59E5D3F8-5C3A-471E-8B0E-DA525DBAFA58}"/>
    <cellStyle name="Accent1 4 7" xfId="27977" xr:uid="{993956A5-4C5D-4395-8A81-2727D374D340}"/>
    <cellStyle name="Accent1 4 8" xfId="27978" xr:uid="{0B72AD06-2111-4576-804E-717577B74C49}"/>
    <cellStyle name="Accent1 4 9" xfId="27979" xr:uid="{4E4AB918-1D32-4EB1-BC90-4B0E384E2F37}"/>
    <cellStyle name="Accent1 5 10" xfId="27980" xr:uid="{D2A1ACDB-52F1-4CEB-8D60-2687949D67EA}"/>
    <cellStyle name="Accent1 5 2" xfId="27981" xr:uid="{17F8E165-DC06-4149-95D8-167511523A5B}"/>
    <cellStyle name="Accent1 5 3" xfId="27982" xr:uid="{11A15024-6062-4478-9DE3-3EB8535CFA56}"/>
    <cellStyle name="Accent1 5 4" xfId="27983" xr:uid="{2B357FE8-B793-4116-B228-9FEB1C9B9E26}"/>
    <cellStyle name="Accent1 5 5" xfId="27984" xr:uid="{070F3F51-4518-4E48-B057-294B1A12111C}"/>
    <cellStyle name="Accent1 5 6" xfId="27985" xr:uid="{7F7E2E2A-23A6-445C-86F2-522B01E56F75}"/>
    <cellStyle name="Accent1 5 7" xfId="27986" xr:uid="{CDF4FC71-FF82-43FC-977A-2A1920A8EE45}"/>
    <cellStyle name="Accent1 5 8" xfId="27987" xr:uid="{A47EC5EE-B3C5-40E1-A371-5D96CF990222}"/>
    <cellStyle name="Accent1 5 9" xfId="27988" xr:uid="{9E5024CA-87F7-4030-8D6B-CD5BDEE4B7FA}"/>
    <cellStyle name="Accent2" xfId="44" builtinId="33" customBuiltin="1"/>
    <cellStyle name="Accent2 2" xfId="95" xr:uid="{00000000-0005-0000-0000-00003B000000}"/>
    <cellStyle name="Accent2 2 10" xfId="27989" xr:uid="{AA792169-20F3-4A0F-A0EE-4C25C6894692}"/>
    <cellStyle name="Accent2 2 2" xfId="26200" xr:uid="{D41DD81B-1B63-4529-A5FB-46B59994BE65}"/>
    <cellStyle name="Accent2 2 2 2" xfId="27990" xr:uid="{77B360E8-1330-4CA8-8DF1-C56F78DEE02E}"/>
    <cellStyle name="Accent2 2 3" xfId="27991" xr:uid="{9FA1627B-50AB-4135-B3AE-57832E4070DE}"/>
    <cellStyle name="Accent2 2 4" xfId="27992" xr:uid="{BB1ADF65-0625-47DA-83D4-368D997BD25D}"/>
    <cellStyle name="Accent2 2 5" xfId="27993" xr:uid="{CB8F5090-06CB-4713-A5F7-F7A36AA4304D}"/>
    <cellStyle name="Accent2 2 6" xfId="27994" xr:uid="{122DA123-28AD-4FE7-8A7C-79A03DC7DEFF}"/>
    <cellStyle name="Accent2 2 7" xfId="27995" xr:uid="{DF893291-3A5C-409E-B513-8620D24B4125}"/>
    <cellStyle name="Accent2 2 8" xfId="27996" xr:uid="{CF32511E-265C-4FCB-BE20-7FAD060D3F7E}"/>
    <cellStyle name="Accent2 2 9" xfId="27997" xr:uid="{9FC7CEF8-D7BD-4837-8285-319D74BE51E9}"/>
    <cellStyle name="Accent2 2_WBS Creation" xfId="27998" xr:uid="{EE28F990-10A8-47CC-9D27-314B8A05B2F9}"/>
    <cellStyle name="Accent2 3 10" xfId="27999" xr:uid="{3F0B61F0-B4D3-472D-A330-BF1E7EC2DE2E}"/>
    <cellStyle name="Accent2 3 2" xfId="28000" xr:uid="{6D4564D3-96DD-46BD-BCD5-5B943F542168}"/>
    <cellStyle name="Accent2 3 3" xfId="28001" xr:uid="{93F40DA2-D42A-4B36-B26B-C0EB317256EA}"/>
    <cellStyle name="Accent2 3 4" xfId="28002" xr:uid="{67273E69-F7C9-45B2-B0E2-922FA1DB3A7E}"/>
    <cellStyle name="Accent2 3 5" xfId="28003" xr:uid="{4A2B9A09-3180-4BFB-8C56-64AC6CE4812B}"/>
    <cellStyle name="Accent2 3 6" xfId="28004" xr:uid="{9DCE0DB6-ACFD-4120-81CE-581EBA99B0D2}"/>
    <cellStyle name="Accent2 3 7" xfId="28005" xr:uid="{D6F8CDEA-1A15-49A8-8D38-41D912276431}"/>
    <cellStyle name="Accent2 3 8" xfId="28006" xr:uid="{3BC9F4C5-7606-42E3-AB95-3A31BBD22ADA}"/>
    <cellStyle name="Accent2 3 9" xfId="28007" xr:uid="{439AAB9C-2009-4870-B0BF-B244AE06414E}"/>
    <cellStyle name="Accent2 4 10" xfId="28008" xr:uid="{FFFE6C8E-8164-444A-96DA-3D401CC1ED8A}"/>
    <cellStyle name="Accent2 4 2" xfId="28009" xr:uid="{703E16E4-6746-4004-8D34-90B830FA5EAF}"/>
    <cellStyle name="Accent2 4 3" xfId="28010" xr:uid="{0CCCE320-D348-4B15-87CE-5B6670BE8720}"/>
    <cellStyle name="Accent2 4 4" xfId="28011" xr:uid="{0EE37BDC-CFA9-4108-8B38-9E69F0250933}"/>
    <cellStyle name="Accent2 4 5" xfId="28012" xr:uid="{7B64EE61-A989-4382-8DEB-D70C1C4DB867}"/>
    <cellStyle name="Accent2 4 6" xfId="28013" xr:uid="{A3E64F9A-891B-4E87-97EC-2D401B54EB3A}"/>
    <cellStyle name="Accent2 4 7" xfId="28014" xr:uid="{CCA4D6D8-9DEF-4974-B0F0-6555ABB599F0}"/>
    <cellStyle name="Accent2 4 8" xfId="28015" xr:uid="{4C0BF2E1-582F-4DAA-8CBC-4772D42ECE0F}"/>
    <cellStyle name="Accent2 4 9" xfId="28016" xr:uid="{4E7D2A58-2574-4BBF-9004-D018CFEF3F10}"/>
    <cellStyle name="Accent2 5 10" xfId="28017" xr:uid="{D582C8E1-5A40-4DB5-BB4D-630C0B8F2C9C}"/>
    <cellStyle name="Accent2 5 2" xfId="28018" xr:uid="{2C75CCA2-5D3A-432E-B7EB-576D59081BED}"/>
    <cellStyle name="Accent2 5 3" xfId="28019" xr:uid="{E82C11E7-CC56-4005-B75D-ECBFBB57E733}"/>
    <cellStyle name="Accent2 5 4" xfId="28020" xr:uid="{A3C0C1A9-D1AF-4A16-A154-901F8A3C6B41}"/>
    <cellStyle name="Accent2 5 5" xfId="28021" xr:uid="{FE79D80B-2944-4CC3-AEC1-55FD1EF949F5}"/>
    <cellStyle name="Accent2 5 6" xfId="28022" xr:uid="{FD69434B-0AAB-4D8D-AD1E-58AE9209B1F1}"/>
    <cellStyle name="Accent2 5 7" xfId="28023" xr:uid="{04ED4B77-D27C-43B0-9B6D-82A224543C0C}"/>
    <cellStyle name="Accent2 5 8" xfId="28024" xr:uid="{02E35021-872E-4A07-996C-992B40F1E2EA}"/>
    <cellStyle name="Accent2 5 9" xfId="28025" xr:uid="{C457593D-4141-434C-B5AB-C5AF88098AAD}"/>
    <cellStyle name="Accent3" xfId="48" builtinId="37" customBuiltin="1"/>
    <cellStyle name="Accent3 2" xfId="96" xr:uid="{00000000-0005-0000-0000-00003D000000}"/>
    <cellStyle name="Accent3 2 10" xfId="28026" xr:uid="{A69328FB-D583-4A15-878B-966A06AEF333}"/>
    <cellStyle name="Accent3 2 2" xfId="26214" xr:uid="{B9693E18-A2B5-4B3C-B86F-D71071923765}"/>
    <cellStyle name="Accent3 2 2 2" xfId="28027" xr:uid="{ED612E7E-035F-4C8C-AB16-0212B75FF21F}"/>
    <cellStyle name="Accent3 2 3" xfId="28028" xr:uid="{C97B8231-80F5-4EFD-976D-CA612B41AE2B}"/>
    <cellStyle name="Accent3 2 4" xfId="28029" xr:uid="{65F5581C-AADB-4A89-90FE-06B75D270980}"/>
    <cellStyle name="Accent3 2 5" xfId="28030" xr:uid="{09A2BFDE-DC56-4053-B008-968E334E6B02}"/>
    <cellStyle name="Accent3 2 6" xfId="28031" xr:uid="{0C25726D-148A-45D0-B5BF-529DD521F8B6}"/>
    <cellStyle name="Accent3 2 7" xfId="28032" xr:uid="{DE4A7037-0E83-48A6-90FD-03AA1B30C090}"/>
    <cellStyle name="Accent3 2 8" xfId="28033" xr:uid="{A5A2E731-7C2E-42DB-A715-596CB282E970}"/>
    <cellStyle name="Accent3 2 9" xfId="28034" xr:uid="{47BC9A5D-4EC3-4037-A2E5-938D0194A292}"/>
    <cellStyle name="Accent3 2_WBS Creation" xfId="28035" xr:uid="{C77297BA-662C-4C9A-8E0F-40D20AB1CD26}"/>
    <cellStyle name="Accent3 3 10" xfId="28036" xr:uid="{E548E6C1-5A4B-4A5A-8F9A-1B87546DFEA5}"/>
    <cellStyle name="Accent3 3 2" xfId="28037" xr:uid="{756CAF12-DA33-4B6B-866F-118334557C05}"/>
    <cellStyle name="Accent3 3 3" xfId="28038" xr:uid="{BA3A58E1-BEEC-4782-BF99-122152D858B6}"/>
    <cellStyle name="Accent3 3 4" xfId="28039" xr:uid="{C6C82673-E560-4792-8144-26DE52C736FE}"/>
    <cellStyle name="Accent3 3 5" xfId="28040" xr:uid="{45620FEC-3DA8-499D-A956-276CB4F06E2E}"/>
    <cellStyle name="Accent3 3 6" xfId="28041" xr:uid="{B37C1618-ACC9-4292-A40D-B019F94F5CF4}"/>
    <cellStyle name="Accent3 3 7" xfId="28042" xr:uid="{E23EC649-D8CD-47A3-8FCF-E0B289187C32}"/>
    <cellStyle name="Accent3 3 8" xfId="28043" xr:uid="{BF787BD4-893E-4760-9F16-D44173862651}"/>
    <cellStyle name="Accent3 3 9" xfId="28044" xr:uid="{867B0BB9-BD11-4FC3-AD60-5B5BD316DF40}"/>
    <cellStyle name="Accent3 4 10" xfId="28045" xr:uid="{175E3666-E2D5-4C70-B5AD-B89AF5DEB6E0}"/>
    <cellStyle name="Accent3 4 2" xfId="28046" xr:uid="{E20232AB-55A4-4F1B-B28F-0BB8BCCFEC92}"/>
    <cellStyle name="Accent3 4 3" xfId="28047" xr:uid="{3F2441E7-86F7-47EA-86FA-816C3F66CFAC}"/>
    <cellStyle name="Accent3 4 4" xfId="28048" xr:uid="{24B616E6-A268-43D6-8F34-33D126682F65}"/>
    <cellStyle name="Accent3 4 5" xfId="28049" xr:uid="{E0A6DD37-5A0F-4E70-8CFE-DDBAD9A33F33}"/>
    <cellStyle name="Accent3 4 6" xfId="28050" xr:uid="{5D4B962C-8368-406D-A44A-1551088681A9}"/>
    <cellStyle name="Accent3 4 7" xfId="28051" xr:uid="{2A2205C8-C14B-467A-AA33-6C1695E7E826}"/>
    <cellStyle name="Accent3 4 8" xfId="28052" xr:uid="{10F21B18-7A18-4F3A-94C9-C22F354BCA00}"/>
    <cellStyle name="Accent3 4 9" xfId="28053" xr:uid="{D6E41EE1-F6BA-48C8-A1C4-C8DADFEEA856}"/>
    <cellStyle name="Accent3 5 10" xfId="28054" xr:uid="{0A09D158-09B0-413E-8BBE-993EBFF0F853}"/>
    <cellStyle name="Accent3 5 2" xfId="28055" xr:uid="{64766DD4-F5CC-4357-8E5D-B7180EF5A74F}"/>
    <cellStyle name="Accent3 5 3" xfId="28056" xr:uid="{5FBE3A37-CD90-4C0B-873F-684C642BA2B5}"/>
    <cellStyle name="Accent3 5 4" xfId="28057" xr:uid="{571FC01C-F26D-4E08-8E45-5AE05BD66123}"/>
    <cellStyle name="Accent3 5 5" xfId="28058" xr:uid="{3ACBF97A-566D-4A87-8758-F0674C5BB72D}"/>
    <cellStyle name="Accent3 5 6" xfId="28059" xr:uid="{157641FB-F516-40E0-8F57-12B1A5A0F139}"/>
    <cellStyle name="Accent3 5 7" xfId="28060" xr:uid="{2F700967-9D14-4083-A50F-94AF2322C5BA}"/>
    <cellStyle name="Accent3 5 8" xfId="28061" xr:uid="{1A2084BA-2D19-4267-BA9B-00F060EB63DE}"/>
    <cellStyle name="Accent3 5 9" xfId="28062" xr:uid="{BBB9873F-BFA7-4AB5-8334-9A1C9F79404B}"/>
    <cellStyle name="Accent4" xfId="52" builtinId="41" customBuiltin="1"/>
    <cellStyle name="Accent4 2" xfId="97" xr:uid="{00000000-0005-0000-0000-00003F000000}"/>
    <cellStyle name="Accent4 2 10" xfId="28063" xr:uid="{1FF59E9E-D420-4E6B-98C5-0F3D5524C2EE}"/>
    <cellStyle name="Accent4 2 2" xfId="26236" xr:uid="{E2456015-0AAC-4AE3-AF1E-085EAC87BF63}"/>
    <cellStyle name="Accent4 2 2 2" xfId="28064" xr:uid="{496960AC-6E80-4141-A09C-E24F65A3DA3C}"/>
    <cellStyle name="Accent4 2 3" xfId="26096" xr:uid="{2C1E8121-9739-493D-B3A9-C6022FDEDA2C}"/>
    <cellStyle name="Accent4 2 3 2" xfId="28065" xr:uid="{C0FC48D1-54B6-4DF3-968F-4F7DF1472BD3}"/>
    <cellStyle name="Accent4 2 4" xfId="28066" xr:uid="{35920595-AB15-41B5-9E28-0E6B850ECEFF}"/>
    <cellStyle name="Accent4 2 5" xfId="28067" xr:uid="{E805437D-45F8-478E-BD23-896D1988048D}"/>
    <cellStyle name="Accent4 2 6" xfId="28068" xr:uid="{B6590431-6FB9-42A3-9DAF-FDF19FA25D7B}"/>
    <cellStyle name="Accent4 2 7" xfId="28069" xr:uid="{CB83F5AB-0770-410E-BE7C-C4DE4A2740D7}"/>
    <cellStyle name="Accent4 2 8" xfId="28070" xr:uid="{4F2D6A4D-5C33-4F36-9F36-97837DA593BF}"/>
    <cellStyle name="Accent4 2 9" xfId="28071" xr:uid="{8C72C710-42AD-44B3-9E4B-DD7EC3BBBCBC}"/>
    <cellStyle name="Accent4 2_WBS Creation" xfId="28072" xr:uid="{6CABEC0D-B45A-47BB-9EEB-2B924ADACD5E}"/>
    <cellStyle name="Accent4 3 10" xfId="28073" xr:uid="{57B0551B-EFF4-4317-B722-F2E6A1C341D2}"/>
    <cellStyle name="Accent4 3 2" xfId="28074" xr:uid="{E5A079B6-1292-4454-8F66-2A516FDEB26D}"/>
    <cellStyle name="Accent4 3 3" xfId="28075" xr:uid="{9720F2FB-A543-4603-833D-361B3F58C236}"/>
    <cellStyle name="Accent4 3 4" xfId="28076" xr:uid="{B9E02EC6-AB6A-43DE-9197-7101F5ED5D8A}"/>
    <cellStyle name="Accent4 3 5" xfId="28077" xr:uid="{B56192FE-2A42-4668-AF08-520455CD2310}"/>
    <cellStyle name="Accent4 3 6" xfId="28078" xr:uid="{D0D78948-FB99-4767-B9A6-B1B494E4DA18}"/>
    <cellStyle name="Accent4 3 7" xfId="28079" xr:uid="{C5258EF3-DC0B-493B-B100-CDFACBA1DBA5}"/>
    <cellStyle name="Accent4 3 8" xfId="28080" xr:uid="{0F3C2CAD-1EF4-41E1-AEF3-3B0F2C001563}"/>
    <cellStyle name="Accent4 3 9" xfId="28081" xr:uid="{A84DDC75-F6A9-42B2-BB09-F9B93B117EE0}"/>
    <cellStyle name="Accent4 4 10" xfId="28082" xr:uid="{41F09C13-8A59-4EC5-86EA-B46AECBF8BE4}"/>
    <cellStyle name="Accent4 4 2" xfId="28083" xr:uid="{30143CFC-4751-4DB4-BCF3-86D2B1C2F272}"/>
    <cellStyle name="Accent4 4 3" xfId="28084" xr:uid="{370A7CE7-3CEC-4AF7-9432-EECB85979120}"/>
    <cellStyle name="Accent4 4 4" xfId="28085" xr:uid="{9E527E5F-3015-460D-B888-00B16CD56A46}"/>
    <cellStyle name="Accent4 4 5" xfId="28086" xr:uid="{612A3CB7-AA1C-432E-8A04-79B98C1170C3}"/>
    <cellStyle name="Accent4 4 6" xfId="28087" xr:uid="{1F4B83C4-9E35-4C7C-88FB-D5D598C7B04D}"/>
    <cellStyle name="Accent4 4 7" xfId="28088" xr:uid="{9E38FFB3-65C6-4D67-9C6C-BF6FE9F7A65F}"/>
    <cellStyle name="Accent4 4 8" xfId="28089" xr:uid="{F93E65A1-7F6C-4477-BCD1-CA53BB9E1554}"/>
    <cellStyle name="Accent4 4 9" xfId="28090" xr:uid="{0E2CA8C8-DF02-4ABB-A10B-C74F3F786286}"/>
    <cellStyle name="Accent4 5 10" xfId="28091" xr:uid="{0872F343-5DAA-4C1C-BA2D-A534C37E1B29}"/>
    <cellStyle name="Accent4 5 2" xfId="28092" xr:uid="{BF9BC3C2-A988-4AF0-A20B-14D079C86592}"/>
    <cellStyle name="Accent4 5 3" xfId="28093" xr:uid="{F6117D7B-6E82-4C6C-9C25-2FD088C9FBAE}"/>
    <cellStyle name="Accent4 5 4" xfId="28094" xr:uid="{AA250B07-F6B8-4E80-B860-FA70B8E26775}"/>
    <cellStyle name="Accent4 5 5" xfId="28095" xr:uid="{0932D7C2-358C-40C2-8DBF-B4A483AAFF72}"/>
    <cellStyle name="Accent4 5 6" xfId="28096" xr:uid="{392D74EB-3649-4F63-A864-459E91D91C75}"/>
    <cellStyle name="Accent4 5 7" xfId="28097" xr:uid="{60874B77-E054-4AA3-AE29-48891321CF92}"/>
    <cellStyle name="Accent4 5 8" xfId="28098" xr:uid="{B5F44BCF-42E1-4C98-80F9-F67F0CE61493}"/>
    <cellStyle name="Accent4 5 9" xfId="28099" xr:uid="{C2450342-C615-45CF-B0C8-3166880E0A0E}"/>
    <cellStyle name="Accent5" xfId="56" builtinId="45" customBuiltin="1"/>
    <cellStyle name="Accent5 2" xfId="98" xr:uid="{00000000-0005-0000-0000-000041000000}"/>
    <cellStyle name="Accent5 2 10" xfId="28100" xr:uid="{1E6584CE-2E75-4DAE-9623-5F0ADDF76C62}"/>
    <cellStyle name="Accent5 2 2" xfId="26199" xr:uid="{AB8902A4-2971-43C2-8AF5-4632276DF99A}"/>
    <cellStyle name="Accent5 2 2 2" xfId="28101" xr:uid="{097FEC45-8DFF-4C4F-AF0C-82A85948C19D}"/>
    <cellStyle name="Accent5 2 3" xfId="28102" xr:uid="{D6F02B69-D0C3-441E-923E-4EBF7C243352}"/>
    <cellStyle name="Accent5 2 4" xfId="28103" xr:uid="{6F1BA8D4-E957-4FD5-B818-06B4D708DF64}"/>
    <cellStyle name="Accent5 2 5" xfId="28104" xr:uid="{C25918EE-4E08-4EDE-881C-D686D7F553FD}"/>
    <cellStyle name="Accent5 2 6" xfId="28105" xr:uid="{A8C5A68E-FA07-4EA2-AF65-098406C719C6}"/>
    <cellStyle name="Accent5 2 7" xfId="28106" xr:uid="{4DB0F3F9-6322-45CB-8C5C-71A644DAE401}"/>
    <cellStyle name="Accent5 2 8" xfId="28107" xr:uid="{8A1BF2A5-F0EA-4257-8DF6-54108C8E95A6}"/>
    <cellStyle name="Accent5 2 9" xfId="28108" xr:uid="{FC05C11C-9009-48B8-8C90-DAB063DA041B}"/>
    <cellStyle name="Accent5 2_WBS Creation" xfId="28109" xr:uid="{1590C3D5-6CA3-45E6-90CC-EF6B541D2DEE}"/>
    <cellStyle name="Accent5 3 10" xfId="28110" xr:uid="{1573A8C2-8AB7-4568-9B49-B541CF7A4CA5}"/>
    <cellStyle name="Accent5 3 2" xfId="28111" xr:uid="{B78465AB-6091-4B85-A031-9A7D732AF0EA}"/>
    <cellStyle name="Accent5 3 3" xfId="28112" xr:uid="{AA75251E-77A4-4644-A30C-003112B5F093}"/>
    <cellStyle name="Accent5 3 4" xfId="28113" xr:uid="{1FC66892-AF85-4DE1-A925-CE096AB76466}"/>
    <cellStyle name="Accent5 3 5" xfId="28114" xr:uid="{6222F751-83F4-4E95-883B-53EF43373098}"/>
    <cellStyle name="Accent5 3 6" xfId="28115" xr:uid="{AADBB806-5BF9-4D6F-A2B0-F46562CBAACC}"/>
    <cellStyle name="Accent5 3 7" xfId="28116" xr:uid="{5C77FFB0-4692-42FF-9E79-99245021C49D}"/>
    <cellStyle name="Accent5 3 8" xfId="28117" xr:uid="{C5636590-34AE-4AEA-BDEF-BE02CE3B7DA0}"/>
    <cellStyle name="Accent5 3 9" xfId="28118" xr:uid="{60EB5D48-5DCC-458C-BA89-76097098E507}"/>
    <cellStyle name="Accent5 4 10" xfId="28119" xr:uid="{E2254610-67AF-44B8-9BB7-BC2A00CB214C}"/>
    <cellStyle name="Accent5 4 2" xfId="28120" xr:uid="{E95523C3-9E27-4455-9B6F-614BF80D5AEC}"/>
    <cellStyle name="Accent5 4 3" xfId="28121" xr:uid="{04D83E4E-642C-4E81-A994-6AF15345692C}"/>
    <cellStyle name="Accent5 4 4" xfId="28122" xr:uid="{52359BEA-E92B-4D7B-8266-B4DE8CE9948D}"/>
    <cellStyle name="Accent5 4 5" xfId="28123" xr:uid="{4ABFB69F-452C-41BD-8643-796C3F660A12}"/>
    <cellStyle name="Accent5 4 6" xfId="28124" xr:uid="{A030330C-3BF3-4046-9AA9-F0EB2E999343}"/>
    <cellStyle name="Accent5 4 7" xfId="28125" xr:uid="{ECF07469-8FD9-4B79-B33C-20B6BD20C75D}"/>
    <cellStyle name="Accent5 4 8" xfId="28126" xr:uid="{9AAAFD55-85B4-4893-B331-D0130C218B5A}"/>
    <cellStyle name="Accent5 4 9" xfId="28127" xr:uid="{BFDFE170-9B4C-4013-B32D-5B7A77890C39}"/>
    <cellStyle name="Accent5 5 10" xfId="28128" xr:uid="{CEB98D22-FE8A-4FF8-8F52-B7950A3A9E7F}"/>
    <cellStyle name="Accent5 5 2" xfId="28129" xr:uid="{04D7B418-9095-45B4-BFB4-D3B17371EF1F}"/>
    <cellStyle name="Accent5 5 3" xfId="28130" xr:uid="{3E262276-018F-48BA-865A-99FDD44C9B07}"/>
    <cellStyle name="Accent5 5 4" xfId="28131" xr:uid="{B3FEC13E-5430-4199-A083-E5667211238C}"/>
    <cellStyle name="Accent5 5 5" xfId="28132" xr:uid="{C9CFC3EF-1FA3-4C5B-9BE5-EAC501D090E2}"/>
    <cellStyle name="Accent5 5 6" xfId="28133" xr:uid="{BAD97A50-D8C0-4482-8AB5-0BD93BB61798}"/>
    <cellStyle name="Accent5 5 7" xfId="28134" xr:uid="{B8869C32-6899-4CA1-87DF-8D340E0BAEBE}"/>
    <cellStyle name="Accent5 5 8" xfId="28135" xr:uid="{08D6AD43-7762-4A21-A98D-7E2702489753}"/>
    <cellStyle name="Accent5 5 9" xfId="28136" xr:uid="{9615FA59-1AA6-4AF2-A61F-6EB3C7B5E01D}"/>
    <cellStyle name="Accent6" xfId="60" builtinId="49" customBuiltin="1"/>
    <cellStyle name="Accent6 2" xfId="99" xr:uid="{00000000-0005-0000-0000-000043000000}"/>
    <cellStyle name="Accent6 2 10" xfId="28137" xr:uid="{9C391CAC-D159-43B9-8897-0150E81F3D72}"/>
    <cellStyle name="Accent6 2 2" xfId="26222" xr:uid="{E98C5A6C-5CD3-47BF-A00E-B491459737EA}"/>
    <cellStyle name="Accent6 2 2 2" xfId="28138" xr:uid="{07AE724E-E0F8-4D8F-9F59-47F45B7E53AE}"/>
    <cellStyle name="Accent6 2 3" xfId="26124" xr:uid="{3A119994-610F-4F5E-8AA2-1BA6CD5C0FB3}"/>
    <cellStyle name="Accent6 2 3 2" xfId="28139" xr:uid="{3F6A651C-937A-4CB5-957E-D78C8AD2B843}"/>
    <cellStyle name="Accent6 2 4" xfId="28140" xr:uid="{6D85B60E-BCD8-416C-A49E-B3B551715BB3}"/>
    <cellStyle name="Accent6 2 5" xfId="28141" xr:uid="{4C898984-DA4C-4C29-B6A0-6C2BFA6804CC}"/>
    <cellStyle name="Accent6 2 6" xfId="28142" xr:uid="{40EB64C6-B4CD-4E85-82D8-9F50AF1ABBF3}"/>
    <cellStyle name="Accent6 2 7" xfId="28143" xr:uid="{B5E7EBDD-3F98-4A68-8569-25BFC6CE1111}"/>
    <cellStyle name="Accent6 2 8" xfId="28144" xr:uid="{50BCC5FA-1DFB-47DF-8622-D44BA5FFF3CB}"/>
    <cellStyle name="Accent6 2 9" xfId="28145" xr:uid="{84578F6D-29AF-47BA-85C0-D240A1E350B8}"/>
    <cellStyle name="Accent6 2_WBS Creation" xfId="28146" xr:uid="{FFCCD19B-F477-4DE7-A871-767213BDD0C6}"/>
    <cellStyle name="Accent6 3 10" xfId="28147" xr:uid="{9E15187F-612F-4550-83D7-49C0CF8ACD0A}"/>
    <cellStyle name="Accent6 3 2" xfId="28148" xr:uid="{710DA261-A09E-4CFC-9685-ACC9448FFA70}"/>
    <cellStyle name="Accent6 3 3" xfId="28149" xr:uid="{31F7AEDB-D38F-4348-8C14-6E4BDD7F5123}"/>
    <cellStyle name="Accent6 3 4" xfId="28150" xr:uid="{376EB7F4-23FD-48E5-BFE8-BA0D123A2EFA}"/>
    <cellStyle name="Accent6 3 5" xfId="28151" xr:uid="{263F09A1-89C0-43DF-9CB1-7E9549DBE38B}"/>
    <cellStyle name="Accent6 3 6" xfId="28152" xr:uid="{CAA0EA2F-186A-4FC1-85CF-A378DF200E06}"/>
    <cellStyle name="Accent6 3 7" xfId="28153" xr:uid="{4696DDBC-83AC-4198-9206-840BEF567FE0}"/>
    <cellStyle name="Accent6 3 8" xfId="28154" xr:uid="{A8974580-C3A3-45CD-A2AA-965DBA0A43E0}"/>
    <cellStyle name="Accent6 3 9" xfId="28155" xr:uid="{4A78AC93-5700-4B2B-AD04-11840E0DEF5B}"/>
    <cellStyle name="Accent6 4 10" xfId="28156" xr:uid="{388B9085-31B2-4F25-A793-A6DB26C286AE}"/>
    <cellStyle name="Accent6 4 2" xfId="28157" xr:uid="{62C748B7-168E-4113-9694-407E594834EB}"/>
    <cellStyle name="Accent6 4 3" xfId="28158" xr:uid="{A47E0B11-885D-47FB-9786-273B5FDD65A4}"/>
    <cellStyle name="Accent6 4 4" xfId="28159" xr:uid="{032FC883-4477-4A2B-80BA-2A7DBE51EDBC}"/>
    <cellStyle name="Accent6 4 5" xfId="28160" xr:uid="{4C60235D-B66A-48A8-81BC-68AFFB7039E8}"/>
    <cellStyle name="Accent6 4 6" xfId="28161" xr:uid="{E37A3D01-27A8-49D6-B53B-3DF85F0F67B5}"/>
    <cellStyle name="Accent6 4 7" xfId="28162" xr:uid="{2440FEBD-0D50-4F22-9424-B5F50AC65A32}"/>
    <cellStyle name="Accent6 4 8" xfId="28163" xr:uid="{D079A783-E881-41A3-B401-1B3F3E3466E9}"/>
    <cellStyle name="Accent6 4 9" xfId="28164" xr:uid="{46414298-9ADB-4D4C-8D33-0E3266D5BD46}"/>
    <cellStyle name="Accent6 5 10" xfId="28165" xr:uid="{EA15C626-0A01-412F-B7DE-F924E86514F1}"/>
    <cellStyle name="Accent6 5 2" xfId="28166" xr:uid="{567846B3-A109-49EB-ABE5-B93592900BBC}"/>
    <cellStyle name="Accent6 5 3" xfId="28167" xr:uid="{FDF6C6F9-96AA-4BFF-B529-AF35B896CE6B}"/>
    <cellStyle name="Accent6 5 4" xfId="28168" xr:uid="{6087E054-5638-4978-855D-26C7A50E2AEA}"/>
    <cellStyle name="Accent6 5 5" xfId="28169" xr:uid="{D715B9C9-92E6-4222-8003-DA4AEB7002C0}"/>
    <cellStyle name="Accent6 5 6" xfId="28170" xr:uid="{5E6F8677-935E-4526-A8EE-8AE6C0D733D4}"/>
    <cellStyle name="Accent6 5 7" xfId="28171" xr:uid="{3A9B2E36-5ED3-4535-A0D9-A0C4DAEC768B}"/>
    <cellStyle name="Accent6 5 8" xfId="28172" xr:uid="{B9EC0FED-C194-427C-833F-DD31728BE09A}"/>
    <cellStyle name="Accent6 5 9" xfId="28173" xr:uid="{0C5E7B1B-C322-4D1D-B36F-ED13B7AD975F}"/>
    <cellStyle name="amount" xfId="28174" xr:uid="{642C0040-B845-4AC7-A418-6684A422E770}"/>
    <cellStyle name="amount 2" xfId="28175" xr:uid="{D79B700E-7038-4E31-87C9-4102A9FE9D60}"/>
    <cellStyle name="amount 2 2" xfId="30066" xr:uid="{01E33297-ABD5-499F-86B8-925FB9378682}"/>
    <cellStyle name="amount 2 2 2" xfId="31498" xr:uid="{12B469F7-F321-477B-B996-1EE84617E9D7}"/>
    <cellStyle name="amount 2 3" xfId="30787" xr:uid="{EDA70115-E4C6-4764-966B-75D82BF354E4}"/>
    <cellStyle name="amount 3" xfId="28176" xr:uid="{99669209-449B-45C0-AF90-3BBF6C5C79F8}"/>
    <cellStyle name="amount 3 2" xfId="30067" xr:uid="{224B8A73-B648-40F4-A5EA-C1C1DA3C6638}"/>
    <cellStyle name="amount 3 2 2" xfId="31499" xr:uid="{B2D3C533-48E1-4564-824D-AE82F1684E0C}"/>
    <cellStyle name="amount 3 3" xfId="30788" xr:uid="{8960D9A5-684D-46F4-B457-041ED85BC899}"/>
    <cellStyle name="amount 4" xfId="28177" xr:uid="{67087233-6E11-41D4-AB15-6EF661F5EBC1}"/>
    <cellStyle name="amount 4 2" xfId="30068" xr:uid="{C223CF75-C15E-4900-AC1A-389BDAC2FDC1}"/>
    <cellStyle name="amount 4 2 2" xfId="31500" xr:uid="{F90A040B-E11C-4C73-937F-EC82735C63BD}"/>
    <cellStyle name="amount 4 3" xfId="30789" xr:uid="{1DA9C6D9-05ED-4C4A-A94A-138DB6C5FD8D}"/>
    <cellStyle name="amount 5" xfId="30065" xr:uid="{8DFEFB77-FCF0-4796-96E2-74DC0EFE5ACA}"/>
    <cellStyle name="amount 5 2" xfId="31497" xr:uid="{8DB1A605-BC94-4C9F-8CB4-FB7732753C79}"/>
    <cellStyle name="amount 6" xfId="30786" xr:uid="{488314B2-265B-4210-81FE-630734AA4829}"/>
    <cellStyle name="Bad" xfId="29" builtinId="27" customBuiltin="1"/>
    <cellStyle name="Bad 2" xfId="100" xr:uid="{00000000-0005-0000-0000-000045000000}"/>
    <cellStyle name="Bad 2 10" xfId="28179" xr:uid="{FE9C7B20-DD4C-4877-AC59-7720D4E498B8}"/>
    <cellStyle name="Bad 2 11" xfId="27100" xr:uid="{6300F046-AB2F-4642-B7BD-48D666B4E455}"/>
    <cellStyle name="Bad 2 2" xfId="26217" xr:uid="{A20D04B8-1D08-4837-9F3D-268023911B6D}"/>
    <cellStyle name="Bad 2 2 2" xfId="28180" xr:uid="{B832290B-7A33-4C6A-9294-D1AFB9B7D913}"/>
    <cellStyle name="Bad 2 3" xfId="28181" xr:uid="{0AC51CFE-BE21-4775-9958-B51209FE2CDF}"/>
    <cellStyle name="Bad 2 4" xfId="28182" xr:uid="{E0D54608-6B6C-4711-B183-91A2DCEF54AD}"/>
    <cellStyle name="Bad 2 5" xfId="28183" xr:uid="{3E34B868-E100-4284-B05B-7917A7144A32}"/>
    <cellStyle name="Bad 2 6" xfId="28184" xr:uid="{EF9FCAA7-9B02-4163-B0C5-730983667551}"/>
    <cellStyle name="Bad 2 7" xfId="28185" xr:uid="{C26D2251-33ED-4568-AA39-D5EF191606FD}"/>
    <cellStyle name="Bad 2 8" xfId="28186" xr:uid="{F57B463C-B91D-4874-86F2-E56CDBAA3E09}"/>
    <cellStyle name="Bad 2 9" xfId="28187" xr:uid="{D69FAB6F-90B2-4BA6-90ED-9EEA914BB5DA}"/>
    <cellStyle name="Bad 2_Sheet1" xfId="28178" xr:uid="{ED94C29F-7250-4DFD-819E-E0EB8278E6A4}"/>
    <cellStyle name="Bad 3 10" xfId="28188" xr:uid="{DE68CAAC-B169-4E39-AAA9-A5442F7D54F1}"/>
    <cellStyle name="Bad 3 2" xfId="28189" xr:uid="{8E85E3FA-8A8C-48CE-8A4B-D7CF6A69ECAF}"/>
    <cellStyle name="Bad 3 3" xfId="28190" xr:uid="{47F4F830-1DC0-4398-BB15-03B256324A40}"/>
    <cellStyle name="Bad 3 4" xfId="28191" xr:uid="{F110EAE0-CFAA-4C8B-BE97-DFBD9AE61435}"/>
    <cellStyle name="Bad 3 5" xfId="28192" xr:uid="{A4935047-C7AB-435D-A6C2-0A39E31F19AD}"/>
    <cellStyle name="Bad 3 6" xfId="28193" xr:uid="{980374CA-7147-4BA6-9C35-0AA3D1D0860F}"/>
    <cellStyle name="Bad 3 7" xfId="28194" xr:uid="{02B137AE-3230-4F26-98A5-F658ECF53B8C}"/>
    <cellStyle name="Bad 3 8" xfId="28195" xr:uid="{20C27ADA-878E-4C3B-B49C-F41A0C389EE8}"/>
    <cellStyle name="Bad 3 9" xfId="28196" xr:uid="{C2A718B0-91C8-4863-A3C8-748D2BF5BECA}"/>
    <cellStyle name="Bad 4 10" xfId="28197" xr:uid="{4BE080A2-0E98-4497-A56A-BFD8DEC299D1}"/>
    <cellStyle name="Bad 4 2" xfId="28198" xr:uid="{FCD7E6BF-F6D1-42C1-878D-8D7936F00237}"/>
    <cellStyle name="Bad 4 3" xfId="28199" xr:uid="{891CE93E-ECEA-4665-9F81-F7AB7F9C3CFA}"/>
    <cellStyle name="Bad 4 4" xfId="28200" xr:uid="{1280391A-423A-438D-963A-6C270EA7DE42}"/>
    <cellStyle name="Bad 4 5" xfId="28201" xr:uid="{A0D700E5-FE88-467B-A5EE-C908BE17012F}"/>
    <cellStyle name="Bad 4 6" xfId="28202" xr:uid="{7249BF79-D5D8-4807-8352-94BA4E151D76}"/>
    <cellStyle name="Bad 4 7" xfId="28203" xr:uid="{D4AB5871-0005-450C-AFFD-3A626BA314B2}"/>
    <cellStyle name="Bad 4 8" xfId="28204" xr:uid="{62BCA3B9-B247-43FC-864F-13CC4FAF3FBC}"/>
    <cellStyle name="Bad 4 9" xfId="28205" xr:uid="{8A45FC2E-7590-4392-9992-8660CA6E1255}"/>
    <cellStyle name="Bad 5 10" xfId="28206" xr:uid="{9E0AA176-9DC3-4F38-92C2-640C83E7CA40}"/>
    <cellStyle name="Bad 5 2" xfId="28207" xr:uid="{4F76ECD2-36BA-469B-90F2-F7D28BB4F9D3}"/>
    <cellStyle name="Bad 5 3" xfId="28208" xr:uid="{4DFB90F2-550D-4397-9CF9-F08E3B27E11A}"/>
    <cellStyle name="Bad 5 4" xfId="28209" xr:uid="{58B404F3-A385-480B-979C-9D58FC99C986}"/>
    <cellStyle name="Bad 5 5" xfId="28210" xr:uid="{93C1F1A6-4D8C-4284-923D-13DC6F01EB79}"/>
    <cellStyle name="Bad 5 6" xfId="28211" xr:uid="{3AA8790B-9E39-493B-B712-EE2CB0C680E9}"/>
    <cellStyle name="Bad 5 7" xfId="28212" xr:uid="{29DC7389-7476-4B22-B99D-195A4791212A}"/>
    <cellStyle name="Bad 5 8" xfId="28213" xr:uid="{31DA38AE-DF0A-4720-83D6-960A6B364687}"/>
    <cellStyle name="Bad 5 9" xfId="28214" xr:uid="{A7AB9A69-F149-4160-9D10-F968C5B56EE5}"/>
    <cellStyle name="Body" xfId="26125" xr:uid="{A3E4101B-04C4-4CA1-8FBD-E81C982B3B6D}"/>
    <cellStyle name="Body 2" xfId="28215" xr:uid="{08D38F68-0995-44D8-8FCA-9AC396B2F570}"/>
    <cellStyle name="Calculation" xfId="33" builtinId="22" customBuiltin="1"/>
    <cellStyle name="Calculation 2" xfId="101" xr:uid="{00000000-0005-0000-0000-000047000000}"/>
    <cellStyle name="Calculation 2 10" xfId="192" xr:uid="{00000000-0005-0000-0000-000048000000}"/>
    <cellStyle name="Calculation 2 10 10" xfId="2301" xr:uid="{00000000-0005-0000-0000-000049000000}"/>
    <cellStyle name="Calculation 2 10 10 2" xfId="4437" xr:uid="{00000000-0005-0000-0000-00004A000000}"/>
    <cellStyle name="Calculation 2 10 10 2 2" xfId="11033" xr:uid="{00000000-0005-0000-0000-00004B000000}"/>
    <cellStyle name="Calculation 2 10 10 2 3" xfId="17652" xr:uid="{00000000-0005-0000-0000-00004C000000}"/>
    <cellStyle name="Calculation 2 10 10 3" xfId="6472" xr:uid="{00000000-0005-0000-0000-00004D000000}"/>
    <cellStyle name="Calculation 2 10 10 3 2" xfId="13068" xr:uid="{00000000-0005-0000-0000-00004E000000}"/>
    <cellStyle name="Calculation 2 10 10 3 3" xfId="19687" xr:uid="{00000000-0005-0000-0000-00004F000000}"/>
    <cellStyle name="Calculation 2 10 10 4" xfId="8897" xr:uid="{00000000-0005-0000-0000-000050000000}"/>
    <cellStyle name="Calculation 2 10 10 5" xfId="15516" xr:uid="{00000000-0005-0000-0000-000051000000}"/>
    <cellStyle name="Calculation 2 10 11" xfId="2620" xr:uid="{00000000-0005-0000-0000-000052000000}"/>
    <cellStyle name="Calculation 2 10 11 2" xfId="9216" xr:uid="{00000000-0005-0000-0000-000053000000}"/>
    <cellStyle name="Calculation 2 10 11 3" xfId="15835" xr:uid="{00000000-0005-0000-0000-000054000000}"/>
    <cellStyle name="Calculation 2 10 12" xfId="2559" xr:uid="{00000000-0005-0000-0000-000055000000}"/>
    <cellStyle name="Calculation 2 10 12 2" xfId="9155" xr:uid="{00000000-0005-0000-0000-000056000000}"/>
    <cellStyle name="Calculation 2 10 12 3" xfId="15774" xr:uid="{00000000-0005-0000-0000-000057000000}"/>
    <cellStyle name="Calculation 2 10 13" xfId="509" xr:uid="{00000000-0005-0000-0000-000058000000}"/>
    <cellStyle name="Calculation 2 10 13 2" xfId="13724" xr:uid="{00000000-0005-0000-0000-000059000000}"/>
    <cellStyle name="Calculation 2 10 14" xfId="7100" xr:uid="{00000000-0005-0000-0000-00005A000000}"/>
    <cellStyle name="Calculation 2 10 15" xfId="6992" xr:uid="{00000000-0005-0000-0000-00005B000000}"/>
    <cellStyle name="Calculation 2 10 16" xfId="28217" xr:uid="{64FB1A0A-EA53-410C-98B8-C024EBE5F525}"/>
    <cellStyle name="Calculation 2 10 17" xfId="30791" xr:uid="{072B71C8-214B-49A5-A826-BE521290D3F5}"/>
    <cellStyle name="Calculation 2 10 2" xfId="324" xr:uid="{00000000-0005-0000-0000-00005C000000}"/>
    <cellStyle name="Calculation 2 10 2 10" xfId="4745" xr:uid="{00000000-0005-0000-0000-00005D000000}"/>
    <cellStyle name="Calculation 2 10 2 10 2" xfId="11341" xr:uid="{00000000-0005-0000-0000-00005E000000}"/>
    <cellStyle name="Calculation 2 10 2 10 3" xfId="17960" xr:uid="{00000000-0005-0000-0000-00005F000000}"/>
    <cellStyle name="Calculation 2 10 2 11" xfId="574" xr:uid="{00000000-0005-0000-0000-000060000000}"/>
    <cellStyle name="Calculation 2 10 2 11 2" xfId="13789" xr:uid="{00000000-0005-0000-0000-000061000000}"/>
    <cellStyle name="Calculation 2 10 2 12" xfId="7218" xr:uid="{00000000-0005-0000-0000-000062000000}"/>
    <cellStyle name="Calculation 2 10 2 13" xfId="13540" xr:uid="{00000000-0005-0000-0000-000063000000}"/>
    <cellStyle name="Calculation 2 10 2 14" xfId="28218" xr:uid="{9CC6E241-BB15-4E09-9D6F-6231E81394A0}"/>
    <cellStyle name="Calculation 2 10 2 15" xfId="30792" xr:uid="{BB89003F-1F33-4DCF-BD07-117BFE177781}"/>
    <cellStyle name="Calculation 2 10 2 2" xfId="453" xr:uid="{00000000-0005-0000-0000-000064000000}"/>
    <cellStyle name="Calculation 2 10 2 2 10" xfId="847" xr:uid="{00000000-0005-0000-0000-000065000000}"/>
    <cellStyle name="Calculation 2 10 2 2 10 2" xfId="14062" xr:uid="{00000000-0005-0000-0000-000066000000}"/>
    <cellStyle name="Calculation 2 10 2 2 11" xfId="7346" xr:uid="{00000000-0005-0000-0000-000067000000}"/>
    <cellStyle name="Calculation 2 10 2 2 12" xfId="13668" xr:uid="{00000000-0005-0000-0000-000068000000}"/>
    <cellStyle name="Calculation 2 10 2 2 13" xfId="30071" xr:uid="{552AC01B-2639-49E0-AFA0-B847F0163B91}"/>
    <cellStyle name="Calculation 2 10 2 2 14" xfId="31503" xr:uid="{5A483D7C-8A1B-4229-A1D6-3CB66A0DC9AD}"/>
    <cellStyle name="Calculation 2 10 2 2 2" xfId="1147" xr:uid="{00000000-0005-0000-0000-000069000000}"/>
    <cellStyle name="Calculation 2 10 2 2 2 2" xfId="3283" xr:uid="{00000000-0005-0000-0000-00006A000000}"/>
    <cellStyle name="Calculation 2 10 2 2 2 2 2" xfId="9879" xr:uid="{00000000-0005-0000-0000-00006B000000}"/>
    <cellStyle name="Calculation 2 10 2 2 2 2 3" xfId="16498" xr:uid="{00000000-0005-0000-0000-00006C000000}"/>
    <cellStyle name="Calculation 2 10 2 2 2 3" xfId="5318" xr:uid="{00000000-0005-0000-0000-00006D000000}"/>
    <cellStyle name="Calculation 2 10 2 2 2 3 2" xfId="11914" xr:uid="{00000000-0005-0000-0000-00006E000000}"/>
    <cellStyle name="Calculation 2 10 2 2 2 3 3" xfId="18533" xr:uid="{00000000-0005-0000-0000-00006F000000}"/>
    <cellStyle name="Calculation 2 10 2 2 2 4" xfId="7743" xr:uid="{00000000-0005-0000-0000-000070000000}"/>
    <cellStyle name="Calculation 2 10 2 2 2 5" xfId="14362" xr:uid="{00000000-0005-0000-0000-000071000000}"/>
    <cellStyle name="Calculation 2 10 2 2 3" xfId="1429" xr:uid="{00000000-0005-0000-0000-000072000000}"/>
    <cellStyle name="Calculation 2 10 2 2 3 2" xfId="3565" xr:uid="{00000000-0005-0000-0000-000073000000}"/>
    <cellStyle name="Calculation 2 10 2 2 3 2 2" xfId="10161" xr:uid="{00000000-0005-0000-0000-000074000000}"/>
    <cellStyle name="Calculation 2 10 2 2 3 2 3" xfId="16780" xr:uid="{00000000-0005-0000-0000-000075000000}"/>
    <cellStyle name="Calculation 2 10 2 2 3 3" xfId="5600" xr:uid="{00000000-0005-0000-0000-000076000000}"/>
    <cellStyle name="Calculation 2 10 2 2 3 3 2" xfId="12196" xr:uid="{00000000-0005-0000-0000-000077000000}"/>
    <cellStyle name="Calculation 2 10 2 2 3 3 3" xfId="18815" xr:uid="{00000000-0005-0000-0000-000078000000}"/>
    <cellStyle name="Calculation 2 10 2 2 3 4" xfId="8025" xr:uid="{00000000-0005-0000-0000-000079000000}"/>
    <cellStyle name="Calculation 2 10 2 2 3 5" xfId="14644" xr:uid="{00000000-0005-0000-0000-00007A000000}"/>
    <cellStyle name="Calculation 2 10 2 2 4" xfId="1710" xr:uid="{00000000-0005-0000-0000-00007B000000}"/>
    <cellStyle name="Calculation 2 10 2 2 4 2" xfId="3846" xr:uid="{00000000-0005-0000-0000-00007C000000}"/>
    <cellStyle name="Calculation 2 10 2 2 4 2 2" xfId="10442" xr:uid="{00000000-0005-0000-0000-00007D000000}"/>
    <cellStyle name="Calculation 2 10 2 2 4 2 3" xfId="17061" xr:uid="{00000000-0005-0000-0000-00007E000000}"/>
    <cellStyle name="Calculation 2 10 2 2 4 3" xfId="5881" xr:uid="{00000000-0005-0000-0000-00007F000000}"/>
    <cellStyle name="Calculation 2 10 2 2 4 3 2" xfId="12477" xr:uid="{00000000-0005-0000-0000-000080000000}"/>
    <cellStyle name="Calculation 2 10 2 2 4 3 3" xfId="19096" xr:uid="{00000000-0005-0000-0000-000081000000}"/>
    <cellStyle name="Calculation 2 10 2 2 4 4" xfId="8306" xr:uid="{00000000-0005-0000-0000-000082000000}"/>
    <cellStyle name="Calculation 2 10 2 2 4 5" xfId="14925" xr:uid="{00000000-0005-0000-0000-000083000000}"/>
    <cellStyle name="Calculation 2 10 2 2 5" xfId="1989" xr:uid="{00000000-0005-0000-0000-000084000000}"/>
    <cellStyle name="Calculation 2 10 2 2 5 2" xfId="4125" xr:uid="{00000000-0005-0000-0000-000085000000}"/>
    <cellStyle name="Calculation 2 10 2 2 5 2 2" xfId="10721" xr:uid="{00000000-0005-0000-0000-000086000000}"/>
    <cellStyle name="Calculation 2 10 2 2 5 2 3" xfId="17340" xr:uid="{00000000-0005-0000-0000-000087000000}"/>
    <cellStyle name="Calculation 2 10 2 2 5 3" xfId="6160" xr:uid="{00000000-0005-0000-0000-000088000000}"/>
    <cellStyle name="Calculation 2 10 2 2 5 3 2" xfId="12756" xr:uid="{00000000-0005-0000-0000-000089000000}"/>
    <cellStyle name="Calculation 2 10 2 2 5 3 3" xfId="19375" xr:uid="{00000000-0005-0000-0000-00008A000000}"/>
    <cellStyle name="Calculation 2 10 2 2 5 4" xfId="8585" xr:uid="{00000000-0005-0000-0000-00008B000000}"/>
    <cellStyle name="Calculation 2 10 2 2 5 5" xfId="15204" xr:uid="{00000000-0005-0000-0000-00008C000000}"/>
    <cellStyle name="Calculation 2 10 2 2 6" xfId="2264" xr:uid="{00000000-0005-0000-0000-00008D000000}"/>
    <cellStyle name="Calculation 2 10 2 2 6 2" xfId="4400" xr:uid="{00000000-0005-0000-0000-00008E000000}"/>
    <cellStyle name="Calculation 2 10 2 2 6 2 2" xfId="10996" xr:uid="{00000000-0005-0000-0000-00008F000000}"/>
    <cellStyle name="Calculation 2 10 2 2 6 2 3" xfId="17615" xr:uid="{00000000-0005-0000-0000-000090000000}"/>
    <cellStyle name="Calculation 2 10 2 2 6 3" xfId="6435" xr:uid="{00000000-0005-0000-0000-000091000000}"/>
    <cellStyle name="Calculation 2 10 2 2 6 3 2" xfId="13031" xr:uid="{00000000-0005-0000-0000-000092000000}"/>
    <cellStyle name="Calculation 2 10 2 2 6 3 3" xfId="19650" xr:uid="{00000000-0005-0000-0000-000093000000}"/>
    <cellStyle name="Calculation 2 10 2 2 6 4" xfId="8860" xr:uid="{00000000-0005-0000-0000-000094000000}"/>
    <cellStyle name="Calculation 2 10 2 2 6 5" xfId="15479" xr:uid="{00000000-0005-0000-0000-000095000000}"/>
    <cellStyle name="Calculation 2 10 2 2 7" xfId="2537" xr:uid="{00000000-0005-0000-0000-000096000000}"/>
    <cellStyle name="Calculation 2 10 2 2 7 2" xfId="4673" xr:uid="{00000000-0005-0000-0000-000097000000}"/>
    <cellStyle name="Calculation 2 10 2 2 7 2 2" xfId="11269" xr:uid="{00000000-0005-0000-0000-000098000000}"/>
    <cellStyle name="Calculation 2 10 2 2 7 2 3" xfId="17888" xr:uid="{00000000-0005-0000-0000-000099000000}"/>
    <cellStyle name="Calculation 2 10 2 2 7 3" xfId="6708" xr:uid="{00000000-0005-0000-0000-00009A000000}"/>
    <cellStyle name="Calculation 2 10 2 2 7 3 2" xfId="13304" xr:uid="{00000000-0005-0000-0000-00009B000000}"/>
    <cellStyle name="Calculation 2 10 2 2 7 3 3" xfId="19923" xr:uid="{00000000-0005-0000-0000-00009C000000}"/>
    <cellStyle name="Calculation 2 10 2 2 7 4" xfId="9133" xr:uid="{00000000-0005-0000-0000-00009D000000}"/>
    <cellStyle name="Calculation 2 10 2 2 7 5" xfId="15752" xr:uid="{00000000-0005-0000-0000-00009E000000}"/>
    <cellStyle name="Calculation 2 10 2 2 8" xfId="2983" xr:uid="{00000000-0005-0000-0000-00009F000000}"/>
    <cellStyle name="Calculation 2 10 2 2 8 2" xfId="9579" xr:uid="{00000000-0005-0000-0000-0000A0000000}"/>
    <cellStyle name="Calculation 2 10 2 2 8 3" xfId="16198" xr:uid="{00000000-0005-0000-0000-0000A1000000}"/>
    <cellStyle name="Calculation 2 10 2 2 9" xfId="5018" xr:uid="{00000000-0005-0000-0000-0000A2000000}"/>
    <cellStyle name="Calculation 2 10 2 2 9 2" xfId="11614" xr:uid="{00000000-0005-0000-0000-0000A3000000}"/>
    <cellStyle name="Calculation 2 10 2 2 9 3" xfId="18233" xr:uid="{00000000-0005-0000-0000-0000A4000000}"/>
    <cellStyle name="Calculation 2 10 2 2_Summary" xfId="20100" xr:uid="{00000000-0005-0000-0000-0000A5000000}"/>
    <cellStyle name="Calculation 2 10 2 3" xfId="1019" xr:uid="{00000000-0005-0000-0000-0000A6000000}"/>
    <cellStyle name="Calculation 2 10 2 3 2" xfId="3155" xr:uid="{00000000-0005-0000-0000-0000A7000000}"/>
    <cellStyle name="Calculation 2 10 2 3 2 2" xfId="9751" xr:uid="{00000000-0005-0000-0000-0000A8000000}"/>
    <cellStyle name="Calculation 2 10 2 3 2 3" xfId="16370" xr:uid="{00000000-0005-0000-0000-0000A9000000}"/>
    <cellStyle name="Calculation 2 10 2 3 3" xfId="5190" xr:uid="{00000000-0005-0000-0000-0000AA000000}"/>
    <cellStyle name="Calculation 2 10 2 3 3 2" xfId="11786" xr:uid="{00000000-0005-0000-0000-0000AB000000}"/>
    <cellStyle name="Calculation 2 10 2 3 3 3" xfId="18405" xr:uid="{00000000-0005-0000-0000-0000AC000000}"/>
    <cellStyle name="Calculation 2 10 2 3 4" xfId="7616" xr:uid="{00000000-0005-0000-0000-0000AD000000}"/>
    <cellStyle name="Calculation 2 10 2 3 5" xfId="14234" xr:uid="{00000000-0005-0000-0000-0000AE000000}"/>
    <cellStyle name="Calculation 2 10 2 4" xfId="1301" xr:uid="{00000000-0005-0000-0000-0000AF000000}"/>
    <cellStyle name="Calculation 2 10 2 4 2" xfId="3437" xr:uid="{00000000-0005-0000-0000-0000B0000000}"/>
    <cellStyle name="Calculation 2 10 2 4 2 2" xfId="10033" xr:uid="{00000000-0005-0000-0000-0000B1000000}"/>
    <cellStyle name="Calculation 2 10 2 4 2 3" xfId="16652" xr:uid="{00000000-0005-0000-0000-0000B2000000}"/>
    <cellStyle name="Calculation 2 10 2 4 3" xfId="5472" xr:uid="{00000000-0005-0000-0000-0000B3000000}"/>
    <cellStyle name="Calculation 2 10 2 4 3 2" xfId="12068" xr:uid="{00000000-0005-0000-0000-0000B4000000}"/>
    <cellStyle name="Calculation 2 10 2 4 3 3" xfId="18687" xr:uid="{00000000-0005-0000-0000-0000B5000000}"/>
    <cellStyle name="Calculation 2 10 2 4 4" xfId="7897" xr:uid="{00000000-0005-0000-0000-0000B6000000}"/>
    <cellStyle name="Calculation 2 10 2 4 5" xfId="14516" xr:uid="{00000000-0005-0000-0000-0000B7000000}"/>
    <cellStyle name="Calculation 2 10 2 5" xfId="1582" xr:uid="{00000000-0005-0000-0000-0000B8000000}"/>
    <cellStyle name="Calculation 2 10 2 5 2" xfId="3718" xr:uid="{00000000-0005-0000-0000-0000B9000000}"/>
    <cellStyle name="Calculation 2 10 2 5 2 2" xfId="10314" xr:uid="{00000000-0005-0000-0000-0000BA000000}"/>
    <cellStyle name="Calculation 2 10 2 5 2 3" xfId="16933" xr:uid="{00000000-0005-0000-0000-0000BB000000}"/>
    <cellStyle name="Calculation 2 10 2 5 3" xfId="5753" xr:uid="{00000000-0005-0000-0000-0000BC000000}"/>
    <cellStyle name="Calculation 2 10 2 5 3 2" xfId="12349" xr:uid="{00000000-0005-0000-0000-0000BD000000}"/>
    <cellStyle name="Calculation 2 10 2 5 3 3" xfId="18968" xr:uid="{00000000-0005-0000-0000-0000BE000000}"/>
    <cellStyle name="Calculation 2 10 2 5 4" xfId="8178" xr:uid="{00000000-0005-0000-0000-0000BF000000}"/>
    <cellStyle name="Calculation 2 10 2 5 5" xfId="14797" xr:uid="{00000000-0005-0000-0000-0000C0000000}"/>
    <cellStyle name="Calculation 2 10 2 6" xfId="1861" xr:uid="{00000000-0005-0000-0000-0000C1000000}"/>
    <cellStyle name="Calculation 2 10 2 6 2" xfId="3997" xr:uid="{00000000-0005-0000-0000-0000C2000000}"/>
    <cellStyle name="Calculation 2 10 2 6 2 2" xfId="10593" xr:uid="{00000000-0005-0000-0000-0000C3000000}"/>
    <cellStyle name="Calculation 2 10 2 6 2 3" xfId="17212" xr:uid="{00000000-0005-0000-0000-0000C4000000}"/>
    <cellStyle name="Calculation 2 10 2 6 3" xfId="6032" xr:uid="{00000000-0005-0000-0000-0000C5000000}"/>
    <cellStyle name="Calculation 2 10 2 6 3 2" xfId="12628" xr:uid="{00000000-0005-0000-0000-0000C6000000}"/>
    <cellStyle name="Calculation 2 10 2 6 3 3" xfId="19247" xr:uid="{00000000-0005-0000-0000-0000C7000000}"/>
    <cellStyle name="Calculation 2 10 2 6 4" xfId="8457" xr:uid="{00000000-0005-0000-0000-0000C8000000}"/>
    <cellStyle name="Calculation 2 10 2 6 5" xfId="15076" xr:uid="{00000000-0005-0000-0000-0000C9000000}"/>
    <cellStyle name="Calculation 2 10 2 7" xfId="2136" xr:uid="{00000000-0005-0000-0000-0000CA000000}"/>
    <cellStyle name="Calculation 2 10 2 7 2" xfId="4272" xr:uid="{00000000-0005-0000-0000-0000CB000000}"/>
    <cellStyle name="Calculation 2 10 2 7 2 2" xfId="10868" xr:uid="{00000000-0005-0000-0000-0000CC000000}"/>
    <cellStyle name="Calculation 2 10 2 7 2 3" xfId="17487" xr:uid="{00000000-0005-0000-0000-0000CD000000}"/>
    <cellStyle name="Calculation 2 10 2 7 3" xfId="6307" xr:uid="{00000000-0005-0000-0000-0000CE000000}"/>
    <cellStyle name="Calculation 2 10 2 7 3 2" xfId="12903" xr:uid="{00000000-0005-0000-0000-0000CF000000}"/>
    <cellStyle name="Calculation 2 10 2 7 3 3" xfId="19522" xr:uid="{00000000-0005-0000-0000-0000D0000000}"/>
    <cellStyle name="Calculation 2 10 2 7 4" xfId="8732" xr:uid="{00000000-0005-0000-0000-0000D1000000}"/>
    <cellStyle name="Calculation 2 10 2 7 5" xfId="15351" xr:uid="{00000000-0005-0000-0000-0000D2000000}"/>
    <cellStyle name="Calculation 2 10 2 8" xfId="2409" xr:uid="{00000000-0005-0000-0000-0000D3000000}"/>
    <cellStyle name="Calculation 2 10 2 8 2" xfId="4545" xr:uid="{00000000-0005-0000-0000-0000D4000000}"/>
    <cellStyle name="Calculation 2 10 2 8 2 2" xfId="11141" xr:uid="{00000000-0005-0000-0000-0000D5000000}"/>
    <cellStyle name="Calculation 2 10 2 8 2 3" xfId="17760" xr:uid="{00000000-0005-0000-0000-0000D6000000}"/>
    <cellStyle name="Calculation 2 10 2 8 3" xfId="6580" xr:uid="{00000000-0005-0000-0000-0000D7000000}"/>
    <cellStyle name="Calculation 2 10 2 8 3 2" xfId="13176" xr:uid="{00000000-0005-0000-0000-0000D8000000}"/>
    <cellStyle name="Calculation 2 10 2 8 3 3" xfId="19795" xr:uid="{00000000-0005-0000-0000-0000D9000000}"/>
    <cellStyle name="Calculation 2 10 2 8 4" xfId="9005" xr:uid="{00000000-0005-0000-0000-0000DA000000}"/>
    <cellStyle name="Calculation 2 10 2 8 5" xfId="15624" xr:uid="{00000000-0005-0000-0000-0000DB000000}"/>
    <cellStyle name="Calculation 2 10 2 9" xfId="2710" xr:uid="{00000000-0005-0000-0000-0000DC000000}"/>
    <cellStyle name="Calculation 2 10 2 9 2" xfId="9306" xr:uid="{00000000-0005-0000-0000-0000DD000000}"/>
    <cellStyle name="Calculation 2 10 2 9 3" xfId="15925" xr:uid="{00000000-0005-0000-0000-0000DE000000}"/>
    <cellStyle name="Calculation 2 10 2_Summary" xfId="20099" xr:uid="{00000000-0005-0000-0000-0000DF000000}"/>
    <cellStyle name="Calculation 2 10 3" xfId="238" xr:uid="{00000000-0005-0000-0000-0000E0000000}"/>
    <cellStyle name="Calculation 2 10 3 10" xfId="775" xr:uid="{00000000-0005-0000-0000-0000E1000000}"/>
    <cellStyle name="Calculation 2 10 3 10 2" xfId="13990" xr:uid="{00000000-0005-0000-0000-0000E2000000}"/>
    <cellStyle name="Calculation 2 10 3 11" xfId="7145" xr:uid="{00000000-0005-0000-0000-0000E3000000}"/>
    <cellStyle name="Calculation 2 10 3 12" xfId="7064" xr:uid="{00000000-0005-0000-0000-0000E4000000}"/>
    <cellStyle name="Calculation 2 10 3 13" xfId="28219" xr:uid="{71C9863E-A897-4168-879B-A4517CFF0E57}"/>
    <cellStyle name="Calculation 2 10 3 14" xfId="30793" xr:uid="{6CB5C3FC-17F7-4B08-84DE-678AAF46BFD5}"/>
    <cellStyle name="Calculation 2 10 3 2" xfId="943" xr:uid="{00000000-0005-0000-0000-0000E5000000}"/>
    <cellStyle name="Calculation 2 10 3 2 2" xfId="3079" xr:uid="{00000000-0005-0000-0000-0000E6000000}"/>
    <cellStyle name="Calculation 2 10 3 2 2 2" xfId="9675" xr:uid="{00000000-0005-0000-0000-0000E7000000}"/>
    <cellStyle name="Calculation 2 10 3 2 2 3" xfId="16294" xr:uid="{00000000-0005-0000-0000-0000E8000000}"/>
    <cellStyle name="Calculation 2 10 3 2 3" xfId="5114" xr:uid="{00000000-0005-0000-0000-0000E9000000}"/>
    <cellStyle name="Calculation 2 10 3 2 3 2" xfId="11710" xr:uid="{00000000-0005-0000-0000-0000EA000000}"/>
    <cellStyle name="Calculation 2 10 3 2 3 3" xfId="18329" xr:uid="{00000000-0005-0000-0000-0000EB000000}"/>
    <cellStyle name="Calculation 2 10 3 2 4" xfId="7540" xr:uid="{00000000-0005-0000-0000-0000EC000000}"/>
    <cellStyle name="Calculation 2 10 3 2 5" xfId="14158" xr:uid="{00000000-0005-0000-0000-0000ED000000}"/>
    <cellStyle name="Calculation 2 10 3 2 6" xfId="30072" xr:uid="{6ED4200D-468D-4EDC-BAA3-2C67860C683F}"/>
    <cellStyle name="Calculation 2 10 3 2 7" xfId="31504" xr:uid="{9B87F32F-272B-4302-9629-80545BCFF3BD}"/>
    <cellStyle name="Calculation 2 10 3 3" xfId="1228" xr:uid="{00000000-0005-0000-0000-0000EE000000}"/>
    <cellStyle name="Calculation 2 10 3 3 2" xfId="3364" xr:uid="{00000000-0005-0000-0000-0000EF000000}"/>
    <cellStyle name="Calculation 2 10 3 3 2 2" xfId="9960" xr:uid="{00000000-0005-0000-0000-0000F0000000}"/>
    <cellStyle name="Calculation 2 10 3 3 2 3" xfId="16579" xr:uid="{00000000-0005-0000-0000-0000F1000000}"/>
    <cellStyle name="Calculation 2 10 3 3 3" xfId="5399" xr:uid="{00000000-0005-0000-0000-0000F2000000}"/>
    <cellStyle name="Calculation 2 10 3 3 3 2" xfId="11995" xr:uid="{00000000-0005-0000-0000-0000F3000000}"/>
    <cellStyle name="Calculation 2 10 3 3 3 3" xfId="18614" xr:uid="{00000000-0005-0000-0000-0000F4000000}"/>
    <cellStyle name="Calculation 2 10 3 3 4" xfId="7824" xr:uid="{00000000-0005-0000-0000-0000F5000000}"/>
    <cellStyle name="Calculation 2 10 3 3 5" xfId="14443" xr:uid="{00000000-0005-0000-0000-0000F6000000}"/>
    <cellStyle name="Calculation 2 10 3 4" xfId="1510" xr:uid="{00000000-0005-0000-0000-0000F7000000}"/>
    <cellStyle name="Calculation 2 10 3 4 2" xfId="3646" xr:uid="{00000000-0005-0000-0000-0000F8000000}"/>
    <cellStyle name="Calculation 2 10 3 4 2 2" xfId="10242" xr:uid="{00000000-0005-0000-0000-0000F9000000}"/>
    <cellStyle name="Calculation 2 10 3 4 2 3" xfId="16861" xr:uid="{00000000-0005-0000-0000-0000FA000000}"/>
    <cellStyle name="Calculation 2 10 3 4 3" xfId="5681" xr:uid="{00000000-0005-0000-0000-0000FB000000}"/>
    <cellStyle name="Calculation 2 10 3 4 3 2" xfId="12277" xr:uid="{00000000-0005-0000-0000-0000FC000000}"/>
    <cellStyle name="Calculation 2 10 3 4 3 3" xfId="18896" xr:uid="{00000000-0005-0000-0000-0000FD000000}"/>
    <cellStyle name="Calculation 2 10 3 4 4" xfId="8106" xr:uid="{00000000-0005-0000-0000-0000FE000000}"/>
    <cellStyle name="Calculation 2 10 3 4 5" xfId="14725" xr:uid="{00000000-0005-0000-0000-0000FF000000}"/>
    <cellStyle name="Calculation 2 10 3 5" xfId="1791" xr:uid="{00000000-0005-0000-0000-000000010000}"/>
    <cellStyle name="Calculation 2 10 3 5 2" xfId="3927" xr:uid="{00000000-0005-0000-0000-000001010000}"/>
    <cellStyle name="Calculation 2 10 3 5 2 2" xfId="10523" xr:uid="{00000000-0005-0000-0000-000002010000}"/>
    <cellStyle name="Calculation 2 10 3 5 2 3" xfId="17142" xr:uid="{00000000-0005-0000-0000-000003010000}"/>
    <cellStyle name="Calculation 2 10 3 5 3" xfId="5962" xr:uid="{00000000-0005-0000-0000-000004010000}"/>
    <cellStyle name="Calculation 2 10 3 5 3 2" xfId="12558" xr:uid="{00000000-0005-0000-0000-000005010000}"/>
    <cellStyle name="Calculation 2 10 3 5 3 3" xfId="19177" xr:uid="{00000000-0005-0000-0000-000006010000}"/>
    <cellStyle name="Calculation 2 10 3 5 4" xfId="8387" xr:uid="{00000000-0005-0000-0000-000007010000}"/>
    <cellStyle name="Calculation 2 10 3 5 5" xfId="15006" xr:uid="{00000000-0005-0000-0000-000008010000}"/>
    <cellStyle name="Calculation 2 10 3 6" xfId="2070" xr:uid="{00000000-0005-0000-0000-000009010000}"/>
    <cellStyle name="Calculation 2 10 3 6 2" xfId="4206" xr:uid="{00000000-0005-0000-0000-00000A010000}"/>
    <cellStyle name="Calculation 2 10 3 6 2 2" xfId="10802" xr:uid="{00000000-0005-0000-0000-00000B010000}"/>
    <cellStyle name="Calculation 2 10 3 6 2 3" xfId="17421" xr:uid="{00000000-0005-0000-0000-00000C010000}"/>
    <cellStyle name="Calculation 2 10 3 6 3" xfId="6241" xr:uid="{00000000-0005-0000-0000-00000D010000}"/>
    <cellStyle name="Calculation 2 10 3 6 3 2" xfId="12837" xr:uid="{00000000-0005-0000-0000-00000E010000}"/>
    <cellStyle name="Calculation 2 10 3 6 3 3" xfId="19456" xr:uid="{00000000-0005-0000-0000-00000F010000}"/>
    <cellStyle name="Calculation 2 10 3 6 4" xfId="8666" xr:uid="{00000000-0005-0000-0000-000010010000}"/>
    <cellStyle name="Calculation 2 10 3 6 5" xfId="15285" xr:uid="{00000000-0005-0000-0000-000011010000}"/>
    <cellStyle name="Calculation 2 10 3 7" xfId="2345" xr:uid="{00000000-0005-0000-0000-000012010000}"/>
    <cellStyle name="Calculation 2 10 3 7 2" xfId="4481" xr:uid="{00000000-0005-0000-0000-000013010000}"/>
    <cellStyle name="Calculation 2 10 3 7 2 2" xfId="11077" xr:uid="{00000000-0005-0000-0000-000014010000}"/>
    <cellStyle name="Calculation 2 10 3 7 2 3" xfId="17696" xr:uid="{00000000-0005-0000-0000-000015010000}"/>
    <cellStyle name="Calculation 2 10 3 7 3" xfId="6516" xr:uid="{00000000-0005-0000-0000-000016010000}"/>
    <cellStyle name="Calculation 2 10 3 7 3 2" xfId="13112" xr:uid="{00000000-0005-0000-0000-000017010000}"/>
    <cellStyle name="Calculation 2 10 3 7 3 3" xfId="19731" xr:uid="{00000000-0005-0000-0000-000018010000}"/>
    <cellStyle name="Calculation 2 10 3 7 4" xfId="8941" xr:uid="{00000000-0005-0000-0000-000019010000}"/>
    <cellStyle name="Calculation 2 10 3 7 5" xfId="15560" xr:uid="{00000000-0005-0000-0000-00001A010000}"/>
    <cellStyle name="Calculation 2 10 3 8" xfId="2911" xr:uid="{00000000-0005-0000-0000-00001B010000}"/>
    <cellStyle name="Calculation 2 10 3 8 2" xfId="9507" xr:uid="{00000000-0005-0000-0000-00001C010000}"/>
    <cellStyle name="Calculation 2 10 3 8 3" xfId="16126" xr:uid="{00000000-0005-0000-0000-00001D010000}"/>
    <cellStyle name="Calculation 2 10 3 9" xfId="4946" xr:uid="{00000000-0005-0000-0000-00001E010000}"/>
    <cellStyle name="Calculation 2 10 3 9 2" xfId="11542" xr:uid="{00000000-0005-0000-0000-00001F010000}"/>
    <cellStyle name="Calculation 2 10 3 9 3" xfId="18161" xr:uid="{00000000-0005-0000-0000-000020010000}"/>
    <cellStyle name="Calculation 2 10 3_Summary" xfId="20101" xr:uid="{00000000-0005-0000-0000-000021010000}"/>
    <cellStyle name="Calculation 2 10 4" xfId="392" xr:uid="{00000000-0005-0000-0000-000022010000}"/>
    <cellStyle name="Calculation 2 10 4 10" xfId="729" xr:uid="{00000000-0005-0000-0000-000023010000}"/>
    <cellStyle name="Calculation 2 10 4 10 2" xfId="13944" xr:uid="{00000000-0005-0000-0000-000024010000}"/>
    <cellStyle name="Calculation 2 10 4 11" xfId="7285" xr:uid="{00000000-0005-0000-0000-000025010000}"/>
    <cellStyle name="Calculation 2 10 4 12" xfId="13607" xr:uid="{00000000-0005-0000-0000-000026010000}"/>
    <cellStyle name="Calculation 2 10 4 13" xfId="30070" xr:uid="{59CA20FD-0813-475F-B15F-27331A17866B}"/>
    <cellStyle name="Calculation 2 10 4 14" xfId="31502" xr:uid="{B0C054B0-6AEA-4AC2-A53F-804848D2A6BB}"/>
    <cellStyle name="Calculation 2 10 4 2" xfId="1086" xr:uid="{00000000-0005-0000-0000-000027010000}"/>
    <cellStyle name="Calculation 2 10 4 2 2" xfId="3222" xr:uid="{00000000-0005-0000-0000-000028010000}"/>
    <cellStyle name="Calculation 2 10 4 2 2 2" xfId="9818" xr:uid="{00000000-0005-0000-0000-000029010000}"/>
    <cellStyle name="Calculation 2 10 4 2 2 3" xfId="16437" xr:uid="{00000000-0005-0000-0000-00002A010000}"/>
    <cellStyle name="Calculation 2 10 4 2 3" xfId="5257" xr:uid="{00000000-0005-0000-0000-00002B010000}"/>
    <cellStyle name="Calculation 2 10 4 2 3 2" xfId="11853" xr:uid="{00000000-0005-0000-0000-00002C010000}"/>
    <cellStyle name="Calculation 2 10 4 2 3 3" xfId="18472" xr:uid="{00000000-0005-0000-0000-00002D010000}"/>
    <cellStyle name="Calculation 2 10 4 2 4" xfId="7683" xr:uid="{00000000-0005-0000-0000-00002E010000}"/>
    <cellStyle name="Calculation 2 10 4 2 5" xfId="14301" xr:uid="{00000000-0005-0000-0000-00002F010000}"/>
    <cellStyle name="Calculation 2 10 4 3" xfId="1368" xr:uid="{00000000-0005-0000-0000-000030010000}"/>
    <cellStyle name="Calculation 2 10 4 3 2" xfId="3504" xr:uid="{00000000-0005-0000-0000-000031010000}"/>
    <cellStyle name="Calculation 2 10 4 3 2 2" xfId="10100" xr:uid="{00000000-0005-0000-0000-000032010000}"/>
    <cellStyle name="Calculation 2 10 4 3 2 3" xfId="16719" xr:uid="{00000000-0005-0000-0000-000033010000}"/>
    <cellStyle name="Calculation 2 10 4 3 3" xfId="5539" xr:uid="{00000000-0005-0000-0000-000034010000}"/>
    <cellStyle name="Calculation 2 10 4 3 3 2" xfId="12135" xr:uid="{00000000-0005-0000-0000-000035010000}"/>
    <cellStyle name="Calculation 2 10 4 3 3 3" xfId="18754" xr:uid="{00000000-0005-0000-0000-000036010000}"/>
    <cellStyle name="Calculation 2 10 4 3 4" xfId="7964" xr:uid="{00000000-0005-0000-0000-000037010000}"/>
    <cellStyle name="Calculation 2 10 4 3 5" xfId="14583" xr:uid="{00000000-0005-0000-0000-000038010000}"/>
    <cellStyle name="Calculation 2 10 4 4" xfId="1649" xr:uid="{00000000-0005-0000-0000-000039010000}"/>
    <cellStyle name="Calculation 2 10 4 4 2" xfId="3785" xr:uid="{00000000-0005-0000-0000-00003A010000}"/>
    <cellStyle name="Calculation 2 10 4 4 2 2" xfId="10381" xr:uid="{00000000-0005-0000-0000-00003B010000}"/>
    <cellStyle name="Calculation 2 10 4 4 2 3" xfId="17000" xr:uid="{00000000-0005-0000-0000-00003C010000}"/>
    <cellStyle name="Calculation 2 10 4 4 3" xfId="5820" xr:uid="{00000000-0005-0000-0000-00003D010000}"/>
    <cellStyle name="Calculation 2 10 4 4 3 2" xfId="12416" xr:uid="{00000000-0005-0000-0000-00003E010000}"/>
    <cellStyle name="Calculation 2 10 4 4 3 3" xfId="19035" xr:uid="{00000000-0005-0000-0000-00003F010000}"/>
    <cellStyle name="Calculation 2 10 4 4 4" xfId="8245" xr:uid="{00000000-0005-0000-0000-000040010000}"/>
    <cellStyle name="Calculation 2 10 4 4 5" xfId="14864" xr:uid="{00000000-0005-0000-0000-000041010000}"/>
    <cellStyle name="Calculation 2 10 4 5" xfId="1928" xr:uid="{00000000-0005-0000-0000-000042010000}"/>
    <cellStyle name="Calculation 2 10 4 5 2" xfId="4064" xr:uid="{00000000-0005-0000-0000-000043010000}"/>
    <cellStyle name="Calculation 2 10 4 5 2 2" xfId="10660" xr:uid="{00000000-0005-0000-0000-000044010000}"/>
    <cellStyle name="Calculation 2 10 4 5 2 3" xfId="17279" xr:uid="{00000000-0005-0000-0000-000045010000}"/>
    <cellStyle name="Calculation 2 10 4 5 3" xfId="6099" xr:uid="{00000000-0005-0000-0000-000046010000}"/>
    <cellStyle name="Calculation 2 10 4 5 3 2" xfId="12695" xr:uid="{00000000-0005-0000-0000-000047010000}"/>
    <cellStyle name="Calculation 2 10 4 5 3 3" xfId="19314" xr:uid="{00000000-0005-0000-0000-000048010000}"/>
    <cellStyle name="Calculation 2 10 4 5 4" xfId="8524" xr:uid="{00000000-0005-0000-0000-000049010000}"/>
    <cellStyle name="Calculation 2 10 4 5 5" xfId="15143" xr:uid="{00000000-0005-0000-0000-00004A010000}"/>
    <cellStyle name="Calculation 2 10 4 6" xfId="2203" xr:uid="{00000000-0005-0000-0000-00004B010000}"/>
    <cellStyle name="Calculation 2 10 4 6 2" xfId="4339" xr:uid="{00000000-0005-0000-0000-00004C010000}"/>
    <cellStyle name="Calculation 2 10 4 6 2 2" xfId="10935" xr:uid="{00000000-0005-0000-0000-00004D010000}"/>
    <cellStyle name="Calculation 2 10 4 6 2 3" xfId="17554" xr:uid="{00000000-0005-0000-0000-00004E010000}"/>
    <cellStyle name="Calculation 2 10 4 6 3" xfId="6374" xr:uid="{00000000-0005-0000-0000-00004F010000}"/>
    <cellStyle name="Calculation 2 10 4 6 3 2" xfId="12970" xr:uid="{00000000-0005-0000-0000-000050010000}"/>
    <cellStyle name="Calculation 2 10 4 6 3 3" xfId="19589" xr:uid="{00000000-0005-0000-0000-000051010000}"/>
    <cellStyle name="Calculation 2 10 4 6 4" xfId="8799" xr:uid="{00000000-0005-0000-0000-000052010000}"/>
    <cellStyle name="Calculation 2 10 4 6 5" xfId="15418" xr:uid="{00000000-0005-0000-0000-000053010000}"/>
    <cellStyle name="Calculation 2 10 4 7" xfId="2476" xr:uid="{00000000-0005-0000-0000-000054010000}"/>
    <cellStyle name="Calculation 2 10 4 7 2" xfId="4612" xr:uid="{00000000-0005-0000-0000-000055010000}"/>
    <cellStyle name="Calculation 2 10 4 7 2 2" xfId="11208" xr:uid="{00000000-0005-0000-0000-000056010000}"/>
    <cellStyle name="Calculation 2 10 4 7 2 3" xfId="17827" xr:uid="{00000000-0005-0000-0000-000057010000}"/>
    <cellStyle name="Calculation 2 10 4 7 3" xfId="6647" xr:uid="{00000000-0005-0000-0000-000058010000}"/>
    <cellStyle name="Calculation 2 10 4 7 3 2" xfId="13243" xr:uid="{00000000-0005-0000-0000-000059010000}"/>
    <cellStyle name="Calculation 2 10 4 7 3 3" xfId="19862" xr:uid="{00000000-0005-0000-0000-00005A010000}"/>
    <cellStyle name="Calculation 2 10 4 7 4" xfId="9072" xr:uid="{00000000-0005-0000-0000-00005B010000}"/>
    <cellStyle name="Calculation 2 10 4 7 5" xfId="15691" xr:uid="{00000000-0005-0000-0000-00005C010000}"/>
    <cellStyle name="Calculation 2 10 4 8" xfId="2865" xr:uid="{00000000-0005-0000-0000-00005D010000}"/>
    <cellStyle name="Calculation 2 10 4 8 2" xfId="9461" xr:uid="{00000000-0005-0000-0000-00005E010000}"/>
    <cellStyle name="Calculation 2 10 4 8 3" xfId="16080" xr:uid="{00000000-0005-0000-0000-00005F010000}"/>
    <cellStyle name="Calculation 2 10 4 9" xfId="4900" xr:uid="{00000000-0005-0000-0000-000060010000}"/>
    <cellStyle name="Calculation 2 10 4 9 2" xfId="11496" xr:uid="{00000000-0005-0000-0000-000061010000}"/>
    <cellStyle name="Calculation 2 10 4 9 3" xfId="18115" xr:uid="{00000000-0005-0000-0000-000062010000}"/>
    <cellStyle name="Calculation 2 10 4_Summary" xfId="20102" xr:uid="{00000000-0005-0000-0000-000063010000}"/>
    <cellStyle name="Calculation 2 10 5" xfId="899" xr:uid="{00000000-0005-0000-0000-000064010000}"/>
    <cellStyle name="Calculation 2 10 5 2" xfId="3035" xr:uid="{00000000-0005-0000-0000-000065010000}"/>
    <cellStyle name="Calculation 2 10 5 2 2" xfId="9631" xr:uid="{00000000-0005-0000-0000-000066010000}"/>
    <cellStyle name="Calculation 2 10 5 2 3" xfId="16250" xr:uid="{00000000-0005-0000-0000-000067010000}"/>
    <cellStyle name="Calculation 2 10 5 3" xfId="5070" xr:uid="{00000000-0005-0000-0000-000068010000}"/>
    <cellStyle name="Calculation 2 10 5 3 2" xfId="11666" xr:uid="{00000000-0005-0000-0000-000069010000}"/>
    <cellStyle name="Calculation 2 10 5 3 3" xfId="18285" xr:uid="{00000000-0005-0000-0000-00006A010000}"/>
    <cellStyle name="Calculation 2 10 5 4" xfId="7496" xr:uid="{00000000-0005-0000-0000-00006B010000}"/>
    <cellStyle name="Calculation 2 10 5 5" xfId="14114" xr:uid="{00000000-0005-0000-0000-00006C010000}"/>
    <cellStyle name="Calculation 2 10 6" xfId="1184" xr:uid="{00000000-0005-0000-0000-00006D010000}"/>
    <cellStyle name="Calculation 2 10 6 2" xfId="3320" xr:uid="{00000000-0005-0000-0000-00006E010000}"/>
    <cellStyle name="Calculation 2 10 6 2 2" xfId="9916" xr:uid="{00000000-0005-0000-0000-00006F010000}"/>
    <cellStyle name="Calculation 2 10 6 2 3" xfId="16535" xr:uid="{00000000-0005-0000-0000-000070010000}"/>
    <cellStyle name="Calculation 2 10 6 3" xfId="5355" xr:uid="{00000000-0005-0000-0000-000071010000}"/>
    <cellStyle name="Calculation 2 10 6 3 2" xfId="11951" xr:uid="{00000000-0005-0000-0000-000072010000}"/>
    <cellStyle name="Calculation 2 10 6 3 3" xfId="18570" xr:uid="{00000000-0005-0000-0000-000073010000}"/>
    <cellStyle name="Calculation 2 10 6 4" xfId="7780" xr:uid="{00000000-0005-0000-0000-000074010000}"/>
    <cellStyle name="Calculation 2 10 6 5" xfId="14399" xr:uid="{00000000-0005-0000-0000-000075010000}"/>
    <cellStyle name="Calculation 2 10 7" xfId="1466" xr:uid="{00000000-0005-0000-0000-000076010000}"/>
    <cellStyle name="Calculation 2 10 7 2" xfId="3602" xr:uid="{00000000-0005-0000-0000-000077010000}"/>
    <cellStyle name="Calculation 2 10 7 2 2" xfId="10198" xr:uid="{00000000-0005-0000-0000-000078010000}"/>
    <cellStyle name="Calculation 2 10 7 2 3" xfId="16817" xr:uid="{00000000-0005-0000-0000-000079010000}"/>
    <cellStyle name="Calculation 2 10 7 3" xfId="5637" xr:uid="{00000000-0005-0000-0000-00007A010000}"/>
    <cellStyle name="Calculation 2 10 7 3 2" xfId="12233" xr:uid="{00000000-0005-0000-0000-00007B010000}"/>
    <cellStyle name="Calculation 2 10 7 3 3" xfId="18852" xr:uid="{00000000-0005-0000-0000-00007C010000}"/>
    <cellStyle name="Calculation 2 10 7 4" xfId="8062" xr:uid="{00000000-0005-0000-0000-00007D010000}"/>
    <cellStyle name="Calculation 2 10 7 5" xfId="14681" xr:uid="{00000000-0005-0000-0000-00007E010000}"/>
    <cellStyle name="Calculation 2 10 8" xfId="1747" xr:uid="{00000000-0005-0000-0000-00007F010000}"/>
    <cellStyle name="Calculation 2 10 8 2" xfId="3883" xr:uid="{00000000-0005-0000-0000-000080010000}"/>
    <cellStyle name="Calculation 2 10 8 2 2" xfId="10479" xr:uid="{00000000-0005-0000-0000-000081010000}"/>
    <cellStyle name="Calculation 2 10 8 2 3" xfId="17098" xr:uid="{00000000-0005-0000-0000-000082010000}"/>
    <cellStyle name="Calculation 2 10 8 3" xfId="5918" xr:uid="{00000000-0005-0000-0000-000083010000}"/>
    <cellStyle name="Calculation 2 10 8 3 2" xfId="12514" xr:uid="{00000000-0005-0000-0000-000084010000}"/>
    <cellStyle name="Calculation 2 10 8 3 3" xfId="19133" xr:uid="{00000000-0005-0000-0000-000085010000}"/>
    <cellStyle name="Calculation 2 10 8 4" xfId="8343" xr:uid="{00000000-0005-0000-0000-000086010000}"/>
    <cellStyle name="Calculation 2 10 8 5" xfId="14962" xr:uid="{00000000-0005-0000-0000-000087010000}"/>
    <cellStyle name="Calculation 2 10 9" xfId="2026" xr:uid="{00000000-0005-0000-0000-000088010000}"/>
    <cellStyle name="Calculation 2 10 9 2" xfId="4162" xr:uid="{00000000-0005-0000-0000-000089010000}"/>
    <cellStyle name="Calculation 2 10 9 2 2" xfId="10758" xr:uid="{00000000-0005-0000-0000-00008A010000}"/>
    <cellStyle name="Calculation 2 10 9 2 3" xfId="17377" xr:uid="{00000000-0005-0000-0000-00008B010000}"/>
    <cellStyle name="Calculation 2 10 9 3" xfId="6197" xr:uid="{00000000-0005-0000-0000-00008C010000}"/>
    <cellStyle name="Calculation 2 10 9 3 2" xfId="12793" xr:uid="{00000000-0005-0000-0000-00008D010000}"/>
    <cellStyle name="Calculation 2 10 9 3 3" xfId="19412" xr:uid="{00000000-0005-0000-0000-00008E010000}"/>
    <cellStyle name="Calculation 2 10 9 4" xfId="8622" xr:uid="{00000000-0005-0000-0000-00008F010000}"/>
    <cellStyle name="Calculation 2 10 9 5" xfId="15241" xr:uid="{00000000-0005-0000-0000-000090010000}"/>
    <cellStyle name="Calculation 2 10_Summary" xfId="20098" xr:uid="{00000000-0005-0000-0000-000091010000}"/>
    <cellStyle name="Calculation 2 11" xfId="195" xr:uid="{00000000-0005-0000-0000-000092010000}"/>
    <cellStyle name="Calculation 2 11 10" xfId="2304" xr:uid="{00000000-0005-0000-0000-000093010000}"/>
    <cellStyle name="Calculation 2 11 10 2" xfId="4440" xr:uid="{00000000-0005-0000-0000-000094010000}"/>
    <cellStyle name="Calculation 2 11 10 2 2" xfId="11036" xr:uid="{00000000-0005-0000-0000-000095010000}"/>
    <cellStyle name="Calculation 2 11 10 2 3" xfId="17655" xr:uid="{00000000-0005-0000-0000-000096010000}"/>
    <cellStyle name="Calculation 2 11 10 3" xfId="6475" xr:uid="{00000000-0005-0000-0000-000097010000}"/>
    <cellStyle name="Calculation 2 11 10 3 2" xfId="13071" xr:uid="{00000000-0005-0000-0000-000098010000}"/>
    <cellStyle name="Calculation 2 11 10 3 3" xfId="19690" xr:uid="{00000000-0005-0000-0000-000099010000}"/>
    <cellStyle name="Calculation 2 11 10 4" xfId="8900" xr:uid="{00000000-0005-0000-0000-00009A010000}"/>
    <cellStyle name="Calculation 2 11 10 5" xfId="15519" xr:uid="{00000000-0005-0000-0000-00009B010000}"/>
    <cellStyle name="Calculation 2 11 11" xfId="2623" xr:uid="{00000000-0005-0000-0000-00009C010000}"/>
    <cellStyle name="Calculation 2 11 11 2" xfId="9219" xr:uid="{00000000-0005-0000-0000-00009D010000}"/>
    <cellStyle name="Calculation 2 11 11 3" xfId="15838" xr:uid="{00000000-0005-0000-0000-00009E010000}"/>
    <cellStyle name="Calculation 2 11 12" xfId="2593" xr:uid="{00000000-0005-0000-0000-00009F010000}"/>
    <cellStyle name="Calculation 2 11 12 2" xfId="9189" xr:uid="{00000000-0005-0000-0000-0000A0010000}"/>
    <cellStyle name="Calculation 2 11 12 3" xfId="15808" xr:uid="{00000000-0005-0000-0000-0000A1010000}"/>
    <cellStyle name="Calculation 2 11 13" xfId="512" xr:uid="{00000000-0005-0000-0000-0000A2010000}"/>
    <cellStyle name="Calculation 2 11 13 2" xfId="13727" xr:uid="{00000000-0005-0000-0000-0000A3010000}"/>
    <cellStyle name="Calculation 2 11 14" xfId="7103" xr:uid="{00000000-0005-0000-0000-0000A4010000}"/>
    <cellStyle name="Calculation 2 11 15" xfId="7023" xr:uid="{00000000-0005-0000-0000-0000A5010000}"/>
    <cellStyle name="Calculation 2 11 16" xfId="28220" xr:uid="{AB21FC04-7D16-4544-813F-2322855335FF}"/>
    <cellStyle name="Calculation 2 11 17" xfId="30794" xr:uid="{2F070BDA-6E51-489A-B6EC-2A498948E61A}"/>
    <cellStyle name="Calculation 2 11 2" xfId="327" xr:uid="{00000000-0005-0000-0000-0000A6010000}"/>
    <cellStyle name="Calculation 2 11 2 10" xfId="4748" xr:uid="{00000000-0005-0000-0000-0000A7010000}"/>
    <cellStyle name="Calculation 2 11 2 10 2" xfId="11344" xr:uid="{00000000-0005-0000-0000-0000A8010000}"/>
    <cellStyle name="Calculation 2 11 2 10 3" xfId="17963" xr:uid="{00000000-0005-0000-0000-0000A9010000}"/>
    <cellStyle name="Calculation 2 11 2 11" xfId="577" xr:uid="{00000000-0005-0000-0000-0000AA010000}"/>
    <cellStyle name="Calculation 2 11 2 11 2" xfId="13792" xr:uid="{00000000-0005-0000-0000-0000AB010000}"/>
    <cellStyle name="Calculation 2 11 2 12" xfId="7221" xr:uid="{00000000-0005-0000-0000-0000AC010000}"/>
    <cellStyle name="Calculation 2 11 2 13" xfId="13543" xr:uid="{00000000-0005-0000-0000-0000AD010000}"/>
    <cellStyle name="Calculation 2 11 2 14" xfId="30073" xr:uid="{A92E410F-A252-4FCF-A35C-536F9AA8E5FA}"/>
    <cellStyle name="Calculation 2 11 2 15" xfId="31505" xr:uid="{9B77C1D9-56C6-4355-B21A-BC13FB3EB50C}"/>
    <cellStyle name="Calculation 2 11 2 2" xfId="456" xr:uid="{00000000-0005-0000-0000-0000AE010000}"/>
    <cellStyle name="Calculation 2 11 2 2 10" xfId="850" xr:uid="{00000000-0005-0000-0000-0000AF010000}"/>
    <cellStyle name="Calculation 2 11 2 2 10 2" xfId="14065" xr:uid="{00000000-0005-0000-0000-0000B0010000}"/>
    <cellStyle name="Calculation 2 11 2 2 11" xfId="7349" xr:uid="{00000000-0005-0000-0000-0000B1010000}"/>
    <cellStyle name="Calculation 2 11 2 2 12" xfId="13671" xr:uid="{00000000-0005-0000-0000-0000B2010000}"/>
    <cellStyle name="Calculation 2 11 2 2 2" xfId="1150" xr:uid="{00000000-0005-0000-0000-0000B3010000}"/>
    <cellStyle name="Calculation 2 11 2 2 2 2" xfId="3286" xr:uid="{00000000-0005-0000-0000-0000B4010000}"/>
    <cellStyle name="Calculation 2 11 2 2 2 2 2" xfId="9882" xr:uid="{00000000-0005-0000-0000-0000B5010000}"/>
    <cellStyle name="Calculation 2 11 2 2 2 2 3" xfId="16501" xr:uid="{00000000-0005-0000-0000-0000B6010000}"/>
    <cellStyle name="Calculation 2 11 2 2 2 3" xfId="5321" xr:uid="{00000000-0005-0000-0000-0000B7010000}"/>
    <cellStyle name="Calculation 2 11 2 2 2 3 2" xfId="11917" xr:uid="{00000000-0005-0000-0000-0000B8010000}"/>
    <cellStyle name="Calculation 2 11 2 2 2 3 3" xfId="18536" xr:uid="{00000000-0005-0000-0000-0000B9010000}"/>
    <cellStyle name="Calculation 2 11 2 2 2 4" xfId="7746" xr:uid="{00000000-0005-0000-0000-0000BA010000}"/>
    <cellStyle name="Calculation 2 11 2 2 2 5" xfId="14365" xr:uid="{00000000-0005-0000-0000-0000BB010000}"/>
    <cellStyle name="Calculation 2 11 2 2 3" xfId="1432" xr:uid="{00000000-0005-0000-0000-0000BC010000}"/>
    <cellStyle name="Calculation 2 11 2 2 3 2" xfId="3568" xr:uid="{00000000-0005-0000-0000-0000BD010000}"/>
    <cellStyle name="Calculation 2 11 2 2 3 2 2" xfId="10164" xr:uid="{00000000-0005-0000-0000-0000BE010000}"/>
    <cellStyle name="Calculation 2 11 2 2 3 2 3" xfId="16783" xr:uid="{00000000-0005-0000-0000-0000BF010000}"/>
    <cellStyle name="Calculation 2 11 2 2 3 3" xfId="5603" xr:uid="{00000000-0005-0000-0000-0000C0010000}"/>
    <cellStyle name="Calculation 2 11 2 2 3 3 2" xfId="12199" xr:uid="{00000000-0005-0000-0000-0000C1010000}"/>
    <cellStyle name="Calculation 2 11 2 2 3 3 3" xfId="18818" xr:uid="{00000000-0005-0000-0000-0000C2010000}"/>
    <cellStyle name="Calculation 2 11 2 2 3 4" xfId="8028" xr:uid="{00000000-0005-0000-0000-0000C3010000}"/>
    <cellStyle name="Calculation 2 11 2 2 3 5" xfId="14647" xr:uid="{00000000-0005-0000-0000-0000C4010000}"/>
    <cellStyle name="Calculation 2 11 2 2 4" xfId="1713" xr:uid="{00000000-0005-0000-0000-0000C5010000}"/>
    <cellStyle name="Calculation 2 11 2 2 4 2" xfId="3849" xr:uid="{00000000-0005-0000-0000-0000C6010000}"/>
    <cellStyle name="Calculation 2 11 2 2 4 2 2" xfId="10445" xr:uid="{00000000-0005-0000-0000-0000C7010000}"/>
    <cellStyle name="Calculation 2 11 2 2 4 2 3" xfId="17064" xr:uid="{00000000-0005-0000-0000-0000C8010000}"/>
    <cellStyle name="Calculation 2 11 2 2 4 3" xfId="5884" xr:uid="{00000000-0005-0000-0000-0000C9010000}"/>
    <cellStyle name="Calculation 2 11 2 2 4 3 2" xfId="12480" xr:uid="{00000000-0005-0000-0000-0000CA010000}"/>
    <cellStyle name="Calculation 2 11 2 2 4 3 3" xfId="19099" xr:uid="{00000000-0005-0000-0000-0000CB010000}"/>
    <cellStyle name="Calculation 2 11 2 2 4 4" xfId="8309" xr:uid="{00000000-0005-0000-0000-0000CC010000}"/>
    <cellStyle name="Calculation 2 11 2 2 4 5" xfId="14928" xr:uid="{00000000-0005-0000-0000-0000CD010000}"/>
    <cellStyle name="Calculation 2 11 2 2 5" xfId="1992" xr:uid="{00000000-0005-0000-0000-0000CE010000}"/>
    <cellStyle name="Calculation 2 11 2 2 5 2" xfId="4128" xr:uid="{00000000-0005-0000-0000-0000CF010000}"/>
    <cellStyle name="Calculation 2 11 2 2 5 2 2" xfId="10724" xr:uid="{00000000-0005-0000-0000-0000D0010000}"/>
    <cellStyle name="Calculation 2 11 2 2 5 2 3" xfId="17343" xr:uid="{00000000-0005-0000-0000-0000D1010000}"/>
    <cellStyle name="Calculation 2 11 2 2 5 3" xfId="6163" xr:uid="{00000000-0005-0000-0000-0000D2010000}"/>
    <cellStyle name="Calculation 2 11 2 2 5 3 2" xfId="12759" xr:uid="{00000000-0005-0000-0000-0000D3010000}"/>
    <cellStyle name="Calculation 2 11 2 2 5 3 3" xfId="19378" xr:uid="{00000000-0005-0000-0000-0000D4010000}"/>
    <cellStyle name="Calculation 2 11 2 2 5 4" xfId="8588" xr:uid="{00000000-0005-0000-0000-0000D5010000}"/>
    <cellStyle name="Calculation 2 11 2 2 5 5" xfId="15207" xr:uid="{00000000-0005-0000-0000-0000D6010000}"/>
    <cellStyle name="Calculation 2 11 2 2 6" xfId="2267" xr:uid="{00000000-0005-0000-0000-0000D7010000}"/>
    <cellStyle name="Calculation 2 11 2 2 6 2" xfId="4403" xr:uid="{00000000-0005-0000-0000-0000D8010000}"/>
    <cellStyle name="Calculation 2 11 2 2 6 2 2" xfId="10999" xr:uid="{00000000-0005-0000-0000-0000D9010000}"/>
    <cellStyle name="Calculation 2 11 2 2 6 2 3" xfId="17618" xr:uid="{00000000-0005-0000-0000-0000DA010000}"/>
    <cellStyle name="Calculation 2 11 2 2 6 3" xfId="6438" xr:uid="{00000000-0005-0000-0000-0000DB010000}"/>
    <cellStyle name="Calculation 2 11 2 2 6 3 2" xfId="13034" xr:uid="{00000000-0005-0000-0000-0000DC010000}"/>
    <cellStyle name="Calculation 2 11 2 2 6 3 3" xfId="19653" xr:uid="{00000000-0005-0000-0000-0000DD010000}"/>
    <cellStyle name="Calculation 2 11 2 2 6 4" xfId="8863" xr:uid="{00000000-0005-0000-0000-0000DE010000}"/>
    <cellStyle name="Calculation 2 11 2 2 6 5" xfId="15482" xr:uid="{00000000-0005-0000-0000-0000DF010000}"/>
    <cellStyle name="Calculation 2 11 2 2 7" xfId="2540" xr:uid="{00000000-0005-0000-0000-0000E0010000}"/>
    <cellStyle name="Calculation 2 11 2 2 7 2" xfId="4676" xr:uid="{00000000-0005-0000-0000-0000E1010000}"/>
    <cellStyle name="Calculation 2 11 2 2 7 2 2" xfId="11272" xr:uid="{00000000-0005-0000-0000-0000E2010000}"/>
    <cellStyle name="Calculation 2 11 2 2 7 2 3" xfId="17891" xr:uid="{00000000-0005-0000-0000-0000E3010000}"/>
    <cellStyle name="Calculation 2 11 2 2 7 3" xfId="6711" xr:uid="{00000000-0005-0000-0000-0000E4010000}"/>
    <cellStyle name="Calculation 2 11 2 2 7 3 2" xfId="13307" xr:uid="{00000000-0005-0000-0000-0000E5010000}"/>
    <cellStyle name="Calculation 2 11 2 2 7 3 3" xfId="19926" xr:uid="{00000000-0005-0000-0000-0000E6010000}"/>
    <cellStyle name="Calculation 2 11 2 2 7 4" xfId="9136" xr:uid="{00000000-0005-0000-0000-0000E7010000}"/>
    <cellStyle name="Calculation 2 11 2 2 7 5" xfId="15755" xr:uid="{00000000-0005-0000-0000-0000E8010000}"/>
    <cellStyle name="Calculation 2 11 2 2 8" xfId="2986" xr:uid="{00000000-0005-0000-0000-0000E9010000}"/>
    <cellStyle name="Calculation 2 11 2 2 8 2" xfId="9582" xr:uid="{00000000-0005-0000-0000-0000EA010000}"/>
    <cellStyle name="Calculation 2 11 2 2 8 3" xfId="16201" xr:uid="{00000000-0005-0000-0000-0000EB010000}"/>
    <cellStyle name="Calculation 2 11 2 2 9" xfId="5021" xr:uid="{00000000-0005-0000-0000-0000EC010000}"/>
    <cellStyle name="Calculation 2 11 2 2 9 2" xfId="11617" xr:uid="{00000000-0005-0000-0000-0000ED010000}"/>
    <cellStyle name="Calculation 2 11 2 2 9 3" xfId="18236" xr:uid="{00000000-0005-0000-0000-0000EE010000}"/>
    <cellStyle name="Calculation 2 11 2 2_Summary" xfId="20105" xr:uid="{00000000-0005-0000-0000-0000EF010000}"/>
    <cellStyle name="Calculation 2 11 2 3" xfId="1022" xr:uid="{00000000-0005-0000-0000-0000F0010000}"/>
    <cellStyle name="Calculation 2 11 2 3 2" xfId="3158" xr:uid="{00000000-0005-0000-0000-0000F1010000}"/>
    <cellStyle name="Calculation 2 11 2 3 2 2" xfId="9754" xr:uid="{00000000-0005-0000-0000-0000F2010000}"/>
    <cellStyle name="Calculation 2 11 2 3 2 3" xfId="16373" xr:uid="{00000000-0005-0000-0000-0000F3010000}"/>
    <cellStyle name="Calculation 2 11 2 3 3" xfId="5193" xr:uid="{00000000-0005-0000-0000-0000F4010000}"/>
    <cellStyle name="Calculation 2 11 2 3 3 2" xfId="11789" xr:uid="{00000000-0005-0000-0000-0000F5010000}"/>
    <cellStyle name="Calculation 2 11 2 3 3 3" xfId="18408" xr:uid="{00000000-0005-0000-0000-0000F6010000}"/>
    <cellStyle name="Calculation 2 11 2 3 4" xfId="7619" xr:uid="{00000000-0005-0000-0000-0000F7010000}"/>
    <cellStyle name="Calculation 2 11 2 3 5" xfId="14237" xr:uid="{00000000-0005-0000-0000-0000F8010000}"/>
    <cellStyle name="Calculation 2 11 2 4" xfId="1304" xr:uid="{00000000-0005-0000-0000-0000F9010000}"/>
    <cellStyle name="Calculation 2 11 2 4 2" xfId="3440" xr:uid="{00000000-0005-0000-0000-0000FA010000}"/>
    <cellStyle name="Calculation 2 11 2 4 2 2" xfId="10036" xr:uid="{00000000-0005-0000-0000-0000FB010000}"/>
    <cellStyle name="Calculation 2 11 2 4 2 3" xfId="16655" xr:uid="{00000000-0005-0000-0000-0000FC010000}"/>
    <cellStyle name="Calculation 2 11 2 4 3" xfId="5475" xr:uid="{00000000-0005-0000-0000-0000FD010000}"/>
    <cellStyle name="Calculation 2 11 2 4 3 2" xfId="12071" xr:uid="{00000000-0005-0000-0000-0000FE010000}"/>
    <cellStyle name="Calculation 2 11 2 4 3 3" xfId="18690" xr:uid="{00000000-0005-0000-0000-0000FF010000}"/>
    <cellStyle name="Calculation 2 11 2 4 4" xfId="7900" xr:uid="{00000000-0005-0000-0000-000000020000}"/>
    <cellStyle name="Calculation 2 11 2 4 5" xfId="14519" xr:uid="{00000000-0005-0000-0000-000001020000}"/>
    <cellStyle name="Calculation 2 11 2 5" xfId="1585" xr:uid="{00000000-0005-0000-0000-000002020000}"/>
    <cellStyle name="Calculation 2 11 2 5 2" xfId="3721" xr:uid="{00000000-0005-0000-0000-000003020000}"/>
    <cellStyle name="Calculation 2 11 2 5 2 2" xfId="10317" xr:uid="{00000000-0005-0000-0000-000004020000}"/>
    <cellStyle name="Calculation 2 11 2 5 2 3" xfId="16936" xr:uid="{00000000-0005-0000-0000-000005020000}"/>
    <cellStyle name="Calculation 2 11 2 5 3" xfId="5756" xr:uid="{00000000-0005-0000-0000-000006020000}"/>
    <cellStyle name="Calculation 2 11 2 5 3 2" xfId="12352" xr:uid="{00000000-0005-0000-0000-000007020000}"/>
    <cellStyle name="Calculation 2 11 2 5 3 3" xfId="18971" xr:uid="{00000000-0005-0000-0000-000008020000}"/>
    <cellStyle name="Calculation 2 11 2 5 4" xfId="8181" xr:uid="{00000000-0005-0000-0000-000009020000}"/>
    <cellStyle name="Calculation 2 11 2 5 5" xfId="14800" xr:uid="{00000000-0005-0000-0000-00000A020000}"/>
    <cellStyle name="Calculation 2 11 2 6" xfId="1864" xr:uid="{00000000-0005-0000-0000-00000B020000}"/>
    <cellStyle name="Calculation 2 11 2 6 2" xfId="4000" xr:uid="{00000000-0005-0000-0000-00000C020000}"/>
    <cellStyle name="Calculation 2 11 2 6 2 2" xfId="10596" xr:uid="{00000000-0005-0000-0000-00000D020000}"/>
    <cellStyle name="Calculation 2 11 2 6 2 3" xfId="17215" xr:uid="{00000000-0005-0000-0000-00000E020000}"/>
    <cellStyle name="Calculation 2 11 2 6 3" xfId="6035" xr:uid="{00000000-0005-0000-0000-00000F020000}"/>
    <cellStyle name="Calculation 2 11 2 6 3 2" xfId="12631" xr:uid="{00000000-0005-0000-0000-000010020000}"/>
    <cellStyle name="Calculation 2 11 2 6 3 3" xfId="19250" xr:uid="{00000000-0005-0000-0000-000011020000}"/>
    <cellStyle name="Calculation 2 11 2 6 4" xfId="8460" xr:uid="{00000000-0005-0000-0000-000012020000}"/>
    <cellStyle name="Calculation 2 11 2 6 5" xfId="15079" xr:uid="{00000000-0005-0000-0000-000013020000}"/>
    <cellStyle name="Calculation 2 11 2 7" xfId="2139" xr:uid="{00000000-0005-0000-0000-000014020000}"/>
    <cellStyle name="Calculation 2 11 2 7 2" xfId="4275" xr:uid="{00000000-0005-0000-0000-000015020000}"/>
    <cellStyle name="Calculation 2 11 2 7 2 2" xfId="10871" xr:uid="{00000000-0005-0000-0000-000016020000}"/>
    <cellStyle name="Calculation 2 11 2 7 2 3" xfId="17490" xr:uid="{00000000-0005-0000-0000-000017020000}"/>
    <cellStyle name="Calculation 2 11 2 7 3" xfId="6310" xr:uid="{00000000-0005-0000-0000-000018020000}"/>
    <cellStyle name="Calculation 2 11 2 7 3 2" xfId="12906" xr:uid="{00000000-0005-0000-0000-000019020000}"/>
    <cellStyle name="Calculation 2 11 2 7 3 3" xfId="19525" xr:uid="{00000000-0005-0000-0000-00001A020000}"/>
    <cellStyle name="Calculation 2 11 2 7 4" xfId="8735" xr:uid="{00000000-0005-0000-0000-00001B020000}"/>
    <cellStyle name="Calculation 2 11 2 7 5" xfId="15354" xr:uid="{00000000-0005-0000-0000-00001C020000}"/>
    <cellStyle name="Calculation 2 11 2 8" xfId="2412" xr:uid="{00000000-0005-0000-0000-00001D020000}"/>
    <cellStyle name="Calculation 2 11 2 8 2" xfId="4548" xr:uid="{00000000-0005-0000-0000-00001E020000}"/>
    <cellStyle name="Calculation 2 11 2 8 2 2" xfId="11144" xr:uid="{00000000-0005-0000-0000-00001F020000}"/>
    <cellStyle name="Calculation 2 11 2 8 2 3" xfId="17763" xr:uid="{00000000-0005-0000-0000-000020020000}"/>
    <cellStyle name="Calculation 2 11 2 8 3" xfId="6583" xr:uid="{00000000-0005-0000-0000-000021020000}"/>
    <cellStyle name="Calculation 2 11 2 8 3 2" xfId="13179" xr:uid="{00000000-0005-0000-0000-000022020000}"/>
    <cellStyle name="Calculation 2 11 2 8 3 3" xfId="19798" xr:uid="{00000000-0005-0000-0000-000023020000}"/>
    <cellStyle name="Calculation 2 11 2 8 4" xfId="9008" xr:uid="{00000000-0005-0000-0000-000024020000}"/>
    <cellStyle name="Calculation 2 11 2 8 5" xfId="15627" xr:uid="{00000000-0005-0000-0000-000025020000}"/>
    <cellStyle name="Calculation 2 11 2 9" xfId="2713" xr:uid="{00000000-0005-0000-0000-000026020000}"/>
    <cellStyle name="Calculation 2 11 2 9 2" xfId="9309" xr:uid="{00000000-0005-0000-0000-000027020000}"/>
    <cellStyle name="Calculation 2 11 2 9 3" xfId="15928" xr:uid="{00000000-0005-0000-0000-000028020000}"/>
    <cellStyle name="Calculation 2 11 2_Summary" xfId="20104" xr:uid="{00000000-0005-0000-0000-000029020000}"/>
    <cellStyle name="Calculation 2 11 3" xfId="241" xr:uid="{00000000-0005-0000-0000-00002A020000}"/>
    <cellStyle name="Calculation 2 11 3 10" xfId="778" xr:uid="{00000000-0005-0000-0000-00002B020000}"/>
    <cellStyle name="Calculation 2 11 3 10 2" xfId="13993" xr:uid="{00000000-0005-0000-0000-00002C020000}"/>
    <cellStyle name="Calculation 2 11 3 11" xfId="7148" xr:uid="{00000000-0005-0000-0000-00002D020000}"/>
    <cellStyle name="Calculation 2 11 3 12" xfId="7063" xr:uid="{00000000-0005-0000-0000-00002E020000}"/>
    <cellStyle name="Calculation 2 11 3 2" xfId="946" xr:uid="{00000000-0005-0000-0000-00002F020000}"/>
    <cellStyle name="Calculation 2 11 3 2 2" xfId="3082" xr:uid="{00000000-0005-0000-0000-000030020000}"/>
    <cellStyle name="Calculation 2 11 3 2 2 2" xfId="9678" xr:uid="{00000000-0005-0000-0000-000031020000}"/>
    <cellStyle name="Calculation 2 11 3 2 2 3" xfId="16297" xr:uid="{00000000-0005-0000-0000-000032020000}"/>
    <cellStyle name="Calculation 2 11 3 2 3" xfId="5117" xr:uid="{00000000-0005-0000-0000-000033020000}"/>
    <cellStyle name="Calculation 2 11 3 2 3 2" xfId="11713" xr:uid="{00000000-0005-0000-0000-000034020000}"/>
    <cellStyle name="Calculation 2 11 3 2 3 3" xfId="18332" xr:uid="{00000000-0005-0000-0000-000035020000}"/>
    <cellStyle name="Calculation 2 11 3 2 4" xfId="7543" xr:uid="{00000000-0005-0000-0000-000036020000}"/>
    <cellStyle name="Calculation 2 11 3 2 5" xfId="14161" xr:uid="{00000000-0005-0000-0000-000037020000}"/>
    <cellStyle name="Calculation 2 11 3 3" xfId="1231" xr:uid="{00000000-0005-0000-0000-000038020000}"/>
    <cellStyle name="Calculation 2 11 3 3 2" xfId="3367" xr:uid="{00000000-0005-0000-0000-000039020000}"/>
    <cellStyle name="Calculation 2 11 3 3 2 2" xfId="9963" xr:uid="{00000000-0005-0000-0000-00003A020000}"/>
    <cellStyle name="Calculation 2 11 3 3 2 3" xfId="16582" xr:uid="{00000000-0005-0000-0000-00003B020000}"/>
    <cellStyle name="Calculation 2 11 3 3 3" xfId="5402" xr:uid="{00000000-0005-0000-0000-00003C020000}"/>
    <cellStyle name="Calculation 2 11 3 3 3 2" xfId="11998" xr:uid="{00000000-0005-0000-0000-00003D020000}"/>
    <cellStyle name="Calculation 2 11 3 3 3 3" xfId="18617" xr:uid="{00000000-0005-0000-0000-00003E020000}"/>
    <cellStyle name="Calculation 2 11 3 3 4" xfId="7827" xr:uid="{00000000-0005-0000-0000-00003F020000}"/>
    <cellStyle name="Calculation 2 11 3 3 5" xfId="14446" xr:uid="{00000000-0005-0000-0000-000040020000}"/>
    <cellStyle name="Calculation 2 11 3 4" xfId="1513" xr:uid="{00000000-0005-0000-0000-000041020000}"/>
    <cellStyle name="Calculation 2 11 3 4 2" xfId="3649" xr:uid="{00000000-0005-0000-0000-000042020000}"/>
    <cellStyle name="Calculation 2 11 3 4 2 2" xfId="10245" xr:uid="{00000000-0005-0000-0000-000043020000}"/>
    <cellStyle name="Calculation 2 11 3 4 2 3" xfId="16864" xr:uid="{00000000-0005-0000-0000-000044020000}"/>
    <cellStyle name="Calculation 2 11 3 4 3" xfId="5684" xr:uid="{00000000-0005-0000-0000-000045020000}"/>
    <cellStyle name="Calculation 2 11 3 4 3 2" xfId="12280" xr:uid="{00000000-0005-0000-0000-000046020000}"/>
    <cellStyle name="Calculation 2 11 3 4 3 3" xfId="18899" xr:uid="{00000000-0005-0000-0000-000047020000}"/>
    <cellStyle name="Calculation 2 11 3 4 4" xfId="8109" xr:uid="{00000000-0005-0000-0000-000048020000}"/>
    <cellStyle name="Calculation 2 11 3 4 5" xfId="14728" xr:uid="{00000000-0005-0000-0000-000049020000}"/>
    <cellStyle name="Calculation 2 11 3 5" xfId="1794" xr:uid="{00000000-0005-0000-0000-00004A020000}"/>
    <cellStyle name="Calculation 2 11 3 5 2" xfId="3930" xr:uid="{00000000-0005-0000-0000-00004B020000}"/>
    <cellStyle name="Calculation 2 11 3 5 2 2" xfId="10526" xr:uid="{00000000-0005-0000-0000-00004C020000}"/>
    <cellStyle name="Calculation 2 11 3 5 2 3" xfId="17145" xr:uid="{00000000-0005-0000-0000-00004D020000}"/>
    <cellStyle name="Calculation 2 11 3 5 3" xfId="5965" xr:uid="{00000000-0005-0000-0000-00004E020000}"/>
    <cellStyle name="Calculation 2 11 3 5 3 2" xfId="12561" xr:uid="{00000000-0005-0000-0000-00004F020000}"/>
    <cellStyle name="Calculation 2 11 3 5 3 3" xfId="19180" xr:uid="{00000000-0005-0000-0000-000050020000}"/>
    <cellStyle name="Calculation 2 11 3 5 4" xfId="8390" xr:uid="{00000000-0005-0000-0000-000051020000}"/>
    <cellStyle name="Calculation 2 11 3 5 5" xfId="15009" xr:uid="{00000000-0005-0000-0000-000052020000}"/>
    <cellStyle name="Calculation 2 11 3 6" xfId="2073" xr:uid="{00000000-0005-0000-0000-000053020000}"/>
    <cellStyle name="Calculation 2 11 3 6 2" xfId="4209" xr:uid="{00000000-0005-0000-0000-000054020000}"/>
    <cellStyle name="Calculation 2 11 3 6 2 2" xfId="10805" xr:uid="{00000000-0005-0000-0000-000055020000}"/>
    <cellStyle name="Calculation 2 11 3 6 2 3" xfId="17424" xr:uid="{00000000-0005-0000-0000-000056020000}"/>
    <cellStyle name="Calculation 2 11 3 6 3" xfId="6244" xr:uid="{00000000-0005-0000-0000-000057020000}"/>
    <cellStyle name="Calculation 2 11 3 6 3 2" xfId="12840" xr:uid="{00000000-0005-0000-0000-000058020000}"/>
    <cellStyle name="Calculation 2 11 3 6 3 3" xfId="19459" xr:uid="{00000000-0005-0000-0000-000059020000}"/>
    <cellStyle name="Calculation 2 11 3 6 4" xfId="8669" xr:uid="{00000000-0005-0000-0000-00005A020000}"/>
    <cellStyle name="Calculation 2 11 3 6 5" xfId="15288" xr:uid="{00000000-0005-0000-0000-00005B020000}"/>
    <cellStyle name="Calculation 2 11 3 7" xfId="2348" xr:uid="{00000000-0005-0000-0000-00005C020000}"/>
    <cellStyle name="Calculation 2 11 3 7 2" xfId="4484" xr:uid="{00000000-0005-0000-0000-00005D020000}"/>
    <cellStyle name="Calculation 2 11 3 7 2 2" xfId="11080" xr:uid="{00000000-0005-0000-0000-00005E020000}"/>
    <cellStyle name="Calculation 2 11 3 7 2 3" xfId="17699" xr:uid="{00000000-0005-0000-0000-00005F020000}"/>
    <cellStyle name="Calculation 2 11 3 7 3" xfId="6519" xr:uid="{00000000-0005-0000-0000-000060020000}"/>
    <cellStyle name="Calculation 2 11 3 7 3 2" xfId="13115" xr:uid="{00000000-0005-0000-0000-000061020000}"/>
    <cellStyle name="Calculation 2 11 3 7 3 3" xfId="19734" xr:uid="{00000000-0005-0000-0000-000062020000}"/>
    <cellStyle name="Calculation 2 11 3 7 4" xfId="8944" xr:uid="{00000000-0005-0000-0000-000063020000}"/>
    <cellStyle name="Calculation 2 11 3 7 5" xfId="15563" xr:uid="{00000000-0005-0000-0000-000064020000}"/>
    <cellStyle name="Calculation 2 11 3 8" xfId="2914" xr:uid="{00000000-0005-0000-0000-000065020000}"/>
    <cellStyle name="Calculation 2 11 3 8 2" xfId="9510" xr:uid="{00000000-0005-0000-0000-000066020000}"/>
    <cellStyle name="Calculation 2 11 3 8 3" xfId="16129" xr:uid="{00000000-0005-0000-0000-000067020000}"/>
    <cellStyle name="Calculation 2 11 3 9" xfId="4949" xr:uid="{00000000-0005-0000-0000-000068020000}"/>
    <cellStyle name="Calculation 2 11 3 9 2" xfId="11545" xr:uid="{00000000-0005-0000-0000-000069020000}"/>
    <cellStyle name="Calculation 2 11 3 9 3" xfId="18164" xr:uid="{00000000-0005-0000-0000-00006A020000}"/>
    <cellStyle name="Calculation 2 11 3_Summary" xfId="20106" xr:uid="{00000000-0005-0000-0000-00006B020000}"/>
    <cellStyle name="Calculation 2 11 4" xfId="395" xr:uid="{00000000-0005-0000-0000-00006C020000}"/>
    <cellStyle name="Calculation 2 11 4 10" xfId="732" xr:uid="{00000000-0005-0000-0000-00006D020000}"/>
    <cellStyle name="Calculation 2 11 4 10 2" xfId="13947" xr:uid="{00000000-0005-0000-0000-00006E020000}"/>
    <cellStyle name="Calculation 2 11 4 11" xfId="7288" xr:uid="{00000000-0005-0000-0000-00006F020000}"/>
    <cellStyle name="Calculation 2 11 4 12" xfId="13610" xr:uid="{00000000-0005-0000-0000-000070020000}"/>
    <cellStyle name="Calculation 2 11 4 2" xfId="1089" xr:uid="{00000000-0005-0000-0000-000071020000}"/>
    <cellStyle name="Calculation 2 11 4 2 2" xfId="3225" xr:uid="{00000000-0005-0000-0000-000072020000}"/>
    <cellStyle name="Calculation 2 11 4 2 2 2" xfId="9821" xr:uid="{00000000-0005-0000-0000-000073020000}"/>
    <cellStyle name="Calculation 2 11 4 2 2 3" xfId="16440" xr:uid="{00000000-0005-0000-0000-000074020000}"/>
    <cellStyle name="Calculation 2 11 4 2 3" xfId="5260" xr:uid="{00000000-0005-0000-0000-000075020000}"/>
    <cellStyle name="Calculation 2 11 4 2 3 2" xfId="11856" xr:uid="{00000000-0005-0000-0000-000076020000}"/>
    <cellStyle name="Calculation 2 11 4 2 3 3" xfId="18475" xr:uid="{00000000-0005-0000-0000-000077020000}"/>
    <cellStyle name="Calculation 2 11 4 2 4" xfId="7686" xr:uid="{00000000-0005-0000-0000-000078020000}"/>
    <cellStyle name="Calculation 2 11 4 2 5" xfId="14304" xr:uid="{00000000-0005-0000-0000-000079020000}"/>
    <cellStyle name="Calculation 2 11 4 3" xfId="1371" xr:uid="{00000000-0005-0000-0000-00007A020000}"/>
    <cellStyle name="Calculation 2 11 4 3 2" xfId="3507" xr:uid="{00000000-0005-0000-0000-00007B020000}"/>
    <cellStyle name="Calculation 2 11 4 3 2 2" xfId="10103" xr:uid="{00000000-0005-0000-0000-00007C020000}"/>
    <cellStyle name="Calculation 2 11 4 3 2 3" xfId="16722" xr:uid="{00000000-0005-0000-0000-00007D020000}"/>
    <cellStyle name="Calculation 2 11 4 3 3" xfId="5542" xr:uid="{00000000-0005-0000-0000-00007E020000}"/>
    <cellStyle name="Calculation 2 11 4 3 3 2" xfId="12138" xr:uid="{00000000-0005-0000-0000-00007F020000}"/>
    <cellStyle name="Calculation 2 11 4 3 3 3" xfId="18757" xr:uid="{00000000-0005-0000-0000-000080020000}"/>
    <cellStyle name="Calculation 2 11 4 3 4" xfId="7967" xr:uid="{00000000-0005-0000-0000-000081020000}"/>
    <cellStyle name="Calculation 2 11 4 3 5" xfId="14586" xr:uid="{00000000-0005-0000-0000-000082020000}"/>
    <cellStyle name="Calculation 2 11 4 4" xfId="1652" xr:uid="{00000000-0005-0000-0000-000083020000}"/>
    <cellStyle name="Calculation 2 11 4 4 2" xfId="3788" xr:uid="{00000000-0005-0000-0000-000084020000}"/>
    <cellStyle name="Calculation 2 11 4 4 2 2" xfId="10384" xr:uid="{00000000-0005-0000-0000-000085020000}"/>
    <cellStyle name="Calculation 2 11 4 4 2 3" xfId="17003" xr:uid="{00000000-0005-0000-0000-000086020000}"/>
    <cellStyle name="Calculation 2 11 4 4 3" xfId="5823" xr:uid="{00000000-0005-0000-0000-000087020000}"/>
    <cellStyle name="Calculation 2 11 4 4 3 2" xfId="12419" xr:uid="{00000000-0005-0000-0000-000088020000}"/>
    <cellStyle name="Calculation 2 11 4 4 3 3" xfId="19038" xr:uid="{00000000-0005-0000-0000-000089020000}"/>
    <cellStyle name="Calculation 2 11 4 4 4" xfId="8248" xr:uid="{00000000-0005-0000-0000-00008A020000}"/>
    <cellStyle name="Calculation 2 11 4 4 5" xfId="14867" xr:uid="{00000000-0005-0000-0000-00008B020000}"/>
    <cellStyle name="Calculation 2 11 4 5" xfId="1931" xr:uid="{00000000-0005-0000-0000-00008C020000}"/>
    <cellStyle name="Calculation 2 11 4 5 2" xfId="4067" xr:uid="{00000000-0005-0000-0000-00008D020000}"/>
    <cellStyle name="Calculation 2 11 4 5 2 2" xfId="10663" xr:uid="{00000000-0005-0000-0000-00008E020000}"/>
    <cellStyle name="Calculation 2 11 4 5 2 3" xfId="17282" xr:uid="{00000000-0005-0000-0000-00008F020000}"/>
    <cellStyle name="Calculation 2 11 4 5 3" xfId="6102" xr:uid="{00000000-0005-0000-0000-000090020000}"/>
    <cellStyle name="Calculation 2 11 4 5 3 2" xfId="12698" xr:uid="{00000000-0005-0000-0000-000091020000}"/>
    <cellStyle name="Calculation 2 11 4 5 3 3" xfId="19317" xr:uid="{00000000-0005-0000-0000-000092020000}"/>
    <cellStyle name="Calculation 2 11 4 5 4" xfId="8527" xr:uid="{00000000-0005-0000-0000-000093020000}"/>
    <cellStyle name="Calculation 2 11 4 5 5" xfId="15146" xr:uid="{00000000-0005-0000-0000-000094020000}"/>
    <cellStyle name="Calculation 2 11 4 6" xfId="2206" xr:uid="{00000000-0005-0000-0000-000095020000}"/>
    <cellStyle name="Calculation 2 11 4 6 2" xfId="4342" xr:uid="{00000000-0005-0000-0000-000096020000}"/>
    <cellStyle name="Calculation 2 11 4 6 2 2" xfId="10938" xr:uid="{00000000-0005-0000-0000-000097020000}"/>
    <cellStyle name="Calculation 2 11 4 6 2 3" xfId="17557" xr:uid="{00000000-0005-0000-0000-000098020000}"/>
    <cellStyle name="Calculation 2 11 4 6 3" xfId="6377" xr:uid="{00000000-0005-0000-0000-000099020000}"/>
    <cellStyle name="Calculation 2 11 4 6 3 2" xfId="12973" xr:uid="{00000000-0005-0000-0000-00009A020000}"/>
    <cellStyle name="Calculation 2 11 4 6 3 3" xfId="19592" xr:uid="{00000000-0005-0000-0000-00009B020000}"/>
    <cellStyle name="Calculation 2 11 4 6 4" xfId="8802" xr:uid="{00000000-0005-0000-0000-00009C020000}"/>
    <cellStyle name="Calculation 2 11 4 6 5" xfId="15421" xr:uid="{00000000-0005-0000-0000-00009D020000}"/>
    <cellStyle name="Calculation 2 11 4 7" xfId="2479" xr:uid="{00000000-0005-0000-0000-00009E020000}"/>
    <cellStyle name="Calculation 2 11 4 7 2" xfId="4615" xr:uid="{00000000-0005-0000-0000-00009F020000}"/>
    <cellStyle name="Calculation 2 11 4 7 2 2" xfId="11211" xr:uid="{00000000-0005-0000-0000-0000A0020000}"/>
    <cellStyle name="Calculation 2 11 4 7 2 3" xfId="17830" xr:uid="{00000000-0005-0000-0000-0000A1020000}"/>
    <cellStyle name="Calculation 2 11 4 7 3" xfId="6650" xr:uid="{00000000-0005-0000-0000-0000A2020000}"/>
    <cellStyle name="Calculation 2 11 4 7 3 2" xfId="13246" xr:uid="{00000000-0005-0000-0000-0000A3020000}"/>
    <cellStyle name="Calculation 2 11 4 7 3 3" xfId="19865" xr:uid="{00000000-0005-0000-0000-0000A4020000}"/>
    <cellStyle name="Calculation 2 11 4 7 4" xfId="9075" xr:uid="{00000000-0005-0000-0000-0000A5020000}"/>
    <cellStyle name="Calculation 2 11 4 7 5" xfId="15694" xr:uid="{00000000-0005-0000-0000-0000A6020000}"/>
    <cellStyle name="Calculation 2 11 4 8" xfId="2868" xr:uid="{00000000-0005-0000-0000-0000A7020000}"/>
    <cellStyle name="Calculation 2 11 4 8 2" xfId="9464" xr:uid="{00000000-0005-0000-0000-0000A8020000}"/>
    <cellStyle name="Calculation 2 11 4 8 3" xfId="16083" xr:uid="{00000000-0005-0000-0000-0000A9020000}"/>
    <cellStyle name="Calculation 2 11 4 9" xfId="4903" xr:uid="{00000000-0005-0000-0000-0000AA020000}"/>
    <cellStyle name="Calculation 2 11 4 9 2" xfId="11499" xr:uid="{00000000-0005-0000-0000-0000AB020000}"/>
    <cellStyle name="Calculation 2 11 4 9 3" xfId="18118" xr:uid="{00000000-0005-0000-0000-0000AC020000}"/>
    <cellStyle name="Calculation 2 11 4_Summary" xfId="20107" xr:uid="{00000000-0005-0000-0000-0000AD020000}"/>
    <cellStyle name="Calculation 2 11 5" xfId="902" xr:uid="{00000000-0005-0000-0000-0000AE020000}"/>
    <cellStyle name="Calculation 2 11 5 2" xfId="3038" xr:uid="{00000000-0005-0000-0000-0000AF020000}"/>
    <cellStyle name="Calculation 2 11 5 2 2" xfId="9634" xr:uid="{00000000-0005-0000-0000-0000B0020000}"/>
    <cellStyle name="Calculation 2 11 5 2 3" xfId="16253" xr:uid="{00000000-0005-0000-0000-0000B1020000}"/>
    <cellStyle name="Calculation 2 11 5 3" xfId="5073" xr:uid="{00000000-0005-0000-0000-0000B2020000}"/>
    <cellStyle name="Calculation 2 11 5 3 2" xfId="11669" xr:uid="{00000000-0005-0000-0000-0000B3020000}"/>
    <cellStyle name="Calculation 2 11 5 3 3" xfId="18288" xr:uid="{00000000-0005-0000-0000-0000B4020000}"/>
    <cellStyle name="Calculation 2 11 5 4" xfId="7499" xr:uid="{00000000-0005-0000-0000-0000B5020000}"/>
    <cellStyle name="Calculation 2 11 5 5" xfId="14117" xr:uid="{00000000-0005-0000-0000-0000B6020000}"/>
    <cellStyle name="Calculation 2 11 6" xfId="1187" xr:uid="{00000000-0005-0000-0000-0000B7020000}"/>
    <cellStyle name="Calculation 2 11 6 2" xfId="3323" xr:uid="{00000000-0005-0000-0000-0000B8020000}"/>
    <cellStyle name="Calculation 2 11 6 2 2" xfId="9919" xr:uid="{00000000-0005-0000-0000-0000B9020000}"/>
    <cellStyle name="Calculation 2 11 6 2 3" xfId="16538" xr:uid="{00000000-0005-0000-0000-0000BA020000}"/>
    <cellStyle name="Calculation 2 11 6 3" xfId="5358" xr:uid="{00000000-0005-0000-0000-0000BB020000}"/>
    <cellStyle name="Calculation 2 11 6 3 2" xfId="11954" xr:uid="{00000000-0005-0000-0000-0000BC020000}"/>
    <cellStyle name="Calculation 2 11 6 3 3" xfId="18573" xr:uid="{00000000-0005-0000-0000-0000BD020000}"/>
    <cellStyle name="Calculation 2 11 6 4" xfId="7783" xr:uid="{00000000-0005-0000-0000-0000BE020000}"/>
    <cellStyle name="Calculation 2 11 6 5" xfId="14402" xr:uid="{00000000-0005-0000-0000-0000BF020000}"/>
    <cellStyle name="Calculation 2 11 7" xfId="1469" xr:uid="{00000000-0005-0000-0000-0000C0020000}"/>
    <cellStyle name="Calculation 2 11 7 2" xfId="3605" xr:uid="{00000000-0005-0000-0000-0000C1020000}"/>
    <cellStyle name="Calculation 2 11 7 2 2" xfId="10201" xr:uid="{00000000-0005-0000-0000-0000C2020000}"/>
    <cellStyle name="Calculation 2 11 7 2 3" xfId="16820" xr:uid="{00000000-0005-0000-0000-0000C3020000}"/>
    <cellStyle name="Calculation 2 11 7 3" xfId="5640" xr:uid="{00000000-0005-0000-0000-0000C4020000}"/>
    <cellStyle name="Calculation 2 11 7 3 2" xfId="12236" xr:uid="{00000000-0005-0000-0000-0000C5020000}"/>
    <cellStyle name="Calculation 2 11 7 3 3" xfId="18855" xr:uid="{00000000-0005-0000-0000-0000C6020000}"/>
    <cellStyle name="Calculation 2 11 7 4" xfId="8065" xr:uid="{00000000-0005-0000-0000-0000C7020000}"/>
    <cellStyle name="Calculation 2 11 7 5" xfId="14684" xr:uid="{00000000-0005-0000-0000-0000C8020000}"/>
    <cellStyle name="Calculation 2 11 8" xfId="1750" xr:uid="{00000000-0005-0000-0000-0000C9020000}"/>
    <cellStyle name="Calculation 2 11 8 2" xfId="3886" xr:uid="{00000000-0005-0000-0000-0000CA020000}"/>
    <cellStyle name="Calculation 2 11 8 2 2" xfId="10482" xr:uid="{00000000-0005-0000-0000-0000CB020000}"/>
    <cellStyle name="Calculation 2 11 8 2 3" xfId="17101" xr:uid="{00000000-0005-0000-0000-0000CC020000}"/>
    <cellStyle name="Calculation 2 11 8 3" xfId="5921" xr:uid="{00000000-0005-0000-0000-0000CD020000}"/>
    <cellStyle name="Calculation 2 11 8 3 2" xfId="12517" xr:uid="{00000000-0005-0000-0000-0000CE020000}"/>
    <cellStyle name="Calculation 2 11 8 3 3" xfId="19136" xr:uid="{00000000-0005-0000-0000-0000CF020000}"/>
    <cellStyle name="Calculation 2 11 8 4" xfId="8346" xr:uid="{00000000-0005-0000-0000-0000D0020000}"/>
    <cellStyle name="Calculation 2 11 8 5" xfId="14965" xr:uid="{00000000-0005-0000-0000-0000D1020000}"/>
    <cellStyle name="Calculation 2 11 9" xfId="2029" xr:uid="{00000000-0005-0000-0000-0000D2020000}"/>
    <cellStyle name="Calculation 2 11 9 2" xfId="4165" xr:uid="{00000000-0005-0000-0000-0000D3020000}"/>
    <cellStyle name="Calculation 2 11 9 2 2" xfId="10761" xr:uid="{00000000-0005-0000-0000-0000D4020000}"/>
    <cellStyle name="Calculation 2 11 9 2 3" xfId="17380" xr:uid="{00000000-0005-0000-0000-0000D5020000}"/>
    <cellStyle name="Calculation 2 11 9 3" xfId="6200" xr:uid="{00000000-0005-0000-0000-0000D6020000}"/>
    <cellStyle name="Calculation 2 11 9 3 2" xfId="12796" xr:uid="{00000000-0005-0000-0000-0000D7020000}"/>
    <cellStyle name="Calculation 2 11 9 3 3" xfId="19415" xr:uid="{00000000-0005-0000-0000-0000D8020000}"/>
    <cellStyle name="Calculation 2 11 9 4" xfId="8625" xr:uid="{00000000-0005-0000-0000-0000D9020000}"/>
    <cellStyle name="Calculation 2 11 9 5" xfId="15244" xr:uid="{00000000-0005-0000-0000-0000DA020000}"/>
    <cellStyle name="Calculation 2 11_Summary" xfId="20103" xr:uid="{00000000-0005-0000-0000-0000DB020000}"/>
    <cellStyle name="Calculation 2 12" xfId="125" xr:uid="{00000000-0005-0000-0000-0000DC020000}"/>
    <cellStyle name="Calculation 2 12 10" xfId="2665" xr:uid="{00000000-0005-0000-0000-0000DD020000}"/>
    <cellStyle name="Calculation 2 12 10 2" xfId="9261" xr:uid="{00000000-0005-0000-0000-0000DE020000}"/>
    <cellStyle name="Calculation 2 12 10 3" xfId="15880" xr:uid="{00000000-0005-0000-0000-0000DF020000}"/>
    <cellStyle name="Calculation 2 12 11" xfId="4700" xr:uid="{00000000-0005-0000-0000-0000E0020000}"/>
    <cellStyle name="Calculation 2 12 11 2" xfId="11296" xr:uid="{00000000-0005-0000-0000-0000E1020000}"/>
    <cellStyle name="Calculation 2 12 11 3" xfId="17915" xr:uid="{00000000-0005-0000-0000-0000E2020000}"/>
    <cellStyle name="Calculation 2 12 12" xfId="529" xr:uid="{00000000-0005-0000-0000-0000E3020000}"/>
    <cellStyle name="Calculation 2 12 12 2" xfId="13744" xr:uid="{00000000-0005-0000-0000-0000E4020000}"/>
    <cellStyle name="Calculation 2 12 13" xfId="7043" xr:uid="{00000000-0005-0000-0000-0000E5020000}"/>
    <cellStyle name="Calculation 2 12 14" xfId="13408" xr:uid="{00000000-0005-0000-0000-0000E6020000}"/>
    <cellStyle name="Calculation 2 12 15" xfId="28221" xr:uid="{6C6C40AF-8F75-422D-867D-7001D98CAEBD}"/>
    <cellStyle name="Calculation 2 12 16" xfId="30795" xr:uid="{A0E90B7E-BA9D-449A-B945-FD66B5AB449B}"/>
    <cellStyle name="Calculation 2 12 2" xfId="280" xr:uid="{00000000-0005-0000-0000-0000E7020000}"/>
    <cellStyle name="Calculation 2 12 2 10" xfId="803" xr:uid="{00000000-0005-0000-0000-0000E8020000}"/>
    <cellStyle name="Calculation 2 12 2 10 2" xfId="14018" xr:uid="{00000000-0005-0000-0000-0000E9020000}"/>
    <cellStyle name="Calculation 2 12 2 11" xfId="7174" xr:uid="{00000000-0005-0000-0000-0000EA020000}"/>
    <cellStyle name="Calculation 2 12 2 12" xfId="13496" xr:uid="{00000000-0005-0000-0000-0000EB020000}"/>
    <cellStyle name="Calculation 2 12 2 13" xfId="30074" xr:uid="{984A08DC-AE6B-4F06-BED5-FA22ED4FD091}"/>
    <cellStyle name="Calculation 2 12 2 14" xfId="31506" xr:uid="{E1F4EB4B-08DE-4654-A6A1-D70837D7F914}"/>
    <cellStyle name="Calculation 2 12 2 2" xfId="975" xr:uid="{00000000-0005-0000-0000-0000EC020000}"/>
    <cellStyle name="Calculation 2 12 2 2 2" xfId="3111" xr:uid="{00000000-0005-0000-0000-0000ED020000}"/>
    <cellStyle name="Calculation 2 12 2 2 2 2" xfId="9707" xr:uid="{00000000-0005-0000-0000-0000EE020000}"/>
    <cellStyle name="Calculation 2 12 2 2 2 3" xfId="16326" xr:uid="{00000000-0005-0000-0000-0000EF020000}"/>
    <cellStyle name="Calculation 2 12 2 2 3" xfId="5146" xr:uid="{00000000-0005-0000-0000-0000F0020000}"/>
    <cellStyle name="Calculation 2 12 2 2 3 2" xfId="11742" xr:uid="{00000000-0005-0000-0000-0000F1020000}"/>
    <cellStyle name="Calculation 2 12 2 2 3 3" xfId="18361" xr:uid="{00000000-0005-0000-0000-0000F2020000}"/>
    <cellStyle name="Calculation 2 12 2 2 4" xfId="7572" xr:uid="{00000000-0005-0000-0000-0000F3020000}"/>
    <cellStyle name="Calculation 2 12 2 2 5" xfId="14190" xr:uid="{00000000-0005-0000-0000-0000F4020000}"/>
    <cellStyle name="Calculation 2 12 2 3" xfId="1257" xr:uid="{00000000-0005-0000-0000-0000F5020000}"/>
    <cellStyle name="Calculation 2 12 2 3 2" xfId="3393" xr:uid="{00000000-0005-0000-0000-0000F6020000}"/>
    <cellStyle name="Calculation 2 12 2 3 2 2" xfId="9989" xr:uid="{00000000-0005-0000-0000-0000F7020000}"/>
    <cellStyle name="Calculation 2 12 2 3 2 3" xfId="16608" xr:uid="{00000000-0005-0000-0000-0000F8020000}"/>
    <cellStyle name="Calculation 2 12 2 3 3" xfId="5428" xr:uid="{00000000-0005-0000-0000-0000F9020000}"/>
    <cellStyle name="Calculation 2 12 2 3 3 2" xfId="12024" xr:uid="{00000000-0005-0000-0000-0000FA020000}"/>
    <cellStyle name="Calculation 2 12 2 3 3 3" xfId="18643" xr:uid="{00000000-0005-0000-0000-0000FB020000}"/>
    <cellStyle name="Calculation 2 12 2 3 4" xfId="7853" xr:uid="{00000000-0005-0000-0000-0000FC020000}"/>
    <cellStyle name="Calculation 2 12 2 3 5" xfId="14472" xr:uid="{00000000-0005-0000-0000-0000FD020000}"/>
    <cellStyle name="Calculation 2 12 2 4" xfId="1538" xr:uid="{00000000-0005-0000-0000-0000FE020000}"/>
    <cellStyle name="Calculation 2 12 2 4 2" xfId="3674" xr:uid="{00000000-0005-0000-0000-0000FF020000}"/>
    <cellStyle name="Calculation 2 12 2 4 2 2" xfId="10270" xr:uid="{00000000-0005-0000-0000-000000030000}"/>
    <cellStyle name="Calculation 2 12 2 4 2 3" xfId="16889" xr:uid="{00000000-0005-0000-0000-000001030000}"/>
    <cellStyle name="Calculation 2 12 2 4 3" xfId="5709" xr:uid="{00000000-0005-0000-0000-000002030000}"/>
    <cellStyle name="Calculation 2 12 2 4 3 2" xfId="12305" xr:uid="{00000000-0005-0000-0000-000003030000}"/>
    <cellStyle name="Calculation 2 12 2 4 3 3" xfId="18924" xr:uid="{00000000-0005-0000-0000-000004030000}"/>
    <cellStyle name="Calculation 2 12 2 4 4" xfId="8134" xr:uid="{00000000-0005-0000-0000-000005030000}"/>
    <cellStyle name="Calculation 2 12 2 4 5" xfId="14753" xr:uid="{00000000-0005-0000-0000-000006030000}"/>
    <cellStyle name="Calculation 2 12 2 5" xfId="1817" xr:uid="{00000000-0005-0000-0000-000007030000}"/>
    <cellStyle name="Calculation 2 12 2 5 2" xfId="3953" xr:uid="{00000000-0005-0000-0000-000008030000}"/>
    <cellStyle name="Calculation 2 12 2 5 2 2" xfId="10549" xr:uid="{00000000-0005-0000-0000-000009030000}"/>
    <cellStyle name="Calculation 2 12 2 5 2 3" xfId="17168" xr:uid="{00000000-0005-0000-0000-00000A030000}"/>
    <cellStyle name="Calculation 2 12 2 5 3" xfId="5988" xr:uid="{00000000-0005-0000-0000-00000B030000}"/>
    <cellStyle name="Calculation 2 12 2 5 3 2" xfId="12584" xr:uid="{00000000-0005-0000-0000-00000C030000}"/>
    <cellStyle name="Calculation 2 12 2 5 3 3" xfId="19203" xr:uid="{00000000-0005-0000-0000-00000D030000}"/>
    <cellStyle name="Calculation 2 12 2 5 4" xfId="8413" xr:uid="{00000000-0005-0000-0000-00000E030000}"/>
    <cellStyle name="Calculation 2 12 2 5 5" xfId="15032" xr:uid="{00000000-0005-0000-0000-00000F030000}"/>
    <cellStyle name="Calculation 2 12 2 6" xfId="2092" xr:uid="{00000000-0005-0000-0000-000010030000}"/>
    <cellStyle name="Calculation 2 12 2 6 2" xfId="4228" xr:uid="{00000000-0005-0000-0000-000011030000}"/>
    <cellStyle name="Calculation 2 12 2 6 2 2" xfId="10824" xr:uid="{00000000-0005-0000-0000-000012030000}"/>
    <cellStyle name="Calculation 2 12 2 6 2 3" xfId="17443" xr:uid="{00000000-0005-0000-0000-000013030000}"/>
    <cellStyle name="Calculation 2 12 2 6 3" xfId="6263" xr:uid="{00000000-0005-0000-0000-000014030000}"/>
    <cellStyle name="Calculation 2 12 2 6 3 2" xfId="12859" xr:uid="{00000000-0005-0000-0000-000015030000}"/>
    <cellStyle name="Calculation 2 12 2 6 3 3" xfId="19478" xr:uid="{00000000-0005-0000-0000-000016030000}"/>
    <cellStyle name="Calculation 2 12 2 6 4" xfId="8688" xr:uid="{00000000-0005-0000-0000-000017030000}"/>
    <cellStyle name="Calculation 2 12 2 6 5" xfId="15307" xr:uid="{00000000-0005-0000-0000-000018030000}"/>
    <cellStyle name="Calculation 2 12 2 7" xfId="2365" xr:uid="{00000000-0005-0000-0000-000019030000}"/>
    <cellStyle name="Calculation 2 12 2 7 2" xfId="4501" xr:uid="{00000000-0005-0000-0000-00001A030000}"/>
    <cellStyle name="Calculation 2 12 2 7 2 2" xfId="11097" xr:uid="{00000000-0005-0000-0000-00001B030000}"/>
    <cellStyle name="Calculation 2 12 2 7 2 3" xfId="17716" xr:uid="{00000000-0005-0000-0000-00001C030000}"/>
    <cellStyle name="Calculation 2 12 2 7 3" xfId="6536" xr:uid="{00000000-0005-0000-0000-00001D030000}"/>
    <cellStyle name="Calculation 2 12 2 7 3 2" xfId="13132" xr:uid="{00000000-0005-0000-0000-00001E030000}"/>
    <cellStyle name="Calculation 2 12 2 7 3 3" xfId="19751" xr:uid="{00000000-0005-0000-0000-00001F030000}"/>
    <cellStyle name="Calculation 2 12 2 7 4" xfId="8961" xr:uid="{00000000-0005-0000-0000-000020030000}"/>
    <cellStyle name="Calculation 2 12 2 7 5" xfId="15580" xr:uid="{00000000-0005-0000-0000-000021030000}"/>
    <cellStyle name="Calculation 2 12 2 8" xfId="2939" xr:uid="{00000000-0005-0000-0000-000022030000}"/>
    <cellStyle name="Calculation 2 12 2 8 2" xfId="9535" xr:uid="{00000000-0005-0000-0000-000023030000}"/>
    <cellStyle name="Calculation 2 12 2 8 3" xfId="16154" xr:uid="{00000000-0005-0000-0000-000024030000}"/>
    <cellStyle name="Calculation 2 12 2 9" xfId="4974" xr:uid="{00000000-0005-0000-0000-000025030000}"/>
    <cellStyle name="Calculation 2 12 2 9 2" xfId="11570" xr:uid="{00000000-0005-0000-0000-000026030000}"/>
    <cellStyle name="Calculation 2 12 2 9 3" xfId="18189" xr:uid="{00000000-0005-0000-0000-000027030000}"/>
    <cellStyle name="Calculation 2 12 2_Summary" xfId="20109" xr:uid="{00000000-0005-0000-0000-000028030000}"/>
    <cellStyle name="Calculation 2 12 3" xfId="347" xr:uid="{00000000-0005-0000-0000-000029030000}"/>
    <cellStyle name="Calculation 2 12 3 10" xfId="671" xr:uid="{00000000-0005-0000-0000-00002A030000}"/>
    <cellStyle name="Calculation 2 12 3 10 2" xfId="13886" xr:uid="{00000000-0005-0000-0000-00002B030000}"/>
    <cellStyle name="Calculation 2 12 3 11" xfId="7240" xr:uid="{00000000-0005-0000-0000-00002C030000}"/>
    <cellStyle name="Calculation 2 12 3 12" xfId="13562" xr:uid="{00000000-0005-0000-0000-00002D030000}"/>
    <cellStyle name="Calculation 2 12 3 2" xfId="1041" xr:uid="{00000000-0005-0000-0000-00002E030000}"/>
    <cellStyle name="Calculation 2 12 3 2 2" xfId="3177" xr:uid="{00000000-0005-0000-0000-00002F030000}"/>
    <cellStyle name="Calculation 2 12 3 2 2 2" xfId="9773" xr:uid="{00000000-0005-0000-0000-000030030000}"/>
    <cellStyle name="Calculation 2 12 3 2 2 3" xfId="16392" xr:uid="{00000000-0005-0000-0000-000031030000}"/>
    <cellStyle name="Calculation 2 12 3 2 3" xfId="5212" xr:uid="{00000000-0005-0000-0000-000032030000}"/>
    <cellStyle name="Calculation 2 12 3 2 3 2" xfId="11808" xr:uid="{00000000-0005-0000-0000-000033030000}"/>
    <cellStyle name="Calculation 2 12 3 2 3 3" xfId="18427" xr:uid="{00000000-0005-0000-0000-000034030000}"/>
    <cellStyle name="Calculation 2 12 3 2 4" xfId="7638" xr:uid="{00000000-0005-0000-0000-000035030000}"/>
    <cellStyle name="Calculation 2 12 3 2 5" xfId="14256" xr:uid="{00000000-0005-0000-0000-000036030000}"/>
    <cellStyle name="Calculation 2 12 3 3" xfId="1323" xr:uid="{00000000-0005-0000-0000-000037030000}"/>
    <cellStyle name="Calculation 2 12 3 3 2" xfId="3459" xr:uid="{00000000-0005-0000-0000-000038030000}"/>
    <cellStyle name="Calculation 2 12 3 3 2 2" xfId="10055" xr:uid="{00000000-0005-0000-0000-000039030000}"/>
    <cellStyle name="Calculation 2 12 3 3 2 3" xfId="16674" xr:uid="{00000000-0005-0000-0000-00003A030000}"/>
    <cellStyle name="Calculation 2 12 3 3 3" xfId="5494" xr:uid="{00000000-0005-0000-0000-00003B030000}"/>
    <cellStyle name="Calculation 2 12 3 3 3 2" xfId="12090" xr:uid="{00000000-0005-0000-0000-00003C030000}"/>
    <cellStyle name="Calculation 2 12 3 3 3 3" xfId="18709" xr:uid="{00000000-0005-0000-0000-00003D030000}"/>
    <cellStyle name="Calculation 2 12 3 3 4" xfId="7919" xr:uid="{00000000-0005-0000-0000-00003E030000}"/>
    <cellStyle name="Calculation 2 12 3 3 5" xfId="14538" xr:uid="{00000000-0005-0000-0000-00003F030000}"/>
    <cellStyle name="Calculation 2 12 3 4" xfId="1604" xr:uid="{00000000-0005-0000-0000-000040030000}"/>
    <cellStyle name="Calculation 2 12 3 4 2" xfId="3740" xr:uid="{00000000-0005-0000-0000-000041030000}"/>
    <cellStyle name="Calculation 2 12 3 4 2 2" xfId="10336" xr:uid="{00000000-0005-0000-0000-000042030000}"/>
    <cellStyle name="Calculation 2 12 3 4 2 3" xfId="16955" xr:uid="{00000000-0005-0000-0000-000043030000}"/>
    <cellStyle name="Calculation 2 12 3 4 3" xfId="5775" xr:uid="{00000000-0005-0000-0000-000044030000}"/>
    <cellStyle name="Calculation 2 12 3 4 3 2" xfId="12371" xr:uid="{00000000-0005-0000-0000-000045030000}"/>
    <cellStyle name="Calculation 2 12 3 4 3 3" xfId="18990" xr:uid="{00000000-0005-0000-0000-000046030000}"/>
    <cellStyle name="Calculation 2 12 3 4 4" xfId="8200" xr:uid="{00000000-0005-0000-0000-000047030000}"/>
    <cellStyle name="Calculation 2 12 3 4 5" xfId="14819" xr:uid="{00000000-0005-0000-0000-000048030000}"/>
    <cellStyle name="Calculation 2 12 3 5" xfId="1883" xr:uid="{00000000-0005-0000-0000-000049030000}"/>
    <cellStyle name="Calculation 2 12 3 5 2" xfId="4019" xr:uid="{00000000-0005-0000-0000-00004A030000}"/>
    <cellStyle name="Calculation 2 12 3 5 2 2" xfId="10615" xr:uid="{00000000-0005-0000-0000-00004B030000}"/>
    <cellStyle name="Calculation 2 12 3 5 2 3" xfId="17234" xr:uid="{00000000-0005-0000-0000-00004C030000}"/>
    <cellStyle name="Calculation 2 12 3 5 3" xfId="6054" xr:uid="{00000000-0005-0000-0000-00004D030000}"/>
    <cellStyle name="Calculation 2 12 3 5 3 2" xfId="12650" xr:uid="{00000000-0005-0000-0000-00004E030000}"/>
    <cellStyle name="Calculation 2 12 3 5 3 3" xfId="19269" xr:uid="{00000000-0005-0000-0000-00004F030000}"/>
    <cellStyle name="Calculation 2 12 3 5 4" xfId="8479" xr:uid="{00000000-0005-0000-0000-000050030000}"/>
    <cellStyle name="Calculation 2 12 3 5 5" xfId="15098" xr:uid="{00000000-0005-0000-0000-000051030000}"/>
    <cellStyle name="Calculation 2 12 3 6" xfId="2158" xr:uid="{00000000-0005-0000-0000-000052030000}"/>
    <cellStyle name="Calculation 2 12 3 6 2" xfId="4294" xr:uid="{00000000-0005-0000-0000-000053030000}"/>
    <cellStyle name="Calculation 2 12 3 6 2 2" xfId="10890" xr:uid="{00000000-0005-0000-0000-000054030000}"/>
    <cellStyle name="Calculation 2 12 3 6 2 3" xfId="17509" xr:uid="{00000000-0005-0000-0000-000055030000}"/>
    <cellStyle name="Calculation 2 12 3 6 3" xfId="6329" xr:uid="{00000000-0005-0000-0000-000056030000}"/>
    <cellStyle name="Calculation 2 12 3 6 3 2" xfId="12925" xr:uid="{00000000-0005-0000-0000-000057030000}"/>
    <cellStyle name="Calculation 2 12 3 6 3 3" xfId="19544" xr:uid="{00000000-0005-0000-0000-000058030000}"/>
    <cellStyle name="Calculation 2 12 3 6 4" xfId="8754" xr:uid="{00000000-0005-0000-0000-000059030000}"/>
    <cellStyle name="Calculation 2 12 3 6 5" xfId="15373" xr:uid="{00000000-0005-0000-0000-00005A030000}"/>
    <cellStyle name="Calculation 2 12 3 7" xfId="2431" xr:uid="{00000000-0005-0000-0000-00005B030000}"/>
    <cellStyle name="Calculation 2 12 3 7 2" xfId="4567" xr:uid="{00000000-0005-0000-0000-00005C030000}"/>
    <cellStyle name="Calculation 2 12 3 7 2 2" xfId="11163" xr:uid="{00000000-0005-0000-0000-00005D030000}"/>
    <cellStyle name="Calculation 2 12 3 7 2 3" xfId="17782" xr:uid="{00000000-0005-0000-0000-00005E030000}"/>
    <cellStyle name="Calculation 2 12 3 7 3" xfId="6602" xr:uid="{00000000-0005-0000-0000-00005F030000}"/>
    <cellStyle name="Calculation 2 12 3 7 3 2" xfId="13198" xr:uid="{00000000-0005-0000-0000-000060030000}"/>
    <cellStyle name="Calculation 2 12 3 7 3 3" xfId="19817" xr:uid="{00000000-0005-0000-0000-000061030000}"/>
    <cellStyle name="Calculation 2 12 3 7 4" xfId="9027" xr:uid="{00000000-0005-0000-0000-000062030000}"/>
    <cellStyle name="Calculation 2 12 3 7 5" xfId="15646" xr:uid="{00000000-0005-0000-0000-000063030000}"/>
    <cellStyle name="Calculation 2 12 3 8" xfId="2807" xr:uid="{00000000-0005-0000-0000-000064030000}"/>
    <cellStyle name="Calculation 2 12 3 8 2" xfId="9403" xr:uid="{00000000-0005-0000-0000-000065030000}"/>
    <cellStyle name="Calculation 2 12 3 8 3" xfId="16022" xr:uid="{00000000-0005-0000-0000-000066030000}"/>
    <cellStyle name="Calculation 2 12 3 9" xfId="4842" xr:uid="{00000000-0005-0000-0000-000067030000}"/>
    <cellStyle name="Calculation 2 12 3 9 2" xfId="11438" xr:uid="{00000000-0005-0000-0000-000068030000}"/>
    <cellStyle name="Calculation 2 12 3 9 3" xfId="18057" xr:uid="{00000000-0005-0000-0000-000069030000}"/>
    <cellStyle name="Calculation 2 12 3_Summary" xfId="20110" xr:uid="{00000000-0005-0000-0000-00006A030000}"/>
    <cellStyle name="Calculation 2 12 4" xfId="700" xr:uid="{00000000-0005-0000-0000-00006B030000}"/>
    <cellStyle name="Calculation 2 12 4 2" xfId="2836" xr:uid="{00000000-0005-0000-0000-00006C030000}"/>
    <cellStyle name="Calculation 2 12 4 2 2" xfId="9432" xr:uid="{00000000-0005-0000-0000-00006D030000}"/>
    <cellStyle name="Calculation 2 12 4 2 3" xfId="16051" xr:uid="{00000000-0005-0000-0000-00006E030000}"/>
    <cellStyle name="Calculation 2 12 4 3" xfId="4871" xr:uid="{00000000-0005-0000-0000-00006F030000}"/>
    <cellStyle name="Calculation 2 12 4 3 2" xfId="11467" xr:uid="{00000000-0005-0000-0000-000070030000}"/>
    <cellStyle name="Calculation 2 12 4 3 3" xfId="18086" xr:uid="{00000000-0005-0000-0000-000071030000}"/>
    <cellStyle name="Calculation 2 12 4 4" xfId="7449" xr:uid="{00000000-0005-0000-0000-000072030000}"/>
    <cellStyle name="Calculation 2 12 4 5" xfId="13915" xr:uid="{00000000-0005-0000-0000-000073030000}"/>
    <cellStyle name="Calculation 2 12 5" xfId="962" xr:uid="{00000000-0005-0000-0000-000074030000}"/>
    <cellStyle name="Calculation 2 12 5 2" xfId="3098" xr:uid="{00000000-0005-0000-0000-000075030000}"/>
    <cellStyle name="Calculation 2 12 5 2 2" xfId="9694" xr:uid="{00000000-0005-0000-0000-000076030000}"/>
    <cellStyle name="Calculation 2 12 5 2 3" xfId="16313" xr:uid="{00000000-0005-0000-0000-000077030000}"/>
    <cellStyle name="Calculation 2 12 5 3" xfId="5133" xr:uid="{00000000-0005-0000-0000-000078030000}"/>
    <cellStyle name="Calculation 2 12 5 3 2" xfId="11729" xr:uid="{00000000-0005-0000-0000-000079030000}"/>
    <cellStyle name="Calculation 2 12 5 3 3" xfId="18348" xr:uid="{00000000-0005-0000-0000-00007A030000}"/>
    <cellStyle name="Calculation 2 12 5 4" xfId="7559" xr:uid="{00000000-0005-0000-0000-00007B030000}"/>
    <cellStyle name="Calculation 2 12 5 5" xfId="14177" xr:uid="{00000000-0005-0000-0000-00007C030000}"/>
    <cellStyle name="Calculation 2 12 6" xfId="1244" xr:uid="{00000000-0005-0000-0000-00007D030000}"/>
    <cellStyle name="Calculation 2 12 6 2" xfId="3380" xr:uid="{00000000-0005-0000-0000-00007E030000}"/>
    <cellStyle name="Calculation 2 12 6 2 2" xfId="9976" xr:uid="{00000000-0005-0000-0000-00007F030000}"/>
    <cellStyle name="Calculation 2 12 6 2 3" xfId="16595" xr:uid="{00000000-0005-0000-0000-000080030000}"/>
    <cellStyle name="Calculation 2 12 6 3" xfId="5415" xr:uid="{00000000-0005-0000-0000-000081030000}"/>
    <cellStyle name="Calculation 2 12 6 3 2" xfId="12011" xr:uid="{00000000-0005-0000-0000-000082030000}"/>
    <cellStyle name="Calculation 2 12 6 3 3" xfId="18630" xr:uid="{00000000-0005-0000-0000-000083030000}"/>
    <cellStyle name="Calculation 2 12 6 4" xfId="7840" xr:uid="{00000000-0005-0000-0000-000084030000}"/>
    <cellStyle name="Calculation 2 12 6 5" xfId="14459" xr:uid="{00000000-0005-0000-0000-000085030000}"/>
    <cellStyle name="Calculation 2 12 7" xfId="1525" xr:uid="{00000000-0005-0000-0000-000086030000}"/>
    <cellStyle name="Calculation 2 12 7 2" xfId="3661" xr:uid="{00000000-0005-0000-0000-000087030000}"/>
    <cellStyle name="Calculation 2 12 7 2 2" xfId="10257" xr:uid="{00000000-0005-0000-0000-000088030000}"/>
    <cellStyle name="Calculation 2 12 7 2 3" xfId="16876" xr:uid="{00000000-0005-0000-0000-000089030000}"/>
    <cellStyle name="Calculation 2 12 7 3" xfId="5696" xr:uid="{00000000-0005-0000-0000-00008A030000}"/>
    <cellStyle name="Calculation 2 12 7 3 2" xfId="12292" xr:uid="{00000000-0005-0000-0000-00008B030000}"/>
    <cellStyle name="Calculation 2 12 7 3 3" xfId="18911" xr:uid="{00000000-0005-0000-0000-00008C030000}"/>
    <cellStyle name="Calculation 2 12 7 4" xfId="8121" xr:uid="{00000000-0005-0000-0000-00008D030000}"/>
    <cellStyle name="Calculation 2 12 7 5" xfId="14740" xr:uid="{00000000-0005-0000-0000-00008E030000}"/>
    <cellStyle name="Calculation 2 12 8" xfId="1805" xr:uid="{00000000-0005-0000-0000-00008F030000}"/>
    <cellStyle name="Calculation 2 12 8 2" xfId="3941" xr:uid="{00000000-0005-0000-0000-000090030000}"/>
    <cellStyle name="Calculation 2 12 8 2 2" xfId="10537" xr:uid="{00000000-0005-0000-0000-000091030000}"/>
    <cellStyle name="Calculation 2 12 8 2 3" xfId="17156" xr:uid="{00000000-0005-0000-0000-000092030000}"/>
    <cellStyle name="Calculation 2 12 8 3" xfId="5976" xr:uid="{00000000-0005-0000-0000-000093030000}"/>
    <cellStyle name="Calculation 2 12 8 3 2" xfId="12572" xr:uid="{00000000-0005-0000-0000-000094030000}"/>
    <cellStyle name="Calculation 2 12 8 3 3" xfId="19191" xr:uid="{00000000-0005-0000-0000-000095030000}"/>
    <cellStyle name="Calculation 2 12 8 4" xfId="8401" xr:uid="{00000000-0005-0000-0000-000096030000}"/>
    <cellStyle name="Calculation 2 12 8 5" xfId="15020" xr:uid="{00000000-0005-0000-0000-000097030000}"/>
    <cellStyle name="Calculation 2 12 9" xfId="2082" xr:uid="{00000000-0005-0000-0000-000098030000}"/>
    <cellStyle name="Calculation 2 12 9 2" xfId="4218" xr:uid="{00000000-0005-0000-0000-000099030000}"/>
    <cellStyle name="Calculation 2 12 9 2 2" xfId="10814" xr:uid="{00000000-0005-0000-0000-00009A030000}"/>
    <cellStyle name="Calculation 2 12 9 2 3" xfId="17433" xr:uid="{00000000-0005-0000-0000-00009B030000}"/>
    <cellStyle name="Calculation 2 12 9 3" xfId="6253" xr:uid="{00000000-0005-0000-0000-00009C030000}"/>
    <cellStyle name="Calculation 2 12 9 3 2" xfId="12849" xr:uid="{00000000-0005-0000-0000-00009D030000}"/>
    <cellStyle name="Calculation 2 12 9 3 3" xfId="19468" xr:uid="{00000000-0005-0000-0000-00009E030000}"/>
    <cellStyle name="Calculation 2 12 9 4" xfId="8678" xr:uid="{00000000-0005-0000-0000-00009F030000}"/>
    <cellStyle name="Calculation 2 12 9 5" xfId="15297" xr:uid="{00000000-0005-0000-0000-0000A0030000}"/>
    <cellStyle name="Calculation 2 12_Summary" xfId="20108" xr:uid="{00000000-0005-0000-0000-0000A1030000}"/>
    <cellStyle name="Calculation 2 13" xfId="272" xr:uid="{00000000-0005-0000-0000-0000A2030000}"/>
    <cellStyle name="Calculation 2 13 10" xfId="4692" xr:uid="{00000000-0005-0000-0000-0000A3030000}"/>
    <cellStyle name="Calculation 2 13 10 2" xfId="11288" xr:uid="{00000000-0005-0000-0000-0000A4030000}"/>
    <cellStyle name="Calculation 2 13 10 3" xfId="17907" xr:uid="{00000000-0005-0000-0000-0000A5030000}"/>
    <cellStyle name="Calculation 2 13 11" xfId="522" xr:uid="{00000000-0005-0000-0000-0000A6030000}"/>
    <cellStyle name="Calculation 2 13 11 2" xfId="13737" xr:uid="{00000000-0005-0000-0000-0000A7030000}"/>
    <cellStyle name="Calculation 2 13 12" xfId="7166" xr:uid="{00000000-0005-0000-0000-0000A8030000}"/>
    <cellStyle name="Calculation 2 13 13" xfId="13489" xr:uid="{00000000-0005-0000-0000-0000A9030000}"/>
    <cellStyle name="Calculation 2 13 14" xfId="30069" xr:uid="{6F6276CF-81C4-4488-B2A2-F97D38B1A7FE}"/>
    <cellStyle name="Calculation 2 13 15" xfId="31501" xr:uid="{97E4DE3E-A716-4E68-8551-A1DA2FDAAFD7}"/>
    <cellStyle name="Calculation 2 13 2" xfId="406" xr:uid="{00000000-0005-0000-0000-0000AA030000}"/>
    <cellStyle name="Calculation 2 13 2 10" xfId="796" xr:uid="{00000000-0005-0000-0000-0000AB030000}"/>
    <cellStyle name="Calculation 2 13 2 10 2" xfId="14011" xr:uid="{00000000-0005-0000-0000-0000AC030000}"/>
    <cellStyle name="Calculation 2 13 2 11" xfId="7299" xr:uid="{00000000-0005-0000-0000-0000AD030000}"/>
    <cellStyle name="Calculation 2 13 2 12" xfId="13621" xr:uid="{00000000-0005-0000-0000-0000AE030000}"/>
    <cellStyle name="Calculation 2 13 2 2" xfId="1100" xr:uid="{00000000-0005-0000-0000-0000AF030000}"/>
    <cellStyle name="Calculation 2 13 2 2 2" xfId="3236" xr:uid="{00000000-0005-0000-0000-0000B0030000}"/>
    <cellStyle name="Calculation 2 13 2 2 2 2" xfId="9832" xr:uid="{00000000-0005-0000-0000-0000B1030000}"/>
    <cellStyle name="Calculation 2 13 2 2 2 3" xfId="16451" xr:uid="{00000000-0005-0000-0000-0000B2030000}"/>
    <cellStyle name="Calculation 2 13 2 2 3" xfId="5271" xr:uid="{00000000-0005-0000-0000-0000B3030000}"/>
    <cellStyle name="Calculation 2 13 2 2 3 2" xfId="11867" xr:uid="{00000000-0005-0000-0000-0000B4030000}"/>
    <cellStyle name="Calculation 2 13 2 2 3 3" xfId="18486" xr:uid="{00000000-0005-0000-0000-0000B5030000}"/>
    <cellStyle name="Calculation 2 13 2 2 4" xfId="7696" xr:uid="{00000000-0005-0000-0000-0000B6030000}"/>
    <cellStyle name="Calculation 2 13 2 2 5" xfId="14315" xr:uid="{00000000-0005-0000-0000-0000B7030000}"/>
    <cellStyle name="Calculation 2 13 2 3" xfId="1382" xr:uid="{00000000-0005-0000-0000-0000B8030000}"/>
    <cellStyle name="Calculation 2 13 2 3 2" xfId="3518" xr:uid="{00000000-0005-0000-0000-0000B9030000}"/>
    <cellStyle name="Calculation 2 13 2 3 2 2" xfId="10114" xr:uid="{00000000-0005-0000-0000-0000BA030000}"/>
    <cellStyle name="Calculation 2 13 2 3 2 3" xfId="16733" xr:uid="{00000000-0005-0000-0000-0000BB030000}"/>
    <cellStyle name="Calculation 2 13 2 3 3" xfId="5553" xr:uid="{00000000-0005-0000-0000-0000BC030000}"/>
    <cellStyle name="Calculation 2 13 2 3 3 2" xfId="12149" xr:uid="{00000000-0005-0000-0000-0000BD030000}"/>
    <cellStyle name="Calculation 2 13 2 3 3 3" xfId="18768" xr:uid="{00000000-0005-0000-0000-0000BE030000}"/>
    <cellStyle name="Calculation 2 13 2 3 4" xfId="7978" xr:uid="{00000000-0005-0000-0000-0000BF030000}"/>
    <cellStyle name="Calculation 2 13 2 3 5" xfId="14597" xr:uid="{00000000-0005-0000-0000-0000C0030000}"/>
    <cellStyle name="Calculation 2 13 2 4" xfId="1663" xr:uid="{00000000-0005-0000-0000-0000C1030000}"/>
    <cellStyle name="Calculation 2 13 2 4 2" xfId="3799" xr:uid="{00000000-0005-0000-0000-0000C2030000}"/>
    <cellStyle name="Calculation 2 13 2 4 2 2" xfId="10395" xr:uid="{00000000-0005-0000-0000-0000C3030000}"/>
    <cellStyle name="Calculation 2 13 2 4 2 3" xfId="17014" xr:uid="{00000000-0005-0000-0000-0000C4030000}"/>
    <cellStyle name="Calculation 2 13 2 4 3" xfId="5834" xr:uid="{00000000-0005-0000-0000-0000C5030000}"/>
    <cellStyle name="Calculation 2 13 2 4 3 2" xfId="12430" xr:uid="{00000000-0005-0000-0000-0000C6030000}"/>
    <cellStyle name="Calculation 2 13 2 4 3 3" xfId="19049" xr:uid="{00000000-0005-0000-0000-0000C7030000}"/>
    <cellStyle name="Calculation 2 13 2 4 4" xfId="8259" xr:uid="{00000000-0005-0000-0000-0000C8030000}"/>
    <cellStyle name="Calculation 2 13 2 4 5" xfId="14878" xr:uid="{00000000-0005-0000-0000-0000C9030000}"/>
    <cellStyle name="Calculation 2 13 2 5" xfId="1942" xr:uid="{00000000-0005-0000-0000-0000CA030000}"/>
    <cellStyle name="Calculation 2 13 2 5 2" xfId="4078" xr:uid="{00000000-0005-0000-0000-0000CB030000}"/>
    <cellStyle name="Calculation 2 13 2 5 2 2" xfId="10674" xr:uid="{00000000-0005-0000-0000-0000CC030000}"/>
    <cellStyle name="Calculation 2 13 2 5 2 3" xfId="17293" xr:uid="{00000000-0005-0000-0000-0000CD030000}"/>
    <cellStyle name="Calculation 2 13 2 5 3" xfId="6113" xr:uid="{00000000-0005-0000-0000-0000CE030000}"/>
    <cellStyle name="Calculation 2 13 2 5 3 2" xfId="12709" xr:uid="{00000000-0005-0000-0000-0000CF030000}"/>
    <cellStyle name="Calculation 2 13 2 5 3 3" xfId="19328" xr:uid="{00000000-0005-0000-0000-0000D0030000}"/>
    <cellStyle name="Calculation 2 13 2 5 4" xfId="8538" xr:uid="{00000000-0005-0000-0000-0000D1030000}"/>
    <cellStyle name="Calculation 2 13 2 5 5" xfId="15157" xr:uid="{00000000-0005-0000-0000-0000D2030000}"/>
    <cellStyle name="Calculation 2 13 2 6" xfId="2217" xr:uid="{00000000-0005-0000-0000-0000D3030000}"/>
    <cellStyle name="Calculation 2 13 2 6 2" xfId="4353" xr:uid="{00000000-0005-0000-0000-0000D4030000}"/>
    <cellStyle name="Calculation 2 13 2 6 2 2" xfId="10949" xr:uid="{00000000-0005-0000-0000-0000D5030000}"/>
    <cellStyle name="Calculation 2 13 2 6 2 3" xfId="17568" xr:uid="{00000000-0005-0000-0000-0000D6030000}"/>
    <cellStyle name="Calculation 2 13 2 6 3" xfId="6388" xr:uid="{00000000-0005-0000-0000-0000D7030000}"/>
    <cellStyle name="Calculation 2 13 2 6 3 2" xfId="12984" xr:uid="{00000000-0005-0000-0000-0000D8030000}"/>
    <cellStyle name="Calculation 2 13 2 6 3 3" xfId="19603" xr:uid="{00000000-0005-0000-0000-0000D9030000}"/>
    <cellStyle name="Calculation 2 13 2 6 4" xfId="8813" xr:uid="{00000000-0005-0000-0000-0000DA030000}"/>
    <cellStyle name="Calculation 2 13 2 6 5" xfId="15432" xr:uid="{00000000-0005-0000-0000-0000DB030000}"/>
    <cellStyle name="Calculation 2 13 2 7" xfId="2490" xr:uid="{00000000-0005-0000-0000-0000DC030000}"/>
    <cellStyle name="Calculation 2 13 2 7 2" xfId="4626" xr:uid="{00000000-0005-0000-0000-0000DD030000}"/>
    <cellStyle name="Calculation 2 13 2 7 2 2" xfId="11222" xr:uid="{00000000-0005-0000-0000-0000DE030000}"/>
    <cellStyle name="Calculation 2 13 2 7 2 3" xfId="17841" xr:uid="{00000000-0005-0000-0000-0000DF030000}"/>
    <cellStyle name="Calculation 2 13 2 7 3" xfId="6661" xr:uid="{00000000-0005-0000-0000-0000E0030000}"/>
    <cellStyle name="Calculation 2 13 2 7 3 2" xfId="13257" xr:uid="{00000000-0005-0000-0000-0000E1030000}"/>
    <cellStyle name="Calculation 2 13 2 7 3 3" xfId="19876" xr:uid="{00000000-0005-0000-0000-0000E2030000}"/>
    <cellStyle name="Calculation 2 13 2 7 4" xfId="9086" xr:uid="{00000000-0005-0000-0000-0000E3030000}"/>
    <cellStyle name="Calculation 2 13 2 7 5" xfId="15705" xr:uid="{00000000-0005-0000-0000-0000E4030000}"/>
    <cellStyle name="Calculation 2 13 2 8" xfId="2932" xr:uid="{00000000-0005-0000-0000-0000E5030000}"/>
    <cellStyle name="Calculation 2 13 2 8 2" xfId="9528" xr:uid="{00000000-0005-0000-0000-0000E6030000}"/>
    <cellStyle name="Calculation 2 13 2 8 3" xfId="16147" xr:uid="{00000000-0005-0000-0000-0000E7030000}"/>
    <cellStyle name="Calculation 2 13 2 9" xfId="4967" xr:uid="{00000000-0005-0000-0000-0000E8030000}"/>
    <cellStyle name="Calculation 2 13 2 9 2" xfId="11563" xr:uid="{00000000-0005-0000-0000-0000E9030000}"/>
    <cellStyle name="Calculation 2 13 2 9 3" xfId="18182" xr:uid="{00000000-0005-0000-0000-0000EA030000}"/>
    <cellStyle name="Calculation 2 13 2_Summary" xfId="20112" xr:uid="{00000000-0005-0000-0000-0000EB030000}"/>
    <cellStyle name="Calculation 2 13 3" xfId="967" xr:uid="{00000000-0005-0000-0000-0000EC030000}"/>
    <cellStyle name="Calculation 2 13 3 2" xfId="3103" xr:uid="{00000000-0005-0000-0000-0000ED030000}"/>
    <cellStyle name="Calculation 2 13 3 2 2" xfId="9699" xr:uid="{00000000-0005-0000-0000-0000EE030000}"/>
    <cellStyle name="Calculation 2 13 3 2 3" xfId="16318" xr:uid="{00000000-0005-0000-0000-0000EF030000}"/>
    <cellStyle name="Calculation 2 13 3 3" xfId="5138" xr:uid="{00000000-0005-0000-0000-0000F0030000}"/>
    <cellStyle name="Calculation 2 13 3 3 2" xfId="11734" xr:uid="{00000000-0005-0000-0000-0000F1030000}"/>
    <cellStyle name="Calculation 2 13 3 3 3" xfId="18353" xr:uid="{00000000-0005-0000-0000-0000F2030000}"/>
    <cellStyle name="Calculation 2 13 3 4" xfId="7564" xr:uid="{00000000-0005-0000-0000-0000F3030000}"/>
    <cellStyle name="Calculation 2 13 3 5" xfId="14182" xr:uid="{00000000-0005-0000-0000-0000F4030000}"/>
    <cellStyle name="Calculation 2 13 4" xfId="1249" xr:uid="{00000000-0005-0000-0000-0000F5030000}"/>
    <cellStyle name="Calculation 2 13 4 2" xfId="3385" xr:uid="{00000000-0005-0000-0000-0000F6030000}"/>
    <cellStyle name="Calculation 2 13 4 2 2" xfId="9981" xr:uid="{00000000-0005-0000-0000-0000F7030000}"/>
    <cellStyle name="Calculation 2 13 4 2 3" xfId="16600" xr:uid="{00000000-0005-0000-0000-0000F8030000}"/>
    <cellStyle name="Calculation 2 13 4 3" xfId="5420" xr:uid="{00000000-0005-0000-0000-0000F9030000}"/>
    <cellStyle name="Calculation 2 13 4 3 2" xfId="12016" xr:uid="{00000000-0005-0000-0000-0000FA030000}"/>
    <cellStyle name="Calculation 2 13 4 3 3" xfId="18635" xr:uid="{00000000-0005-0000-0000-0000FB030000}"/>
    <cellStyle name="Calculation 2 13 4 4" xfId="7845" xr:uid="{00000000-0005-0000-0000-0000FC030000}"/>
    <cellStyle name="Calculation 2 13 4 5" xfId="14464" xr:uid="{00000000-0005-0000-0000-0000FD030000}"/>
    <cellStyle name="Calculation 2 13 5" xfId="1530" xr:uid="{00000000-0005-0000-0000-0000FE030000}"/>
    <cellStyle name="Calculation 2 13 5 2" xfId="3666" xr:uid="{00000000-0005-0000-0000-0000FF030000}"/>
    <cellStyle name="Calculation 2 13 5 2 2" xfId="10262" xr:uid="{00000000-0005-0000-0000-000000040000}"/>
    <cellStyle name="Calculation 2 13 5 2 3" xfId="16881" xr:uid="{00000000-0005-0000-0000-000001040000}"/>
    <cellStyle name="Calculation 2 13 5 3" xfId="5701" xr:uid="{00000000-0005-0000-0000-000002040000}"/>
    <cellStyle name="Calculation 2 13 5 3 2" xfId="12297" xr:uid="{00000000-0005-0000-0000-000003040000}"/>
    <cellStyle name="Calculation 2 13 5 3 3" xfId="18916" xr:uid="{00000000-0005-0000-0000-000004040000}"/>
    <cellStyle name="Calculation 2 13 5 4" xfId="8126" xr:uid="{00000000-0005-0000-0000-000005040000}"/>
    <cellStyle name="Calculation 2 13 5 5" xfId="14745" xr:uid="{00000000-0005-0000-0000-000006040000}"/>
    <cellStyle name="Calculation 2 13 6" xfId="1809" xr:uid="{00000000-0005-0000-0000-000007040000}"/>
    <cellStyle name="Calculation 2 13 6 2" xfId="3945" xr:uid="{00000000-0005-0000-0000-000008040000}"/>
    <cellStyle name="Calculation 2 13 6 2 2" xfId="10541" xr:uid="{00000000-0005-0000-0000-000009040000}"/>
    <cellStyle name="Calculation 2 13 6 2 3" xfId="17160" xr:uid="{00000000-0005-0000-0000-00000A040000}"/>
    <cellStyle name="Calculation 2 13 6 3" xfId="5980" xr:uid="{00000000-0005-0000-0000-00000B040000}"/>
    <cellStyle name="Calculation 2 13 6 3 2" xfId="12576" xr:uid="{00000000-0005-0000-0000-00000C040000}"/>
    <cellStyle name="Calculation 2 13 6 3 3" xfId="19195" xr:uid="{00000000-0005-0000-0000-00000D040000}"/>
    <cellStyle name="Calculation 2 13 6 4" xfId="8405" xr:uid="{00000000-0005-0000-0000-00000E040000}"/>
    <cellStyle name="Calculation 2 13 6 5" xfId="15024" xr:uid="{00000000-0005-0000-0000-00000F040000}"/>
    <cellStyle name="Calculation 2 13 7" xfId="2085" xr:uid="{00000000-0005-0000-0000-000010040000}"/>
    <cellStyle name="Calculation 2 13 7 2" xfId="4221" xr:uid="{00000000-0005-0000-0000-000011040000}"/>
    <cellStyle name="Calculation 2 13 7 2 2" xfId="10817" xr:uid="{00000000-0005-0000-0000-000012040000}"/>
    <cellStyle name="Calculation 2 13 7 2 3" xfId="17436" xr:uid="{00000000-0005-0000-0000-000013040000}"/>
    <cellStyle name="Calculation 2 13 7 3" xfId="6256" xr:uid="{00000000-0005-0000-0000-000014040000}"/>
    <cellStyle name="Calculation 2 13 7 3 2" xfId="12852" xr:uid="{00000000-0005-0000-0000-000015040000}"/>
    <cellStyle name="Calculation 2 13 7 3 3" xfId="19471" xr:uid="{00000000-0005-0000-0000-000016040000}"/>
    <cellStyle name="Calculation 2 13 7 4" xfId="8681" xr:uid="{00000000-0005-0000-0000-000017040000}"/>
    <cellStyle name="Calculation 2 13 7 5" xfId="15300" xr:uid="{00000000-0005-0000-0000-000018040000}"/>
    <cellStyle name="Calculation 2 13 8" xfId="2358" xr:uid="{00000000-0005-0000-0000-000019040000}"/>
    <cellStyle name="Calculation 2 13 8 2" xfId="4494" xr:uid="{00000000-0005-0000-0000-00001A040000}"/>
    <cellStyle name="Calculation 2 13 8 2 2" xfId="11090" xr:uid="{00000000-0005-0000-0000-00001B040000}"/>
    <cellStyle name="Calculation 2 13 8 2 3" xfId="17709" xr:uid="{00000000-0005-0000-0000-00001C040000}"/>
    <cellStyle name="Calculation 2 13 8 3" xfId="6529" xr:uid="{00000000-0005-0000-0000-00001D040000}"/>
    <cellStyle name="Calculation 2 13 8 3 2" xfId="13125" xr:uid="{00000000-0005-0000-0000-00001E040000}"/>
    <cellStyle name="Calculation 2 13 8 3 3" xfId="19744" xr:uid="{00000000-0005-0000-0000-00001F040000}"/>
    <cellStyle name="Calculation 2 13 8 4" xfId="8954" xr:uid="{00000000-0005-0000-0000-000020040000}"/>
    <cellStyle name="Calculation 2 13 8 5" xfId="15573" xr:uid="{00000000-0005-0000-0000-000021040000}"/>
    <cellStyle name="Calculation 2 13 9" xfId="2658" xr:uid="{00000000-0005-0000-0000-000022040000}"/>
    <cellStyle name="Calculation 2 13 9 2" xfId="9254" xr:uid="{00000000-0005-0000-0000-000023040000}"/>
    <cellStyle name="Calculation 2 13 9 3" xfId="15873" xr:uid="{00000000-0005-0000-0000-000024040000}"/>
    <cellStyle name="Calculation 2 13_Summary" xfId="20111" xr:uid="{00000000-0005-0000-0000-000025040000}"/>
    <cellStyle name="Calculation 2 14" xfId="336" xr:uid="{00000000-0005-0000-0000-000026040000}"/>
    <cellStyle name="Calculation 2 14 10" xfId="4756" xr:uid="{00000000-0005-0000-0000-000027040000}"/>
    <cellStyle name="Calculation 2 14 10 2" xfId="11352" xr:uid="{00000000-0005-0000-0000-000028040000}"/>
    <cellStyle name="Calculation 2 14 10 3" xfId="17971" xr:uid="{00000000-0005-0000-0000-000029040000}"/>
    <cellStyle name="Calculation 2 14 11" xfId="585" xr:uid="{00000000-0005-0000-0000-00002A040000}"/>
    <cellStyle name="Calculation 2 14 11 2" xfId="13800" xr:uid="{00000000-0005-0000-0000-00002B040000}"/>
    <cellStyle name="Calculation 2 14 12" xfId="7229" xr:uid="{00000000-0005-0000-0000-00002C040000}"/>
    <cellStyle name="Calculation 2 14 13" xfId="13551" xr:uid="{00000000-0005-0000-0000-00002D040000}"/>
    <cellStyle name="Calculation 2 14 2" xfId="464" xr:uid="{00000000-0005-0000-0000-00002E040000}"/>
    <cellStyle name="Calculation 2 14 2 10" xfId="858" xr:uid="{00000000-0005-0000-0000-00002F040000}"/>
    <cellStyle name="Calculation 2 14 2 10 2" xfId="14073" xr:uid="{00000000-0005-0000-0000-000030040000}"/>
    <cellStyle name="Calculation 2 14 2 11" xfId="7357" xr:uid="{00000000-0005-0000-0000-000031040000}"/>
    <cellStyle name="Calculation 2 14 2 12" xfId="13679" xr:uid="{00000000-0005-0000-0000-000032040000}"/>
    <cellStyle name="Calculation 2 14 2 2" xfId="1158" xr:uid="{00000000-0005-0000-0000-000033040000}"/>
    <cellStyle name="Calculation 2 14 2 2 2" xfId="3294" xr:uid="{00000000-0005-0000-0000-000034040000}"/>
    <cellStyle name="Calculation 2 14 2 2 2 2" xfId="9890" xr:uid="{00000000-0005-0000-0000-000035040000}"/>
    <cellStyle name="Calculation 2 14 2 2 2 3" xfId="16509" xr:uid="{00000000-0005-0000-0000-000036040000}"/>
    <cellStyle name="Calculation 2 14 2 2 3" xfId="5329" xr:uid="{00000000-0005-0000-0000-000037040000}"/>
    <cellStyle name="Calculation 2 14 2 2 3 2" xfId="11925" xr:uid="{00000000-0005-0000-0000-000038040000}"/>
    <cellStyle name="Calculation 2 14 2 2 3 3" xfId="18544" xr:uid="{00000000-0005-0000-0000-000039040000}"/>
    <cellStyle name="Calculation 2 14 2 2 4" xfId="7754" xr:uid="{00000000-0005-0000-0000-00003A040000}"/>
    <cellStyle name="Calculation 2 14 2 2 5" xfId="14373" xr:uid="{00000000-0005-0000-0000-00003B040000}"/>
    <cellStyle name="Calculation 2 14 2 3" xfId="1440" xr:uid="{00000000-0005-0000-0000-00003C040000}"/>
    <cellStyle name="Calculation 2 14 2 3 2" xfId="3576" xr:uid="{00000000-0005-0000-0000-00003D040000}"/>
    <cellStyle name="Calculation 2 14 2 3 2 2" xfId="10172" xr:uid="{00000000-0005-0000-0000-00003E040000}"/>
    <cellStyle name="Calculation 2 14 2 3 2 3" xfId="16791" xr:uid="{00000000-0005-0000-0000-00003F040000}"/>
    <cellStyle name="Calculation 2 14 2 3 3" xfId="5611" xr:uid="{00000000-0005-0000-0000-000040040000}"/>
    <cellStyle name="Calculation 2 14 2 3 3 2" xfId="12207" xr:uid="{00000000-0005-0000-0000-000041040000}"/>
    <cellStyle name="Calculation 2 14 2 3 3 3" xfId="18826" xr:uid="{00000000-0005-0000-0000-000042040000}"/>
    <cellStyle name="Calculation 2 14 2 3 4" xfId="8036" xr:uid="{00000000-0005-0000-0000-000043040000}"/>
    <cellStyle name="Calculation 2 14 2 3 5" xfId="14655" xr:uid="{00000000-0005-0000-0000-000044040000}"/>
    <cellStyle name="Calculation 2 14 2 4" xfId="1721" xr:uid="{00000000-0005-0000-0000-000045040000}"/>
    <cellStyle name="Calculation 2 14 2 4 2" xfId="3857" xr:uid="{00000000-0005-0000-0000-000046040000}"/>
    <cellStyle name="Calculation 2 14 2 4 2 2" xfId="10453" xr:uid="{00000000-0005-0000-0000-000047040000}"/>
    <cellStyle name="Calculation 2 14 2 4 2 3" xfId="17072" xr:uid="{00000000-0005-0000-0000-000048040000}"/>
    <cellStyle name="Calculation 2 14 2 4 3" xfId="5892" xr:uid="{00000000-0005-0000-0000-000049040000}"/>
    <cellStyle name="Calculation 2 14 2 4 3 2" xfId="12488" xr:uid="{00000000-0005-0000-0000-00004A040000}"/>
    <cellStyle name="Calculation 2 14 2 4 3 3" xfId="19107" xr:uid="{00000000-0005-0000-0000-00004B040000}"/>
    <cellStyle name="Calculation 2 14 2 4 4" xfId="8317" xr:uid="{00000000-0005-0000-0000-00004C040000}"/>
    <cellStyle name="Calculation 2 14 2 4 5" xfId="14936" xr:uid="{00000000-0005-0000-0000-00004D040000}"/>
    <cellStyle name="Calculation 2 14 2 5" xfId="2000" xr:uid="{00000000-0005-0000-0000-00004E040000}"/>
    <cellStyle name="Calculation 2 14 2 5 2" xfId="4136" xr:uid="{00000000-0005-0000-0000-00004F040000}"/>
    <cellStyle name="Calculation 2 14 2 5 2 2" xfId="10732" xr:uid="{00000000-0005-0000-0000-000050040000}"/>
    <cellStyle name="Calculation 2 14 2 5 2 3" xfId="17351" xr:uid="{00000000-0005-0000-0000-000051040000}"/>
    <cellStyle name="Calculation 2 14 2 5 3" xfId="6171" xr:uid="{00000000-0005-0000-0000-000052040000}"/>
    <cellStyle name="Calculation 2 14 2 5 3 2" xfId="12767" xr:uid="{00000000-0005-0000-0000-000053040000}"/>
    <cellStyle name="Calculation 2 14 2 5 3 3" xfId="19386" xr:uid="{00000000-0005-0000-0000-000054040000}"/>
    <cellStyle name="Calculation 2 14 2 5 4" xfId="8596" xr:uid="{00000000-0005-0000-0000-000055040000}"/>
    <cellStyle name="Calculation 2 14 2 5 5" xfId="15215" xr:uid="{00000000-0005-0000-0000-000056040000}"/>
    <cellStyle name="Calculation 2 14 2 6" xfId="2275" xr:uid="{00000000-0005-0000-0000-000057040000}"/>
    <cellStyle name="Calculation 2 14 2 6 2" xfId="4411" xr:uid="{00000000-0005-0000-0000-000058040000}"/>
    <cellStyle name="Calculation 2 14 2 6 2 2" xfId="11007" xr:uid="{00000000-0005-0000-0000-000059040000}"/>
    <cellStyle name="Calculation 2 14 2 6 2 3" xfId="17626" xr:uid="{00000000-0005-0000-0000-00005A040000}"/>
    <cellStyle name="Calculation 2 14 2 6 3" xfId="6446" xr:uid="{00000000-0005-0000-0000-00005B040000}"/>
    <cellStyle name="Calculation 2 14 2 6 3 2" xfId="13042" xr:uid="{00000000-0005-0000-0000-00005C040000}"/>
    <cellStyle name="Calculation 2 14 2 6 3 3" xfId="19661" xr:uid="{00000000-0005-0000-0000-00005D040000}"/>
    <cellStyle name="Calculation 2 14 2 6 4" xfId="8871" xr:uid="{00000000-0005-0000-0000-00005E040000}"/>
    <cellStyle name="Calculation 2 14 2 6 5" xfId="15490" xr:uid="{00000000-0005-0000-0000-00005F040000}"/>
    <cellStyle name="Calculation 2 14 2 7" xfId="2548" xr:uid="{00000000-0005-0000-0000-000060040000}"/>
    <cellStyle name="Calculation 2 14 2 7 2" xfId="4684" xr:uid="{00000000-0005-0000-0000-000061040000}"/>
    <cellStyle name="Calculation 2 14 2 7 2 2" xfId="11280" xr:uid="{00000000-0005-0000-0000-000062040000}"/>
    <cellStyle name="Calculation 2 14 2 7 2 3" xfId="17899" xr:uid="{00000000-0005-0000-0000-000063040000}"/>
    <cellStyle name="Calculation 2 14 2 7 3" xfId="6719" xr:uid="{00000000-0005-0000-0000-000064040000}"/>
    <cellStyle name="Calculation 2 14 2 7 3 2" xfId="13315" xr:uid="{00000000-0005-0000-0000-000065040000}"/>
    <cellStyle name="Calculation 2 14 2 7 3 3" xfId="19934" xr:uid="{00000000-0005-0000-0000-000066040000}"/>
    <cellStyle name="Calculation 2 14 2 7 4" xfId="9144" xr:uid="{00000000-0005-0000-0000-000067040000}"/>
    <cellStyle name="Calculation 2 14 2 7 5" xfId="15763" xr:uid="{00000000-0005-0000-0000-000068040000}"/>
    <cellStyle name="Calculation 2 14 2 8" xfId="2994" xr:uid="{00000000-0005-0000-0000-000069040000}"/>
    <cellStyle name="Calculation 2 14 2 8 2" xfId="9590" xr:uid="{00000000-0005-0000-0000-00006A040000}"/>
    <cellStyle name="Calculation 2 14 2 8 3" xfId="16209" xr:uid="{00000000-0005-0000-0000-00006B040000}"/>
    <cellStyle name="Calculation 2 14 2 9" xfId="5029" xr:uid="{00000000-0005-0000-0000-00006C040000}"/>
    <cellStyle name="Calculation 2 14 2 9 2" xfId="11625" xr:uid="{00000000-0005-0000-0000-00006D040000}"/>
    <cellStyle name="Calculation 2 14 2 9 3" xfId="18244" xr:uid="{00000000-0005-0000-0000-00006E040000}"/>
    <cellStyle name="Calculation 2 14 2_Summary" xfId="20114" xr:uid="{00000000-0005-0000-0000-00006F040000}"/>
    <cellStyle name="Calculation 2 14 3" xfId="1030" xr:uid="{00000000-0005-0000-0000-000070040000}"/>
    <cellStyle name="Calculation 2 14 3 2" xfId="3166" xr:uid="{00000000-0005-0000-0000-000071040000}"/>
    <cellStyle name="Calculation 2 14 3 2 2" xfId="9762" xr:uid="{00000000-0005-0000-0000-000072040000}"/>
    <cellStyle name="Calculation 2 14 3 2 3" xfId="16381" xr:uid="{00000000-0005-0000-0000-000073040000}"/>
    <cellStyle name="Calculation 2 14 3 3" xfId="5201" xr:uid="{00000000-0005-0000-0000-000074040000}"/>
    <cellStyle name="Calculation 2 14 3 3 2" xfId="11797" xr:uid="{00000000-0005-0000-0000-000075040000}"/>
    <cellStyle name="Calculation 2 14 3 3 3" xfId="18416" xr:uid="{00000000-0005-0000-0000-000076040000}"/>
    <cellStyle name="Calculation 2 14 3 4" xfId="7627" xr:uid="{00000000-0005-0000-0000-000077040000}"/>
    <cellStyle name="Calculation 2 14 3 5" xfId="14245" xr:uid="{00000000-0005-0000-0000-000078040000}"/>
    <cellStyle name="Calculation 2 14 4" xfId="1312" xr:uid="{00000000-0005-0000-0000-000079040000}"/>
    <cellStyle name="Calculation 2 14 4 2" xfId="3448" xr:uid="{00000000-0005-0000-0000-00007A040000}"/>
    <cellStyle name="Calculation 2 14 4 2 2" xfId="10044" xr:uid="{00000000-0005-0000-0000-00007B040000}"/>
    <cellStyle name="Calculation 2 14 4 2 3" xfId="16663" xr:uid="{00000000-0005-0000-0000-00007C040000}"/>
    <cellStyle name="Calculation 2 14 4 3" xfId="5483" xr:uid="{00000000-0005-0000-0000-00007D040000}"/>
    <cellStyle name="Calculation 2 14 4 3 2" xfId="12079" xr:uid="{00000000-0005-0000-0000-00007E040000}"/>
    <cellStyle name="Calculation 2 14 4 3 3" xfId="18698" xr:uid="{00000000-0005-0000-0000-00007F040000}"/>
    <cellStyle name="Calculation 2 14 4 4" xfId="7908" xr:uid="{00000000-0005-0000-0000-000080040000}"/>
    <cellStyle name="Calculation 2 14 4 5" xfId="14527" xr:uid="{00000000-0005-0000-0000-000081040000}"/>
    <cellStyle name="Calculation 2 14 5" xfId="1593" xr:uid="{00000000-0005-0000-0000-000082040000}"/>
    <cellStyle name="Calculation 2 14 5 2" xfId="3729" xr:uid="{00000000-0005-0000-0000-000083040000}"/>
    <cellStyle name="Calculation 2 14 5 2 2" xfId="10325" xr:uid="{00000000-0005-0000-0000-000084040000}"/>
    <cellStyle name="Calculation 2 14 5 2 3" xfId="16944" xr:uid="{00000000-0005-0000-0000-000085040000}"/>
    <cellStyle name="Calculation 2 14 5 3" xfId="5764" xr:uid="{00000000-0005-0000-0000-000086040000}"/>
    <cellStyle name="Calculation 2 14 5 3 2" xfId="12360" xr:uid="{00000000-0005-0000-0000-000087040000}"/>
    <cellStyle name="Calculation 2 14 5 3 3" xfId="18979" xr:uid="{00000000-0005-0000-0000-000088040000}"/>
    <cellStyle name="Calculation 2 14 5 4" xfId="8189" xr:uid="{00000000-0005-0000-0000-000089040000}"/>
    <cellStyle name="Calculation 2 14 5 5" xfId="14808" xr:uid="{00000000-0005-0000-0000-00008A040000}"/>
    <cellStyle name="Calculation 2 14 6" xfId="1872" xr:uid="{00000000-0005-0000-0000-00008B040000}"/>
    <cellStyle name="Calculation 2 14 6 2" xfId="4008" xr:uid="{00000000-0005-0000-0000-00008C040000}"/>
    <cellStyle name="Calculation 2 14 6 2 2" xfId="10604" xr:uid="{00000000-0005-0000-0000-00008D040000}"/>
    <cellStyle name="Calculation 2 14 6 2 3" xfId="17223" xr:uid="{00000000-0005-0000-0000-00008E040000}"/>
    <cellStyle name="Calculation 2 14 6 3" xfId="6043" xr:uid="{00000000-0005-0000-0000-00008F040000}"/>
    <cellStyle name="Calculation 2 14 6 3 2" xfId="12639" xr:uid="{00000000-0005-0000-0000-000090040000}"/>
    <cellStyle name="Calculation 2 14 6 3 3" xfId="19258" xr:uid="{00000000-0005-0000-0000-000091040000}"/>
    <cellStyle name="Calculation 2 14 6 4" xfId="8468" xr:uid="{00000000-0005-0000-0000-000092040000}"/>
    <cellStyle name="Calculation 2 14 6 5" xfId="15087" xr:uid="{00000000-0005-0000-0000-000093040000}"/>
    <cellStyle name="Calculation 2 14 7" xfId="2147" xr:uid="{00000000-0005-0000-0000-000094040000}"/>
    <cellStyle name="Calculation 2 14 7 2" xfId="4283" xr:uid="{00000000-0005-0000-0000-000095040000}"/>
    <cellStyle name="Calculation 2 14 7 2 2" xfId="10879" xr:uid="{00000000-0005-0000-0000-000096040000}"/>
    <cellStyle name="Calculation 2 14 7 2 3" xfId="17498" xr:uid="{00000000-0005-0000-0000-000097040000}"/>
    <cellStyle name="Calculation 2 14 7 3" xfId="6318" xr:uid="{00000000-0005-0000-0000-000098040000}"/>
    <cellStyle name="Calculation 2 14 7 3 2" xfId="12914" xr:uid="{00000000-0005-0000-0000-000099040000}"/>
    <cellStyle name="Calculation 2 14 7 3 3" xfId="19533" xr:uid="{00000000-0005-0000-0000-00009A040000}"/>
    <cellStyle name="Calculation 2 14 7 4" xfId="8743" xr:uid="{00000000-0005-0000-0000-00009B040000}"/>
    <cellStyle name="Calculation 2 14 7 5" xfId="15362" xr:uid="{00000000-0005-0000-0000-00009C040000}"/>
    <cellStyle name="Calculation 2 14 8" xfId="2420" xr:uid="{00000000-0005-0000-0000-00009D040000}"/>
    <cellStyle name="Calculation 2 14 8 2" xfId="4556" xr:uid="{00000000-0005-0000-0000-00009E040000}"/>
    <cellStyle name="Calculation 2 14 8 2 2" xfId="11152" xr:uid="{00000000-0005-0000-0000-00009F040000}"/>
    <cellStyle name="Calculation 2 14 8 2 3" xfId="17771" xr:uid="{00000000-0005-0000-0000-0000A0040000}"/>
    <cellStyle name="Calculation 2 14 8 3" xfId="6591" xr:uid="{00000000-0005-0000-0000-0000A1040000}"/>
    <cellStyle name="Calculation 2 14 8 3 2" xfId="13187" xr:uid="{00000000-0005-0000-0000-0000A2040000}"/>
    <cellStyle name="Calculation 2 14 8 3 3" xfId="19806" xr:uid="{00000000-0005-0000-0000-0000A3040000}"/>
    <cellStyle name="Calculation 2 14 8 4" xfId="9016" xr:uid="{00000000-0005-0000-0000-0000A4040000}"/>
    <cellStyle name="Calculation 2 14 8 5" xfId="15635" xr:uid="{00000000-0005-0000-0000-0000A5040000}"/>
    <cellStyle name="Calculation 2 14 9" xfId="2721" xr:uid="{00000000-0005-0000-0000-0000A6040000}"/>
    <cellStyle name="Calculation 2 14 9 2" xfId="9317" xr:uid="{00000000-0005-0000-0000-0000A7040000}"/>
    <cellStyle name="Calculation 2 14 9 3" xfId="15936" xr:uid="{00000000-0005-0000-0000-0000A8040000}"/>
    <cellStyle name="Calculation 2 14_Summary" xfId="20113" xr:uid="{00000000-0005-0000-0000-0000A9040000}"/>
    <cellStyle name="Calculation 2 15" xfId="274" xr:uid="{00000000-0005-0000-0000-0000AA040000}"/>
    <cellStyle name="Calculation 2 15 10" xfId="4694" xr:uid="{00000000-0005-0000-0000-0000AB040000}"/>
    <cellStyle name="Calculation 2 15 10 2" xfId="11290" xr:uid="{00000000-0005-0000-0000-0000AC040000}"/>
    <cellStyle name="Calculation 2 15 10 3" xfId="17909" xr:uid="{00000000-0005-0000-0000-0000AD040000}"/>
    <cellStyle name="Calculation 2 15 11" xfId="524" xr:uid="{00000000-0005-0000-0000-0000AE040000}"/>
    <cellStyle name="Calculation 2 15 11 2" xfId="13739" xr:uid="{00000000-0005-0000-0000-0000AF040000}"/>
    <cellStyle name="Calculation 2 15 12" xfId="7168" xr:uid="{00000000-0005-0000-0000-0000B0040000}"/>
    <cellStyle name="Calculation 2 15 13" xfId="13491" xr:uid="{00000000-0005-0000-0000-0000B1040000}"/>
    <cellStyle name="Calculation 2 15 2" xfId="408" xr:uid="{00000000-0005-0000-0000-0000B2040000}"/>
    <cellStyle name="Calculation 2 15 2 10" xfId="798" xr:uid="{00000000-0005-0000-0000-0000B3040000}"/>
    <cellStyle name="Calculation 2 15 2 10 2" xfId="14013" xr:uid="{00000000-0005-0000-0000-0000B4040000}"/>
    <cellStyle name="Calculation 2 15 2 11" xfId="7301" xr:uid="{00000000-0005-0000-0000-0000B5040000}"/>
    <cellStyle name="Calculation 2 15 2 12" xfId="13623" xr:uid="{00000000-0005-0000-0000-0000B6040000}"/>
    <cellStyle name="Calculation 2 15 2 2" xfId="1102" xr:uid="{00000000-0005-0000-0000-0000B7040000}"/>
    <cellStyle name="Calculation 2 15 2 2 2" xfId="3238" xr:uid="{00000000-0005-0000-0000-0000B8040000}"/>
    <cellStyle name="Calculation 2 15 2 2 2 2" xfId="9834" xr:uid="{00000000-0005-0000-0000-0000B9040000}"/>
    <cellStyle name="Calculation 2 15 2 2 2 3" xfId="16453" xr:uid="{00000000-0005-0000-0000-0000BA040000}"/>
    <cellStyle name="Calculation 2 15 2 2 3" xfId="5273" xr:uid="{00000000-0005-0000-0000-0000BB040000}"/>
    <cellStyle name="Calculation 2 15 2 2 3 2" xfId="11869" xr:uid="{00000000-0005-0000-0000-0000BC040000}"/>
    <cellStyle name="Calculation 2 15 2 2 3 3" xfId="18488" xr:uid="{00000000-0005-0000-0000-0000BD040000}"/>
    <cellStyle name="Calculation 2 15 2 2 4" xfId="7698" xr:uid="{00000000-0005-0000-0000-0000BE040000}"/>
    <cellStyle name="Calculation 2 15 2 2 5" xfId="14317" xr:uid="{00000000-0005-0000-0000-0000BF040000}"/>
    <cellStyle name="Calculation 2 15 2 3" xfId="1384" xr:uid="{00000000-0005-0000-0000-0000C0040000}"/>
    <cellStyle name="Calculation 2 15 2 3 2" xfId="3520" xr:uid="{00000000-0005-0000-0000-0000C1040000}"/>
    <cellStyle name="Calculation 2 15 2 3 2 2" xfId="10116" xr:uid="{00000000-0005-0000-0000-0000C2040000}"/>
    <cellStyle name="Calculation 2 15 2 3 2 3" xfId="16735" xr:uid="{00000000-0005-0000-0000-0000C3040000}"/>
    <cellStyle name="Calculation 2 15 2 3 3" xfId="5555" xr:uid="{00000000-0005-0000-0000-0000C4040000}"/>
    <cellStyle name="Calculation 2 15 2 3 3 2" xfId="12151" xr:uid="{00000000-0005-0000-0000-0000C5040000}"/>
    <cellStyle name="Calculation 2 15 2 3 3 3" xfId="18770" xr:uid="{00000000-0005-0000-0000-0000C6040000}"/>
    <cellStyle name="Calculation 2 15 2 3 4" xfId="7980" xr:uid="{00000000-0005-0000-0000-0000C7040000}"/>
    <cellStyle name="Calculation 2 15 2 3 5" xfId="14599" xr:uid="{00000000-0005-0000-0000-0000C8040000}"/>
    <cellStyle name="Calculation 2 15 2 4" xfId="1665" xr:uid="{00000000-0005-0000-0000-0000C9040000}"/>
    <cellStyle name="Calculation 2 15 2 4 2" xfId="3801" xr:uid="{00000000-0005-0000-0000-0000CA040000}"/>
    <cellStyle name="Calculation 2 15 2 4 2 2" xfId="10397" xr:uid="{00000000-0005-0000-0000-0000CB040000}"/>
    <cellStyle name="Calculation 2 15 2 4 2 3" xfId="17016" xr:uid="{00000000-0005-0000-0000-0000CC040000}"/>
    <cellStyle name="Calculation 2 15 2 4 3" xfId="5836" xr:uid="{00000000-0005-0000-0000-0000CD040000}"/>
    <cellStyle name="Calculation 2 15 2 4 3 2" xfId="12432" xr:uid="{00000000-0005-0000-0000-0000CE040000}"/>
    <cellStyle name="Calculation 2 15 2 4 3 3" xfId="19051" xr:uid="{00000000-0005-0000-0000-0000CF040000}"/>
    <cellStyle name="Calculation 2 15 2 4 4" xfId="8261" xr:uid="{00000000-0005-0000-0000-0000D0040000}"/>
    <cellStyle name="Calculation 2 15 2 4 5" xfId="14880" xr:uid="{00000000-0005-0000-0000-0000D1040000}"/>
    <cellStyle name="Calculation 2 15 2 5" xfId="1944" xr:uid="{00000000-0005-0000-0000-0000D2040000}"/>
    <cellStyle name="Calculation 2 15 2 5 2" xfId="4080" xr:uid="{00000000-0005-0000-0000-0000D3040000}"/>
    <cellStyle name="Calculation 2 15 2 5 2 2" xfId="10676" xr:uid="{00000000-0005-0000-0000-0000D4040000}"/>
    <cellStyle name="Calculation 2 15 2 5 2 3" xfId="17295" xr:uid="{00000000-0005-0000-0000-0000D5040000}"/>
    <cellStyle name="Calculation 2 15 2 5 3" xfId="6115" xr:uid="{00000000-0005-0000-0000-0000D6040000}"/>
    <cellStyle name="Calculation 2 15 2 5 3 2" xfId="12711" xr:uid="{00000000-0005-0000-0000-0000D7040000}"/>
    <cellStyle name="Calculation 2 15 2 5 3 3" xfId="19330" xr:uid="{00000000-0005-0000-0000-0000D8040000}"/>
    <cellStyle name="Calculation 2 15 2 5 4" xfId="8540" xr:uid="{00000000-0005-0000-0000-0000D9040000}"/>
    <cellStyle name="Calculation 2 15 2 5 5" xfId="15159" xr:uid="{00000000-0005-0000-0000-0000DA040000}"/>
    <cellStyle name="Calculation 2 15 2 6" xfId="2219" xr:uid="{00000000-0005-0000-0000-0000DB040000}"/>
    <cellStyle name="Calculation 2 15 2 6 2" xfId="4355" xr:uid="{00000000-0005-0000-0000-0000DC040000}"/>
    <cellStyle name="Calculation 2 15 2 6 2 2" xfId="10951" xr:uid="{00000000-0005-0000-0000-0000DD040000}"/>
    <cellStyle name="Calculation 2 15 2 6 2 3" xfId="17570" xr:uid="{00000000-0005-0000-0000-0000DE040000}"/>
    <cellStyle name="Calculation 2 15 2 6 3" xfId="6390" xr:uid="{00000000-0005-0000-0000-0000DF040000}"/>
    <cellStyle name="Calculation 2 15 2 6 3 2" xfId="12986" xr:uid="{00000000-0005-0000-0000-0000E0040000}"/>
    <cellStyle name="Calculation 2 15 2 6 3 3" xfId="19605" xr:uid="{00000000-0005-0000-0000-0000E1040000}"/>
    <cellStyle name="Calculation 2 15 2 6 4" xfId="8815" xr:uid="{00000000-0005-0000-0000-0000E2040000}"/>
    <cellStyle name="Calculation 2 15 2 6 5" xfId="15434" xr:uid="{00000000-0005-0000-0000-0000E3040000}"/>
    <cellStyle name="Calculation 2 15 2 7" xfId="2492" xr:uid="{00000000-0005-0000-0000-0000E4040000}"/>
    <cellStyle name="Calculation 2 15 2 7 2" xfId="4628" xr:uid="{00000000-0005-0000-0000-0000E5040000}"/>
    <cellStyle name="Calculation 2 15 2 7 2 2" xfId="11224" xr:uid="{00000000-0005-0000-0000-0000E6040000}"/>
    <cellStyle name="Calculation 2 15 2 7 2 3" xfId="17843" xr:uid="{00000000-0005-0000-0000-0000E7040000}"/>
    <cellStyle name="Calculation 2 15 2 7 3" xfId="6663" xr:uid="{00000000-0005-0000-0000-0000E8040000}"/>
    <cellStyle name="Calculation 2 15 2 7 3 2" xfId="13259" xr:uid="{00000000-0005-0000-0000-0000E9040000}"/>
    <cellStyle name="Calculation 2 15 2 7 3 3" xfId="19878" xr:uid="{00000000-0005-0000-0000-0000EA040000}"/>
    <cellStyle name="Calculation 2 15 2 7 4" xfId="9088" xr:uid="{00000000-0005-0000-0000-0000EB040000}"/>
    <cellStyle name="Calculation 2 15 2 7 5" xfId="15707" xr:uid="{00000000-0005-0000-0000-0000EC040000}"/>
    <cellStyle name="Calculation 2 15 2 8" xfId="2934" xr:uid="{00000000-0005-0000-0000-0000ED040000}"/>
    <cellStyle name="Calculation 2 15 2 8 2" xfId="9530" xr:uid="{00000000-0005-0000-0000-0000EE040000}"/>
    <cellStyle name="Calculation 2 15 2 8 3" xfId="16149" xr:uid="{00000000-0005-0000-0000-0000EF040000}"/>
    <cellStyle name="Calculation 2 15 2 9" xfId="4969" xr:uid="{00000000-0005-0000-0000-0000F0040000}"/>
    <cellStyle name="Calculation 2 15 2 9 2" xfId="11565" xr:uid="{00000000-0005-0000-0000-0000F1040000}"/>
    <cellStyle name="Calculation 2 15 2 9 3" xfId="18184" xr:uid="{00000000-0005-0000-0000-0000F2040000}"/>
    <cellStyle name="Calculation 2 15 2_Summary" xfId="20116" xr:uid="{00000000-0005-0000-0000-0000F3040000}"/>
    <cellStyle name="Calculation 2 15 3" xfId="969" xr:uid="{00000000-0005-0000-0000-0000F4040000}"/>
    <cellStyle name="Calculation 2 15 3 2" xfId="3105" xr:uid="{00000000-0005-0000-0000-0000F5040000}"/>
    <cellStyle name="Calculation 2 15 3 2 2" xfId="9701" xr:uid="{00000000-0005-0000-0000-0000F6040000}"/>
    <cellStyle name="Calculation 2 15 3 2 3" xfId="16320" xr:uid="{00000000-0005-0000-0000-0000F7040000}"/>
    <cellStyle name="Calculation 2 15 3 3" xfId="5140" xr:uid="{00000000-0005-0000-0000-0000F8040000}"/>
    <cellStyle name="Calculation 2 15 3 3 2" xfId="11736" xr:uid="{00000000-0005-0000-0000-0000F9040000}"/>
    <cellStyle name="Calculation 2 15 3 3 3" xfId="18355" xr:uid="{00000000-0005-0000-0000-0000FA040000}"/>
    <cellStyle name="Calculation 2 15 3 4" xfId="7566" xr:uid="{00000000-0005-0000-0000-0000FB040000}"/>
    <cellStyle name="Calculation 2 15 3 5" xfId="14184" xr:uid="{00000000-0005-0000-0000-0000FC040000}"/>
    <cellStyle name="Calculation 2 15 4" xfId="1251" xr:uid="{00000000-0005-0000-0000-0000FD040000}"/>
    <cellStyle name="Calculation 2 15 4 2" xfId="3387" xr:uid="{00000000-0005-0000-0000-0000FE040000}"/>
    <cellStyle name="Calculation 2 15 4 2 2" xfId="9983" xr:uid="{00000000-0005-0000-0000-0000FF040000}"/>
    <cellStyle name="Calculation 2 15 4 2 3" xfId="16602" xr:uid="{00000000-0005-0000-0000-000000050000}"/>
    <cellStyle name="Calculation 2 15 4 3" xfId="5422" xr:uid="{00000000-0005-0000-0000-000001050000}"/>
    <cellStyle name="Calculation 2 15 4 3 2" xfId="12018" xr:uid="{00000000-0005-0000-0000-000002050000}"/>
    <cellStyle name="Calculation 2 15 4 3 3" xfId="18637" xr:uid="{00000000-0005-0000-0000-000003050000}"/>
    <cellStyle name="Calculation 2 15 4 4" xfId="7847" xr:uid="{00000000-0005-0000-0000-000004050000}"/>
    <cellStyle name="Calculation 2 15 4 5" xfId="14466" xr:uid="{00000000-0005-0000-0000-000005050000}"/>
    <cellStyle name="Calculation 2 15 5" xfId="1532" xr:uid="{00000000-0005-0000-0000-000006050000}"/>
    <cellStyle name="Calculation 2 15 5 2" xfId="3668" xr:uid="{00000000-0005-0000-0000-000007050000}"/>
    <cellStyle name="Calculation 2 15 5 2 2" xfId="10264" xr:uid="{00000000-0005-0000-0000-000008050000}"/>
    <cellStyle name="Calculation 2 15 5 2 3" xfId="16883" xr:uid="{00000000-0005-0000-0000-000009050000}"/>
    <cellStyle name="Calculation 2 15 5 3" xfId="5703" xr:uid="{00000000-0005-0000-0000-00000A050000}"/>
    <cellStyle name="Calculation 2 15 5 3 2" xfId="12299" xr:uid="{00000000-0005-0000-0000-00000B050000}"/>
    <cellStyle name="Calculation 2 15 5 3 3" xfId="18918" xr:uid="{00000000-0005-0000-0000-00000C050000}"/>
    <cellStyle name="Calculation 2 15 5 4" xfId="8128" xr:uid="{00000000-0005-0000-0000-00000D050000}"/>
    <cellStyle name="Calculation 2 15 5 5" xfId="14747" xr:uid="{00000000-0005-0000-0000-00000E050000}"/>
    <cellStyle name="Calculation 2 15 6" xfId="1811" xr:uid="{00000000-0005-0000-0000-00000F050000}"/>
    <cellStyle name="Calculation 2 15 6 2" xfId="3947" xr:uid="{00000000-0005-0000-0000-000010050000}"/>
    <cellStyle name="Calculation 2 15 6 2 2" xfId="10543" xr:uid="{00000000-0005-0000-0000-000011050000}"/>
    <cellStyle name="Calculation 2 15 6 2 3" xfId="17162" xr:uid="{00000000-0005-0000-0000-000012050000}"/>
    <cellStyle name="Calculation 2 15 6 3" xfId="5982" xr:uid="{00000000-0005-0000-0000-000013050000}"/>
    <cellStyle name="Calculation 2 15 6 3 2" xfId="12578" xr:uid="{00000000-0005-0000-0000-000014050000}"/>
    <cellStyle name="Calculation 2 15 6 3 3" xfId="19197" xr:uid="{00000000-0005-0000-0000-000015050000}"/>
    <cellStyle name="Calculation 2 15 6 4" xfId="8407" xr:uid="{00000000-0005-0000-0000-000016050000}"/>
    <cellStyle name="Calculation 2 15 6 5" xfId="15026" xr:uid="{00000000-0005-0000-0000-000017050000}"/>
    <cellStyle name="Calculation 2 15 7" xfId="2087" xr:uid="{00000000-0005-0000-0000-000018050000}"/>
    <cellStyle name="Calculation 2 15 7 2" xfId="4223" xr:uid="{00000000-0005-0000-0000-000019050000}"/>
    <cellStyle name="Calculation 2 15 7 2 2" xfId="10819" xr:uid="{00000000-0005-0000-0000-00001A050000}"/>
    <cellStyle name="Calculation 2 15 7 2 3" xfId="17438" xr:uid="{00000000-0005-0000-0000-00001B050000}"/>
    <cellStyle name="Calculation 2 15 7 3" xfId="6258" xr:uid="{00000000-0005-0000-0000-00001C050000}"/>
    <cellStyle name="Calculation 2 15 7 3 2" xfId="12854" xr:uid="{00000000-0005-0000-0000-00001D050000}"/>
    <cellStyle name="Calculation 2 15 7 3 3" xfId="19473" xr:uid="{00000000-0005-0000-0000-00001E050000}"/>
    <cellStyle name="Calculation 2 15 7 4" xfId="8683" xr:uid="{00000000-0005-0000-0000-00001F050000}"/>
    <cellStyle name="Calculation 2 15 7 5" xfId="15302" xr:uid="{00000000-0005-0000-0000-000020050000}"/>
    <cellStyle name="Calculation 2 15 8" xfId="2360" xr:uid="{00000000-0005-0000-0000-000021050000}"/>
    <cellStyle name="Calculation 2 15 8 2" xfId="4496" xr:uid="{00000000-0005-0000-0000-000022050000}"/>
    <cellStyle name="Calculation 2 15 8 2 2" xfId="11092" xr:uid="{00000000-0005-0000-0000-000023050000}"/>
    <cellStyle name="Calculation 2 15 8 2 3" xfId="17711" xr:uid="{00000000-0005-0000-0000-000024050000}"/>
    <cellStyle name="Calculation 2 15 8 3" xfId="6531" xr:uid="{00000000-0005-0000-0000-000025050000}"/>
    <cellStyle name="Calculation 2 15 8 3 2" xfId="13127" xr:uid="{00000000-0005-0000-0000-000026050000}"/>
    <cellStyle name="Calculation 2 15 8 3 3" xfId="19746" xr:uid="{00000000-0005-0000-0000-000027050000}"/>
    <cellStyle name="Calculation 2 15 8 4" xfId="8956" xr:uid="{00000000-0005-0000-0000-000028050000}"/>
    <cellStyle name="Calculation 2 15 8 5" xfId="15575" xr:uid="{00000000-0005-0000-0000-000029050000}"/>
    <cellStyle name="Calculation 2 15 9" xfId="2660" xr:uid="{00000000-0005-0000-0000-00002A050000}"/>
    <cellStyle name="Calculation 2 15 9 2" xfId="9256" xr:uid="{00000000-0005-0000-0000-00002B050000}"/>
    <cellStyle name="Calculation 2 15 9 3" xfId="15875" xr:uid="{00000000-0005-0000-0000-00002C050000}"/>
    <cellStyle name="Calculation 2 15_Summary" xfId="20115" xr:uid="{00000000-0005-0000-0000-00002D050000}"/>
    <cellStyle name="Calculation 2 16" xfId="342" xr:uid="{00000000-0005-0000-0000-00002E050000}"/>
    <cellStyle name="Calculation 2 16 10" xfId="657" xr:uid="{00000000-0005-0000-0000-00002F050000}"/>
    <cellStyle name="Calculation 2 16 10 2" xfId="13872" xr:uid="{00000000-0005-0000-0000-000030050000}"/>
    <cellStyle name="Calculation 2 16 11" xfId="7235" xr:uid="{00000000-0005-0000-0000-000031050000}"/>
    <cellStyle name="Calculation 2 16 12" xfId="13557" xr:uid="{00000000-0005-0000-0000-000032050000}"/>
    <cellStyle name="Calculation 2 16 2" xfId="1036" xr:uid="{00000000-0005-0000-0000-000033050000}"/>
    <cellStyle name="Calculation 2 16 2 2" xfId="3172" xr:uid="{00000000-0005-0000-0000-000034050000}"/>
    <cellStyle name="Calculation 2 16 2 2 2" xfId="9768" xr:uid="{00000000-0005-0000-0000-000035050000}"/>
    <cellStyle name="Calculation 2 16 2 2 3" xfId="16387" xr:uid="{00000000-0005-0000-0000-000036050000}"/>
    <cellStyle name="Calculation 2 16 2 3" xfId="5207" xr:uid="{00000000-0005-0000-0000-000037050000}"/>
    <cellStyle name="Calculation 2 16 2 3 2" xfId="11803" xr:uid="{00000000-0005-0000-0000-000038050000}"/>
    <cellStyle name="Calculation 2 16 2 3 3" xfId="18422" xr:uid="{00000000-0005-0000-0000-000039050000}"/>
    <cellStyle name="Calculation 2 16 2 4" xfId="7633" xr:uid="{00000000-0005-0000-0000-00003A050000}"/>
    <cellStyle name="Calculation 2 16 2 5" xfId="14251" xr:uid="{00000000-0005-0000-0000-00003B050000}"/>
    <cellStyle name="Calculation 2 16 3" xfId="1318" xr:uid="{00000000-0005-0000-0000-00003C050000}"/>
    <cellStyle name="Calculation 2 16 3 2" xfId="3454" xr:uid="{00000000-0005-0000-0000-00003D050000}"/>
    <cellStyle name="Calculation 2 16 3 2 2" xfId="10050" xr:uid="{00000000-0005-0000-0000-00003E050000}"/>
    <cellStyle name="Calculation 2 16 3 2 3" xfId="16669" xr:uid="{00000000-0005-0000-0000-00003F050000}"/>
    <cellStyle name="Calculation 2 16 3 3" xfId="5489" xr:uid="{00000000-0005-0000-0000-000040050000}"/>
    <cellStyle name="Calculation 2 16 3 3 2" xfId="12085" xr:uid="{00000000-0005-0000-0000-000041050000}"/>
    <cellStyle name="Calculation 2 16 3 3 3" xfId="18704" xr:uid="{00000000-0005-0000-0000-000042050000}"/>
    <cellStyle name="Calculation 2 16 3 4" xfId="7914" xr:uid="{00000000-0005-0000-0000-000043050000}"/>
    <cellStyle name="Calculation 2 16 3 5" xfId="14533" xr:uid="{00000000-0005-0000-0000-000044050000}"/>
    <cellStyle name="Calculation 2 16 4" xfId="1599" xr:uid="{00000000-0005-0000-0000-000045050000}"/>
    <cellStyle name="Calculation 2 16 4 2" xfId="3735" xr:uid="{00000000-0005-0000-0000-000046050000}"/>
    <cellStyle name="Calculation 2 16 4 2 2" xfId="10331" xr:uid="{00000000-0005-0000-0000-000047050000}"/>
    <cellStyle name="Calculation 2 16 4 2 3" xfId="16950" xr:uid="{00000000-0005-0000-0000-000048050000}"/>
    <cellStyle name="Calculation 2 16 4 3" xfId="5770" xr:uid="{00000000-0005-0000-0000-000049050000}"/>
    <cellStyle name="Calculation 2 16 4 3 2" xfId="12366" xr:uid="{00000000-0005-0000-0000-00004A050000}"/>
    <cellStyle name="Calculation 2 16 4 3 3" xfId="18985" xr:uid="{00000000-0005-0000-0000-00004B050000}"/>
    <cellStyle name="Calculation 2 16 4 4" xfId="8195" xr:uid="{00000000-0005-0000-0000-00004C050000}"/>
    <cellStyle name="Calculation 2 16 4 5" xfId="14814" xr:uid="{00000000-0005-0000-0000-00004D050000}"/>
    <cellStyle name="Calculation 2 16 5" xfId="1878" xr:uid="{00000000-0005-0000-0000-00004E050000}"/>
    <cellStyle name="Calculation 2 16 5 2" xfId="4014" xr:uid="{00000000-0005-0000-0000-00004F050000}"/>
    <cellStyle name="Calculation 2 16 5 2 2" xfId="10610" xr:uid="{00000000-0005-0000-0000-000050050000}"/>
    <cellStyle name="Calculation 2 16 5 2 3" xfId="17229" xr:uid="{00000000-0005-0000-0000-000051050000}"/>
    <cellStyle name="Calculation 2 16 5 3" xfId="6049" xr:uid="{00000000-0005-0000-0000-000052050000}"/>
    <cellStyle name="Calculation 2 16 5 3 2" xfId="12645" xr:uid="{00000000-0005-0000-0000-000053050000}"/>
    <cellStyle name="Calculation 2 16 5 3 3" xfId="19264" xr:uid="{00000000-0005-0000-0000-000054050000}"/>
    <cellStyle name="Calculation 2 16 5 4" xfId="8474" xr:uid="{00000000-0005-0000-0000-000055050000}"/>
    <cellStyle name="Calculation 2 16 5 5" xfId="15093" xr:uid="{00000000-0005-0000-0000-000056050000}"/>
    <cellStyle name="Calculation 2 16 6" xfId="2153" xr:uid="{00000000-0005-0000-0000-000057050000}"/>
    <cellStyle name="Calculation 2 16 6 2" xfId="4289" xr:uid="{00000000-0005-0000-0000-000058050000}"/>
    <cellStyle name="Calculation 2 16 6 2 2" xfId="10885" xr:uid="{00000000-0005-0000-0000-000059050000}"/>
    <cellStyle name="Calculation 2 16 6 2 3" xfId="17504" xr:uid="{00000000-0005-0000-0000-00005A050000}"/>
    <cellStyle name="Calculation 2 16 6 3" xfId="6324" xr:uid="{00000000-0005-0000-0000-00005B050000}"/>
    <cellStyle name="Calculation 2 16 6 3 2" xfId="12920" xr:uid="{00000000-0005-0000-0000-00005C050000}"/>
    <cellStyle name="Calculation 2 16 6 3 3" xfId="19539" xr:uid="{00000000-0005-0000-0000-00005D050000}"/>
    <cellStyle name="Calculation 2 16 6 4" xfId="8749" xr:uid="{00000000-0005-0000-0000-00005E050000}"/>
    <cellStyle name="Calculation 2 16 6 5" xfId="15368" xr:uid="{00000000-0005-0000-0000-00005F050000}"/>
    <cellStyle name="Calculation 2 16 7" xfId="2426" xr:uid="{00000000-0005-0000-0000-000060050000}"/>
    <cellStyle name="Calculation 2 16 7 2" xfId="4562" xr:uid="{00000000-0005-0000-0000-000061050000}"/>
    <cellStyle name="Calculation 2 16 7 2 2" xfId="11158" xr:uid="{00000000-0005-0000-0000-000062050000}"/>
    <cellStyle name="Calculation 2 16 7 2 3" xfId="17777" xr:uid="{00000000-0005-0000-0000-000063050000}"/>
    <cellStyle name="Calculation 2 16 7 3" xfId="6597" xr:uid="{00000000-0005-0000-0000-000064050000}"/>
    <cellStyle name="Calculation 2 16 7 3 2" xfId="13193" xr:uid="{00000000-0005-0000-0000-000065050000}"/>
    <cellStyle name="Calculation 2 16 7 3 3" xfId="19812" xr:uid="{00000000-0005-0000-0000-000066050000}"/>
    <cellStyle name="Calculation 2 16 7 4" xfId="9022" xr:uid="{00000000-0005-0000-0000-000067050000}"/>
    <cellStyle name="Calculation 2 16 7 5" xfId="15641" xr:uid="{00000000-0005-0000-0000-000068050000}"/>
    <cellStyle name="Calculation 2 16 8" xfId="2793" xr:uid="{00000000-0005-0000-0000-000069050000}"/>
    <cellStyle name="Calculation 2 16 8 2" xfId="9389" xr:uid="{00000000-0005-0000-0000-00006A050000}"/>
    <cellStyle name="Calculation 2 16 8 3" xfId="16008" xr:uid="{00000000-0005-0000-0000-00006B050000}"/>
    <cellStyle name="Calculation 2 16 9" xfId="4828" xr:uid="{00000000-0005-0000-0000-00006C050000}"/>
    <cellStyle name="Calculation 2 16 9 2" xfId="11424" xr:uid="{00000000-0005-0000-0000-00006D050000}"/>
    <cellStyle name="Calculation 2 16 9 3" xfId="18043" xr:uid="{00000000-0005-0000-0000-00006E050000}"/>
    <cellStyle name="Calculation 2 16_Summary" xfId="20117" xr:uid="{00000000-0005-0000-0000-00006F050000}"/>
    <cellStyle name="Calculation 2 17" xfId="6736" xr:uid="{00000000-0005-0000-0000-000070050000}"/>
    <cellStyle name="Calculation 2 17 2" xfId="13332" xr:uid="{00000000-0005-0000-0000-000071050000}"/>
    <cellStyle name="Calculation 2 17 3" xfId="19951" xr:uid="{00000000-0005-0000-0000-000072050000}"/>
    <cellStyle name="Calculation 2 18" xfId="6735" xr:uid="{00000000-0005-0000-0000-000073050000}"/>
    <cellStyle name="Calculation 2 18 2" xfId="13331" xr:uid="{00000000-0005-0000-0000-000074050000}"/>
    <cellStyle name="Calculation 2 18 3" xfId="19950" xr:uid="{00000000-0005-0000-0000-000075050000}"/>
    <cellStyle name="Calculation 2 19" xfId="2577" xr:uid="{00000000-0005-0000-0000-000076050000}"/>
    <cellStyle name="Calculation 2 19 2" xfId="9173" xr:uid="{00000000-0005-0000-0000-000077050000}"/>
    <cellStyle name="Calculation 2 19 3" xfId="15792" xr:uid="{00000000-0005-0000-0000-000078050000}"/>
    <cellStyle name="Calculation 2 2" xfId="152" xr:uid="{00000000-0005-0000-0000-000079050000}"/>
    <cellStyle name="Calculation 2 2 10" xfId="878" xr:uid="{00000000-0005-0000-0000-00007A050000}"/>
    <cellStyle name="Calculation 2 2 10 2" xfId="3014" xr:uid="{00000000-0005-0000-0000-00007B050000}"/>
    <cellStyle name="Calculation 2 2 10 2 2" xfId="9610" xr:uid="{00000000-0005-0000-0000-00007C050000}"/>
    <cellStyle name="Calculation 2 2 10 2 3" xfId="16229" xr:uid="{00000000-0005-0000-0000-00007D050000}"/>
    <cellStyle name="Calculation 2 2 10 3" xfId="5049" xr:uid="{00000000-0005-0000-0000-00007E050000}"/>
    <cellStyle name="Calculation 2 2 10 3 2" xfId="11645" xr:uid="{00000000-0005-0000-0000-00007F050000}"/>
    <cellStyle name="Calculation 2 2 10 3 3" xfId="18264" xr:uid="{00000000-0005-0000-0000-000080050000}"/>
    <cellStyle name="Calculation 2 2 10 4" xfId="7475" xr:uid="{00000000-0005-0000-0000-000081050000}"/>
    <cellStyle name="Calculation 2 2 10 5" xfId="14093" xr:uid="{00000000-0005-0000-0000-000082050000}"/>
    <cellStyle name="Calculation 2 2 11" xfId="2590" xr:uid="{00000000-0005-0000-0000-000083050000}"/>
    <cellStyle name="Calculation 2 2 11 2" xfId="9186" xr:uid="{00000000-0005-0000-0000-000084050000}"/>
    <cellStyle name="Calculation 2 2 11 3" xfId="15805" xr:uid="{00000000-0005-0000-0000-000085050000}"/>
    <cellStyle name="Calculation 2 2 12" xfId="2647" xr:uid="{00000000-0005-0000-0000-000086050000}"/>
    <cellStyle name="Calculation 2 2 12 2" xfId="9243" xr:uid="{00000000-0005-0000-0000-000087050000}"/>
    <cellStyle name="Calculation 2 2 12 3" xfId="15862" xr:uid="{00000000-0005-0000-0000-000088050000}"/>
    <cellStyle name="Calculation 2 2 13" xfId="482" xr:uid="{00000000-0005-0000-0000-000089050000}"/>
    <cellStyle name="Calculation 2 2 13 2" xfId="13697" xr:uid="{00000000-0005-0000-0000-00008A050000}"/>
    <cellStyle name="Calculation 2 2 14" xfId="7065" xr:uid="{00000000-0005-0000-0000-00008B050000}"/>
    <cellStyle name="Calculation 2 2 15" xfId="7031" xr:uid="{00000000-0005-0000-0000-00008C050000}"/>
    <cellStyle name="Calculation 2 2 16" xfId="25661" xr:uid="{00000000-0005-0000-0000-000025000000}"/>
    <cellStyle name="Calculation 2 2 17" xfId="25882" xr:uid="{C2A5A435-8AF9-46DA-B31B-A3A6933CE3C9}"/>
    <cellStyle name="Calculation 2 2 18" xfId="26563" xr:uid="{E86ADE61-2447-4BB6-BA2D-439308D39727}"/>
    <cellStyle name="Calculation 2 2 19" xfId="30796" xr:uid="{43A1827A-F508-4F9A-8D57-E5B2C46A3A6F}"/>
    <cellStyle name="Calculation 2 2 2" xfId="296" xr:uid="{00000000-0005-0000-0000-00008D050000}"/>
    <cellStyle name="Calculation 2 2 2 10" xfId="4717" xr:uid="{00000000-0005-0000-0000-00008E050000}"/>
    <cellStyle name="Calculation 2 2 2 10 2" xfId="11313" xr:uid="{00000000-0005-0000-0000-00008F050000}"/>
    <cellStyle name="Calculation 2 2 2 10 3" xfId="17932" xr:uid="{00000000-0005-0000-0000-000090050000}"/>
    <cellStyle name="Calculation 2 2 2 11" xfId="546" xr:uid="{00000000-0005-0000-0000-000091050000}"/>
    <cellStyle name="Calculation 2 2 2 11 2" xfId="13761" xr:uid="{00000000-0005-0000-0000-000092050000}"/>
    <cellStyle name="Calculation 2 2 2 12" xfId="7190" xr:uid="{00000000-0005-0000-0000-000093050000}"/>
    <cellStyle name="Calculation 2 2 2 13" xfId="13512" xr:uid="{00000000-0005-0000-0000-000094050000}"/>
    <cellStyle name="Calculation 2 2 2 14" xfId="26226" xr:uid="{27441B34-EAF0-4107-8F31-06A6A7C19B76}"/>
    <cellStyle name="Calculation 2 2 2 15" xfId="28222" xr:uid="{142A7595-3CD9-4DC7-9D16-91CC20AE0B28}"/>
    <cellStyle name="Calculation 2 2 2 16" xfId="30797" xr:uid="{1A52384D-8BBA-4091-95F1-2446E7AF8537}"/>
    <cellStyle name="Calculation 2 2 2 2" xfId="425" xr:uid="{00000000-0005-0000-0000-000095050000}"/>
    <cellStyle name="Calculation 2 2 2 2 10" xfId="819" xr:uid="{00000000-0005-0000-0000-000096050000}"/>
    <cellStyle name="Calculation 2 2 2 2 10 2" xfId="14034" xr:uid="{00000000-0005-0000-0000-000097050000}"/>
    <cellStyle name="Calculation 2 2 2 2 11" xfId="7318" xr:uid="{00000000-0005-0000-0000-000098050000}"/>
    <cellStyle name="Calculation 2 2 2 2 12" xfId="13640" xr:uid="{00000000-0005-0000-0000-000099050000}"/>
    <cellStyle name="Calculation 2 2 2 2 13" xfId="30076" xr:uid="{CCBC9975-B7E6-4E9A-8BAC-28A52B9792A5}"/>
    <cellStyle name="Calculation 2 2 2 2 14" xfId="31508" xr:uid="{008DB389-F5DE-46F2-A69E-D568D304CFDE}"/>
    <cellStyle name="Calculation 2 2 2 2 2" xfId="1119" xr:uid="{00000000-0005-0000-0000-00009A050000}"/>
    <cellStyle name="Calculation 2 2 2 2 2 2" xfId="3255" xr:uid="{00000000-0005-0000-0000-00009B050000}"/>
    <cellStyle name="Calculation 2 2 2 2 2 2 2" xfId="9851" xr:uid="{00000000-0005-0000-0000-00009C050000}"/>
    <cellStyle name="Calculation 2 2 2 2 2 2 3" xfId="16470" xr:uid="{00000000-0005-0000-0000-00009D050000}"/>
    <cellStyle name="Calculation 2 2 2 2 2 3" xfId="5290" xr:uid="{00000000-0005-0000-0000-00009E050000}"/>
    <cellStyle name="Calculation 2 2 2 2 2 3 2" xfId="11886" xr:uid="{00000000-0005-0000-0000-00009F050000}"/>
    <cellStyle name="Calculation 2 2 2 2 2 3 3" xfId="18505" xr:uid="{00000000-0005-0000-0000-0000A0050000}"/>
    <cellStyle name="Calculation 2 2 2 2 2 4" xfId="7715" xr:uid="{00000000-0005-0000-0000-0000A1050000}"/>
    <cellStyle name="Calculation 2 2 2 2 2 5" xfId="14334" xr:uid="{00000000-0005-0000-0000-0000A2050000}"/>
    <cellStyle name="Calculation 2 2 2 2 3" xfId="1401" xr:uid="{00000000-0005-0000-0000-0000A3050000}"/>
    <cellStyle name="Calculation 2 2 2 2 3 2" xfId="3537" xr:uid="{00000000-0005-0000-0000-0000A4050000}"/>
    <cellStyle name="Calculation 2 2 2 2 3 2 2" xfId="10133" xr:uid="{00000000-0005-0000-0000-0000A5050000}"/>
    <cellStyle name="Calculation 2 2 2 2 3 2 3" xfId="16752" xr:uid="{00000000-0005-0000-0000-0000A6050000}"/>
    <cellStyle name="Calculation 2 2 2 2 3 3" xfId="5572" xr:uid="{00000000-0005-0000-0000-0000A7050000}"/>
    <cellStyle name="Calculation 2 2 2 2 3 3 2" xfId="12168" xr:uid="{00000000-0005-0000-0000-0000A8050000}"/>
    <cellStyle name="Calculation 2 2 2 2 3 3 3" xfId="18787" xr:uid="{00000000-0005-0000-0000-0000A9050000}"/>
    <cellStyle name="Calculation 2 2 2 2 3 4" xfId="7997" xr:uid="{00000000-0005-0000-0000-0000AA050000}"/>
    <cellStyle name="Calculation 2 2 2 2 3 5" xfId="14616" xr:uid="{00000000-0005-0000-0000-0000AB050000}"/>
    <cellStyle name="Calculation 2 2 2 2 4" xfId="1682" xr:uid="{00000000-0005-0000-0000-0000AC050000}"/>
    <cellStyle name="Calculation 2 2 2 2 4 2" xfId="3818" xr:uid="{00000000-0005-0000-0000-0000AD050000}"/>
    <cellStyle name="Calculation 2 2 2 2 4 2 2" xfId="10414" xr:uid="{00000000-0005-0000-0000-0000AE050000}"/>
    <cellStyle name="Calculation 2 2 2 2 4 2 3" xfId="17033" xr:uid="{00000000-0005-0000-0000-0000AF050000}"/>
    <cellStyle name="Calculation 2 2 2 2 4 3" xfId="5853" xr:uid="{00000000-0005-0000-0000-0000B0050000}"/>
    <cellStyle name="Calculation 2 2 2 2 4 3 2" xfId="12449" xr:uid="{00000000-0005-0000-0000-0000B1050000}"/>
    <cellStyle name="Calculation 2 2 2 2 4 3 3" xfId="19068" xr:uid="{00000000-0005-0000-0000-0000B2050000}"/>
    <cellStyle name="Calculation 2 2 2 2 4 4" xfId="8278" xr:uid="{00000000-0005-0000-0000-0000B3050000}"/>
    <cellStyle name="Calculation 2 2 2 2 4 5" xfId="14897" xr:uid="{00000000-0005-0000-0000-0000B4050000}"/>
    <cellStyle name="Calculation 2 2 2 2 5" xfId="1961" xr:uid="{00000000-0005-0000-0000-0000B5050000}"/>
    <cellStyle name="Calculation 2 2 2 2 5 2" xfId="4097" xr:uid="{00000000-0005-0000-0000-0000B6050000}"/>
    <cellStyle name="Calculation 2 2 2 2 5 2 2" xfId="10693" xr:uid="{00000000-0005-0000-0000-0000B7050000}"/>
    <cellStyle name="Calculation 2 2 2 2 5 2 3" xfId="17312" xr:uid="{00000000-0005-0000-0000-0000B8050000}"/>
    <cellStyle name="Calculation 2 2 2 2 5 3" xfId="6132" xr:uid="{00000000-0005-0000-0000-0000B9050000}"/>
    <cellStyle name="Calculation 2 2 2 2 5 3 2" xfId="12728" xr:uid="{00000000-0005-0000-0000-0000BA050000}"/>
    <cellStyle name="Calculation 2 2 2 2 5 3 3" xfId="19347" xr:uid="{00000000-0005-0000-0000-0000BB050000}"/>
    <cellStyle name="Calculation 2 2 2 2 5 4" xfId="8557" xr:uid="{00000000-0005-0000-0000-0000BC050000}"/>
    <cellStyle name="Calculation 2 2 2 2 5 5" xfId="15176" xr:uid="{00000000-0005-0000-0000-0000BD050000}"/>
    <cellStyle name="Calculation 2 2 2 2 6" xfId="2236" xr:uid="{00000000-0005-0000-0000-0000BE050000}"/>
    <cellStyle name="Calculation 2 2 2 2 6 2" xfId="4372" xr:uid="{00000000-0005-0000-0000-0000BF050000}"/>
    <cellStyle name="Calculation 2 2 2 2 6 2 2" xfId="10968" xr:uid="{00000000-0005-0000-0000-0000C0050000}"/>
    <cellStyle name="Calculation 2 2 2 2 6 2 3" xfId="17587" xr:uid="{00000000-0005-0000-0000-0000C1050000}"/>
    <cellStyle name="Calculation 2 2 2 2 6 3" xfId="6407" xr:uid="{00000000-0005-0000-0000-0000C2050000}"/>
    <cellStyle name="Calculation 2 2 2 2 6 3 2" xfId="13003" xr:uid="{00000000-0005-0000-0000-0000C3050000}"/>
    <cellStyle name="Calculation 2 2 2 2 6 3 3" xfId="19622" xr:uid="{00000000-0005-0000-0000-0000C4050000}"/>
    <cellStyle name="Calculation 2 2 2 2 6 4" xfId="8832" xr:uid="{00000000-0005-0000-0000-0000C5050000}"/>
    <cellStyle name="Calculation 2 2 2 2 6 5" xfId="15451" xr:uid="{00000000-0005-0000-0000-0000C6050000}"/>
    <cellStyle name="Calculation 2 2 2 2 7" xfId="2509" xr:uid="{00000000-0005-0000-0000-0000C7050000}"/>
    <cellStyle name="Calculation 2 2 2 2 7 2" xfId="4645" xr:uid="{00000000-0005-0000-0000-0000C8050000}"/>
    <cellStyle name="Calculation 2 2 2 2 7 2 2" xfId="11241" xr:uid="{00000000-0005-0000-0000-0000C9050000}"/>
    <cellStyle name="Calculation 2 2 2 2 7 2 3" xfId="17860" xr:uid="{00000000-0005-0000-0000-0000CA050000}"/>
    <cellStyle name="Calculation 2 2 2 2 7 3" xfId="6680" xr:uid="{00000000-0005-0000-0000-0000CB050000}"/>
    <cellStyle name="Calculation 2 2 2 2 7 3 2" xfId="13276" xr:uid="{00000000-0005-0000-0000-0000CC050000}"/>
    <cellStyle name="Calculation 2 2 2 2 7 3 3" xfId="19895" xr:uid="{00000000-0005-0000-0000-0000CD050000}"/>
    <cellStyle name="Calculation 2 2 2 2 7 4" xfId="9105" xr:uid="{00000000-0005-0000-0000-0000CE050000}"/>
    <cellStyle name="Calculation 2 2 2 2 7 5" xfId="15724" xr:uid="{00000000-0005-0000-0000-0000CF050000}"/>
    <cellStyle name="Calculation 2 2 2 2 8" xfId="2955" xr:uid="{00000000-0005-0000-0000-0000D0050000}"/>
    <cellStyle name="Calculation 2 2 2 2 8 2" xfId="9551" xr:uid="{00000000-0005-0000-0000-0000D1050000}"/>
    <cellStyle name="Calculation 2 2 2 2 8 3" xfId="16170" xr:uid="{00000000-0005-0000-0000-0000D2050000}"/>
    <cellStyle name="Calculation 2 2 2 2 9" xfId="4990" xr:uid="{00000000-0005-0000-0000-0000D3050000}"/>
    <cellStyle name="Calculation 2 2 2 2 9 2" xfId="11586" xr:uid="{00000000-0005-0000-0000-0000D4050000}"/>
    <cellStyle name="Calculation 2 2 2 2 9 3" xfId="18205" xr:uid="{00000000-0005-0000-0000-0000D5050000}"/>
    <cellStyle name="Calculation 2 2 2 2_Summary" xfId="20120" xr:uid="{00000000-0005-0000-0000-0000D6050000}"/>
    <cellStyle name="Calculation 2 2 2 3" xfId="991" xr:uid="{00000000-0005-0000-0000-0000D7050000}"/>
    <cellStyle name="Calculation 2 2 2 3 2" xfId="3127" xr:uid="{00000000-0005-0000-0000-0000D8050000}"/>
    <cellStyle name="Calculation 2 2 2 3 2 2" xfId="9723" xr:uid="{00000000-0005-0000-0000-0000D9050000}"/>
    <cellStyle name="Calculation 2 2 2 3 2 3" xfId="16342" xr:uid="{00000000-0005-0000-0000-0000DA050000}"/>
    <cellStyle name="Calculation 2 2 2 3 3" xfId="5162" xr:uid="{00000000-0005-0000-0000-0000DB050000}"/>
    <cellStyle name="Calculation 2 2 2 3 3 2" xfId="11758" xr:uid="{00000000-0005-0000-0000-0000DC050000}"/>
    <cellStyle name="Calculation 2 2 2 3 3 3" xfId="18377" xr:uid="{00000000-0005-0000-0000-0000DD050000}"/>
    <cellStyle name="Calculation 2 2 2 3 4" xfId="7588" xr:uid="{00000000-0005-0000-0000-0000DE050000}"/>
    <cellStyle name="Calculation 2 2 2 3 5" xfId="14206" xr:uid="{00000000-0005-0000-0000-0000DF050000}"/>
    <cellStyle name="Calculation 2 2 2 4" xfId="1273" xr:uid="{00000000-0005-0000-0000-0000E0050000}"/>
    <cellStyle name="Calculation 2 2 2 4 2" xfId="3409" xr:uid="{00000000-0005-0000-0000-0000E1050000}"/>
    <cellStyle name="Calculation 2 2 2 4 2 2" xfId="10005" xr:uid="{00000000-0005-0000-0000-0000E2050000}"/>
    <cellStyle name="Calculation 2 2 2 4 2 3" xfId="16624" xr:uid="{00000000-0005-0000-0000-0000E3050000}"/>
    <cellStyle name="Calculation 2 2 2 4 3" xfId="5444" xr:uid="{00000000-0005-0000-0000-0000E4050000}"/>
    <cellStyle name="Calculation 2 2 2 4 3 2" xfId="12040" xr:uid="{00000000-0005-0000-0000-0000E5050000}"/>
    <cellStyle name="Calculation 2 2 2 4 3 3" xfId="18659" xr:uid="{00000000-0005-0000-0000-0000E6050000}"/>
    <cellStyle name="Calculation 2 2 2 4 4" xfId="7869" xr:uid="{00000000-0005-0000-0000-0000E7050000}"/>
    <cellStyle name="Calculation 2 2 2 4 5" xfId="14488" xr:uid="{00000000-0005-0000-0000-0000E8050000}"/>
    <cellStyle name="Calculation 2 2 2 5" xfId="1554" xr:uid="{00000000-0005-0000-0000-0000E9050000}"/>
    <cellStyle name="Calculation 2 2 2 5 2" xfId="3690" xr:uid="{00000000-0005-0000-0000-0000EA050000}"/>
    <cellStyle name="Calculation 2 2 2 5 2 2" xfId="10286" xr:uid="{00000000-0005-0000-0000-0000EB050000}"/>
    <cellStyle name="Calculation 2 2 2 5 2 3" xfId="16905" xr:uid="{00000000-0005-0000-0000-0000EC050000}"/>
    <cellStyle name="Calculation 2 2 2 5 3" xfId="5725" xr:uid="{00000000-0005-0000-0000-0000ED050000}"/>
    <cellStyle name="Calculation 2 2 2 5 3 2" xfId="12321" xr:uid="{00000000-0005-0000-0000-0000EE050000}"/>
    <cellStyle name="Calculation 2 2 2 5 3 3" xfId="18940" xr:uid="{00000000-0005-0000-0000-0000EF050000}"/>
    <cellStyle name="Calculation 2 2 2 5 4" xfId="8150" xr:uid="{00000000-0005-0000-0000-0000F0050000}"/>
    <cellStyle name="Calculation 2 2 2 5 5" xfId="14769" xr:uid="{00000000-0005-0000-0000-0000F1050000}"/>
    <cellStyle name="Calculation 2 2 2 6" xfId="1833" xr:uid="{00000000-0005-0000-0000-0000F2050000}"/>
    <cellStyle name="Calculation 2 2 2 6 2" xfId="3969" xr:uid="{00000000-0005-0000-0000-0000F3050000}"/>
    <cellStyle name="Calculation 2 2 2 6 2 2" xfId="10565" xr:uid="{00000000-0005-0000-0000-0000F4050000}"/>
    <cellStyle name="Calculation 2 2 2 6 2 3" xfId="17184" xr:uid="{00000000-0005-0000-0000-0000F5050000}"/>
    <cellStyle name="Calculation 2 2 2 6 3" xfId="6004" xr:uid="{00000000-0005-0000-0000-0000F6050000}"/>
    <cellStyle name="Calculation 2 2 2 6 3 2" xfId="12600" xr:uid="{00000000-0005-0000-0000-0000F7050000}"/>
    <cellStyle name="Calculation 2 2 2 6 3 3" xfId="19219" xr:uid="{00000000-0005-0000-0000-0000F8050000}"/>
    <cellStyle name="Calculation 2 2 2 6 4" xfId="8429" xr:uid="{00000000-0005-0000-0000-0000F9050000}"/>
    <cellStyle name="Calculation 2 2 2 6 5" xfId="15048" xr:uid="{00000000-0005-0000-0000-0000FA050000}"/>
    <cellStyle name="Calculation 2 2 2 7" xfId="2108" xr:uid="{00000000-0005-0000-0000-0000FB050000}"/>
    <cellStyle name="Calculation 2 2 2 7 2" xfId="4244" xr:uid="{00000000-0005-0000-0000-0000FC050000}"/>
    <cellStyle name="Calculation 2 2 2 7 2 2" xfId="10840" xr:uid="{00000000-0005-0000-0000-0000FD050000}"/>
    <cellStyle name="Calculation 2 2 2 7 2 3" xfId="17459" xr:uid="{00000000-0005-0000-0000-0000FE050000}"/>
    <cellStyle name="Calculation 2 2 2 7 3" xfId="6279" xr:uid="{00000000-0005-0000-0000-0000FF050000}"/>
    <cellStyle name="Calculation 2 2 2 7 3 2" xfId="12875" xr:uid="{00000000-0005-0000-0000-000000060000}"/>
    <cellStyle name="Calculation 2 2 2 7 3 3" xfId="19494" xr:uid="{00000000-0005-0000-0000-000001060000}"/>
    <cellStyle name="Calculation 2 2 2 7 4" xfId="8704" xr:uid="{00000000-0005-0000-0000-000002060000}"/>
    <cellStyle name="Calculation 2 2 2 7 5" xfId="15323" xr:uid="{00000000-0005-0000-0000-000003060000}"/>
    <cellStyle name="Calculation 2 2 2 8" xfId="2381" xr:uid="{00000000-0005-0000-0000-000004060000}"/>
    <cellStyle name="Calculation 2 2 2 8 2" xfId="4517" xr:uid="{00000000-0005-0000-0000-000005060000}"/>
    <cellStyle name="Calculation 2 2 2 8 2 2" xfId="11113" xr:uid="{00000000-0005-0000-0000-000006060000}"/>
    <cellStyle name="Calculation 2 2 2 8 2 3" xfId="17732" xr:uid="{00000000-0005-0000-0000-000007060000}"/>
    <cellStyle name="Calculation 2 2 2 8 3" xfId="6552" xr:uid="{00000000-0005-0000-0000-000008060000}"/>
    <cellStyle name="Calculation 2 2 2 8 3 2" xfId="13148" xr:uid="{00000000-0005-0000-0000-000009060000}"/>
    <cellStyle name="Calculation 2 2 2 8 3 3" xfId="19767" xr:uid="{00000000-0005-0000-0000-00000A060000}"/>
    <cellStyle name="Calculation 2 2 2 8 4" xfId="8977" xr:uid="{00000000-0005-0000-0000-00000B060000}"/>
    <cellStyle name="Calculation 2 2 2 8 5" xfId="15596" xr:uid="{00000000-0005-0000-0000-00000C060000}"/>
    <cellStyle name="Calculation 2 2 2 9" xfId="2682" xr:uid="{00000000-0005-0000-0000-00000D060000}"/>
    <cellStyle name="Calculation 2 2 2 9 2" xfId="9278" xr:uid="{00000000-0005-0000-0000-00000E060000}"/>
    <cellStyle name="Calculation 2 2 2 9 3" xfId="15897" xr:uid="{00000000-0005-0000-0000-00000F060000}"/>
    <cellStyle name="Calculation 2 2 2_Summary" xfId="20119" xr:uid="{00000000-0005-0000-0000-000010060000}"/>
    <cellStyle name="Calculation 2 2 3" xfId="212" xr:uid="{00000000-0005-0000-0000-000011060000}"/>
    <cellStyle name="Calculation 2 2 3 10" xfId="749" xr:uid="{00000000-0005-0000-0000-000012060000}"/>
    <cellStyle name="Calculation 2 2 3 10 2" xfId="13964" xr:uid="{00000000-0005-0000-0000-000013060000}"/>
    <cellStyle name="Calculation 2 2 3 11" xfId="7119" xr:uid="{00000000-0005-0000-0000-000014060000}"/>
    <cellStyle name="Calculation 2 2 3 12" xfId="7018" xr:uid="{00000000-0005-0000-0000-000015060000}"/>
    <cellStyle name="Calculation 2 2 3 13" xfId="26271" xr:uid="{34091B32-1542-41B6-AC64-6006BBA0763B}"/>
    <cellStyle name="Calculation 2 2 3 14" xfId="26688" xr:uid="{8DB37361-DEE0-4401-A199-6A3B0258BD53}"/>
    <cellStyle name="Calculation 2 2 3 15" xfId="30798" xr:uid="{EF07BC88-86BC-4B08-A168-DF4ECE0D4344}"/>
    <cellStyle name="Calculation 2 2 3 2" xfId="917" xr:uid="{00000000-0005-0000-0000-000016060000}"/>
    <cellStyle name="Calculation 2 2 3 2 2" xfId="3053" xr:uid="{00000000-0005-0000-0000-000017060000}"/>
    <cellStyle name="Calculation 2 2 3 2 2 2" xfId="9649" xr:uid="{00000000-0005-0000-0000-000018060000}"/>
    <cellStyle name="Calculation 2 2 3 2 2 3" xfId="16268" xr:uid="{00000000-0005-0000-0000-000019060000}"/>
    <cellStyle name="Calculation 2 2 3 2 2 4" xfId="26345" xr:uid="{B692CBC3-CFC7-4F18-B5AB-7304AC0765BC}"/>
    <cellStyle name="Calculation 2 2 3 2 2 5" xfId="26750" xr:uid="{D47D5D48-A623-48A0-88FF-F94BB6FBDA22}"/>
    <cellStyle name="Calculation 2 2 3 2 3" xfId="5088" xr:uid="{00000000-0005-0000-0000-00001A060000}"/>
    <cellStyle name="Calculation 2 2 3 2 3 2" xfId="11684" xr:uid="{00000000-0005-0000-0000-00001B060000}"/>
    <cellStyle name="Calculation 2 2 3 2 3 3" xfId="18303" xr:uid="{00000000-0005-0000-0000-00001C060000}"/>
    <cellStyle name="Calculation 2 2 3 2 4" xfId="7514" xr:uid="{00000000-0005-0000-0000-00001D060000}"/>
    <cellStyle name="Calculation 2 2 3 2 5" xfId="14132" xr:uid="{00000000-0005-0000-0000-00001E060000}"/>
    <cellStyle name="Calculation 2 2 3 2 6" xfId="26419" xr:uid="{8BCB51C0-8704-439E-8CAC-DB18ABA969A0}"/>
    <cellStyle name="Calculation 2 2 3 2 7" xfId="26817" xr:uid="{B406ABBE-F408-4A1B-8203-6D8A7A8AE303}"/>
    <cellStyle name="Calculation 2 2 3 2 8" xfId="30077" xr:uid="{4F18860D-11ED-4CE4-9480-C53CDCE8E027}"/>
    <cellStyle name="Calculation 2 2 3 2 9" xfId="31509" xr:uid="{2D476563-90BB-42F1-B093-65AA681FCB76}"/>
    <cellStyle name="Calculation 2 2 3 3" xfId="1202" xr:uid="{00000000-0005-0000-0000-00001F060000}"/>
    <cellStyle name="Calculation 2 2 3 3 2" xfId="3338" xr:uid="{00000000-0005-0000-0000-000020060000}"/>
    <cellStyle name="Calculation 2 2 3 3 2 2" xfId="9934" xr:uid="{00000000-0005-0000-0000-000021060000}"/>
    <cellStyle name="Calculation 2 2 3 3 2 3" xfId="16553" xr:uid="{00000000-0005-0000-0000-000022060000}"/>
    <cellStyle name="Calculation 2 2 3 3 3" xfId="5373" xr:uid="{00000000-0005-0000-0000-000023060000}"/>
    <cellStyle name="Calculation 2 2 3 3 3 2" xfId="11969" xr:uid="{00000000-0005-0000-0000-000024060000}"/>
    <cellStyle name="Calculation 2 2 3 3 3 3" xfId="18588" xr:uid="{00000000-0005-0000-0000-000025060000}"/>
    <cellStyle name="Calculation 2 2 3 3 4" xfId="7798" xr:uid="{00000000-0005-0000-0000-000026060000}"/>
    <cellStyle name="Calculation 2 2 3 3 5" xfId="14417" xr:uid="{00000000-0005-0000-0000-000027060000}"/>
    <cellStyle name="Calculation 2 2 3 4" xfId="1484" xr:uid="{00000000-0005-0000-0000-000028060000}"/>
    <cellStyle name="Calculation 2 2 3 4 2" xfId="3620" xr:uid="{00000000-0005-0000-0000-000029060000}"/>
    <cellStyle name="Calculation 2 2 3 4 2 2" xfId="10216" xr:uid="{00000000-0005-0000-0000-00002A060000}"/>
    <cellStyle name="Calculation 2 2 3 4 2 3" xfId="16835" xr:uid="{00000000-0005-0000-0000-00002B060000}"/>
    <cellStyle name="Calculation 2 2 3 4 3" xfId="5655" xr:uid="{00000000-0005-0000-0000-00002C060000}"/>
    <cellStyle name="Calculation 2 2 3 4 3 2" xfId="12251" xr:uid="{00000000-0005-0000-0000-00002D060000}"/>
    <cellStyle name="Calculation 2 2 3 4 3 3" xfId="18870" xr:uid="{00000000-0005-0000-0000-00002E060000}"/>
    <cellStyle name="Calculation 2 2 3 4 4" xfId="8080" xr:uid="{00000000-0005-0000-0000-00002F060000}"/>
    <cellStyle name="Calculation 2 2 3 4 5" xfId="14699" xr:uid="{00000000-0005-0000-0000-000030060000}"/>
    <cellStyle name="Calculation 2 2 3 5" xfId="1765" xr:uid="{00000000-0005-0000-0000-000031060000}"/>
    <cellStyle name="Calculation 2 2 3 5 2" xfId="3901" xr:uid="{00000000-0005-0000-0000-000032060000}"/>
    <cellStyle name="Calculation 2 2 3 5 2 2" xfId="10497" xr:uid="{00000000-0005-0000-0000-000033060000}"/>
    <cellStyle name="Calculation 2 2 3 5 2 3" xfId="17116" xr:uid="{00000000-0005-0000-0000-000034060000}"/>
    <cellStyle name="Calculation 2 2 3 5 3" xfId="5936" xr:uid="{00000000-0005-0000-0000-000035060000}"/>
    <cellStyle name="Calculation 2 2 3 5 3 2" xfId="12532" xr:uid="{00000000-0005-0000-0000-000036060000}"/>
    <cellStyle name="Calculation 2 2 3 5 3 3" xfId="19151" xr:uid="{00000000-0005-0000-0000-000037060000}"/>
    <cellStyle name="Calculation 2 2 3 5 4" xfId="8361" xr:uid="{00000000-0005-0000-0000-000038060000}"/>
    <cellStyle name="Calculation 2 2 3 5 5" xfId="14980" xr:uid="{00000000-0005-0000-0000-000039060000}"/>
    <cellStyle name="Calculation 2 2 3 6" xfId="2044" xr:uid="{00000000-0005-0000-0000-00003A060000}"/>
    <cellStyle name="Calculation 2 2 3 6 2" xfId="4180" xr:uid="{00000000-0005-0000-0000-00003B060000}"/>
    <cellStyle name="Calculation 2 2 3 6 2 2" xfId="10776" xr:uid="{00000000-0005-0000-0000-00003C060000}"/>
    <cellStyle name="Calculation 2 2 3 6 2 3" xfId="17395" xr:uid="{00000000-0005-0000-0000-00003D060000}"/>
    <cellStyle name="Calculation 2 2 3 6 3" xfId="6215" xr:uid="{00000000-0005-0000-0000-00003E060000}"/>
    <cellStyle name="Calculation 2 2 3 6 3 2" xfId="12811" xr:uid="{00000000-0005-0000-0000-00003F060000}"/>
    <cellStyle name="Calculation 2 2 3 6 3 3" xfId="19430" xr:uid="{00000000-0005-0000-0000-000040060000}"/>
    <cellStyle name="Calculation 2 2 3 6 4" xfId="8640" xr:uid="{00000000-0005-0000-0000-000041060000}"/>
    <cellStyle name="Calculation 2 2 3 6 5" xfId="15259" xr:uid="{00000000-0005-0000-0000-000042060000}"/>
    <cellStyle name="Calculation 2 2 3 7" xfId="2319" xr:uid="{00000000-0005-0000-0000-000043060000}"/>
    <cellStyle name="Calculation 2 2 3 7 2" xfId="4455" xr:uid="{00000000-0005-0000-0000-000044060000}"/>
    <cellStyle name="Calculation 2 2 3 7 2 2" xfId="11051" xr:uid="{00000000-0005-0000-0000-000045060000}"/>
    <cellStyle name="Calculation 2 2 3 7 2 3" xfId="17670" xr:uid="{00000000-0005-0000-0000-000046060000}"/>
    <cellStyle name="Calculation 2 2 3 7 3" xfId="6490" xr:uid="{00000000-0005-0000-0000-000047060000}"/>
    <cellStyle name="Calculation 2 2 3 7 3 2" xfId="13086" xr:uid="{00000000-0005-0000-0000-000048060000}"/>
    <cellStyle name="Calculation 2 2 3 7 3 3" xfId="19705" xr:uid="{00000000-0005-0000-0000-000049060000}"/>
    <cellStyle name="Calculation 2 2 3 7 4" xfId="8915" xr:uid="{00000000-0005-0000-0000-00004A060000}"/>
    <cellStyle name="Calculation 2 2 3 7 5" xfId="15534" xr:uid="{00000000-0005-0000-0000-00004B060000}"/>
    <cellStyle name="Calculation 2 2 3 8" xfId="2885" xr:uid="{00000000-0005-0000-0000-00004C060000}"/>
    <cellStyle name="Calculation 2 2 3 8 2" xfId="9481" xr:uid="{00000000-0005-0000-0000-00004D060000}"/>
    <cellStyle name="Calculation 2 2 3 8 3" xfId="16100" xr:uid="{00000000-0005-0000-0000-00004E060000}"/>
    <cellStyle name="Calculation 2 2 3 9" xfId="4920" xr:uid="{00000000-0005-0000-0000-00004F060000}"/>
    <cellStyle name="Calculation 2 2 3 9 2" xfId="11516" xr:uid="{00000000-0005-0000-0000-000050060000}"/>
    <cellStyle name="Calculation 2 2 3 9 3" xfId="18135" xr:uid="{00000000-0005-0000-0000-000051060000}"/>
    <cellStyle name="Calculation 2 2 3_Summary" xfId="20121" xr:uid="{00000000-0005-0000-0000-000052060000}"/>
    <cellStyle name="Calculation 2 2 4" xfId="364" xr:uid="{00000000-0005-0000-0000-000053060000}"/>
    <cellStyle name="Calculation 2 2 4 10" xfId="696" xr:uid="{00000000-0005-0000-0000-000054060000}"/>
    <cellStyle name="Calculation 2 2 4 10 2" xfId="13911" xr:uid="{00000000-0005-0000-0000-000055060000}"/>
    <cellStyle name="Calculation 2 2 4 11" xfId="7257" xr:uid="{00000000-0005-0000-0000-000056060000}"/>
    <cellStyle name="Calculation 2 2 4 12" xfId="13579" xr:uid="{00000000-0005-0000-0000-000057060000}"/>
    <cellStyle name="Calculation 2 2 4 13" xfId="26374" xr:uid="{FD2DF3CB-78B0-4C83-836E-D99C3262220A}"/>
    <cellStyle name="Calculation 2 2 4 14" xfId="26775" xr:uid="{C71F370A-11B6-4AFD-A3A6-9D179B26E747}"/>
    <cellStyle name="Calculation 2 2 4 15" xfId="30075" xr:uid="{F2713987-3FD5-4476-81AC-962E85463641}"/>
    <cellStyle name="Calculation 2 2 4 16" xfId="31507" xr:uid="{E3E3EE7E-A7B8-46FE-9D67-549A8F5D2CD1}"/>
    <cellStyle name="Calculation 2 2 4 2" xfId="1058" xr:uid="{00000000-0005-0000-0000-000058060000}"/>
    <cellStyle name="Calculation 2 2 4 2 2" xfId="3194" xr:uid="{00000000-0005-0000-0000-000059060000}"/>
    <cellStyle name="Calculation 2 2 4 2 2 2" xfId="9790" xr:uid="{00000000-0005-0000-0000-00005A060000}"/>
    <cellStyle name="Calculation 2 2 4 2 2 3" xfId="16409" xr:uid="{00000000-0005-0000-0000-00005B060000}"/>
    <cellStyle name="Calculation 2 2 4 2 3" xfId="5229" xr:uid="{00000000-0005-0000-0000-00005C060000}"/>
    <cellStyle name="Calculation 2 2 4 2 3 2" xfId="11825" xr:uid="{00000000-0005-0000-0000-00005D060000}"/>
    <cellStyle name="Calculation 2 2 4 2 3 3" xfId="18444" xr:uid="{00000000-0005-0000-0000-00005E060000}"/>
    <cellStyle name="Calculation 2 2 4 2 4" xfId="7655" xr:uid="{00000000-0005-0000-0000-00005F060000}"/>
    <cellStyle name="Calculation 2 2 4 2 5" xfId="14273" xr:uid="{00000000-0005-0000-0000-000060060000}"/>
    <cellStyle name="Calculation 2 2 4 2 6" xfId="26354" xr:uid="{6A49F7D7-E209-44D2-8B52-C2EF1B59C9C0}"/>
    <cellStyle name="Calculation 2 2 4 2 7" xfId="26759" xr:uid="{A7DBB106-BA1F-4C95-A718-D9996F40693A}"/>
    <cellStyle name="Calculation 2 2 4 3" xfId="1340" xr:uid="{00000000-0005-0000-0000-000061060000}"/>
    <cellStyle name="Calculation 2 2 4 3 2" xfId="3476" xr:uid="{00000000-0005-0000-0000-000062060000}"/>
    <cellStyle name="Calculation 2 2 4 3 2 2" xfId="10072" xr:uid="{00000000-0005-0000-0000-000063060000}"/>
    <cellStyle name="Calculation 2 2 4 3 2 3" xfId="16691" xr:uid="{00000000-0005-0000-0000-000064060000}"/>
    <cellStyle name="Calculation 2 2 4 3 3" xfId="5511" xr:uid="{00000000-0005-0000-0000-000065060000}"/>
    <cellStyle name="Calculation 2 2 4 3 3 2" xfId="12107" xr:uid="{00000000-0005-0000-0000-000066060000}"/>
    <cellStyle name="Calculation 2 2 4 3 3 3" xfId="18726" xr:uid="{00000000-0005-0000-0000-000067060000}"/>
    <cellStyle name="Calculation 2 2 4 3 4" xfId="7936" xr:uid="{00000000-0005-0000-0000-000068060000}"/>
    <cellStyle name="Calculation 2 2 4 3 5" xfId="14555" xr:uid="{00000000-0005-0000-0000-000069060000}"/>
    <cellStyle name="Calculation 2 2 4 4" xfId="1621" xr:uid="{00000000-0005-0000-0000-00006A060000}"/>
    <cellStyle name="Calculation 2 2 4 4 2" xfId="3757" xr:uid="{00000000-0005-0000-0000-00006B060000}"/>
    <cellStyle name="Calculation 2 2 4 4 2 2" xfId="10353" xr:uid="{00000000-0005-0000-0000-00006C060000}"/>
    <cellStyle name="Calculation 2 2 4 4 2 3" xfId="16972" xr:uid="{00000000-0005-0000-0000-00006D060000}"/>
    <cellStyle name="Calculation 2 2 4 4 3" xfId="5792" xr:uid="{00000000-0005-0000-0000-00006E060000}"/>
    <cellStyle name="Calculation 2 2 4 4 3 2" xfId="12388" xr:uid="{00000000-0005-0000-0000-00006F060000}"/>
    <cellStyle name="Calculation 2 2 4 4 3 3" xfId="19007" xr:uid="{00000000-0005-0000-0000-000070060000}"/>
    <cellStyle name="Calculation 2 2 4 4 4" xfId="8217" xr:uid="{00000000-0005-0000-0000-000071060000}"/>
    <cellStyle name="Calculation 2 2 4 4 5" xfId="14836" xr:uid="{00000000-0005-0000-0000-000072060000}"/>
    <cellStyle name="Calculation 2 2 4 5" xfId="1900" xr:uid="{00000000-0005-0000-0000-000073060000}"/>
    <cellStyle name="Calculation 2 2 4 5 2" xfId="4036" xr:uid="{00000000-0005-0000-0000-000074060000}"/>
    <cellStyle name="Calculation 2 2 4 5 2 2" xfId="10632" xr:uid="{00000000-0005-0000-0000-000075060000}"/>
    <cellStyle name="Calculation 2 2 4 5 2 3" xfId="17251" xr:uid="{00000000-0005-0000-0000-000076060000}"/>
    <cellStyle name="Calculation 2 2 4 5 3" xfId="6071" xr:uid="{00000000-0005-0000-0000-000077060000}"/>
    <cellStyle name="Calculation 2 2 4 5 3 2" xfId="12667" xr:uid="{00000000-0005-0000-0000-000078060000}"/>
    <cellStyle name="Calculation 2 2 4 5 3 3" xfId="19286" xr:uid="{00000000-0005-0000-0000-000079060000}"/>
    <cellStyle name="Calculation 2 2 4 5 4" xfId="8496" xr:uid="{00000000-0005-0000-0000-00007A060000}"/>
    <cellStyle name="Calculation 2 2 4 5 5" xfId="15115" xr:uid="{00000000-0005-0000-0000-00007B060000}"/>
    <cellStyle name="Calculation 2 2 4 6" xfId="2175" xr:uid="{00000000-0005-0000-0000-00007C060000}"/>
    <cellStyle name="Calculation 2 2 4 6 2" xfId="4311" xr:uid="{00000000-0005-0000-0000-00007D060000}"/>
    <cellStyle name="Calculation 2 2 4 6 2 2" xfId="10907" xr:uid="{00000000-0005-0000-0000-00007E060000}"/>
    <cellStyle name="Calculation 2 2 4 6 2 3" xfId="17526" xr:uid="{00000000-0005-0000-0000-00007F060000}"/>
    <cellStyle name="Calculation 2 2 4 6 3" xfId="6346" xr:uid="{00000000-0005-0000-0000-000080060000}"/>
    <cellStyle name="Calculation 2 2 4 6 3 2" xfId="12942" xr:uid="{00000000-0005-0000-0000-000081060000}"/>
    <cellStyle name="Calculation 2 2 4 6 3 3" xfId="19561" xr:uid="{00000000-0005-0000-0000-000082060000}"/>
    <cellStyle name="Calculation 2 2 4 6 4" xfId="8771" xr:uid="{00000000-0005-0000-0000-000083060000}"/>
    <cellStyle name="Calculation 2 2 4 6 5" xfId="15390" xr:uid="{00000000-0005-0000-0000-000084060000}"/>
    <cellStyle name="Calculation 2 2 4 7" xfId="2448" xr:uid="{00000000-0005-0000-0000-000085060000}"/>
    <cellStyle name="Calculation 2 2 4 7 2" xfId="4584" xr:uid="{00000000-0005-0000-0000-000086060000}"/>
    <cellStyle name="Calculation 2 2 4 7 2 2" xfId="11180" xr:uid="{00000000-0005-0000-0000-000087060000}"/>
    <cellStyle name="Calculation 2 2 4 7 2 3" xfId="17799" xr:uid="{00000000-0005-0000-0000-000088060000}"/>
    <cellStyle name="Calculation 2 2 4 7 3" xfId="6619" xr:uid="{00000000-0005-0000-0000-000089060000}"/>
    <cellStyle name="Calculation 2 2 4 7 3 2" xfId="13215" xr:uid="{00000000-0005-0000-0000-00008A060000}"/>
    <cellStyle name="Calculation 2 2 4 7 3 3" xfId="19834" xr:uid="{00000000-0005-0000-0000-00008B060000}"/>
    <cellStyle name="Calculation 2 2 4 7 4" xfId="9044" xr:uid="{00000000-0005-0000-0000-00008C060000}"/>
    <cellStyle name="Calculation 2 2 4 7 5" xfId="15663" xr:uid="{00000000-0005-0000-0000-00008D060000}"/>
    <cellStyle name="Calculation 2 2 4 8" xfId="2832" xr:uid="{00000000-0005-0000-0000-00008E060000}"/>
    <cellStyle name="Calculation 2 2 4 8 2" xfId="9428" xr:uid="{00000000-0005-0000-0000-00008F060000}"/>
    <cellStyle name="Calculation 2 2 4 8 3" xfId="16047" xr:uid="{00000000-0005-0000-0000-000090060000}"/>
    <cellStyle name="Calculation 2 2 4 9" xfId="4867" xr:uid="{00000000-0005-0000-0000-000091060000}"/>
    <cellStyle name="Calculation 2 2 4 9 2" xfId="11463" xr:uid="{00000000-0005-0000-0000-000092060000}"/>
    <cellStyle name="Calculation 2 2 4 9 3" xfId="18082" xr:uid="{00000000-0005-0000-0000-000093060000}"/>
    <cellStyle name="Calculation 2 2 4_Summary" xfId="20122" xr:uid="{00000000-0005-0000-0000-000094060000}"/>
    <cellStyle name="Calculation 2 2 5" xfId="637" xr:uid="{00000000-0005-0000-0000-000095060000}"/>
    <cellStyle name="Calculation 2 2 5 2" xfId="2773" xr:uid="{00000000-0005-0000-0000-000096060000}"/>
    <cellStyle name="Calculation 2 2 5 2 2" xfId="9369" xr:uid="{00000000-0005-0000-0000-000097060000}"/>
    <cellStyle name="Calculation 2 2 5 2 3" xfId="15988" xr:uid="{00000000-0005-0000-0000-000098060000}"/>
    <cellStyle name="Calculation 2 2 5 3" xfId="4808" xr:uid="{00000000-0005-0000-0000-000099060000}"/>
    <cellStyle name="Calculation 2 2 5 3 2" xfId="11404" xr:uid="{00000000-0005-0000-0000-00009A060000}"/>
    <cellStyle name="Calculation 2 2 5 3 3" xfId="18023" xr:uid="{00000000-0005-0000-0000-00009B060000}"/>
    <cellStyle name="Calculation 2 2 5 4" xfId="7409" xr:uid="{00000000-0005-0000-0000-00009C060000}"/>
    <cellStyle name="Calculation 2 2 5 5" xfId="13852" xr:uid="{00000000-0005-0000-0000-00009D060000}"/>
    <cellStyle name="Calculation 2 2 6" xfId="636" xr:uid="{00000000-0005-0000-0000-00009E060000}"/>
    <cellStyle name="Calculation 2 2 6 2" xfId="2772" xr:uid="{00000000-0005-0000-0000-00009F060000}"/>
    <cellStyle name="Calculation 2 2 6 2 2" xfId="9368" xr:uid="{00000000-0005-0000-0000-0000A0060000}"/>
    <cellStyle name="Calculation 2 2 6 2 3" xfId="15987" xr:uid="{00000000-0005-0000-0000-0000A1060000}"/>
    <cellStyle name="Calculation 2 2 6 3" xfId="4807" xr:uid="{00000000-0005-0000-0000-0000A2060000}"/>
    <cellStyle name="Calculation 2 2 6 3 2" xfId="11403" xr:uid="{00000000-0005-0000-0000-0000A3060000}"/>
    <cellStyle name="Calculation 2 2 6 3 3" xfId="18022" xr:uid="{00000000-0005-0000-0000-0000A4060000}"/>
    <cellStyle name="Calculation 2 2 6 4" xfId="7408" xr:uid="{00000000-0005-0000-0000-0000A5060000}"/>
    <cellStyle name="Calculation 2 2 6 5" xfId="13851" xr:uid="{00000000-0005-0000-0000-0000A6060000}"/>
    <cellStyle name="Calculation 2 2 7" xfId="658" xr:uid="{00000000-0005-0000-0000-0000A7060000}"/>
    <cellStyle name="Calculation 2 2 7 2" xfId="2794" xr:uid="{00000000-0005-0000-0000-0000A8060000}"/>
    <cellStyle name="Calculation 2 2 7 2 2" xfId="9390" xr:uid="{00000000-0005-0000-0000-0000A9060000}"/>
    <cellStyle name="Calculation 2 2 7 2 3" xfId="16009" xr:uid="{00000000-0005-0000-0000-0000AA060000}"/>
    <cellStyle name="Calculation 2 2 7 3" xfId="4829" xr:uid="{00000000-0005-0000-0000-0000AB060000}"/>
    <cellStyle name="Calculation 2 2 7 3 2" xfId="11425" xr:uid="{00000000-0005-0000-0000-0000AC060000}"/>
    <cellStyle name="Calculation 2 2 7 3 3" xfId="18044" xr:uid="{00000000-0005-0000-0000-0000AD060000}"/>
    <cellStyle name="Calculation 2 2 7 4" xfId="7429" xr:uid="{00000000-0005-0000-0000-0000AE060000}"/>
    <cellStyle name="Calculation 2 2 7 5" xfId="13873" xr:uid="{00000000-0005-0000-0000-0000AF060000}"/>
    <cellStyle name="Calculation 2 2 8" xfId="629" xr:uid="{00000000-0005-0000-0000-0000B0060000}"/>
    <cellStyle name="Calculation 2 2 8 2" xfId="2765" xr:uid="{00000000-0005-0000-0000-0000B1060000}"/>
    <cellStyle name="Calculation 2 2 8 2 2" xfId="9361" xr:uid="{00000000-0005-0000-0000-0000B2060000}"/>
    <cellStyle name="Calculation 2 2 8 2 3" xfId="15980" xr:uid="{00000000-0005-0000-0000-0000B3060000}"/>
    <cellStyle name="Calculation 2 2 8 3" xfId="4800" xr:uid="{00000000-0005-0000-0000-0000B4060000}"/>
    <cellStyle name="Calculation 2 2 8 3 2" xfId="11396" xr:uid="{00000000-0005-0000-0000-0000B5060000}"/>
    <cellStyle name="Calculation 2 2 8 3 3" xfId="18015" xr:uid="{00000000-0005-0000-0000-0000B6060000}"/>
    <cellStyle name="Calculation 2 2 8 4" xfId="7401" xr:uid="{00000000-0005-0000-0000-0000B7060000}"/>
    <cellStyle name="Calculation 2 2 8 5" xfId="13844" xr:uid="{00000000-0005-0000-0000-0000B8060000}"/>
    <cellStyle name="Calculation 2 2 9" xfId="593" xr:uid="{00000000-0005-0000-0000-0000B9060000}"/>
    <cellStyle name="Calculation 2 2 9 2" xfId="2729" xr:uid="{00000000-0005-0000-0000-0000BA060000}"/>
    <cellStyle name="Calculation 2 2 9 2 2" xfId="9325" xr:uid="{00000000-0005-0000-0000-0000BB060000}"/>
    <cellStyle name="Calculation 2 2 9 2 3" xfId="15944" xr:uid="{00000000-0005-0000-0000-0000BC060000}"/>
    <cellStyle name="Calculation 2 2 9 3" xfId="4764" xr:uid="{00000000-0005-0000-0000-0000BD060000}"/>
    <cellStyle name="Calculation 2 2 9 3 2" xfId="11360" xr:uid="{00000000-0005-0000-0000-0000BE060000}"/>
    <cellStyle name="Calculation 2 2 9 3 3" xfId="17979" xr:uid="{00000000-0005-0000-0000-0000BF060000}"/>
    <cellStyle name="Calculation 2 2 9 4" xfId="7365" xr:uid="{00000000-0005-0000-0000-0000C0060000}"/>
    <cellStyle name="Calculation 2 2 9 5" xfId="13808" xr:uid="{00000000-0005-0000-0000-0000C1060000}"/>
    <cellStyle name="Calculation 2 2_Summary" xfId="20118" xr:uid="{00000000-0005-0000-0000-0000C2060000}"/>
    <cellStyle name="Calculation 2 20" xfId="6726" xr:uid="{00000000-0005-0000-0000-0000C3060000}"/>
    <cellStyle name="Calculation 2 20 2" xfId="13322" xr:uid="{00000000-0005-0000-0000-0000C4060000}"/>
    <cellStyle name="Calculation 2 20 3" xfId="19941" xr:uid="{00000000-0005-0000-0000-0000C5060000}"/>
    <cellStyle name="Calculation 2 21" xfId="6743" xr:uid="{00000000-0005-0000-0000-0000C6060000}"/>
    <cellStyle name="Calculation 2 21 2" xfId="13339" xr:uid="{00000000-0005-0000-0000-0000C7060000}"/>
    <cellStyle name="Calculation 2 21 3" xfId="19958" xr:uid="{00000000-0005-0000-0000-0000C8060000}"/>
    <cellStyle name="Calculation 2 22" xfId="6746" xr:uid="{00000000-0005-0000-0000-0000C9060000}"/>
    <cellStyle name="Calculation 2 22 2" xfId="13342" xr:uid="{00000000-0005-0000-0000-0000CA060000}"/>
    <cellStyle name="Calculation 2 22 3" xfId="19961" xr:uid="{00000000-0005-0000-0000-0000CB060000}"/>
    <cellStyle name="Calculation 2 23" xfId="6749" xr:uid="{00000000-0005-0000-0000-0000CC060000}"/>
    <cellStyle name="Calculation 2 23 2" xfId="13345" xr:uid="{00000000-0005-0000-0000-0000CD060000}"/>
    <cellStyle name="Calculation 2 23 3" xfId="19964" xr:uid="{00000000-0005-0000-0000-0000CE060000}"/>
    <cellStyle name="Calculation 2 24" xfId="6752" xr:uid="{00000000-0005-0000-0000-0000CF060000}"/>
    <cellStyle name="Calculation 2 24 2" xfId="13348" xr:uid="{00000000-0005-0000-0000-0000D0060000}"/>
    <cellStyle name="Calculation 2 24 3" xfId="19967" xr:uid="{00000000-0005-0000-0000-0000D1060000}"/>
    <cellStyle name="Calculation 2 25" xfId="6780" xr:uid="{00000000-0005-0000-0000-0000D2060000}"/>
    <cellStyle name="Calculation 2 25 2" xfId="13376" xr:uid="{00000000-0005-0000-0000-0000D3060000}"/>
    <cellStyle name="Calculation 2 25 3" xfId="19995" xr:uid="{00000000-0005-0000-0000-0000D4060000}"/>
    <cellStyle name="Calculation 2 26" xfId="6783" xr:uid="{00000000-0005-0000-0000-0000D5060000}"/>
    <cellStyle name="Calculation 2 26 2" xfId="13379" xr:uid="{00000000-0005-0000-0000-0000D6060000}"/>
    <cellStyle name="Calculation 2 26 3" xfId="19998" xr:uid="{00000000-0005-0000-0000-0000D7060000}"/>
    <cellStyle name="Calculation 2 27" xfId="6766" xr:uid="{00000000-0005-0000-0000-0000D8060000}"/>
    <cellStyle name="Calculation 2 27 2" xfId="13362" xr:uid="{00000000-0005-0000-0000-0000D9060000}"/>
    <cellStyle name="Calculation 2 27 3" xfId="19981" xr:uid="{00000000-0005-0000-0000-0000DA060000}"/>
    <cellStyle name="Calculation 2 28" xfId="6790" xr:uid="{00000000-0005-0000-0000-0000DB060000}"/>
    <cellStyle name="Calculation 2 28 2" xfId="13386" xr:uid="{00000000-0005-0000-0000-0000DC060000}"/>
    <cellStyle name="Calculation 2 28 3" xfId="20005" xr:uid="{00000000-0005-0000-0000-0000DD060000}"/>
    <cellStyle name="Calculation 2 29" xfId="6773" xr:uid="{00000000-0005-0000-0000-0000DE060000}"/>
    <cellStyle name="Calculation 2 29 2" xfId="13369" xr:uid="{00000000-0005-0000-0000-0000DF060000}"/>
    <cellStyle name="Calculation 2 29 3" xfId="19988" xr:uid="{00000000-0005-0000-0000-0000E0060000}"/>
    <cellStyle name="Calculation 2 3" xfId="160" xr:uid="{00000000-0005-0000-0000-0000E1060000}"/>
    <cellStyle name="Calculation 2 3 10" xfId="654" xr:uid="{00000000-0005-0000-0000-0000E2060000}"/>
    <cellStyle name="Calculation 2 3 10 2" xfId="2790" xr:uid="{00000000-0005-0000-0000-0000E3060000}"/>
    <cellStyle name="Calculation 2 3 10 2 2" xfId="9386" xr:uid="{00000000-0005-0000-0000-0000E4060000}"/>
    <cellStyle name="Calculation 2 3 10 2 3" xfId="16005" xr:uid="{00000000-0005-0000-0000-0000E5060000}"/>
    <cellStyle name="Calculation 2 3 10 3" xfId="4825" xr:uid="{00000000-0005-0000-0000-0000E6060000}"/>
    <cellStyle name="Calculation 2 3 10 3 2" xfId="11421" xr:uid="{00000000-0005-0000-0000-0000E7060000}"/>
    <cellStyle name="Calculation 2 3 10 3 3" xfId="18040" xr:uid="{00000000-0005-0000-0000-0000E8060000}"/>
    <cellStyle name="Calculation 2 3 10 4" xfId="7426" xr:uid="{00000000-0005-0000-0000-0000E9060000}"/>
    <cellStyle name="Calculation 2 3 10 5" xfId="13869" xr:uid="{00000000-0005-0000-0000-0000EA060000}"/>
    <cellStyle name="Calculation 2 3 11" xfId="2594" xr:uid="{00000000-0005-0000-0000-0000EB060000}"/>
    <cellStyle name="Calculation 2 3 11 2" xfId="9190" xr:uid="{00000000-0005-0000-0000-0000EC060000}"/>
    <cellStyle name="Calculation 2 3 11 3" xfId="15809" xr:uid="{00000000-0005-0000-0000-0000ED060000}"/>
    <cellStyle name="Calculation 2 3 12" xfId="2646" xr:uid="{00000000-0005-0000-0000-0000EE060000}"/>
    <cellStyle name="Calculation 2 3 12 2" xfId="9242" xr:uid="{00000000-0005-0000-0000-0000EF060000}"/>
    <cellStyle name="Calculation 2 3 12 3" xfId="15861" xr:uid="{00000000-0005-0000-0000-0000F0060000}"/>
    <cellStyle name="Calculation 2 3 13" xfId="483" xr:uid="{00000000-0005-0000-0000-0000F1060000}"/>
    <cellStyle name="Calculation 2 3 13 2" xfId="13698" xr:uid="{00000000-0005-0000-0000-0000F2060000}"/>
    <cellStyle name="Calculation 2 3 14" xfId="7073" xr:uid="{00000000-0005-0000-0000-0000F3060000}"/>
    <cellStyle name="Calculation 2 3 15" xfId="13415" xr:uid="{00000000-0005-0000-0000-0000F4060000}"/>
    <cellStyle name="Calculation 2 3 16" xfId="26126" xr:uid="{8E4F844D-4E25-4362-9678-87097347E953}"/>
    <cellStyle name="Calculation 2 3 17" xfId="26649" xr:uid="{45E249A9-6BB0-40A6-B315-06D64A45FC55}"/>
    <cellStyle name="Calculation 2 3 18" xfId="28223" xr:uid="{1BB86876-E266-4B77-AAA1-BFB7AB09707D}"/>
    <cellStyle name="Calculation 2 3 19" xfId="30799" xr:uid="{CB031A9A-553A-445C-ABE0-DEA1F0CE9774}"/>
    <cellStyle name="Calculation 2 3 2" xfId="297" xr:uid="{00000000-0005-0000-0000-0000F5060000}"/>
    <cellStyle name="Calculation 2 3 2 10" xfId="4718" xr:uid="{00000000-0005-0000-0000-0000F6060000}"/>
    <cellStyle name="Calculation 2 3 2 10 2" xfId="11314" xr:uid="{00000000-0005-0000-0000-0000F7060000}"/>
    <cellStyle name="Calculation 2 3 2 10 3" xfId="17933" xr:uid="{00000000-0005-0000-0000-0000F8060000}"/>
    <cellStyle name="Calculation 2 3 2 11" xfId="547" xr:uid="{00000000-0005-0000-0000-0000F9060000}"/>
    <cellStyle name="Calculation 2 3 2 11 2" xfId="13762" xr:uid="{00000000-0005-0000-0000-0000FA060000}"/>
    <cellStyle name="Calculation 2 3 2 12" xfId="7191" xr:uid="{00000000-0005-0000-0000-0000FB060000}"/>
    <cellStyle name="Calculation 2 3 2 13" xfId="13513" xr:uid="{00000000-0005-0000-0000-0000FC060000}"/>
    <cellStyle name="Calculation 2 3 2 14" xfId="26311" xr:uid="{2A7C0113-DAAC-415A-8D1A-ECE86F236A03}"/>
    <cellStyle name="Calculation 2 3 2 15" xfId="26726" xr:uid="{5A9C5985-758B-4DC7-BD1F-920A5F3BF3EF}"/>
    <cellStyle name="Calculation 2 3 2 16" xfId="28224" xr:uid="{90831D0F-2202-4720-A540-8B94E889A9B9}"/>
    <cellStyle name="Calculation 2 3 2 17" xfId="30800" xr:uid="{AB1D622C-7B85-460F-96B6-665F25AAAC2A}"/>
    <cellStyle name="Calculation 2 3 2 2" xfId="426" xr:uid="{00000000-0005-0000-0000-0000FD060000}"/>
    <cellStyle name="Calculation 2 3 2 2 10" xfId="820" xr:uid="{00000000-0005-0000-0000-0000FE060000}"/>
    <cellStyle name="Calculation 2 3 2 2 10 2" xfId="14035" xr:uid="{00000000-0005-0000-0000-0000FF060000}"/>
    <cellStyle name="Calculation 2 3 2 2 11" xfId="7319" xr:uid="{00000000-0005-0000-0000-000000070000}"/>
    <cellStyle name="Calculation 2 3 2 2 12" xfId="13641" xr:uid="{00000000-0005-0000-0000-000001070000}"/>
    <cellStyle name="Calculation 2 3 2 2 13" xfId="26456" xr:uid="{5A15C5E7-5805-4B56-AC1A-6470F889E098}"/>
    <cellStyle name="Calculation 2 3 2 2 14" xfId="26850" xr:uid="{15DF2F05-4FA0-4ED2-B515-6AE4F2C54240}"/>
    <cellStyle name="Calculation 2 3 2 2 15" xfId="30079" xr:uid="{93CE49F5-E71E-4E4F-ADDE-BA7F9BE749DD}"/>
    <cellStyle name="Calculation 2 3 2 2 16" xfId="31511" xr:uid="{E69A90D9-6BBD-4B6F-83BC-5F534F03F4A9}"/>
    <cellStyle name="Calculation 2 3 2 2 2" xfId="1120" xr:uid="{00000000-0005-0000-0000-000002070000}"/>
    <cellStyle name="Calculation 2 3 2 2 2 2" xfId="3256" xr:uid="{00000000-0005-0000-0000-000003070000}"/>
    <cellStyle name="Calculation 2 3 2 2 2 2 2" xfId="9852" xr:uid="{00000000-0005-0000-0000-000004070000}"/>
    <cellStyle name="Calculation 2 3 2 2 2 2 3" xfId="16471" xr:uid="{00000000-0005-0000-0000-000005070000}"/>
    <cellStyle name="Calculation 2 3 2 2 2 3" xfId="5291" xr:uid="{00000000-0005-0000-0000-000006070000}"/>
    <cellStyle name="Calculation 2 3 2 2 2 3 2" xfId="11887" xr:uid="{00000000-0005-0000-0000-000007070000}"/>
    <cellStyle name="Calculation 2 3 2 2 2 3 3" xfId="18506" xr:uid="{00000000-0005-0000-0000-000008070000}"/>
    <cellStyle name="Calculation 2 3 2 2 2 4" xfId="7716" xr:uid="{00000000-0005-0000-0000-000009070000}"/>
    <cellStyle name="Calculation 2 3 2 2 2 5" xfId="14335" xr:uid="{00000000-0005-0000-0000-00000A070000}"/>
    <cellStyle name="Calculation 2 3 2 2 2 6" xfId="26547" xr:uid="{95A0D5F5-BD0F-49DD-A242-CDC53227FF1F}"/>
    <cellStyle name="Calculation 2 3 2 2 2 7" xfId="26927" xr:uid="{776EA1F0-C979-4ED2-B854-7D1DC8F7C538}"/>
    <cellStyle name="Calculation 2 3 2 2 3" xfId="1402" xr:uid="{00000000-0005-0000-0000-00000B070000}"/>
    <cellStyle name="Calculation 2 3 2 2 3 2" xfId="3538" xr:uid="{00000000-0005-0000-0000-00000C070000}"/>
    <cellStyle name="Calculation 2 3 2 2 3 2 2" xfId="10134" xr:uid="{00000000-0005-0000-0000-00000D070000}"/>
    <cellStyle name="Calculation 2 3 2 2 3 2 3" xfId="16753" xr:uid="{00000000-0005-0000-0000-00000E070000}"/>
    <cellStyle name="Calculation 2 3 2 2 3 3" xfId="5573" xr:uid="{00000000-0005-0000-0000-00000F070000}"/>
    <cellStyle name="Calculation 2 3 2 2 3 3 2" xfId="12169" xr:uid="{00000000-0005-0000-0000-000010070000}"/>
    <cellStyle name="Calculation 2 3 2 2 3 3 3" xfId="18788" xr:uid="{00000000-0005-0000-0000-000011070000}"/>
    <cellStyle name="Calculation 2 3 2 2 3 4" xfId="7998" xr:uid="{00000000-0005-0000-0000-000012070000}"/>
    <cellStyle name="Calculation 2 3 2 2 3 5" xfId="14617" xr:uid="{00000000-0005-0000-0000-000013070000}"/>
    <cellStyle name="Calculation 2 3 2 2 4" xfId="1683" xr:uid="{00000000-0005-0000-0000-000014070000}"/>
    <cellStyle name="Calculation 2 3 2 2 4 2" xfId="3819" xr:uid="{00000000-0005-0000-0000-000015070000}"/>
    <cellStyle name="Calculation 2 3 2 2 4 2 2" xfId="10415" xr:uid="{00000000-0005-0000-0000-000016070000}"/>
    <cellStyle name="Calculation 2 3 2 2 4 2 3" xfId="17034" xr:uid="{00000000-0005-0000-0000-000017070000}"/>
    <cellStyle name="Calculation 2 3 2 2 4 3" xfId="5854" xr:uid="{00000000-0005-0000-0000-000018070000}"/>
    <cellStyle name="Calculation 2 3 2 2 4 3 2" xfId="12450" xr:uid="{00000000-0005-0000-0000-000019070000}"/>
    <cellStyle name="Calculation 2 3 2 2 4 3 3" xfId="19069" xr:uid="{00000000-0005-0000-0000-00001A070000}"/>
    <cellStyle name="Calculation 2 3 2 2 4 4" xfId="8279" xr:uid="{00000000-0005-0000-0000-00001B070000}"/>
    <cellStyle name="Calculation 2 3 2 2 4 5" xfId="14898" xr:uid="{00000000-0005-0000-0000-00001C070000}"/>
    <cellStyle name="Calculation 2 3 2 2 5" xfId="1962" xr:uid="{00000000-0005-0000-0000-00001D070000}"/>
    <cellStyle name="Calculation 2 3 2 2 5 2" xfId="4098" xr:uid="{00000000-0005-0000-0000-00001E070000}"/>
    <cellStyle name="Calculation 2 3 2 2 5 2 2" xfId="10694" xr:uid="{00000000-0005-0000-0000-00001F070000}"/>
    <cellStyle name="Calculation 2 3 2 2 5 2 3" xfId="17313" xr:uid="{00000000-0005-0000-0000-000020070000}"/>
    <cellStyle name="Calculation 2 3 2 2 5 3" xfId="6133" xr:uid="{00000000-0005-0000-0000-000021070000}"/>
    <cellStyle name="Calculation 2 3 2 2 5 3 2" xfId="12729" xr:uid="{00000000-0005-0000-0000-000022070000}"/>
    <cellStyle name="Calculation 2 3 2 2 5 3 3" xfId="19348" xr:uid="{00000000-0005-0000-0000-000023070000}"/>
    <cellStyle name="Calculation 2 3 2 2 5 4" xfId="8558" xr:uid="{00000000-0005-0000-0000-000024070000}"/>
    <cellStyle name="Calculation 2 3 2 2 5 5" xfId="15177" xr:uid="{00000000-0005-0000-0000-000025070000}"/>
    <cellStyle name="Calculation 2 3 2 2 6" xfId="2237" xr:uid="{00000000-0005-0000-0000-000026070000}"/>
    <cellStyle name="Calculation 2 3 2 2 6 2" xfId="4373" xr:uid="{00000000-0005-0000-0000-000027070000}"/>
    <cellStyle name="Calculation 2 3 2 2 6 2 2" xfId="10969" xr:uid="{00000000-0005-0000-0000-000028070000}"/>
    <cellStyle name="Calculation 2 3 2 2 6 2 3" xfId="17588" xr:uid="{00000000-0005-0000-0000-000029070000}"/>
    <cellStyle name="Calculation 2 3 2 2 6 3" xfId="6408" xr:uid="{00000000-0005-0000-0000-00002A070000}"/>
    <cellStyle name="Calculation 2 3 2 2 6 3 2" xfId="13004" xr:uid="{00000000-0005-0000-0000-00002B070000}"/>
    <cellStyle name="Calculation 2 3 2 2 6 3 3" xfId="19623" xr:uid="{00000000-0005-0000-0000-00002C070000}"/>
    <cellStyle name="Calculation 2 3 2 2 6 4" xfId="8833" xr:uid="{00000000-0005-0000-0000-00002D070000}"/>
    <cellStyle name="Calculation 2 3 2 2 6 5" xfId="15452" xr:uid="{00000000-0005-0000-0000-00002E070000}"/>
    <cellStyle name="Calculation 2 3 2 2 7" xfId="2510" xr:uid="{00000000-0005-0000-0000-00002F070000}"/>
    <cellStyle name="Calculation 2 3 2 2 7 2" xfId="4646" xr:uid="{00000000-0005-0000-0000-000030070000}"/>
    <cellStyle name="Calculation 2 3 2 2 7 2 2" xfId="11242" xr:uid="{00000000-0005-0000-0000-000031070000}"/>
    <cellStyle name="Calculation 2 3 2 2 7 2 3" xfId="17861" xr:uid="{00000000-0005-0000-0000-000032070000}"/>
    <cellStyle name="Calculation 2 3 2 2 7 3" xfId="6681" xr:uid="{00000000-0005-0000-0000-000033070000}"/>
    <cellStyle name="Calculation 2 3 2 2 7 3 2" xfId="13277" xr:uid="{00000000-0005-0000-0000-000034070000}"/>
    <cellStyle name="Calculation 2 3 2 2 7 3 3" xfId="19896" xr:uid="{00000000-0005-0000-0000-000035070000}"/>
    <cellStyle name="Calculation 2 3 2 2 7 4" xfId="9106" xr:uid="{00000000-0005-0000-0000-000036070000}"/>
    <cellStyle name="Calculation 2 3 2 2 7 5" xfId="15725" xr:uid="{00000000-0005-0000-0000-000037070000}"/>
    <cellStyle name="Calculation 2 3 2 2 8" xfId="2956" xr:uid="{00000000-0005-0000-0000-000038070000}"/>
    <cellStyle name="Calculation 2 3 2 2 8 2" xfId="9552" xr:uid="{00000000-0005-0000-0000-000039070000}"/>
    <cellStyle name="Calculation 2 3 2 2 8 3" xfId="16171" xr:uid="{00000000-0005-0000-0000-00003A070000}"/>
    <cellStyle name="Calculation 2 3 2 2 9" xfId="4991" xr:uid="{00000000-0005-0000-0000-00003B070000}"/>
    <cellStyle name="Calculation 2 3 2 2 9 2" xfId="11587" xr:uid="{00000000-0005-0000-0000-00003C070000}"/>
    <cellStyle name="Calculation 2 3 2 2 9 3" xfId="18206" xr:uid="{00000000-0005-0000-0000-00003D070000}"/>
    <cellStyle name="Calculation 2 3 2 2_Summary" xfId="20125" xr:uid="{00000000-0005-0000-0000-00003E070000}"/>
    <cellStyle name="Calculation 2 3 2 3" xfId="992" xr:uid="{00000000-0005-0000-0000-00003F070000}"/>
    <cellStyle name="Calculation 2 3 2 3 2" xfId="3128" xr:uid="{00000000-0005-0000-0000-000040070000}"/>
    <cellStyle name="Calculation 2 3 2 3 2 2" xfId="9724" xr:uid="{00000000-0005-0000-0000-000041070000}"/>
    <cellStyle name="Calculation 2 3 2 3 2 3" xfId="16343" xr:uid="{00000000-0005-0000-0000-000042070000}"/>
    <cellStyle name="Calculation 2 3 2 3 3" xfId="5163" xr:uid="{00000000-0005-0000-0000-000043070000}"/>
    <cellStyle name="Calculation 2 3 2 3 3 2" xfId="11759" xr:uid="{00000000-0005-0000-0000-000044070000}"/>
    <cellStyle name="Calculation 2 3 2 3 3 3" xfId="18378" xr:uid="{00000000-0005-0000-0000-000045070000}"/>
    <cellStyle name="Calculation 2 3 2 3 4" xfId="7589" xr:uid="{00000000-0005-0000-0000-000046070000}"/>
    <cellStyle name="Calculation 2 3 2 3 5" xfId="14207" xr:uid="{00000000-0005-0000-0000-000047070000}"/>
    <cellStyle name="Calculation 2 3 2 4" xfId="1274" xr:uid="{00000000-0005-0000-0000-000048070000}"/>
    <cellStyle name="Calculation 2 3 2 4 2" xfId="3410" xr:uid="{00000000-0005-0000-0000-000049070000}"/>
    <cellStyle name="Calculation 2 3 2 4 2 2" xfId="10006" xr:uid="{00000000-0005-0000-0000-00004A070000}"/>
    <cellStyle name="Calculation 2 3 2 4 2 3" xfId="16625" xr:uid="{00000000-0005-0000-0000-00004B070000}"/>
    <cellStyle name="Calculation 2 3 2 4 3" xfId="5445" xr:uid="{00000000-0005-0000-0000-00004C070000}"/>
    <cellStyle name="Calculation 2 3 2 4 3 2" xfId="12041" xr:uid="{00000000-0005-0000-0000-00004D070000}"/>
    <cellStyle name="Calculation 2 3 2 4 3 3" xfId="18660" xr:uid="{00000000-0005-0000-0000-00004E070000}"/>
    <cellStyle name="Calculation 2 3 2 4 4" xfId="7870" xr:uid="{00000000-0005-0000-0000-00004F070000}"/>
    <cellStyle name="Calculation 2 3 2 4 5" xfId="14489" xr:uid="{00000000-0005-0000-0000-000050070000}"/>
    <cellStyle name="Calculation 2 3 2 5" xfId="1555" xr:uid="{00000000-0005-0000-0000-000051070000}"/>
    <cellStyle name="Calculation 2 3 2 5 2" xfId="3691" xr:uid="{00000000-0005-0000-0000-000052070000}"/>
    <cellStyle name="Calculation 2 3 2 5 2 2" xfId="10287" xr:uid="{00000000-0005-0000-0000-000053070000}"/>
    <cellStyle name="Calculation 2 3 2 5 2 3" xfId="16906" xr:uid="{00000000-0005-0000-0000-000054070000}"/>
    <cellStyle name="Calculation 2 3 2 5 3" xfId="5726" xr:uid="{00000000-0005-0000-0000-000055070000}"/>
    <cellStyle name="Calculation 2 3 2 5 3 2" xfId="12322" xr:uid="{00000000-0005-0000-0000-000056070000}"/>
    <cellStyle name="Calculation 2 3 2 5 3 3" xfId="18941" xr:uid="{00000000-0005-0000-0000-000057070000}"/>
    <cellStyle name="Calculation 2 3 2 5 4" xfId="8151" xr:uid="{00000000-0005-0000-0000-000058070000}"/>
    <cellStyle name="Calculation 2 3 2 5 5" xfId="14770" xr:uid="{00000000-0005-0000-0000-000059070000}"/>
    <cellStyle name="Calculation 2 3 2 6" xfId="1834" xr:uid="{00000000-0005-0000-0000-00005A070000}"/>
    <cellStyle name="Calculation 2 3 2 6 2" xfId="3970" xr:uid="{00000000-0005-0000-0000-00005B070000}"/>
    <cellStyle name="Calculation 2 3 2 6 2 2" xfId="10566" xr:uid="{00000000-0005-0000-0000-00005C070000}"/>
    <cellStyle name="Calculation 2 3 2 6 2 3" xfId="17185" xr:uid="{00000000-0005-0000-0000-00005D070000}"/>
    <cellStyle name="Calculation 2 3 2 6 3" xfId="6005" xr:uid="{00000000-0005-0000-0000-00005E070000}"/>
    <cellStyle name="Calculation 2 3 2 6 3 2" xfId="12601" xr:uid="{00000000-0005-0000-0000-00005F070000}"/>
    <cellStyle name="Calculation 2 3 2 6 3 3" xfId="19220" xr:uid="{00000000-0005-0000-0000-000060070000}"/>
    <cellStyle name="Calculation 2 3 2 6 4" xfId="8430" xr:uid="{00000000-0005-0000-0000-000061070000}"/>
    <cellStyle name="Calculation 2 3 2 6 5" xfId="15049" xr:uid="{00000000-0005-0000-0000-000062070000}"/>
    <cellStyle name="Calculation 2 3 2 7" xfId="2109" xr:uid="{00000000-0005-0000-0000-000063070000}"/>
    <cellStyle name="Calculation 2 3 2 7 2" xfId="4245" xr:uid="{00000000-0005-0000-0000-000064070000}"/>
    <cellStyle name="Calculation 2 3 2 7 2 2" xfId="10841" xr:uid="{00000000-0005-0000-0000-000065070000}"/>
    <cellStyle name="Calculation 2 3 2 7 2 3" xfId="17460" xr:uid="{00000000-0005-0000-0000-000066070000}"/>
    <cellStyle name="Calculation 2 3 2 7 3" xfId="6280" xr:uid="{00000000-0005-0000-0000-000067070000}"/>
    <cellStyle name="Calculation 2 3 2 7 3 2" xfId="12876" xr:uid="{00000000-0005-0000-0000-000068070000}"/>
    <cellStyle name="Calculation 2 3 2 7 3 3" xfId="19495" xr:uid="{00000000-0005-0000-0000-000069070000}"/>
    <cellStyle name="Calculation 2 3 2 7 4" xfId="8705" xr:uid="{00000000-0005-0000-0000-00006A070000}"/>
    <cellStyle name="Calculation 2 3 2 7 5" xfId="15324" xr:uid="{00000000-0005-0000-0000-00006B070000}"/>
    <cellStyle name="Calculation 2 3 2 8" xfId="2382" xr:uid="{00000000-0005-0000-0000-00006C070000}"/>
    <cellStyle name="Calculation 2 3 2 8 2" xfId="4518" xr:uid="{00000000-0005-0000-0000-00006D070000}"/>
    <cellStyle name="Calculation 2 3 2 8 2 2" xfId="11114" xr:uid="{00000000-0005-0000-0000-00006E070000}"/>
    <cellStyle name="Calculation 2 3 2 8 2 3" xfId="17733" xr:uid="{00000000-0005-0000-0000-00006F070000}"/>
    <cellStyle name="Calculation 2 3 2 8 3" xfId="6553" xr:uid="{00000000-0005-0000-0000-000070070000}"/>
    <cellStyle name="Calculation 2 3 2 8 3 2" xfId="13149" xr:uid="{00000000-0005-0000-0000-000071070000}"/>
    <cellStyle name="Calculation 2 3 2 8 3 3" xfId="19768" xr:uid="{00000000-0005-0000-0000-000072070000}"/>
    <cellStyle name="Calculation 2 3 2 8 4" xfId="8978" xr:uid="{00000000-0005-0000-0000-000073070000}"/>
    <cellStyle name="Calculation 2 3 2 8 5" xfId="15597" xr:uid="{00000000-0005-0000-0000-000074070000}"/>
    <cellStyle name="Calculation 2 3 2 9" xfId="2683" xr:uid="{00000000-0005-0000-0000-000075070000}"/>
    <cellStyle name="Calculation 2 3 2 9 2" xfId="9279" xr:uid="{00000000-0005-0000-0000-000076070000}"/>
    <cellStyle name="Calculation 2 3 2 9 3" xfId="15898" xr:uid="{00000000-0005-0000-0000-000077070000}"/>
    <cellStyle name="Calculation 2 3 2_Summary" xfId="20124" xr:uid="{00000000-0005-0000-0000-000078070000}"/>
    <cellStyle name="Calculation 2 3 3" xfId="213" xr:uid="{00000000-0005-0000-0000-000079070000}"/>
    <cellStyle name="Calculation 2 3 3 10" xfId="750" xr:uid="{00000000-0005-0000-0000-00007A070000}"/>
    <cellStyle name="Calculation 2 3 3 10 2" xfId="13965" xr:uid="{00000000-0005-0000-0000-00007B070000}"/>
    <cellStyle name="Calculation 2 3 3 11" xfId="7120" xr:uid="{00000000-0005-0000-0000-00007C070000}"/>
    <cellStyle name="Calculation 2 3 3 12" xfId="6987" xr:uid="{00000000-0005-0000-0000-00007D070000}"/>
    <cellStyle name="Calculation 2 3 3 13" xfId="26410" xr:uid="{3948EED8-E27D-47E5-AA38-735504C46D0D}"/>
    <cellStyle name="Calculation 2 3 3 14" xfId="26808" xr:uid="{4C51C94F-ECA1-4211-A546-5FFAC8BD89D8}"/>
    <cellStyle name="Calculation 2 3 3 15" xfId="28225" xr:uid="{6EAB51A6-9796-4B8D-91C9-D4FB0DB4D863}"/>
    <cellStyle name="Calculation 2 3 3 16" xfId="30801" xr:uid="{56EEAD0A-8EB5-4047-9985-53FAB22F1B21}"/>
    <cellStyle name="Calculation 2 3 3 2" xfId="918" xr:uid="{00000000-0005-0000-0000-00007E070000}"/>
    <cellStyle name="Calculation 2 3 3 2 2" xfId="3054" xr:uid="{00000000-0005-0000-0000-00007F070000}"/>
    <cellStyle name="Calculation 2 3 3 2 2 2" xfId="9650" xr:uid="{00000000-0005-0000-0000-000080070000}"/>
    <cellStyle name="Calculation 2 3 3 2 2 3" xfId="16269" xr:uid="{00000000-0005-0000-0000-000081070000}"/>
    <cellStyle name="Calculation 2 3 3 2 3" xfId="5089" xr:uid="{00000000-0005-0000-0000-000082070000}"/>
    <cellStyle name="Calculation 2 3 3 2 3 2" xfId="11685" xr:uid="{00000000-0005-0000-0000-000083070000}"/>
    <cellStyle name="Calculation 2 3 3 2 3 3" xfId="18304" xr:uid="{00000000-0005-0000-0000-000084070000}"/>
    <cellStyle name="Calculation 2 3 3 2 4" xfId="7515" xr:uid="{00000000-0005-0000-0000-000085070000}"/>
    <cellStyle name="Calculation 2 3 3 2 5" xfId="14133" xr:uid="{00000000-0005-0000-0000-000086070000}"/>
    <cellStyle name="Calculation 2 3 3 2 6" xfId="26347" xr:uid="{4C04565F-8610-4F91-AA90-116F63D01FD9}"/>
    <cellStyle name="Calculation 2 3 3 2 7" xfId="26752" xr:uid="{5C197839-7786-4C56-A683-F242F4CF001F}"/>
    <cellStyle name="Calculation 2 3 3 2 8" xfId="30080" xr:uid="{894C4ECE-AC53-444B-B5CC-C96BD0FD6652}"/>
    <cellStyle name="Calculation 2 3 3 2 9" xfId="31512" xr:uid="{C3009016-6D0B-407E-86DF-4252848F4C0C}"/>
    <cellStyle name="Calculation 2 3 3 3" xfId="1203" xr:uid="{00000000-0005-0000-0000-000087070000}"/>
    <cellStyle name="Calculation 2 3 3 3 2" xfId="3339" xr:uid="{00000000-0005-0000-0000-000088070000}"/>
    <cellStyle name="Calculation 2 3 3 3 2 2" xfId="9935" xr:uid="{00000000-0005-0000-0000-000089070000}"/>
    <cellStyle name="Calculation 2 3 3 3 2 3" xfId="16554" xr:uid="{00000000-0005-0000-0000-00008A070000}"/>
    <cellStyle name="Calculation 2 3 3 3 3" xfId="5374" xr:uid="{00000000-0005-0000-0000-00008B070000}"/>
    <cellStyle name="Calculation 2 3 3 3 3 2" xfId="11970" xr:uid="{00000000-0005-0000-0000-00008C070000}"/>
    <cellStyle name="Calculation 2 3 3 3 3 3" xfId="18589" xr:uid="{00000000-0005-0000-0000-00008D070000}"/>
    <cellStyle name="Calculation 2 3 3 3 4" xfId="7799" xr:uid="{00000000-0005-0000-0000-00008E070000}"/>
    <cellStyle name="Calculation 2 3 3 3 5" xfId="14418" xr:uid="{00000000-0005-0000-0000-00008F070000}"/>
    <cellStyle name="Calculation 2 3 3 4" xfId="1485" xr:uid="{00000000-0005-0000-0000-000090070000}"/>
    <cellStyle name="Calculation 2 3 3 4 2" xfId="3621" xr:uid="{00000000-0005-0000-0000-000091070000}"/>
    <cellStyle name="Calculation 2 3 3 4 2 2" xfId="10217" xr:uid="{00000000-0005-0000-0000-000092070000}"/>
    <cellStyle name="Calculation 2 3 3 4 2 3" xfId="16836" xr:uid="{00000000-0005-0000-0000-000093070000}"/>
    <cellStyle name="Calculation 2 3 3 4 3" xfId="5656" xr:uid="{00000000-0005-0000-0000-000094070000}"/>
    <cellStyle name="Calculation 2 3 3 4 3 2" xfId="12252" xr:uid="{00000000-0005-0000-0000-000095070000}"/>
    <cellStyle name="Calculation 2 3 3 4 3 3" xfId="18871" xr:uid="{00000000-0005-0000-0000-000096070000}"/>
    <cellStyle name="Calculation 2 3 3 4 4" xfId="8081" xr:uid="{00000000-0005-0000-0000-000097070000}"/>
    <cellStyle name="Calculation 2 3 3 4 5" xfId="14700" xr:uid="{00000000-0005-0000-0000-000098070000}"/>
    <cellStyle name="Calculation 2 3 3 5" xfId="1766" xr:uid="{00000000-0005-0000-0000-000099070000}"/>
    <cellStyle name="Calculation 2 3 3 5 2" xfId="3902" xr:uid="{00000000-0005-0000-0000-00009A070000}"/>
    <cellStyle name="Calculation 2 3 3 5 2 2" xfId="10498" xr:uid="{00000000-0005-0000-0000-00009B070000}"/>
    <cellStyle name="Calculation 2 3 3 5 2 3" xfId="17117" xr:uid="{00000000-0005-0000-0000-00009C070000}"/>
    <cellStyle name="Calculation 2 3 3 5 3" xfId="5937" xr:uid="{00000000-0005-0000-0000-00009D070000}"/>
    <cellStyle name="Calculation 2 3 3 5 3 2" xfId="12533" xr:uid="{00000000-0005-0000-0000-00009E070000}"/>
    <cellStyle name="Calculation 2 3 3 5 3 3" xfId="19152" xr:uid="{00000000-0005-0000-0000-00009F070000}"/>
    <cellStyle name="Calculation 2 3 3 5 4" xfId="8362" xr:uid="{00000000-0005-0000-0000-0000A0070000}"/>
    <cellStyle name="Calculation 2 3 3 5 5" xfId="14981" xr:uid="{00000000-0005-0000-0000-0000A1070000}"/>
    <cellStyle name="Calculation 2 3 3 6" xfId="2045" xr:uid="{00000000-0005-0000-0000-0000A2070000}"/>
    <cellStyle name="Calculation 2 3 3 6 2" xfId="4181" xr:uid="{00000000-0005-0000-0000-0000A3070000}"/>
    <cellStyle name="Calculation 2 3 3 6 2 2" xfId="10777" xr:uid="{00000000-0005-0000-0000-0000A4070000}"/>
    <cellStyle name="Calculation 2 3 3 6 2 3" xfId="17396" xr:uid="{00000000-0005-0000-0000-0000A5070000}"/>
    <cellStyle name="Calculation 2 3 3 6 3" xfId="6216" xr:uid="{00000000-0005-0000-0000-0000A6070000}"/>
    <cellStyle name="Calculation 2 3 3 6 3 2" xfId="12812" xr:uid="{00000000-0005-0000-0000-0000A7070000}"/>
    <cellStyle name="Calculation 2 3 3 6 3 3" xfId="19431" xr:uid="{00000000-0005-0000-0000-0000A8070000}"/>
    <cellStyle name="Calculation 2 3 3 6 4" xfId="8641" xr:uid="{00000000-0005-0000-0000-0000A9070000}"/>
    <cellStyle name="Calculation 2 3 3 6 5" xfId="15260" xr:uid="{00000000-0005-0000-0000-0000AA070000}"/>
    <cellStyle name="Calculation 2 3 3 7" xfId="2320" xr:uid="{00000000-0005-0000-0000-0000AB070000}"/>
    <cellStyle name="Calculation 2 3 3 7 2" xfId="4456" xr:uid="{00000000-0005-0000-0000-0000AC070000}"/>
    <cellStyle name="Calculation 2 3 3 7 2 2" xfId="11052" xr:uid="{00000000-0005-0000-0000-0000AD070000}"/>
    <cellStyle name="Calculation 2 3 3 7 2 3" xfId="17671" xr:uid="{00000000-0005-0000-0000-0000AE070000}"/>
    <cellStyle name="Calculation 2 3 3 7 3" xfId="6491" xr:uid="{00000000-0005-0000-0000-0000AF070000}"/>
    <cellStyle name="Calculation 2 3 3 7 3 2" xfId="13087" xr:uid="{00000000-0005-0000-0000-0000B0070000}"/>
    <cellStyle name="Calculation 2 3 3 7 3 3" xfId="19706" xr:uid="{00000000-0005-0000-0000-0000B1070000}"/>
    <cellStyle name="Calculation 2 3 3 7 4" xfId="8916" xr:uid="{00000000-0005-0000-0000-0000B2070000}"/>
    <cellStyle name="Calculation 2 3 3 7 5" xfId="15535" xr:uid="{00000000-0005-0000-0000-0000B3070000}"/>
    <cellStyle name="Calculation 2 3 3 8" xfId="2886" xr:uid="{00000000-0005-0000-0000-0000B4070000}"/>
    <cellStyle name="Calculation 2 3 3 8 2" xfId="9482" xr:uid="{00000000-0005-0000-0000-0000B5070000}"/>
    <cellStyle name="Calculation 2 3 3 8 3" xfId="16101" xr:uid="{00000000-0005-0000-0000-0000B6070000}"/>
    <cellStyle name="Calculation 2 3 3 9" xfId="4921" xr:uid="{00000000-0005-0000-0000-0000B7070000}"/>
    <cellStyle name="Calculation 2 3 3 9 2" xfId="11517" xr:uid="{00000000-0005-0000-0000-0000B8070000}"/>
    <cellStyle name="Calculation 2 3 3 9 3" xfId="18136" xr:uid="{00000000-0005-0000-0000-0000B9070000}"/>
    <cellStyle name="Calculation 2 3 3_Summary" xfId="20126" xr:uid="{00000000-0005-0000-0000-0000BA070000}"/>
    <cellStyle name="Calculation 2 3 4" xfId="365" xr:uid="{00000000-0005-0000-0000-0000BB070000}"/>
    <cellStyle name="Calculation 2 3 4 10" xfId="702" xr:uid="{00000000-0005-0000-0000-0000BC070000}"/>
    <cellStyle name="Calculation 2 3 4 10 2" xfId="13917" xr:uid="{00000000-0005-0000-0000-0000BD070000}"/>
    <cellStyle name="Calculation 2 3 4 11" xfId="7258" xr:uid="{00000000-0005-0000-0000-0000BE070000}"/>
    <cellStyle name="Calculation 2 3 4 12" xfId="13580" xr:uid="{00000000-0005-0000-0000-0000BF070000}"/>
    <cellStyle name="Calculation 2 3 4 13" xfId="30078" xr:uid="{9A2400E9-7970-48B4-AE3B-CF3CFFC7EB29}"/>
    <cellStyle name="Calculation 2 3 4 14" xfId="31510" xr:uid="{7D310316-1891-4D1E-8119-7445E01D57FF}"/>
    <cellStyle name="Calculation 2 3 4 2" xfId="1059" xr:uid="{00000000-0005-0000-0000-0000C0070000}"/>
    <cellStyle name="Calculation 2 3 4 2 2" xfId="3195" xr:uid="{00000000-0005-0000-0000-0000C1070000}"/>
    <cellStyle name="Calculation 2 3 4 2 2 2" xfId="9791" xr:uid="{00000000-0005-0000-0000-0000C2070000}"/>
    <cellStyle name="Calculation 2 3 4 2 2 3" xfId="16410" xr:uid="{00000000-0005-0000-0000-0000C3070000}"/>
    <cellStyle name="Calculation 2 3 4 2 3" xfId="5230" xr:uid="{00000000-0005-0000-0000-0000C4070000}"/>
    <cellStyle name="Calculation 2 3 4 2 3 2" xfId="11826" xr:uid="{00000000-0005-0000-0000-0000C5070000}"/>
    <cellStyle name="Calculation 2 3 4 2 3 3" xfId="18445" xr:uid="{00000000-0005-0000-0000-0000C6070000}"/>
    <cellStyle name="Calculation 2 3 4 2 4" xfId="7656" xr:uid="{00000000-0005-0000-0000-0000C7070000}"/>
    <cellStyle name="Calculation 2 3 4 2 5" xfId="14274" xr:uid="{00000000-0005-0000-0000-0000C8070000}"/>
    <cellStyle name="Calculation 2 3 4 3" xfId="1341" xr:uid="{00000000-0005-0000-0000-0000C9070000}"/>
    <cellStyle name="Calculation 2 3 4 3 2" xfId="3477" xr:uid="{00000000-0005-0000-0000-0000CA070000}"/>
    <cellStyle name="Calculation 2 3 4 3 2 2" xfId="10073" xr:uid="{00000000-0005-0000-0000-0000CB070000}"/>
    <cellStyle name="Calculation 2 3 4 3 2 3" xfId="16692" xr:uid="{00000000-0005-0000-0000-0000CC070000}"/>
    <cellStyle name="Calculation 2 3 4 3 3" xfId="5512" xr:uid="{00000000-0005-0000-0000-0000CD070000}"/>
    <cellStyle name="Calculation 2 3 4 3 3 2" xfId="12108" xr:uid="{00000000-0005-0000-0000-0000CE070000}"/>
    <cellStyle name="Calculation 2 3 4 3 3 3" xfId="18727" xr:uid="{00000000-0005-0000-0000-0000CF070000}"/>
    <cellStyle name="Calculation 2 3 4 3 4" xfId="7937" xr:uid="{00000000-0005-0000-0000-0000D0070000}"/>
    <cellStyle name="Calculation 2 3 4 3 5" xfId="14556" xr:uid="{00000000-0005-0000-0000-0000D1070000}"/>
    <cellStyle name="Calculation 2 3 4 4" xfId="1622" xr:uid="{00000000-0005-0000-0000-0000D2070000}"/>
    <cellStyle name="Calculation 2 3 4 4 2" xfId="3758" xr:uid="{00000000-0005-0000-0000-0000D3070000}"/>
    <cellStyle name="Calculation 2 3 4 4 2 2" xfId="10354" xr:uid="{00000000-0005-0000-0000-0000D4070000}"/>
    <cellStyle name="Calculation 2 3 4 4 2 3" xfId="16973" xr:uid="{00000000-0005-0000-0000-0000D5070000}"/>
    <cellStyle name="Calculation 2 3 4 4 3" xfId="5793" xr:uid="{00000000-0005-0000-0000-0000D6070000}"/>
    <cellStyle name="Calculation 2 3 4 4 3 2" xfId="12389" xr:uid="{00000000-0005-0000-0000-0000D7070000}"/>
    <cellStyle name="Calculation 2 3 4 4 3 3" xfId="19008" xr:uid="{00000000-0005-0000-0000-0000D8070000}"/>
    <cellStyle name="Calculation 2 3 4 4 4" xfId="8218" xr:uid="{00000000-0005-0000-0000-0000D9070000}"/>
    <cellStyle name="Calculation 2 3 4 4 5" xfId="14837" xr:uid="{00000000-0005-0000-0000-0000DA070000}"/>
    <cellStyle name="Calculation 2 3 4 5" xfId="1901" xr:uid="{00000000-0005-0000-0000-0000DB070000}"/>
    <cellStyle name="Calculation 2 3 4 5 2" xfId="4037" xr:uid="{00000000-0005-0000-0000-0000DC070000}"/>
    <cellStyle name="Calculation 2 3 4 5 2 2" xfId="10633" xr:uid="{00000000-0005-0000-0000-0000DD070000}"/>
    <cellStyle name="Calculation 2 3 4 5 2 3" xfId="17252" xr:uid="{00000000-0005-0000-0000-0000DE070000}"/>
    <cellStyle name="Calculation 2 3 4 5 3" xfId="6072" xr:uid="{00000000-0005-0000-0000-0000DF070000}"/>
    <cellStyle name="Calculation 2 3 4 5 3 2" xfId="12668" xr:uid="{00000000-0005-0000-0000-0000E0070000}"/>
    <cellStyle name="Calculation 2 3 4 5 3 3" xfId="19287" xr:uid="{00000000-0005-0000-0000-0000E1070000}"/>
    <cellStyle name="Calculation 2 3 4 5 4" xfId="8497" xr:uid="{00000000-0005-0000-0000-0000E2070000}"/>
    <cellStyle name="Calculation 2 3 4 5 5" xfId="15116" xr:uid="{00000000-0005-0000-0000-0000E3070000}"/>
    <cellStyle name="Calculation 2 3 4 6" xfId="2176" xr:uid="{00000000-0005-0000-0000-0000E4070000}"/>
    <cellStyle name="Calculation 2 3 4 6 2" xfId="4312" xr:uid="{00000000-0005-0000-0000-0000E5070000}"/>
    <cellStyle name="Calculation 2 3 4 6 2 2" xfId="10908" xr:uid="{00000000-0005-0000-0000-0000E6070000}"/>
    <cellStyle name="Calculation 2 3 4 6 2 3" xfId="17527" xr:uid="{00000000-0005-0000-0000-0000E7070000}"/>
    <cellStyle name="Calculation 2 3 4 6 3" xfId="6347" xr:uid="{00000000-0005-0000-0000-0000E8070000}"/>
    <cellStyle name="Calculation 2 3 4 6 3 2" xfId="12943" xr:uid="{00000000-0005-0000-0000-0000E9070000}"/>
    <cellStyle name="Calculation 2 3 4 6 3 3" xfId="19562" xr:uid="{00000000-0005-0000-0000-0000EA070000}"/>
    <cellStyle name="Calculation 2 3 4 6 4" xfId="8772" xr:uid="{00000000-0005-0000-0000-0000EB070000}"/>
    <cellStyle name="Calculation 2 3 4 6 5" xfId="15391" xr:uid="{00000000-0005-0000-0000-0000EC070000}"/>
    <cellStyle name="Calculation 2 3 4 7" xfId="2449" xr:uid="{00000000-0005-0000-0000-0000ED070000}"/>
    <cellStyle name="Calculation 2 3 4 7 2" xfId="4585" xr:uid="{00000000-0005-0000-0000-0000EE070000}"/>
    <cellStyle name="Calculation 2 3 4 7 2 2" xfId="11181" xr:uid="{00000000-0005-0000-0000-0000EF070000}"/>
    <cellStyle name="Calculation 2 3 4 7 2 3" xfId="17800" xr:uid="{00000000-0005-0000-0000-0000F0070000}"/>
    <cellStyle name="Calculation 2 3 4 7 3" xfId="6620" xr:uid="{00000000-0005-0000-0000-0000F1070000}"/>
    <cellStyle name="Calculation 2 3 4 7 3 2" xfId="13216" xr:uid="{00000000-0005-0000-0000-0000F2070000}"/>
    <cellStyle name="Calculation 2 3 4 7 3 3" xfId="19835" xr:uid="{00000000-0005-0000-0000-0000F3070000}"/>
    <cellStyle name="Calculation 2 3 4 7 4" xfId="9045" xr:uid="{00000000-0005-0000-0000-0000F4070000}"/>
    <cellStyle name="Calculation 2 3 4 7 5" xfId="15664" xr:uid="{00000000-0005-0000-0000-0000F5070000}"/>
    <cellStyle name="Calculation 2 3 4 8" xfId="2838" xr:uid="{00000000-0005-0000-0000-0000F6070000}"/>
    <cellStyle name="Calculation 2 3 4 8 2" xfId="9434" xr:uid="{00000000-0005-0000-0000-0000F7070000}"/>
    <cellStyle name="Calculation 2 3 4 8 3" xfId="16053" xr:uid="{00000000-0005-0000-0000-0000F8070000}"/>
    <cellStyle name="Calculation 2 3 4 9" xfId="4873" xr:uid="{00000000-0005-0000-0000-0000F9070000}"/>
    <cellStyle name="Calculation 2 3 4 9 2" xfId="11469" xr:uid="{00000000-0005-0000-0000-0000FA070000}"/>
    <cellStyle name="Calculation 2 3 4 9 3" xfId="18088" xr:uid="{00000000-0005-0000-0000-0000FB070000}"/>
    <cellStyle name="Calculation 2 3 4_Summary" xfId="20127" xr:uid="{00000000-0005-0000-0000-0000FC070000}"/>
    <cellStyle name="Calculation 2 3 5" xfId="869" xr:uid="{00000000-0005-0000-0000-0000FD070000}"/>
    <cellStyle name="Calculation 2 3 5 2" xfId="3005" xr:uid="{00000000-0005-0000-0000-0000FE070000}"/>
    <cellStyle name="Calculation 2 3 5 2 2" xfId="9601" xr:uid="{00000000-0005-0000-0000-0000FF070000}"/>
    <cellStyle name="Calculation 2 3 5 2 3" xfId="16220" xr:uid="{00000000-0005-0000-0000-000000080000}"/>
    <cellStyle name="Calculation 2 3 5 3" xfId="5040" xr:uid="{00000000-0005-0000-0000-000001080000}"/>
    <cellStyle name="Calculation 2 3 5 3 2" xfId="11636" xr:uid="{00000000-0005-0000-0000-000002080000}"/>
    <cellStyle name="Calculation 2 3 5 3 3" xfId="18255" xr:uid="{00000000-0005-0000-0000-000003080000}"/>
    <cellStyle name="Calculation 2 3 5 4" xfId="7466" xr:uid="{00000000-0005-0000-0000-000004080000}"/>
    <cellStyle name="Calculation 2 3 5 5" xfId="14084" xr:uid="{00000000-0005-0000-0000-000005080000}"/>
    <cellStyle name="Calculation 2 3 6" xfId="611" xr:uid="{00000000-0005-0000-0000-000006080000}"/>
    <cellStyle name="Calculation 2 3 6 2" xfId="2747" xr:uid="{00000000-0005-0000-0000-000007080000}"/>
    <cellStyle name="Calculation 2 3 6 2 2" xfId="9343" xr:uid="{00000000-0005-0000-0000-000008080000}"/>
    <cellStyle name="Calculation 2 3 6 2 3" xfId="15962" xr:uid="{00000000-0005-0000-0000-000009080000}"/>
    <cellStyle name="Calculation 2 3 6 3" xfId="4782" xr:uid="{00000000-0005-0000-0000-00000A080000}"/>
    <cellStyle name="Calculation 2 3 6 3 2" xfId="11378" xr:uid="{00000000-0005-0000-0000-00000B080000}"/>
    <cellStyle name="Calculation 2 3 6 3 3" xfId="17997" xr:uid="{00000000-0005-0000-0000-00000C080000}"/>
    <cellStyle name="Calculation 2 3 6 4" xfId="7383" xr:uid="{00000000-0005-0000-0000-00000D080000}"/>
    <cellStyle name="Calculation 2 3 6 5" xfId="13826" xr:uid="{00000000-0005-0000-0000-00000E080000}"/>
    <cellStyle name="Calculation 2 3 7" xfId="740" xr:uid="{00000000-0005-0000-0000-00000F080000}"/>
    <cellStyle name="Calculation 2 3 7 2" xfId="2876" xr:uid="{00000000-0005-0000-0000-000010080000}"/>
    <cellStyle name="Calculation 2 3 7 2 2" xfId="9472" xr:uid="{00000000-0005-0000-0000-000011080000}"/>
    <cellStyle name="Calculation 2 3 7 2 3" xfId="16091" xr:uid="{00000000-0005-0000-0000-000012080000}"/>
    <cellStyle name="Calculation 2 3 7 3" xfId="4911" xr:uid="{00000000-0005-0000-0000-000013080000}"/>
    <cellStyle name="Calculation 2 3 7 3 2" xfId="11507" xr:uid="{00000000-0005-0000-0000-000014080000}"/>
    <cellStyle name="Calculation 2 3 7 3 3" xfId="18126" xr:uid="{00000000-0005-0000-0000-000015080000}"/>
    <cellStyle name="Calculation 2 3 7 4" xfId="7451" xr:uid="{00000000-0005-0000-0000-000016080000}"/>
    <cellStyle name="Calculation 2 3 7 5" xfId="13955" xr:uid="{00000000-0005-0000-0000-000017080000}"/>
    <cellStyle name="Calculation 2 3 8" xfId="595" xr:uid="{00000000-0005-0000-0000-000018080000}"/>
    <cellStyle name="Calculation 2 3 8 2" xfId="2731" xr:uid="{00000000-0005-0000-0000-000019080000}"/>
    <cellStyle name="Calculation 2 3 8 2 2" xfId="9327" xr:uid="{00000000-0005-0000-0000-00001A080000}"/>
    <cellStyle name="Calculation 2 3 8 2 3" xfId="15946" xr:uid="{00000000-0005-0000-0000-00001B080000}"/>
    <cellStyle name="Calculation 2 3 8 3" xfId="4766" xr:uid="{00000000-0005-0000-0000-00001C080000}"/>
    <cellStyle name="Calculation 2 3 8 3 2" xfId="11362" xr:uid="{00000000-0005-0000-0000-00001D080000}"/>
    <cellStyle name="Calculation 2 3 8 3 3" xfId="17981" xr:uid="{00000000-0005-0000-0000-00001E080000}"/>
    <cellStyle name="Calculation 2 3 8 4" xfId="7367" xr:uid="{00000000-0005-0000-0000-00001F080000}"/>
    <cellStyle name="Calculation 2 3 8 5" xfId="13810" xr:uid="{00000000-0005-0000-0000-000020080000}"/>
    <cellStyle name="Calculation 2 3 9" xfId="644" xr:uid="{00000000-0005-0000-0000-000021080000}"/>
    <cellStyle name="Calculation 2 3 9 2" xfId="2780" xr:uid="{00000000-0005-0000-0000-000022080000}"/>
    <cellStyle name="Calculation 2 3 9 2 2" xfId="9376" xr:uid="{00000000-0005-0000-0000-000023080000}"/>
    <cellStyle name="Calculation 2 3 9 2 3" xfId="15995" xr:uid="{00000000-0005-0000-0000-000024080000}"/>
    <cellStyle name="Calculation 2 3 9 3" xfId="4815" xr:uid="{00000000-0005-0000-0000-000025080000}"/>
    <cellStyle name="Calculation 2 3 9 3 2" xfId="11411" xr:uid="{00000000-0005-0000-0000-000026080000}"/>
    <cellStyle name="Calculation 2 3 9 3 3" xfId="18030" xr:uid="{00000000-0005-0000-0000-000027080000}"/>
    <cellStyle name="Calculation 2 3 9 4" xfId="7416" xr:uid="{00000000-0005-0000-0000-000028080000}"/>
    <cellStyle name="Calculation 2 3 9 5" xfId="13859" xr:uid="{00000000-0005-0000-0000-000029080000}"/>
    <cellStyle name="Calculation 2 3_Summary" xfId="20123" xr:uid="{00000000-0005-0000-0000-00002A080000}"/>
    <cellStyle name="Calculation 2 30" xfId="6781" xr:uid="{00000000-0005-0000-0000-00002B080000}"/>
    <cellStyle name="Calculation 2 30 2" xfId="13377" xr:uid="{00000000-0005-0000-0000-00002C080000}"/>
    <cellStyle name="Calculation 2 30 3" xfId="19996" xr:uid="{00000000-0005-0000-0000-00002D080000}"/>
    <cellStyle name="Calculation 2 31" xfId="6784" xr:uid="{00000000-0005-0000-0000-00002E080000}"/>
    <cellStyle name="Calculation 2 31 2" xfId="13380" xr:uid="{00000000-0005-0000-0000-00002F080000}"/>
    <cellStyle name="Calculation 2 31 3" xfId="19999" xr:uid="{00000000-0005-0000-0000-000030080000}"/>
    <cellStyle name="Calculation 2 32" xfId="6782" xr:uid="{00000000-0005-0000-0000-000031080000}"/>
    <cellStyle name="Calculation 2 32 2" xfId="13378" xr:uid="{00000000-0005-0000-0000-000032080000}"/>
    <cellStyle name="Calculation 2 32 3" xfId="19997" xr:uid="{00000000-0005-0000-0000-000033080000}"/>
    <cellStyle name="Calculation 2 33" xfId="6803" xr:uid="{00000000-0005-0000-0000-000034080000}"/>
    <cellStyle name="Calculation 2 33 2" xfId="13399" xr:uid="{00000000-0005-0000-0000-000035080000}"/>
    <cellStyle name="Calculation 2 33 3" xfId="20018" xr:uid="{00000000-0005-0000-0000-000036080000}"/>
    <cellStyle name="Calculation 2 34" xfId="6920" xr:uid="{00000000-0005-0000-0000-000037080000}"/>
    <cellStyle name="Calculation 2 34 2" xfId="13440" xr:uid="{00000000-0005-0000-0000-000038080000}"/>
    <cellStyle name="Calculation 2 34 3" xfId="20047" xr:uid="{00000000-0005-0000-0000-000039080000}"/>
    <cellStyle name="Calculation 2 35" xfId="6918" xr:uid="{00000000-0005-0000-0000-00003A080000}"/>
    <cellStyle name="Calculation 2 35 2" xfId="13438" xr:uid="{00000000-0005-0000-0000-00003B080000}"/>
    <cellStyle name="Calculation 2 35 3" xfId="20045" xr:uid="{00000000-0005-0000-0000-00003C080000}"/>
    <cellStyle name="Calculation 2 36" xfId="6888" xr:uid="{00000000-0005-0000-0000-00003D080000}"/>
    <cellStyle name="Calculation 2 36 2" xfId="13417" xr:uid="{00000000-0005-0000-0000-00003E080000}"/>
    <cellStyle name="Calculation 2 36 3" xfId="20024" xr:uid="{00000000-0005-0000-0000-00003F080000}"/>
    <cellStyle name="Calculation 2 37" xfId="6905" xr:uid="{00000000-0005-0000-0000-000040080000}"/>
    <cellStyle name="Calculation 2 37 2" xfId="13425" xr:uid="{00000000-0005-0000-0000-000041080000}"/>
    <cellStyle name="Calculation 2 37 3" xfId="20032" xr:uid="{00000000-0005-0000-0000-000042080000}"/>
    <cellStyle name="Calculation 2 38" xfId="6919" xr:uid="{00000000-0005-0000-0000-000043080000}"/>
    <cellStyle name="Calculation 2 38 2" xfId="13439" xr:uid="{00000000-0005-0000-0000-000044080000}"/>
    <cellStyle name="Calculation 2 38 3" xfId="20046" xr:uid="{00000000-0005-0000-0000-000045080000}"/>
    <cellStyle name="Calculation 2 39" xfId="6921" xr:uid="{00000000-0005-0000-0000-000046080000}"/>
    <cellStyle name="Calculation 2 39 2" xfId="13441" xr:uid="{00000000-0005-0000-0000-000047080000}"/>
    <cellStyle name="Calculation 2 39 3" xfId="20048" xr:uid="{00000000-0005-0000-0000-000048080000}"/>
    <cellStyle name="Calculation 2 4" xfId="145" xr:uid="{00000000-0005-0000-0000-000049080000}"/>
    <cellStyle name="Calculation 2 4 10" xfId="701" xr:uid="{00000000-0005-0000-0000-00004A080000}"/>
    <cellStyle name="Calculation 2 4 10 2" xfId="2837" xr:uid="{00000000-0005-0000-0000-00004B080000}"/>
    <cellStyle name="Calculation 2 4 10 2 2" xfId="9433" xr:uid="{00000000-0005-0000-0000-00004C080000}"/>
    <cellStyle name="Calculation 2 4 10 2 3" xfId="16052" xr:uid="{00000000-0005-0000-0000-00004D080000}"/>
    <cellStyle name="Calculation 2 4 10 3" xfId="4872" xr:uid="{00000000-0005-0000-0000-00004E080000}"/>
    <cellStyle name="Calculation 2 4 10 3 2" xfId="11468" xr:uid="{00000000-0005-0000-0000-00004F080000}"/>
    <cellStyle name="Calculation 2 4 10 3 3" xfId="18087" xr:uid="{00000000-0005-0000-0000-000050080000}"/>
    <cellStyle name="Calculation 2 4 10 4" xfId="7450" xr:uid="{00000000-0005-0000-0000-000051080000}"/>
    <cellStyle name="Calculation 2 4 10 5" xfId="13916" xr:uid="{00000000-0005-0000-0000-000052080000}"/>
    <cellStyle name="Calculation 2 4 11" xfId="2588" xr:uid="{00000000-0005-0000-0000-000053080000}"/>
    <cellStyle name="Calculation 2 4 11 2" xfId="9184" xr:uid="{00000000-0005-0000-0000-000054080000}"/>
    <cellStyle name="Calculation 2 4 11 3" xfId="15803" xr:uid="{00000000-0005-0000-0000-000055080000}"/>
    <cellStyle name="Calculation 2 4 12" xfId="2631" xr:uid="{00000000-0005-0000-0000-000056080000}"/>
    <cellStyle name="Calculation 2 4 12 2" xfId="9227" xr:uid="{00000000-0005-0000-0000-000057080000}"/>
    <cellStyle name="Calculation 2 4 12 3" xfId="15846" xr:uid="{00000000-0005-0000-0000-000058080000}"/>
    <cellStyle name="Calculation 2 4 13" xfId="480" xr:uid="{00000000-0005-0000-0000-000059080000}"/>
    <cellStyle name="Calculation 2 4 13 2" xfId="13695" xr:uid="{00000000-0005-0000-0000-00005A080000}"/>
    <cellStyle name="Calculation 2 4 14" xfId="7059" xr:uid="{00000000-0005-0000-0000-00005B080000}"/>
    <cellStyle name="Calculation 2 4 15" xfId="6975" xr:uid="{00000000-0005-0000-0000-00005C080000}"/>
    <cellStyle name="Calculation 2 4 16" xfId="26079" xr:uid="{F6C20ACB-4FB7-4B20-BF10-CD923C4B1ABC}"/>
    <cellStyle name="Calculation 2 4 17" xfId="26634" xr:uid="{21129407-0742-4086-AA1E-C0C297E46ED4}"/>
    <cellStyle name="Calculation 2 4 18" xfId="30802" xr:uid="{14E20751-18DE-4A9F-8B2C-563A62BDD5CD}"/>
    <cellStyle name="Calculation 2 4 2" xfId="294" xr:uid="{00000000-0005-0000-0000-00005D080000}"/>
    <cellStyle name="Calculation 2 4 2 10" xfId="4715" xr:uid="{00000000-0005-0000-0000-00005E080000}"/>
    <cellStyle name="Calculation 2 4 2 10 2" xfId="11311" xr:uid="{00000000-0005-0000-0000-00005F080000}"/>
    <cellStyle name="Calculation 2 4 2 10 3" xfId="17930" xr:uid="{00000000-0005-0000-0000-000060080000}"/>
    <cellStyle name="Calculation 2 4 2 11" xfId="544" xr:uid="{00000000-0005-0000-0000-000061080000}"/>
    <cellStyle name="Calculation 2 4 2 11 2" xfId="13759" xr:uid="{00000000-0005-0000-0000-000062080000}"/>
    <cellStyle name="Calculation 2 4 2 12" xfId="7188" xr:uid="{00000000-0005-0000-0000-000063080000}"/>
    <cellStyle name="Calculation 2 4 2 13" xfId="13510" xr:uid="{00000000-0005-0000-0000-000064080000}"/>
    <cellStyle name="Calculation 2 4 2 14" xfId="26278" xr:uid="{E53CC676-E003-4940-9348-4C3E51DF3834}"/>
    <cellStyle name="Calculation 2 4 2 15" xfId="26694" xr:uid="{D240777F-78A2-4BC0-99F1-F1F97538D56E}"/>
    <cellStyle name="Calculation 2 4 2 16" xfId="30803" xr:uid="{7D43882C-9A63-4F44-BFF2-DAF3C3F77377}"/>
    <cellStyle name="Calculation 2 4 2 2" xfId="423" xr:uid="{00000000-0005-0000-0000-000065080000}"/>
    <cellStyle name="Calculation 2 4 2 2 10" xfId="817" xr:uid="{00000000-0005-0000-0000-000066080000}"/>
    <cellStyle name="Calculation 2 4 2 2 10 2" xfId="14032" xr:uid="{00000000-0005-0000-0000-000067080000}"/>
    <cellStyle name="Calculation 2 4 2 2 11" xfId="7316" xr:uid="{00000000-0005-0000-0000-000068080000}"/>
    <cellStyle name="Calculation 2 4 2 2 12" xfId="13638" xr:uid="{00000000-0005-0000-0000-000069080000}"/>
    <cellStyle name="Calculation 2 4 2 2 13" xfId="26423" xr:uid="{58EFE04C-A77C-426B-A891-30494B745B50}"/>
    <cellStyle name="Calculation 2 4 2 2 14" xfId="26821" xr:uid="{8141C7A9-12B2-4813-86CD-948988C7C2E8}"/>
    <cellStyle name="Calculation 2 4 2 2 15" xfId="30082" xr:uid="{A62AC448-9FF4-4318-A5FF-7A4D9B0EA79F}"/>
    <cellStyle name="Calculation 2 4 2 2 16" xfId="31514" xr:uid="{406A68AD-2D0D-4E93-B763-70EDCD0AD3C6}"/>
    <cellStyle name="Calculation 2 4 2 2 2" xfId="1117" xr:uid="{00000000-0005-0000-0000-00006A080000}"/>
    <cellStyle name="Calculation 2 4 2 2 2 2" xfId="3253" xr:uid="{00000000-0005-0000-0000-00006B080000}"/>
    <cellStyle name="Calculation 2 4 2 2 2 2 2" xfId="9849" xr:uid="{00000000-0005-0000-0000-00006C080000}"/>
    <cellStyle name="Calculation 2 4 2 2 2 2 3" xfId="16468" xr:uid="{00000000-0005-0000-0000-00006D080000}"/>
    <cellStyle name="Calculation 2 4 2 2 2 3" xfId="5288" xr:uid="{00000000-0005-0000-0000-00006E080000}"/>
    <cellStyle name="Calculation 2 4 2 2 2 3 2" xfId="11884" xr:uid="{00000000-0005-0000-0000-00006F080000}"/>
    <cellStyle name="Calculation 2 4 2 2 2 3 3" xfId="18503" xr:uid="{00000000-0005-0000-0000-000070080000}"/>
    <cellStyle name="Calculation 2 4 2 2 2 4" xfId="7713" xr:uid="{00000000-0005-0000-0000-000071080000}"/>
    <cellStyle name="Calculation 2 4 2 2 2 5" xfId="14332" xr:uid="{00000000-0005-0000-0000-000072080000}"/>
    <cellStyle name="Calculation 2 4 2 2 2 6" xfId="26358" xr:uid="{F283F92A-A79E-4C5B-BA1A-576B1FC6342C}"/>
    <cellStyle name="Calculation 2 4 2 2 2 7" xfId="26762" xr:uid="{3B124668-42EA-4C2A-B564-DE57D8B4898B}"/>
    <cellStyle name="Calculation 2 4 2 2 3" xfId="1399" xr:uid="{00000000-0005-0000-0000-000073080000}"/>
    <cellStyle name="Calculation 2 4 2 2 3 2" xfId="3535" xr:uid="{00000000-0005-0000-0000-000074080000}"/>
    <cellStyle name="Calculation 2 4 2 2 3 2 2" xfId="10131" xr:uid="{00000000-0005-0000-0000-000075080000}"/>
    <cellStyle name="Calculation 2 4 2 2 3 2 3" xfId="16750" xr:uid="{00000000-0005-0000-0000-000076080000}"/>
    <cellStyle name="Calculation 2 4 2 2 3 3" xfId="5570" xr:uid="{00000000-0005-0000-0000-000077080000}"/>
    <cellStyle name="Calculation 2 4 2 2 3 3 2" xfId="12166" xr:uid="{00000000-0005-0000-0000-000078080000}"/>
    <cellStyle name="Calculation 2 4 2 2 3 3 3" xfId="18785" xr:uid="{00000000-0005-0000-0000-000079080000}"/>
    <cellStyle name="Calculation 2 4 2 2 3 4" xfId="7995" xr:uid="{00000000-0005-0000-0000-00007A080000}"/>
    <cellStyle name="Calculation 2 4 2 2 3 5" xfId="14614" xr:uid="{00000000-0005-0000-0000-00007B080000}"/>
    <cellStyle name="Calculation 2 4 2 2 4" xfId="1680" xr:uid="{00000000-0005-0000-0000-00007C080000}"/>
    <cellStyle name="Calculation 2 4 2 2 4 2" xfId="3816" xr:uid="{00000000-0005-0000-0000-00007D080000}"/>
    <cellStyle name="Calculation 2 4 2 2 4 2 2" xfId="10412" xr:uid="{00000000-0005-0000-0000-00007E080000}"/>
    <cellStyle name="Calculation 2 4 2 2 4 2 3" xfId="17031" xr:uid="{00000000-0005-0000-0000-00007F080000}"/>
    <cellStyle name="Calculation 2 4 2 2 4 3" xfId="5851" xr:uid="{00000000-0005-0000-0000-000080080000}"/>
    <cellStyle name="Calculation 2 4 2 2 4 3 2" xfId="12447" xr:uid="{00000000-0005-0000-0000-000081080000}"/>
    <cellStyle name="Calculation 2 4 2 2 4 3 3" xfId="19066" xr:uid="{00000000-0005-0000-0000-000082080000}"/>
    <cellStyle name="Calculation 2 4 2 2 4 4" xfId="8276" xr:uid="{00000000-0005-0000-0000-000083080000}"/>
    <cellStyle name="Calculation 2 4 2 2 4 5" xfId="14895" xr:uid="{00000000-0005-0000-0000-000084080000}"/>
    <cellStyle name="Calculation 2 4 2 2 5" xfId="1959" xr:uid="{00000000-0005-0000-0000-000085080000}"/>
    <cellStyle name="Calculation 2 4 2 2 5 2" xfId="4095" xr:uid="{00000000-0005-0000-0000-000086080000}"/>
    <cellStyle name="Calculation 2 4 2 2 5 2 2" xfId="10691" xr:uid="{00000000-0005-0000-0000-000087080000}"/>
    <cellStyle name="Calculation 2 4 2 2 5 2 3" xfId="17310" xr:uid="{00000000-0005-0000-0000-000088080000}"/>
    <cellStyle name="Calculation 2 4 2 2 5 3" xfId="6130" xr:uid="{00000000-0005-0000-0000-000089080000}"/>
    <cellStyle name="Calculation 2 4 2 2 5 3 2" xfId="12726" xr:uid="{00000000-0005-0000-0000-00008A080000}"/>
    <cellStyle name="Calculation 2 4 2 2 5 3 3" xfId="19345" xr:uid="{00000000-0005-0000-0000-00008B080000}"/>
    <cellStyle name="Calculation 2 4 2 2 5 4" xfId="8555" xr:uid="{00000000-0005-0000-0000-00008C080000}"/>
    <cellStyle name="Calculation 2 4 2 2 5 5" xfId="15174" xr:uid="{00000000-0005-0000-0000-00008D080000}"/>
    <cellStyle name="Calculation 2 4 2 2 6" xfId="2234" xr:uid="{00000000-0005-0000-0000-00008E080000}"/>
    <cellStyle name="Calculation 2 4 2 2 6 2" xfId="4370" xr:uid="{00000000-0005-0000-0000-00008F080000}"/>
    <cellStyle name="Calculation 2 4 2 2 6 2 2" xfId="10966" xr:uid="{00000000-0005-0000-0000-000090080000}"/>
    <cellStyle name="Calculation 2 4 2 2 6 2 3" xfId="17585" xr:uid="{00000000-0005-0000-0000-000091080000}"/>
    <cellStyle name="Calculation 2 4 2 2 6 3" xfId="6405" xr:uid="{00000000-0005-0000-0000-000092080000}"/>
    <cellStyle name="Calculation 2 4 2 2 6 3 2" xfId="13001" xr:uid="{00000000-0005-0000-0000-000093080000}"/>
    <cellStyle name="Calculation 2 4 2 2 6 3 3" xfId="19620" xr:uid="{00000000-0005-0000-0000-000094080000}"/>
    <cellStyle name="Calculation 2 4 2 2 6 4" xfId="8830" xr:uid="{00000000-0005-0000-0000-000095080000}"/>
    <cellStyle name="Calculation 2 4 2 2 6 5" xfId="15449" xr:uid="{00000000-0005-0000-0000-000096080000}"/>
    <cellStyle name="Calculation 2 4 2 2 7" xfId="2507" xr:uid="{00000000-0005-0000-0000-000097080000}"/>
    <cellStyle name="Calculation 2 4 2 2 7 2" xfId="4643" xr:uid="{00000000-0005-0000-0000-000098080000}"/>
    <cellStyle name="Calculation 2 4 2 2 7 2 2" xfId="11239" xr:uid="{00000000-0005-0000-0000-000099080000}"/>
    <cellStyle name="Calculation 2 4 2 2 7 2 3" xfId="17858" xr:uid="{00000000-0005-0000-0000-00009A080000}"/>
    <cellStyle name="Calculation 2 4 2 2 7 3" xfId="6678" xr:uid="{00000000-0005-0000-0000-00009B080000}"/>
    <cellStyle name="Calculation 2 4 2 2 7 3 2" xfId="13274" xr:uid="{00000000-0005-0000-0000-00009C080000}"/>
    <cellStyle name="Calculation 2 4 2 2 7 3 3" xfId="19893" xr:uid="{00000000-0005-0000-0000-00009D080000}"/>
    <cellStyle name="Calculation 2 4 2 2 7 4" xfId="9103" xr:uid="{00000000-0005-0000-0000-00009E080000}"/>
    <cellStyle name="Calculation 2 4 2 2 7 5" xfId="15722" xr:uid="{00000000-0005-0000-0000-00009F080000}"/>
    <cellStyle name="Calculation 2 4 2 2 8" xfId="2953" xr:uid="{00000000-0005-0000-0000-0000A0080000}"/>
    <cellStyle name="Calculation 2 4 2 2 8 2" xfId="9549" xr:uid="{00000000-0005-0000-0000-0000A1080000}"/>
    <cellStyle name="Calculation 2 4 2 2 8 3" xfId="16168" xr:uid="{00000000-0005-0000-0000-0000A2080000}"/>
    <cellStyle name="Calculation 2 4 2 2 9" xfId="4988" xr:uid="{00000000-0005-0000-0000-0000A3080000}"/>
    <cellStyle name="Calculation 2 4 2 2 9 2" xfId="11584" xr:uid="{00000000-0005-0000-0000-0000A4080000}"/>
    <cellStyle name="Calculation 2 4 2 2 9 3" xfId="18203" xr:uid="{00000000-0005-0000-0000-0000A5080000}"/>
    <cellStyle name="Calculation 2 4 2 2_Summary" xfId="20130" xr:uid="{00000000-0005-0000-0000-0000A6080000}"/>
    <cellStyle name="Calculation 2 4 2 3" xfId="989" xr:uid="{00000000-0005-0000-0000-0000A7080000}"/>
    <cellStyle name="Calculation 2 4 2 3 2" xfId="3125" xr:uid="{00000000-0005-0000-0000-0000A8080000}"/>
    <cellStyle name="Calculation 2 4 2 3 2 2" xfId="9721" xr:uid="{00000000-0005-0000-0000-0000A9080000}"/>
    <cellStyle name="Calculation 2 4 2 3 2 3" xfId="16340" xr:uid="{00000000-0005-0000-0000-0000AA080000}"/>
    <cellStyle name="Calculation 2 4 2 3 3" xfId="5160" xr:uid="{00000000-0005-0000-0000-0000AB080000}"/>
    <cellStyle name="Calculation 2 4 2 3 3 2" xfId="11756" xr:uid="{00000000-0005-0000-0000-0000AC080000}"/>
    <cellStyle name="Calculation 2 4 2 3 3 3" xfId="18375" xr:uid="{00000000-0005-0000-0000-0000AD080000}"/>
    <cellStyle name="Calculation 2 4 2 3 4" xfId="7586" xr:uid="{00000000-0005-0000-0000-0000AE080000}"/>
    <cellStyle name="Calculation 2 4 2 3 5" xfId="14204" xr:uid="{00000000-0005-0000-0000-0000AF080000}"/>
    <cellStyle name="Calculation 2 4 2 4" xfId="1271" xr:uid="{00000000-0005-0000-0000-0000B0080000}"/>
    <cellStyle name="Calculation 2 4 2 4 2" xfId="3407" xr:uid="{00000000-0005-0000-0000-0000B1080000}"/>
    <cellStyle name="Calculation 2 4 2 4 2 2" xfId="10003" xr:uid="{00000000-0005-0000-0000-0000B2080000}"/>
    <cellStyle name="Calculation 2 4 2 4 2 3" xfId="16622" xr:uid="{00000000-0005-0000-0000-0000B3080000}"/>
    <cellStyle name="Calculation 2 4 2 4 3" xfId="5442" xr:uid="{00000000-0005-0000-0000-0000B4080000}"/>
    <cellStyle name="Calculation 2 4 2 4 3 2" xfId="12038" xr:uid="{00000000-0005-0000-0000-0000B5080000}"/>
    <cellStyle name="Calculation 2 4 2 4 3 3" xfId="18657" xr:uid="{00000000-0005-0000-0000-0000B6080000}"/>
    <cellStyle name="Calculation 2 4 2 4 4" xfId="7867" xr:uid="{00000000-0005-0000-0000-0000B7080000}"/>
    <cellStyle name="Calculation 2 4 2 4 5" xfId="14486" xr:uid="{00000000-0005-0000-0000-0000B8080000}"/>
    <cellStyle name="Calculation 2 4 2 5" xfId="1552" xr:uid="{00000000-0005-0000-0000-0000B9080000}"/>
    <cellStyle name="Calculation 2 4 2 5 2" xfId="3688" xr:uid="{00000000-0005-0000-0000-0000BA080000}"/>
    <cellStyle name="Calculation 2 4 2 5 2 2" xfId="10284" xr:uid="{00000000-0005-0000-0000-0000BB080000}"/>
    <cellStyle name="Calculation 2 4 2 5 2 3" xfId="16903" xr:uid="{00000000-0005-0000-0000-0000BC080000}"/>
    <cellStyle name="Calculation 2 4 2 5 3" xfId="5723" xr:uid="{00000000-0005-0000-0000-0000BD080000}"/>
    <cellStyle name="Calculation 2 4 2 5 3 2" xfId="12319" xr:uid="{00000000-0005-0000-0000-0000BE080000}"/>
    <cellStyle name="Calculation 2 4 2 5 3 3" xfId="18938" xr:uid="{00000000-0005-0000-0000-0000BF080000}"/>
    <cellStyle name="Calculation 2 4 2 5 4" xfId="8148" xr:uid="{00000000-0005-0000-0000-0000C0080000}"/>
    <cellStyle name="Calculation 2 4 2 5 5" xfId="14767" xr:uid="{00000000-0005-0000-0000-0000C1080000}"/>
    <cellStyle name="Calculation 2 4 2 6" xfId="1831" xr:uid="{00000000-0005-0000-0000-0000C2080000}"/>
    <cellStyle name="Calculation 2 4 2 6 2" xfId="3967" xr:uid="{00000000-0005-0000-0000-0000C3080000}"/>
    <cellStyle name="Calculation 2 4 2 6 2 2" xfId="10563" xr:uid="{00000000-0005-0000-0000-0000C4080000}"/>
    <cellStyle name="Calculation 2 4 2 6 2 3" xfId="17182" xr:uid="{00000000-0005-0000-0000-0000C5080000}"/>
    <cellStyle name="Calculation 2 4 2 6 3" xfId="6002" xr:uid="{00000000-0005-0000-0000-0000C6080000}"/>
    <cellStyle name="Calculation 2 4 2 6 3 2" xfId="12598" xr:uid="{00000000-0005-0000-0000-0000C7080000}"/>
    <cellStyle name="Calculation 2 4 2 6 3 3" xfId="19217" xr:uid="{00000000-0005-0000-0000-0000C8080000}"/>
    <cellStyle name="Calculation 2 4 2 6 4" xfId="8427" xr:uid="{00000000-0005-0000-0000-0000C9080000}"/>
    <cellStyle name="Calculation 2 4 2 6 5" xfId="15046" xr:uid="{00000000-0005-0000-0000-0000CA080000}"/>
    <cellStyle name="Calculation 2 4 2 7" xfId="2106" xr:uid="{00000000-0005-0000-0000-0000CB080000}"/>
    <cellStyle name="Calculation 2 4 2 7 2" xfId="4242" xr:uid="{00000000-0005-0000-0000-0000CC080000}"/>
    <cellStyle name="Calculation 2 4 2 7 2 2" xfId="10838" xr:uid="{00000000-0005-0000-0000-0000CD080000}"/>
    <cellStyle name="Calculation 2 4 2 7 2 3" xfId="17457" xr:uid="{00000000-0005-0000-0000-0000CE080000}"/>
    <cellStyle name="Calculation 2 4 2 7 3" xfId="6277" xr:uid="{00000000-0005-0000-0000-0000CF080000}"/>
    <cellStyle name="Calculation 2 4 2 7 3 2" xfId="12873" xr:uid="{00000000-0005-0000-0000-0000D0080000}"/>
    <cellStyle name="Calculation 2 4 2 7 3 3" xfId="19492" xr:uid="{00000000-0005-0000-0000-0000D1080000}"/>
    <cellStyle name="Calculation 2 4 2 7 4" xfId="8702" xr:uid="{00000000-0005-0000-0000-0000D2080000}"/>
    <cellStyle name="Calculation 2 4 2 7 5" xfId="15321" xr:uid="{00000000-0005-0000-0000-0000D3080000}"/>
    <cellStyle name="Calculation 2 4 2 8" xfId="2379" xr:uid="{00000000-0005-0000-0000-0000D4080000}"/>
    <cellStyle name="Calculation 2 4 2 8 2" xfId="4515" xr:uid="{00000000-0005-0000-0000-0000D5080000}"/>
    <cellStyle name="Calculation 2 4 2 8 2 2" xfId="11111" xr:uid="{00000000-0005-0000-0000-0000D6080000}"/>
    <cellStyle name="Calculation 2 4 2 8 2 3" xfId="17730" xr:uid="{00000000-0005-0000-0000-0000D7080000}"/>
    <cellStyle name="Calculation 2 4 2 8 3" xfId="6550" xr:uid="{00000000-0005-0000-0000-0000D8080000}"/>
    <cellStyle name="Calculation 2 4 2 8 3 2" xfId="13146" xr:uid="{00000000-0005-0000-0000-0000D9080000}"/>
    <cellStyle name="Calculation 2 4 2 8 3 3" xfId="19765" xr:uid="{00000000-0005-0000-0000-0000DA080000}"/>
    <cellStyle name="Calculation 2 4 2 8 4" xfId="8975" xr:uid="{00000000-0005-0000-0000-0000DB080000}"/>
    <cellStyle name="Calculation 2 4 2 8 5" xfId="15594" xr:uid="{00000000-0005-0000-0000-0000DC080000}"/>
    <cellStyle name="Calculation 2 4 2 9" xfId="2680" xr:uid="{00000000-0005-0000-0000-0000DD080000}"/>
    <cellStyle name="Calculation 2 4 2 9 2" xfId="9276" xr:uid="{00000000-0005-0000-0000-0000DE080000}"/>
    <cellStyle name="Calculation 2 4 2 9 3" xfId="15895" xr:uid="{00000000-0005-0000-0000-0000DF080000}"/>
    <cellStyle name="Calculation 2 4 2_Summary" xfId="20129" xr:uid="{00000000-0005-0000-0000-0000E0080000}"/>
    <cellStyle name="Calculation 2 4 3" xfId="210" xr:uid="{00000000-0005-0000-0000-0000E1080000}"/>
    <cellStyle name="Calculation 2 4 3 10" xfId="747" xr:uid="{00000000-0005-0000-0000-0000E2080000}"/>
    <cellStyle name="Calculation 2 4 3 10 2" xfId="13962" xr:uid="{00000000-0005-0000-0000-0000E3080000}"/>
    <cellStyle name="Calculation 2 4 3 11" xfId="7117" xr:uid="{00000000-0005-0000-0000-0000E4080000}"/>
    <cellStyle name="Calculation 2 4 3 12" xfId="6991" xr:uid="{00000000-0005-0000-0000-0000E5080000}"/>
    <cellStyle name="Calculation 2 4 3 13" xfId="26405" xr:uid="{774E2924-A725-4E77-A8C0-3378C1C2453F}"/>
    <cellStyle name="Calculation 2 4 3 14" xfId="26803" xr:uid="{860D9972-998A-42EF-A6B9-6EB96254A9ED}"/>
    <cellStyle name="Calculation 2 4 3 15" xfId="30804" xr:uid="{3E480696-7826-460A-A0C7-B482A45FFA87}"/>
    <cellStyle name="Calculation 2 4 3 2" xfId="915" xr:uid="{00000000-0005-0000-0000-0000E6080000}"/>
    <cellStyle name="Calculation 2 4 3 2 2" xfId="3051" xr:uid="{00000000-0005-0000-0000-0000E7080000}"/>
    <cellStyle name="Calculation 2 4 3 2 2 2" xfId="9647" xr:uid="{00000000-0005-0000-0000-0000E8080000}"/>
    <cellStyle name="Calculation 2 4 3 2 2 3" xfId="16266" xr:uid="{00000000-0005-0000-0000-0000E9080000}"/>
    <cellStyle name="Calculation 2 4 3 2 3" xfId="5086" xr:uid="{00000000-0005-0000-0000-0000EA080000}"/>
    <cellStyle name="Calculation 2 4 3 2 3 2" xfId="11682" xr:uid="{00000000-0005-0000-0000-0000EB080000}"/>
    <cellStyle name="Calculation 2 4 3 2 3 3" xfId="18301" xr:uid="{00000000-0005-0000-0000-0000EC080000}"/>
    <cellStyle name="Calculation 2 4 3 2 4" xfId="7512" xr:uid="{00000000-0005-0000-0000-0000ED080000}"/>
    <cellStyle name="Calculation 2 4 3 2 5" xfId="14130" xr:uid="{00000000-0005-0000-0000-0000EE080000}"/>
    <cellStyle name="Calculation 2 4 3 2 6" xfId="26336" xr:uid="{27E0A591-81B1-4C8E-AF96-69A9C80B2C95}"/>
    <cellStyle name="Calculation 2 4 3 2 7" xfId="26743" xr:uid="{23EA705B-CEAF-4179-AED4-3441DC84764A}"/>
    <cellStyle name="Calculation 2 4 3 2 8" xfId="30083" xr:uid="{5AF172DA-62B6-41B8-ACA2-1809AE56844F}"/>
    <cellStyle name="Calculation 2 4 3 2 9" xfId="31515" xr:uid="{85975C46-B75F-4500-A6A7-61568C209D77}"/>
    <cellStyle name="Calculation 2 4 3 3" xfId="1200" xr:uid="{00000000-0005-0000-0000-0000EF080000}"/>
    <cellStyle name="Calculation 2 4 3 3 2" xfId="3336" xr:uid="{00000000-0005-0000-0000-0000F0080000}"/>
    <cellStyle name="Calculation 2 4 3 3 2 2" xfId="9932" xr:uid="{00000000-0005-0000-0000-0000F1080000}"/>
    <cellStyle name="Calculation 2 4 3 3 2 3" xfId="16551" xr:uid="{00000000-0005-0000-0000-0000F2080000}"/>
    <cellStyle name="Calculation 2 4 3 3 3" xfId="5371" xr:uid="{00000000-0005-0000-0000-0000F3080000}"/>
    <cellStyle name="Calculation 2 4 3 3 3 2" xfId="11967" xr:uid="{00000000-0005-0000-0000-0000F4080000}"/>
    <cellStyle name="Calculation 2 4 3 3 3 3" xfId="18586" xr:uid="{00000000-0005-0000-0000-0000F5080000}"/>
    <cellStyle name="Calculation 2 4 3 3 4" xfId="7796" xr:uid="{00000000-0005-0000-0000-0000F6080000}"/>
    <cellStyle name="Calculation 2 4 3 3 5" xfId="14415" xr:uid="{00000000-0005-0000-0000-0000F7080000}"/>
    <cellStyle name="Calculation 2 4 3 4" xfId="1482" xr:uid="{00000000-0005-0000-0000-0000F8080000}"/>
    <cellStyle name="Calculation 2 4 3 4 2" xfId="3618" xr:uid="{00000000-0005-0000-0000-0000F9080000}"/>
    <cellStyle name="Calculation 2 4 3 4 2 2" xfId="10214" xr:uid="{00000000-0005-0000-0000-0000FA080000}"/>
    <cellStyle name="Calculation 2 4 3 4 2 3" xfId="16833" xr:uid="{00000000-0005-0000-0000-0000FB080000}"/>
    <cellStyle name="Calculation 2 4 3 4 3" xfId="5653" xr:uid="{00000000-0005-0000-0000-0000FC080000}"/>
    <cellStyle name="Calculation 2 4 3 4 3 2" xfId="12249" xr:uid="{00000000-0005-0000-0000-0000FD080000}"/>
    <cellStyle name="Calculation 2 4 3 4 3 3" xfId="18868" xr:uid="{00000000-0005-0000-0000-0000FE080000}"/>
    <cellStyle name="Calculation 2 4 3 4 4" xfId="8078" xr:uid="{00000000-0005-0000-0000-0000FF080000}"/>
    <cellStyle name="Calculation 2 4 3 4 5" xfId="14697" xr:uid="{00000000-0005-0000-0000-000000090000}"/>
    <cellStyle name="Calculation 2 4 3 5" xfId="1763" xr:uid="{00000000-0005-0000-0000-000001090000}"/>
    <cellStyle name="Calculation 2 4 3 5 2" xfId="3899" xr:uid="{00000000-0005-0000-0000-000002090000}"/>
    <cellStyle name="Calculation 2 4 3 5 2 2" xfId="10495" xr:uid="{00000000-0005-0000-0000-000003090000}"/>
    <cellStyle name="Calculation 2 4 3 5 2 3" xfId="17114" xr:uid="{00000000-0005-0000-0000-000004090000}"/>
    <cellStyle name="Calculation 2 4 3 5 3" xfId="5934" xr:uid="{00000000-0005-0000-0000-000005090000}"/>
    <cellStyle name="Calculation 2 4 3 5 3 2" xfId="12530" xr:uid="{00000000-0005-0000-0000-000006090000}"/>
    <cellStyle name="Calculation 2 4 3 5 3 3" xfId="19149" xr:uid="{00000000-0005-0000-0000-000007090000}"/>
    <cellStyle name="Calculation 2 4 3 5 4" xfId="8359" xr:uid="{00000000-0005-0000-0000-000008090000}"/>
    <cellStyle name="Calculation 2 4 3 5 5" xfId="14978" xr:uid="{00000000-0005-0000-0000-000009090000}"/>
    <cellStyle name="Calculation 2 4 3 6" xfId="2042" xr:uid="{00000000-0005-0000-0000-00000A090000}"/>
    <cellStyle name="Calculation 2 4 3 6 2" xfId="4178" xr:uid="{00000000-0005-0000-0000-00000B090000}"/>
    <cellStyle name="Calculation 2 4 3 6 2 2" xfId="10774" xr:uid="{00000000-0005-0000-0000-00000C090000}"/>
    <cellStyle name="Calculation 2 4 3 6 2 3" xfId="17393" xr:uid="{00000000-0005-0000-0000-00000D090000}"/>
    <cellStyle name="Calculation 2 4 3 6 3" xfId="6213" xr:uid="{00000000-0005-0000-0000-00000E090000}"/>
    <cellStyle name="Calculation 2 4 3 6 3 2" xfId="12809" xr:uid="{00000000-0005-0000-0000-00000F090000}"/>
    <cellStyle name="Calculation 2 4 3 6 3 3" xfId="19428" xr:uid="{00000000-0005-0000-0000-000010090000}"/>
    <cellStyle name="Calculation 2 4 3 6 4" xfId="8638" xr:uid="{00000000-0005-0000-0000-000011090000}"/>
    <cellStyle name="Calculation 2 4 3 6 5" xfId="15257" xr:uid="{00000000-0005-0000-0000-000012090000}"/>
    <cellStyle name="Calculation 2 4 3 7" xfId="2317" xr:uid="{00000000-0005-0000-0000-000013090000}"/>
    <cellStyle name="Calculation 2 4 3 7 2" xfId="4453" xr:uid="{00000000-0005-0000-0000-000014090000}"/>
    <cellStyle name="Calculation 2 4 3 7 2 2" xfId="11049" xr:uid="{00000000-0005-0000-0000-000015090000}"/>
    <cellStyle name="Calculation 2 4 3 7 2 3" xfId="17668" xr:uid="{00000000-0005-0000-0000-000016090000}"/>
    <cellStyle name="Calculation 2 4 3 7 3" xfId="6488" xr:uid="{00000000-0005-0000-0000-000017090000}"/>
    <cellStyle name="Calculation 2 4 3 7 3 2" xfId="13084" xr:uid="{00000000-0005-0000-0000-000018090000}"/>
    <cellStyle name="Calculation 2 4 3 7 3 3" xfId="19703" xr:uid="{00000000-0005-0000-0000-000019090000}"/>
    <cellStyle name="Calculation 2 4 3 7 4" xfId="8913" xr:uid="{00000000-0005-0000-0000-00001A090000}"/>
    <cellStyle name="Calculation 2 4 3 7 5" xfId="15532" xr:uid="{00000000-0005-0000-0000-00001B090000}"/>
    <cellStyle name="Calculation 2 4 3 8" xfId="2883" xr:uid="{00000000-0005-0000-0000-00001C090000}"/>
    <cellStyle name="Calculation 2 4 3 8 2" xfId="9479" xr:uid="{00000000-0005-0000-0000-00001D090000}"/>
    <cellStyle name="Calculation 2 4 3 8 3" xfId="16098" xr:uid="{00000000-0005-0000-0000-00001E090000}"/>
    <cellStyle name="Calculation 2 4 3 9" xfId="4918" xr:uid="{00000000-0005-0000-0000-00001F090000}"/>
    <cellStyle name="Calculation 2 4 3 9 2" xfId="11514" xr:uid="{00000000-0005-0000-0000-000020090000}"/>
    <cellStyle name="Calculation 2 4 3 9 3" xfId="18133" xr:uid="{00000000-0005-0000-0000-000021090000}"/>
    <cellStyle name="Calculation 2 4 3_Summary" xfId="20131" xr:uid="{00000000-0005-0000-0000-000022090000}"/>
    <cellStyle name="Calculation 2 4 4" xfId="362" xr:uid="{00000000-0005-0000-0000-000023090000}"/>
    <cellStyle name="Calculation 2 4 4 10" xfId="689" xr:uid="{00000000-0005-0000-0000-000024090000}"/>
    <cellStyle name="Calculation 2 4 4 10 2" xfId="13904" xr:uid="{00000000-0005-0000-0000-000025090000}"/>
    <cellStyle name="Calculation 2 4 4 11" xfId="7255" xr:uid="{00000000-0005-0000-0000-000026090000}"/>
    <cellStyle name="Calculation 2 4 4 12" xfId="13577" xr:uid="{00000000-0005-0000-0000-000027090000}"/>
    <cellStyle name="Calculation 2 4 4 13" xfId="30081" xr:uid="{D444816A-BF23-48EC-A2A0-BB4A3D60A9BA}"/>
    <cellStyle name="Calculation 2 4 4 14" xfId="31513" xr:uid="{73CE10FD-A688-47B2-A6F3-48BD5251790C}"/>
    <cellStyle name="Calculation 2 4 4 2" xfId="1056" xr:uid="{00000000-0005-0000-0000-000028090000}"/>
    <cellStyle name="Calculation 2 4 4 2 2" xfId="3192" xr:uid="{00000000-0005-0000-0000-000029090000}"/>
    <cellStyle name="Calculation 2 4 4 2 2 2" xfId="9788" xr:uid="{00000000-0005-0000-0000-00002A090000}"/>
    <cellStyle name="Calculation 2 4 4 2 2 3" xfId="16407" xr:uid="{00000000-0005-0000-0000-00002B090000}"/>
    <cellStyle name="Calculation 2 4 4 2 3" xfId="5227" xr:uid="{00000000-0005-0000-0000-00002C090000}"/>
    <cellStyle name="Calculation 2 4 4 2 3 2" xfId="11823" xr:uid="{00000000-0005-0000-0000-00002D090000}"/>
    <cellStyle name="Calculation 2 4 4 2 3 3" xfId="18442" xr:uid="{00000000-0005-0000-0000-00002E090000}"/>
    <cellStyle name="Calculation 2 4 4 2 4" xfId="7653" xr:uid="{00000000-0005-0000-0000-00002F090000}"/>
    <cellStyle name="Calculation 2 4 4 2 5" xfId="14271" xr:uid="{00000000-0005-0000-0000-000030090000}"/>
    <cellStyle name="Calculation 2 4 4 3" xfId="1338" xr:uid="{00000000-0005-0000-0000-000031090000}"/>
    <cellStyle name="Calculation 2 4 4 3 2" xfId="3474" xr:uid="{00000000-0005-0000-0000-000032090000}"/>
    <cellStyle name="Calculation 2 4 4 3 2 2" xfId="10070" xr:uid="{00000000-0005-0000-0000-000033090000}"/>
    <cellStyle name="Calculation 2 4 4 3 2 3" xfId="16689" xr:uid="{00000000-0005-0000-0000-000034090000}"/>
    <cellStyle name="Calculation 2 4 4 3 3" xfId="5509" xr:uid="{00000000-0005-0000-0000-000035090000}"/>
    <cellStyle name="Calculation 2 4 4 3 3 2" xfId="12105" xr:uid="{00000000-0005-0000-0000-000036090000}"/>
    <cellStyle name="Calculation 2 4 4 3 3 3" xfId="18724" xr:uid="{00000000-0005-0000-0000-000037090000}"/>
    <cellStyle name="Calculation 2 4 4 3 4" xfId="7934" xr:uid="{00000000-0005-0000-0000-000038090000}"/>
    <cellStyle name="Calculation 2 4 4 3 5" xfId="14553" xr:uid="{00000000-0005-0000-0000-000039090000}"/>
    <cellStyle name="Calculation 2 4 4 4" xfId="1619" xr:uid="{00000000-0005-0000-0000-00003A090000}"/>
    <cellStyle name="Calculation 2 4 4 4 2" xfId="3755" xr:uid="{00000000-0005-0000-0000-00003B090000}"/>
    <cellStyle name="Calculation 2 4 4 4 2 2" xfId="10351" xr:uid="{00000000-0005-0000-0000-00003C090000}"/>
    <cellStyle name="Calculation 2 4 4 4 2 3" xfId="16970" xr:uid="{00000000-0005-0000-0000-00003D090000}"/>
    <cellStyle name="Calculation 2 4 4 4 3" xfId="5790" xr:uid="{00000000-0005-0000-0000-00003E090000}"/>
    <cellStyle name="Calculation 2 4 4 4 3 2" xfId="12386" xr:uid="{00000000-0005-0000-0000-00003F090000}"/>
    <cellStyle name="Calculation 2 4 4 4 3 3" xfId="19005" xr:uid="{00000000-0005-0000-0000-000040090000}"/>
    <cellStyle name="Calculation 2 4 4 4 4" xfId="8215" xr:uid="{00000000-0005-0000-0000-000041090000}"/>
    <cellStyle name="Calculation 2 4 4 4 5" xfId="14834" xr:uid="{00000000-0005-0000-0000-000042090000}"/>
    <cellStyle name="Calculation 2 4 4 5" xfId="1898" xr:uid="{00000000-0005-0000-0000-000043090000}"/>
    <cellStyle name="Calculation 2 4 4 5 2" xfId="4034" xr:uid="{00000000-0005-0000-0000-000044090000}"/>
    <cellStyle name="Calculation 2 4 4 5 2 2" xfId="10630" xr:uid="{00000000-0005-0000-0000-000045090000}"/>
    <cellStyle name="Calculation 2 4 4 5 2 3" xfId="17249" xr:uid="{00000000-0005-0000-0000-000046090000}"/>
    <cellStyle name="Calculation 2 4 4 5 3" xfId="6069" xr:uid="{00000000-0005-0000-0000-000047090000}"/>
    <cellStyle name="Calculation 2 4 4 5 3 2" xfId="12665" xr:uid="{00000000-0005-0000-0000-000048090000}"/>
    <cellStyle name="Calculation 2 4 4 5 3 3" xfId="19284" xr:uid="{00000000-0005-0000-0000-000049090000}"/>
    <cellStyle name="Calculation 2 4 4 5 4" xfId="8494" xr:uid="{00000000-0005-0000-0000-00004A090000}"/>
    <cellStyle name="Calculation 2 4 4 5 5" xfId="15113" xr:uid="{00000000-0005-0000-0000-00004B090000}"/>
    <cellStyle name="Calculation 2 4 4 6" xfId="2173" xr:uid="{00000000-0005-0000-0000-00004C090000}"/>
    <cellStyle name="Calculation 2 4 4 6 2" xfId="4309" xr:uid="{00000000-0005-0000-0000-00004D090000}"/>
    <cellStyle name="Calculation 2 4 4 6 2 2" xfId="10905" xr:uid="{00000000-0005-0000-0000-00004E090000}"/>
    <cellStyle name="Calculation 2 4 4 6 2 3" xfId="17524" xr:uid="{00000000-0005-0000-0000-00004F090000}"/>
    <cellStyle name="Calculation 2 4 4 6 3" xfId="6344" xr:uid="{00000000-0005-0000-0000-000050090000}"/>
    <cellStyle name="Calculation 2 4 4 6 3 2" xfId="12940" xr:uid="{00000000-0005-0000-0000-000051090000}"/>
    <cellStyle name="Calculation 2 4 4 6 3 3" xfId="19559" xr:uid="{00000000-0005-0000-0000-000052090000}"/>
    <cellStyle name="Calculation 2 4 4 6 4" xfId="8769" xr:uid="{00000000-0005-0000-0000-000053090000}"/>
    <cellStyle name="Calculation 2 4 4 6 5" xfId="15388" xr:uid="{00000000-0005-0000-0000-000054090000}"/>
    <cellStyle name="Calculation 2 4 4 7" xfId="2446" xr:uid="{00000000-0005-0000-0000-000055090000}"/>
    <cellStyle name="Calculation 2 4 4 7 2" xfId="4582" xr:uid="{00000000-0005-0000-0000-000056090000}"/>
    <cellStyle name="Calculation 2 4 4 7 2 2" xfId="11178" xr:uid="{00000000-0005-0000-0000-000057090000}"/>
    <cellStyle name="Calculation 2 4 4 7 2 3" xfId="17797" xr:uid="{00000000-0005-0000-0000-000058090000}"/>
    <cellStyle name="Calculation 2 4 4 7 3" xfId="6617" xr:uid="{00000000-0005-0000-0000-000059090000}"/>
    <cellStyle name="Calculation 2 4 4 7 3 2" xfId="13213" xr:uid="{00000000-0005-0000-0000-00005A090000}"/>
    <cellStyle name="Calculation 2 4 4 7 3 3" xfId="19832" xr:uid="{00000000-0005-0000-0000-00005B090000}"/>
    <cellStyle name="Calculation 2 4 4 7 4" xfId="9042" xr:uid="{00000000-0005-0000-0000-00005C090000}"/>
    <cellStyle name="Calculation 2 4 4 7 5" xfId="15661" xr:uid="{00000000-0005-0000-0000-00005D090000}"/>
    <cellStyle name="Calculation 2 4 4 8" xfId="2825" xr:uid="{00000000-0005-0000-0000-00005E090000}"/>
    <cellStyle name="Calculation 2 4 4 8 2" xfId="9421" xr:uid="{00000000-0005-0000-0000-00005F090000}"/>
    <cellStyle name="Calculation 2 4 4 8 3" xfId="16040" xr:uid="{00000000-0005-0000-0000-000060090000}"/>
    <cellStyle name="Calculation 2 4 4 9" xfId="4860" xr:uid="{00000000-0005-0000-0000-000061090000}"/>
    <cellStyle name="Calculation 2 4 4 9 2" xfId="11456" xr:uid="{00000000-0005-0000-0000-000062090000}"/>
    <cellStyle name="Calculation 2 4 4 9 3" xfId="18075" xr:uid="{00000000-0005-0000-0000-000063090000}"/>
    <cellStyle name="Calculation 2 4 4_Summary" xfId="20132" xr:uid="{00000000-0005-0000-0000-000064090000}"/>
    <cellStyle name="Calculation 2 4 5" xfId="622" xr:uid="{00000000-0005-0000-0000-000065090000}"/>
    <cellStyle name="Calculation 2 4 5 2" xfId="2758" xr:uid="{00000000-0005-0000-0000-000066090000}"/>
    <cellStyle name="Calculation 2 4 5 2 2" xfId="9354" xr:uid="{00000000-0005-0000-0000-000067090000}"/>
    <cellStyle name="Calculation 2 4 5 2 3" xfId="15973" xr:uid="{00000000-0005-0000-0000-000068090000}"/>
    <cellStyle name="Calculation 2 4 5 3" xfId="4793" xr:uid="{00000000-0005-0000-0000-000069090000}"/>
    <cellStyle name="Calculation 2 4 5 3 2" xfId="11389" xr:uid="{00000000-0005-0000-0000-00006A090000}"/>
    <cellStyle name="Calculation 2 4 5 3 3" xfId="18008" xr:uid="{00000000-0005-0000-0000-00006B090000}"/>
    <cellStyle name="Calculation 2 4 5 4" xfId="7394" xr:uid="{00000000-0005-0000-0000-00006C090000}"/>
    <cellStyle name="Calculation 2 4 5 5" xfId="13837" xr:uid="{00000000-0005-0000-0000-00006D090000}"/>
    <cellStyle name="Calculation 2 4 6" xfId="664" xr:uid="{00000000-0005-0000-0000-00006E090000}"/>
    <cellStyle name="Calculation 2 4 6 2" xfId="2800" xr:uid="{00000000-0005-0000-0000-00006F090000}"/>
    <cellStyle name="Calculation 2 4 6 2 2" xfId="9396" xr:uid="{00000000-0005-0000-0000-000070090000}"/>
    <cellStyle name="Calculation 2 4 6 2 3" xfId="16015" xr:uid="{00000000-0005-0000-0000-000071090000}"/>
    <cellStyle name="Calculation 2 4 6 3" xfId="4835" xr:uid="{00000000-0005-0000-0000-000072090000}"/>
    <cellStyle name="Calculation 2 4 6 3 2" xfId="11431" xr:uid="{00000000-0005-0000-0000-000073090000}"/>
    <cellStyle name="Calculation 2 4 6 3 3" xfId="18050" xr:uid="{00000000-0005-0000-0000-000074090000}"/>
    <cellStyle name="Calculation 2 4 6 4" xfId="7434" xr:uid="{00000000-0005-0000-0000-000075090000}"/>
    <cellStyle name="Calculation 2 4 6 5" xfId="13879" xr:uid="{00000000-0005-0000-0000-000076090000}"/>
    <cellStyle name="Calculation 2 4 7" xfId="620" xr:uid="{00000000-0005-0000-0000-000077090000}"/>
    <cellStyle name="Calculation 2 4 7 2" xfId="2756" xr:uid="{00000000-0005-0000-0000-000078090000}"/>
    <cellStyle name="Calculation 2 4 7 2 2" xfId="9352" xr:uid="{00000000-0005-0000-0000-000079090000}"/>
    <cellStyle name="Calculation 2 4 7 2 3" xfId="15971" xr:uid="{00000000-0005-0000-0000-00007A090000}"/>
    <cellStyle name="Calculation 2 4 7 3" xfId="4791" xr:uid="{00000000-0005-0000-0000-00007B090000}"/>
    <cellStyle name="Calculation 2 4 7 3 2" xfId="11387" xr:uid="{00000000-0005-0000-0000-00007C090000}"/>
    <cellStyle name="Calculation 2 4 7 3 3" xfId="18006" xr:uid="{00000000-0005-0000-0000-00007D090000}"/>
    <cellStyle name="Calculation 2 4 7 4" xfId="7392" xr:uid="{00000000-0005-0000-0000-00007E090000}"/>
    <cellStyle name="Calculation 2 4 7 5" xfId="13835" xr:uid="{00000000-0005-0000-0000-00007F090000}"/>
    <cellStyle name="Calculation 2 4 8" xfId="617" xr:uid="{00000000-0005-0000-0000-000080090000}"/>
    <cellStyle name="Calculation 2 4 8 2" xfId="2753" xr:uid="{00000000-0005-0000-0000-000081090000}"/>
    <cellStyle name="Calculation 2 4 8 2 2" xfId="9349" xr:uid="{00000000-0005-0000-0000-000082090000}"/>
    <cellStyle name="Calculation 2 4 8 2 3" xfId="15968" xr:uid="{00000000-0005-0000-0000-000083090000}"/>
    <cellStyle name="Calculation 2 4 8 3" xfId="4788" xr:uid="{00000000-0005-0000-0000-000084090000}"/>
    <cellStyle name="Calculation 2 4 8 3 2" xfId="11384" xr:uid="{00000000-0005-0000-0000-000085090000}"/>
    <cellStyle name="Calculation 2 4 8 3 3" xfId="18003" xr:uid="{00000000-0005-0000-0000-000086090000}"/>
    <cellStyle name="Calculation 2 4 8 4" xfId="7389" xr:uid="{00000000-0005-0000-0000-000087090000}"/>
    <cellStyle name="Calculation 2 4 8 5" xfId="13832" xr:uid="{00000000-0005-0000-0000-000088090000}"/>
    <cellStyle name="Calculation 2 4 9" xfId="670" xr:uid="{00000000-0005-0000-0000-000089090000}"/>
    <cellStyle name="Calculation 2 4 9 2" xfId="2806" xr:uid="{00000000-0005-0000-0000-00008A090000}"/>
    <cellStyle name="Calculation 2 4 9 2 2" xfId="9402" xr:uid="{00000000-0005-0000-0000-00008B090000}"/>
    <cellStyle name="Calculation 2 4 9 2 3" xfId="16021" xr:uid="{00000000-0005-0000-0000-00008C090000}"/>
    <cellStyle name="Calculation 2 4 9 3" xfId="4841" xr:uid="{00000000-0005-0000-0000-00008D090000}"/>
    <cellStyle name="Calculation 2 4 9 3 2" xfId="11437" xr:uid="{00000000-0005-0000-0000-00008E090000}"/>
    <cellStyle name="Calculation 2 4 9 3 3" xfId="18056" xr:uid="{00000000-0005-0000-0000-00008F090000}"/>
    <cellStyle name="Calculation 2 4 9 4" xfId="7437" xr:uid="{00000000-0005-0000-0000-000090090000}"/>
    <cellStyle name="Calculation 2 4 9 5" xfId="13885" xr:uid="{00000000-0005-0000-0000-000091090000}"/>
    <cellStyle name="Calculation 2 4_Summary" xfId="20128" xr:uid="{00000000-0005-0000-0000-000092090000}"/>
    <cellStyle name="Calculation 2 40" xfId="6938" xr:uid="{00000000-0005-0000-0000-000093090000}"/>
    <cellStyle name="Calculation 2 40 2" xfId="13458" xr:uid="{00000000-0005-0000-0000-000094090000}"/>
    <cellStyle name="Calculation 2 40 3" xfId="20065" xr:uid="{00000000-0005-0000-0000-000095090000}"/>
    <cellStyle name="Calculation 2 41" xfId="6941" xr:uid="{00000000-0005-0000-0000-000096090000}"/>
    <cellStyle name="Calculation 2 41 2" xfId="13461" xr:uid="{00000000-0005-0000-0000-000097090000}"/>
    <cellStyle name="Calculation 2 41 3" xfId="20068" xr:uid="{00000000-0005-0000-0000-000098090000}"/>
    <cellStyle name="Calculation 2 42" xfId="6933" xr:uid="{00000000-0005-0000-0000-000099090000}"/>
    <cellStyle name="Calculation 2 42 2" xfId="13453" xr:uid="{00000000-0005-0000-0000-00009A090000}"/>
    <cellStyle name="Calculation 2 42 3" xfId="20060" xr:uid="{00000000-0005-0000-0000-00009B090000}"/>
    <cellStyle name="Calculation 2 43" xfId="6944" xr:uid="{00000000-0005-0000-0000-00009C090000}"/>
    <cellStyle name="Calculation 2 43 2" xfId="13464" xr:uid="{00000000-0005-0000-0000-00009D090000}"/>
    <cellStyle name="Calculation 2 43 3" xfId="20071" xr:uid="{00000000-0005-0000-0000-00009E090000}"/>
    <cellStyle name="Calculation 2 44" xfId="6948" xr:uid="{00000000-0005-0000-0000-00009F090000}"/>
    <cellStyle name="Calculation 2 44 2" xfId="13468" xr:uid="{00000000-0005-0000-0000-0000A0090000}"/>
    <cellStyle name="Calculation 2 44 3" xfId="20075" xr:uid="{00000000-0005-0000-0000-0000A1090000}"/>
    <cellStyle name="Calculation 2 45" xfId="6951" xr:uid="{00000000-0005-0000-0000-0000A2090000}"/>
    <cellStyle name="Calculation 2 45 2" xfId="13471" xr:uid="{00000000-0005-0000-0000-0000A3090000}"/>
    <cellStyle name="Calculation 2 45 3" xfId="20078" xr:uid="{00000000-0005-0000-0000-0000A4090000}"/>
    <cellStyle name="Calculation 2 46" xfId="6954" xr:uid="{00000000-0005-0000-0000-0000A5090000}"/>
    <cellStyle name="Calculation 2 46 2" xfId="13474" xr:uid="{00000000-0005-0000-0000-0000A6090000}"/>
    <cellStyle name="Calculation 2 46 3" xfId="20081" xr:uid="{00000000-0005-0000-0000-0000A7090000}"/>
    <cellStyle name="Calculation 2 47" xfId="6957" xr:uid="{00000000-0005-0000-0000-0000A8090000}"/>
    <cellStyle name="Calculation 2 47 2" xfId="13477" xr:uid="{00000000-0005-0000-0000-0000A9090000}"/>
    <cellStyle name="Calculation 2 47 3" xfId="20084" xr:uid="{00000000-0005-0000-0000-0000AA090000}"/>
    <cellStyle name="Calculation 2 48" xfId="7029" xr:uid="{00000000-0005-0000-0000-0000AB090000}"/>
    <cellStyle name="Calculation 2 49" xfId="6973" xr:uid="{00000000-0005-0000-0000-0000AC090000}"/>
    <cellStyle name="Calculation 2 5" xfId="170" xr:uid="{00000000-0005-0000-0000-0000AD090000}"/>
    <cellStyle name="Calculation 2 5 10" xfId="633" xr:uid="{00000000-0005-0000-0000-0000AE090000}"/>
    <cellStyle name="Calculation 2 5 10 2" xfId="2769" xr:uid="{00000000-0005-0000-0000-0000AF090000}"/>
    <cellStyle name="Calculation 2 5 10 2 2" xfId="9365" xr:uid="{00000000-0005-0000-0000-0000B0090000}"/>
    <cellStyle name="Calculation 2 5 10 2 3" xfId="15984" xr:uid="{00000000-0005-0000-0000-0000B1090000}"/>
    <cellStyle name="Calculation 2 5 10 3" xfId="4804" xr:uid="{00000000-0005-0000-0000-0000B2090000}"/>
    <cellStyle name="Calculation 2 5 10 3 2" xfId="11400" xr:uid="{00000000-0005-0000-0000-0000B3090000}"/>
    <cellStyle name="Calculation 2 5 10 3 3" xfId="18019" xr:uid="{00000000-0005-0000-0000-0000B4090000}"/>
    <cellStyle name="Calculation 2 5 10 4" xfId="7405" xr:uid="{00000000-0005-0000-0000-0000B5090000}"/>
    <cellStyle name="Calculation 2 5 10 5" xfId="13848" xr:uid="{00000000-0005-0000-0000-0000B6090000}"/>
    <cellStyle name="Calculation 2 5 11" xfId="2599" xr:uid="{00000000-0005-0000-0000-0000B7090000}"/>
    <cellStyle name="Calculation 2 5 11 2" xfId="9195" xr:uid="{00000000-0005-0000-0000-0000B8090000}"/>
    <cellStyle name="Calculation 2 5 11 3" xfId="15814" xr:uid="{00000000-0005-0000-0000-0000B9090000}"/>
    <cellStyle name="Calculation 2 5 12" xfId="2635" xr:uid="{00000000-0005-0000-0000-0000BA090000}"/>
    <cellStyle name="Calculation 2 5 12 2" xfId="9231" xr:uid="{00000000-0005-0000-0000-0000BB090000}"/>
    <cellStyle name="Calculation 2 5 12 3" xfId="15850" xr:uid="{00000000-0005-0000-0000-0000BC090000}"/>
    <cellStyle name="Calculation 2 5 13" xfId="488" xr:uid="{00000000-0005-0000-0000-0000BD090000}"/>
    <cellStyle name="Calculation 2 5 13 2" xfId="13703" xr:uid="{00000000-0005-0000-0000-0000BE090000}"/>
    <cellStyle name="Calculation 2 5 14" xfId="7079" xr:uid="{00000000-0005-0000-0000-0000BF090000}"/>
    <cellStyle name="Calculation 2 5 15" xfId="7042" xr:uid="{00000000-0005-0000-0000-0000C0090000}"/>
    <cellStyle name="Calculation 2 5 16" xfId="26289" xr:uid="{D82EAF27-A59F-4E0C-943D-B164DFD6C4A1}"/>
    <cellStyle name="Calculation 2 5 17" xfId="26705" xr:uid="{DE502F08-019A-4054-8863-CC4C75A08DD7}"/>
    <cellStyle name="Calculation 2 5 18" xfId="30805" xr:uid="{2D70A918-22E1-4CCD-8E2F-EAC9AD057949}"/>
    <cellStyle name="Calculation 2 5 2" xfId="303" xr:uid="{00000000-0005-0000-0000-0000C1090000}"/>
    <cellStyle name="Calculation 2 5 2 10" xfId="4724" xr:uid="{00000000-0005-0000-0000-0000C2090000}"/>
    <cellStyle name="Calculation 2 5 2 10 2" xfId="11320" xr:uid="{00000000-0005-0000-0000-0000C3090000}"/>
    <cellStyle name="Calculation 2 5 2 10 3" xfId="17939" xr:uid="{00000000-0005-0000-0000-0000C4090000}"/>
    <cellStyle name="Calculation 2 5 2 11" xfId="553" xr:uid="{00000000-0005-0000-0000-0000C5090000}"/>
    <cellStyle name="Calculation 2 5 2 11 2" xfId="13768" xr:uid="{00000000-0005-0000-0000-0000C6090000}"/>
    <cellStyle name="Calculation 2 5 2 12" xfId="7197" xr:uid="{00000000-0005-0000-0000-0000C7090000}"/>
    <cellStyle name="Calculation 2 5 2 13" xfId="13519" xr:uid="{00000000-0005-0000-0000-0000C8090000}"/>
    <cellStyle name="Calculation 2 5 2 14" xfId="26434" xr:uid="{E41674AA-79AC-4F0A-BB3C-36BB3B29D839}"/>
    <cellStyle name="Calculation 2 5 2 15" xfId="26831" xr:uid="{7756394B-6C32-43E4-BB03-24A24B37682D}"/>
    <cellStyle name="Calculation 2 5 2 16" xfId="30806" xr:uid="{4464E73F-AB79-4E1A-885D-7DFE3A537EF2}"/>
    <cellStyle name="Calculation 2 5 2 2" xfId="432" xr:uid="{00000000-0005-0000-0000-0000C9090000}"/>
    <cellStyle name="Calculation 2 5 2 2 10" xfId="826" xr:uid="{00000000-0005-0000-0000-0000CA090000}"/>
    <cellStyle name="Calculation 2 5 2 2 10 2" xfId="14041" xr:uid="{00000000-0005-0000-0000-0000CB090000}"/>
    <cellStyle name="Calculation 2 5 2 2 11" xfId="7325" xr:uid="{00000000-0005-0000-0000-0000CC090000}"/>
    <cellStyle name="Calculation 2 5 2 2 12" xfId="13647" xr:uid="{00000000-0005-0000-0000-0000CD090000}"/>
    <cellStyle name="Calculation 2 5 2 2 13" xfId="26534" xr:uid="{2DD0496C-6DB3-4A93-9238-089BCB3CD12F}"/>
    <cellStyle name="Calculation 2 5 2 2 14" xfId="26916" xr:uid="{CEC5BBD0-1089-4507-A072-7B27299489A7}"/>
    <cellStyle name="Calculation 2 5 2 2 15" xfId="30085" xr:uid="{B475D069-30A0-4491-8D71-ACB194B38AB3}"/>
    <cellStyle name="Calculation 2 5 2 2 16" xfId="31517" xr:uid="{89FA7176-A643-4811-AFFB-5544DDC9469F}"/>
    <cellStyle name="Calculation 2 5 2 2 2" xfId="1126" xr:uid="{00000000-0005-0000-0000-0000CE090000}"/>
    <cellStyle name="Calculation 2 5 2 2 2 2" xfId="3262" xr:uid="{00000000-0005-0000-0000-0000CF090000}"/>
    <cellStyle name="Calculation 2 5 2 2 2 2 2" xfId="9858" xr:uid="{00000000-0005-0000-0000-0000D0090000}"/>
    <cellStyle name="Calculation 2 5 2 2 2 2 3" xfId="16477" xr:uid="{00000000-0005-0000-0000-0000D1090000}"/>
    <cellStyle name="Calculation 2 5 2 2 2 3" xfId="5297" xr:uid="{00000000-0005-0000-0000-0000D2090000}"/>
    <cellStyle name="Calculation 2 5 2 2 2 3 2" xfId="11893" xr:uid="{00000000-0005-0000-0000-0000D3090000}"/>
    <cellStyle name="Calculation 2 5 2 2 2 3 3" xfId="18512" xr:uid="{00000000-0005-0000-0000-0000D4090000}"/>
    <cellStyle name="Calculation 2 5 2 2 2 4" xfId="7722" xr:uid="{00000000-0005-0000-0000-0000D5090000}"/>
    <cellStyle name="Calculation 2 5 2 2 2 5" xfId="14341" xr:uid="{00000000-0005-0000-0000-0000D6090000}"/>
    <cellStyle name="Calculation 2 5 2 2 3" xfId="1408" xr:uid="{00000000-0005-0000-0000-0000D7090000}"/>
    <cellStyle name="Calculation 2 5 2 2 3 2" xfId="3544" xr:uid="{00000000-0005-0000-0000-0000D8090000}"/>
    <cellStyle name="Calculation 2 5 2 2 3 2 2" xfId="10140" xr:uid="{00000000-0005-0000-0000-0000D9090000}"/>
    <cellStyle name="Calculation 2 5 2 2 3 2 3" xfId="16759" xr:uid="{00000000-0005-0000-0000-0000DA090000}"/>
    <cellStyle name="Calculation 2 5 2 2 3 3" xfId="5579" xr:uid="{00000000-0005-0000-0000-0000DB090000}"/>
    <cellStyle name="Calculation 2 5 2 2 3 3 2" xfId="12175" xr:uid="{00000000-0005-0000-0000-0000DC090000}"/>
    <cellStyle name="Calculation 2 5 2 2 3 3 3" xfId="18794" xr:uid="{00000000-0005-0000-0000-0000DD090000}"/>
    <cellStyle name="Calculation 2 5 2 2 3 4" xfId="8004" xr:uid="{00000000-0005-0000-0000-0000DE090000}"/>
    <cellStyle name="Calculation 2 5 2 2 3 5" xfId="14623" xr:uid="{00000000-0005-0000-0000-0000DF090000}"/>
    <cellStyle name="Calculation 2 5 2 2 4" xfId="1689" xr:uid="{00000000-0005-0000-0000-0000E0090000}"/>
    <cellStyle name="Calculation 2 5 2 2 4 2" xfId="3825" xr:uid="{00000000-0005-0000-0000-0000E1090000}"/>
    <cellStyle name="Calculation 2 5 2 2 4 2 2" xfId="10421" xr:uid="{00000000-0005-0000-0000-0000E2090000}"/>
    <cellStyle name="Calculation 2 5 2 2 4 2 3" xfId="17040" xr:uid="{00000000-0005-0000-0000-0000E3090000}"/>
    <cellStyle name="Calculation 2 5 2 2 4 3" xfId="5860" xr:uid="{00000000-0005-0000-0000-0000E4090000}"/>
    <cellStyle name="Calculation 2 5 2 2 4 3 2" xfId="12456" xr:uid="{00000000-0005-0000-0000-0000E5090000}"/>
    <cellStyle name="Calculation 2 5 2 2 4 3 3" xfId="19075" xr:uid="{00000000-0005-0000-0000-0000E6090000}"/>
    <cellStyle name="Calculation 2 5 2 2 4 4" xfId="8285" xr:uid="{00000000-0005-0000-0000-0000E7090000}"/>
    <cellStyle name="Calculation 2 5 2 2 4 5" xfId="14904" xr:uid="{00000000-0005-0000-0000-0000E8090000}"/>
    <cellStyle name="Calculation 2 5 2 2 5" xfId="1968" xr:uid="{00000000-0005-0000-0000-0000E9090000}"/>
    <cellStyle name="Calculation 2 5 2 2 5 2" xfId="4104" xr:uid="{00000000-0005-0000-0000-0000EA090000}"/>
    <cellStyle name="Calculation 2 5 2 2 5 2 2" xfId="10700" xr:uid="{00000000-0005-0000-0000-0000EB090000}"/>
    <cellStyle name="Calculation 2 5 2 2 5 2 3" xfId="17319" xr:uid="{00000000-0005-0000-0000-0000EC090000}"/>
    <cellStyle name="Calculation 2 5 2 2 5 3" xfId="6139" xr:uid="{00000000-0005-0000-0000-0000ED090000}"/>
    <cellStyle name="Calculation 2 5 2 2 5 3 2" xfId="12735" xr:uid="{00000000-0005-0000-0000-0000EE090000}"/>
    <cellStyle name="Calculation 2 5 2 2 5 3 3" xfId="19354" xr:uid="{00000000-0005-0000-0000-0000EF090000}"/>
    <cellStyle name="Calculation 2 5 2 2 5 4" xfId="8564" xr:uid="{00000000-0005-0000-0000-0000F0090000}"/>
    <cellStyle name="Calculation 2 5 2 2 5 5" xfId="15183" xr:uid="{00000000-0005-0000-0000-0000F1090000}"/>
    <cellStyle name="Calculation 2 5 2 2 6" xfId="2243" xr:uid="{00000000-0005-0000-0000-0000F2090000}"/>
    <cellStyle name="Calculation 2 5 2 2 6 2" xfId="4379" xr:uid="{00000000-0005-0000-0000-0000F3090000}"/>
    <cellStyle name="Calculation 2 5 2 2 6 2 2" xfId="10975" xr:uid="{00000000-0005-0000-0000-0000F4090000}"/>
    <cellStyle name="Calculation 2 5 2 2 6 2 3" xfId="17594" xr:uid="{00000000-0005-0000-0000-0000F5090000}"/>
    <cellStyle name="Calculation 2 5 2 2 6 3" xfId="6414" xr:uid="{00000000-0005-0000-0000-0000F6090000}"/>
    <cellStyle name="Calculation 2 5 2 2 6 3 2" xfId="13010" xr:uid="{00000000-0005-0000-0000-0000F7090000}"/>
    <cellStyle name="Calculation 2 5 2 2 6 3 3" xfId="19629" xr:uid="{00000000-0005-0000-0000-0000F8090000}"/>
    <cellStyle name="Calculation 2 5 2 2 6 4" xfId="8839" xr:uid="{00000000-0005-0000-0000-0000F9090000}"/>
    <cellStyle name="Calculation 2 5 2 2 6 5" xfId="15458" xr:uid="{00000000-0005-0000-0000-0000FA090000}"/>
    <cellStyle name="Calculation 2 5 2 2 7" xfId="2516" xr:uid="{00000000-0005-0000-0000-0000FB090000}"/>
    <cellStyle name="Calculation 2 5 2 2 7 2" xfId="4652" xr:uid="{00000000-0005-0000-0000-0000FC090000}"/>
    <cellStyle name="Calculation 2 5 2 2 7 2 2" xfId="11248" xr:uid="{00000000-0005-0000-0000-0000FD090000}"/>
    <cellStyle name="Calculation 2 5 2 2 7 2 3" xfId="17867" xr:uid="{00000000-0005-0000-0000-0000FE090000}"/>
    <cellStyle name="Calculation 2 5 2 2 7 3" xfId="6687" xr:uid="{00000000-0005-0000-0000-0000FF090000}"/>
    <cellStyle name="Calculation 2 5 2 2 7 3 2" xfId="13283" xr:uid="{00000000-0005-0000-0000-0000000A0000}"/>
    <cellStyle name="Calculation 2 5 2 2 7 3 3" xfId="19902" xr:uid="{00000000-0005-0000-0000-0000010A0000}"/>
    <cellStyle name="Calculation 2 5 2 2 7 4" xfId="9112" xr:uid="{00000000-0005-0000-0000-0000020A0000}"/>
    <cellStyle name="Calculation 2 5 2 2 7 5" xfId="15731" xr:uid="{00000000-0005-0000-0000-0000030A0000}"/>
    <cellStyle name="Calculation 2 5 2 2 8" xfId="2962" xr:uid="{00000000-0005-0000-0000-0000040A0000}"/>
    <cellStyle name="Calculation 2 5 2 2 8 2" xfId="9558" xr:uid="{00000000-0005-0000-0000-0000050A0000}"/>
    <cellStyle name="Calculation 2 5 2 2 8 3" xfId="16177" xr:uid="{00000000-0005-0000-0000-0000060A0000}"/>
    <cellStyle name="Calculation 2 5 2 2 9" xfId="4997" xr:uid="{00000000-0005-0000-0000-0000070A0000}"/>
    <cellStyle name="Calculation 2 5 2 2 9 2" xfId="11593" xr:uid="{00000000-0005-0000-0000-0000080A0000}"/>
    <cellStyle name="Calculation 2 5 2 2 9 3" xfId="18212" xr:uid="{00000000-0005-0000-0000-0000090A0000}"/>
    <cellStyle name="Calculation 2 5 2 2_Summary" xfId="20135" xr:uid="{00000000-0005-0000-0000-00000A0A0000}"/>
    <cellStyle name="Calculation 2 5 2 3" xfId="998" xr:uid="{00000000-0005-0000-0000-00000B0A0000}"/>
    <cellStyle name="Calculation 2 5 2 3 2" xfId="3134" xr:uid="{00000000-0005-0000-0000-00000C0A0000}"/>
    <cellStyle name="Calculation 2 5 2 3 2 2" xfId="9730" xr:uid="{00000000-0005-0000-0000-00000D0A0000}"/>
    <cellStyle name="Calculation 2 5 2 3 2 3" xfId="16349" xr:uid="{00000000-0005-0000-0000-00000E0A0000}"/>
    <cellStyle name="Calculation 2 5 2 3 3" xfId="5169" xr:uid="{00000000-0005-0000-0000-00000F0A0000}"/>
    <cellStyle name="Calculation 2 5 2 3 3 2" xfId="11765" xr:uid="{00000000-0005-0000-0000-0000100A0000}"/>
    <cellStyle name="Calculation 2 5 2 3 3 3" xfId="18384" xr:uid="{00000000-0005-0000-0000-0000110A0000}"/>
    <cellStyle name="Calculation 2 5 2 3 4" xfId="7595" xr:uid="{00000000-0005-0000-0000-0000120A0000}"/>
    <cellStyle name="Calculation 2 5 2 3 5" xfId="14213" xr:uid="{00000000-0005-0000-0000-0000130A0000}"/>
    <cellStyle name="Calculation 2 5 2 4" xfId="1280" xr:uid="{00000000-0005-0000-0000-0000140A0000}"/>
    <cellStyle name="Calculation 2 5 2 4 2" xfId="3416" xr:uid="{00000000-0005-0000-0000-0000150A0000}"/>
    <cellStyle name="Calculation 2 5 2 4 2 2" xfId="10012" xr:uid="{00000000-0005-0000-0000-0000160A0000}"/>
    <cellStyle name="Calculation 2 5 2 4 2 3" xfId="16631" xr:uid="{00000000-0005-0000-0000-0000170A0000}"/>
    <cellStyle name="Calculation 2 5 2 4 3" xfId="5451" xr:uid="{00000000-0005-0000-0000-0000180A0000}"/>
    <cellStyle name="Calculation 2 5 2 4 3 2" xfId="12047" xr:uid="{00000000-0005-0000-0000-0000190A0000}"/>
    <cellStyle name="Calculation 2 5 2 4 3 3" xfId="18666" xr:uid="{00000000-0005-0000-0000-00001A0A0000}"/>
    <cellStyle name="Calculation 2 5 2 4 4" xfId="7876" xr:uid="{00000000-0005-0000-0000-00001B0A0000}"/>
    <cellStyle name="Calculation 2 5 2 4 5" xfId="14495" xr:uid="{00000000-0005-0000-0000-00001C0A0000}"/>
    <cellStyle name="Calculation 2 5 2 5" xfId="1561" xr:uid="{00000000-0005-0000-0000-00001D0A0000}"/>
    <cellStyle name="Calculation 2 5 2 5 2" xfId="3697" xr:uid="{00000000-0005-0000-0000-00001E0A0000}"/>
    <cellStyle name="Calculation 2 5 2 5 2 2" xfId="10293" xr:uid="{00000000-0005-0000-0000-00001F0A0000}"/>
    <cellStyle name="Calculation 2 5 2 5 2 3" xfId="16912" xr:uid="{00000000-0005-0000-0000-0000200A0000}"/>
    <cellStyle name="Calculation 2 5 2 5 3" xfId="5732" xr:uid="{00000000-0005-0000-0000-0000210A0000}"/>
    <cellStyle name="Calculation 2 5 2 5 3 2" xfId="12328" xr:uid="{00000000-0005-0000-0000-0000220A0000}"/>
    <cellStyle name="Calculation 2 5 2 5 3 3" xfId="18947" xr:uid="{00000000-0005-0000-0000-0000230A0000}"/>
    <cellStyle name="Calculation 2 5 2 5 4" xfId="8157" xr:uid="{00000000-0005-0000-0000-0000240A0000}"/>
    <cellStyle name="Calculation 2 5 2 5 5" xfId="14776" xr:uid="{00000000-0005-0000-0000-0000250A0000}"/>
    <cellStyle name="Calculation 2 5 2 6" xfId="1840" xr:uid="{00000000-0005-0000-0000-0000260A0000}"/>
    <cellStyle name="Calculation 2 5 2 6 2" xfId="3976" xr:uid="{00000000-0005-0000-0000-0000270A0000}"/>
    <cellStyle name="Calculation 2 5 2 6 2 2" xfId="10572" xr:uid="{00000000-0005-0000-0000-0000280A0000}"/>
    <cellStyle name="Calculation 2 5 2 6 2 3" xfId="17191" xr:uid="{00000000-0005-0000-0000-0000290A0000}"/>
    <cellStyle name="Calculation 2 5 2 6 3" xfId="6011" xr:uid="{00000000-0005-0000-0000-00002A0A0000}"/>
    <cellStyle name="Calculation 2 5 2 6 3 2" xfId="12607" xr:uid="{00000000-0005-0000-0000-00002B0A0000}"/>
    <cellStyle name="Calculation 2 5 2 6 3 3" xfId="19226" xr:uid="{00000000-0005-0000-0000-00002C0A0000}"/>
    <cellStyle name="Calculation 2 5 2 6 4" xfId="8436" xr:uid="{00000000-0005-0000-0000-00002D0A0000}"/>
    <cellStyle name="Calculation 2 5 2 6 5" xfId="15055" xr:uid="{00000000-0005-0000-0000-00002E0A0000}"/>
    <cellStyle name="Calculation 2 5 2 7" xfId="2115" xr:uid="{00000000-0005-0000-0000-00002F0A0000}"/>
    <cellStyle name="Calculation 2 5 2 7 2" xfId="4251" xr:uid="{00000000-0005-0000-0000-0000300A0000}"/>
    <cellStyle name="Calculation 2 5 2 7 2 2" xfId="10847" xr:uid="{00000000-0005-0000-0000-0000310A0000}"/>
    <cellStyle name="Calculation 2 5 2 7 2 3" xfId="17466" xr:uid="{00000000-0005-0000-0000-0000320A0000}"/>
    <cellStyle name="Calculation 2 5 2 7 3" xfId="6286" xr:uid="{00000000-0005-0000-0000-0000330A0000}"/>
    <cellStyle name="Calculation 2 5 2 7 3 2" xfId="12882" xr:uid="{00000000-0005-0000-0000-0000340A0000}"/>
    <cellStyle name="Calculation 2 5 2 7 3 3" xfId="19501" xr:uid="{00000000-0005-0000-0000-0000350A0000}"/>
    <cellStyle name="Calculation 2 5 2 7 4" xfId="8711" xr:uid="{00000000-0005-0000-0000-0000360A0000}"/>
    <cellStyle name="Calculation 2 5 2 7 5" xfId="15330" xr:uid="{00000000-0005-0000-0000-0000370A0000}"/>
    <cellStyle name="Calculation 2 5 2 8" xfId="2388" xr:uid="{00000000-0005-0000-0000-0000380A0000}"/>
    <cellStyle name="Calculation 2 5 2 8 2" xfId="4524" xr:uid="{00000000-0005-0000-0000-0000390A0000}"/>
    <cellStyle name="Calculation 2 5 2 8 2 2" xfId="11120" xr:uid="{00000000-0005-0000-0000-00003A0A0000}"/>
    <cellStyle name="Calculation 2 5 2 8 2 3" xfId="17739" xr:uid="{00000000-0005-0000-0000-00003B0A0000}"/>
    <cellStyle name="Calculation 2 5 2 8 3" xfId="6559" xr:uid="{00000000-0005-0000-0000-00003C0A0000}"/>
    <cellStyle name="Calculation 2 5 2 8 3 2" xfId="13155" xr:uid="{00000000-0005-0000-0000-00003D0A0000}"/>
    <cellStyle name="Calculation 2 5 2 8 3 3" xfId="19774" xr:uid="{00000000-0005-0000-0000-00003E0A0000}"/>
    <cellStyle name="Calculation 2 5 2 8 4" xfId="8984" xr:uid="{00000000-0005-0000-0000-00003F0A0000}"/>
    <cellStyle name="Calculation 2 5 2 8 5" xfId="15603" xr:uid="{00000000-0005-0000-0000-0000400A0000}"/>
    <cellStyle name="Calculation 2 5 2 9" xfId="2689" xr:uid="{00000000-0005-0000-0000-0000410A0000}"/>
    <cellStyle name="Calculation 2 5 2 9 2" xfId="9285" xr:uid="{00000000-0005-0000-0000-0000420A0000}"/>
    <cellStyle name="Calculation 2 5 2 9 3" xfId="15904" xr:uid="{00000000-0005-0000-0000-0000430A0000}"/>
    <cellStyle name="Calculation 2 5 2_Summary" xfId="20134" xr:uid="{00000000-0005-0000-0000-0000440A0000}"/>
    <cellStyle name="Calculation 2 5 3" xfId="218" xr:uid="{00000000-0005-0000-0000-0000450A0000}"/>
    <cellStyle name="Calculation 2 5 3 10" xfId="755" xr:uid="{00000000-0005-0000-0000-0000460A0000}"/>
    <cellStyle name="Calculation 2 5 3 10 2" xfId="13970" xr:uid="{00000000-0005-0000-0000-0000470A0000}"/>
    <cellStyle name="Calculation 2 5 3 11" xfId="7125" xr:uid="{00000000-0005-0000-0000-0000480A0000}"/>
    <cellStyle name="Calculation 2 5 3 12" xfId="7016" xr:uid="{00000000-0005-0000-0000-0000490A0000}"/>
    <cellStyle name="Calculation 2 5 3 13" xfId="28226" xr:uid="{1BFEAC24-14B6-4184-9466-9C9CDCE23532}"/>
    <cellStyle name="Calculation 2 5 3 14" xfId="30807" xr:uid="{12D8BFA3-7263-449C-9E18-4760FC650AFA}"/>
    <cellStyle name="Calculation 2 5 3 2" xfId="923" xr:uid="{00000000-0005-0000-0000-00004A0A0000}"/>
    <cellStyle name="Calculation 2 5 3 2 2" xfId="3059" xr:uid="{00000000-0005-0000-0000-00004B0A0000}"/>
    <cellStyle name="Calculation 2 5 3 2 2 2" xfId="9655" xr:uid="{00000000-0005-0000-0000-00004C0A0000}"/>
    <cellStyle name="Calculation 2 5 3 2 2 3" xfId="16274" xr:uid="{00000000-0005-0000-0000-00004D0A0000}"/>
    <cellStyle name="Calculation 2 5 3 2 3" xfId="5094" xr:uid="{00000000-0005-0000-0000-00004E0A0000}"/>
    <cellStyle name="Calculation 2 5 3 2 3 2" xfId="11690" xr:uid="{00000000-0005-0000-0000-00004F0A0000}"/>
    <cellStyle name="Calculation 2 5 3 2 3 3" xfId="18309" xr:uid="{00000000-0005-0000-0000-0000500A0000}"/>
    <cellStyle name="Calculation 2 5 3 2 4" xfId="7520" xr:uid="{00000000-0005-0000-0000-0000510A0000}"/>
    <cellStyle name="Calculation 2 5 3 2 5" xfId="14138" xr:uid="{00000000-0005-0000-0000-0000520A0000}"/>
    <cellStyle name="Calculation 2 5 3 2 6" xfId="30086" xr:uid="{C9608230-0C78-4920-9AD9-86762763682A}"/>
    <cellStyle name="Calculation 2 5 3 2 7" xfId="31518" xr:uid="{84B7633A-6E7A-4200-B00F-2964DCBA6C92}"/>
    <cellStyle name="Calculation 2 5 3 3" xfId="1208" xr:uid="{00000000-0005-0000-0000-0000530A0000}"/>
    <cellStyle name="Calculation 2 5 3 3 2" xfId="3344" xr:uid="{00000000-0005-0000-0000-0000540A0000}"/>
    <cellStyle name="Calculation 2 5 3 3 2 2" xfId="9940" xr:uid="{00000000-0005-0000-0000-0000550A0000}"/>
    <cellStyle name="Calculation 2 5 3 3 2 3" xfId="16559" xr:uid="{00000000-0005-0000-0000-0000560A0000}"/>
    <cellStyle name="Calculation 2 5 3 3 3" xfId="5379" xr:uid="{00000000-0005-0000-0000-0000570A0000}"/>
    <cellStyle name="Calculation 2 5 3 3 3 2" xfId="11975" xr:uid="{00000000-0005-0000-0000-0000580A0000}"/>
    <cellStyle name="Calculation 2 5 3 3 3 3" xfId="18594" xr:uid="{00000000-0005-0000-0000-0000590A0000}"/>
    <cellStyle name="Calculation 2 5 3 3 4" xfId="7804" xr:uid="{00000000-0005-0000-0000-00005A0A0000}"/>
    <cellStyle name="Calculation 2 5 3 3 5" xfId="14423" xr:uid="{00000000-0005-0000-0000-00005B0A0000}"/>
    <cellStyle name="Calculation 2 5 3 4" xfId="1490" xr:uid="{00000000-0005-0000-0000-00005C0A0000}"/>
    <cellStyle name="Calculation 2 5 3 4 2" xfId="3626" xr:uid="{00000000-0005-0000-0000-00005D0A0000}"/>
    <cellStyle name="Calculation 2 5 3 4 2 2" xfId="10222" xr:uid="{00000000-0005-0000-0000-00005E0A0000}"/>
    <cellStyle name="Calculation 2 5 3 4 2 3" xfId="16841" xr:uid="{00000000-0005-0000-0000-00005F0A0000}"/>
    <cellStyle name="Calculation 2 5 3 4 3" xfId="5661" xr:uid="{00000000-0005-0000-0000-0000600A0000}"/>
    <cellStyle name="Calculation 2 5 3 4 3 2" xfId="12257" xr:uid="{00000000-0005-0000-0000-0000610A0000}"/>
    <cellStyle name="Calculation 2 5 3 4 3 3" xfId="18876" xr:uid="{00000000-0005-0000-0000-0000620A0000}"/>
    <cellStyle name="Calculation 2 5 3 4 4" xfId="8086" xr:uid="{00000000-0005-0000-0000-0000630A0000}"/>
    <cellStyle name="Calculation 2 5 3 4 5" xfId="14705" xr:uid="{00000000-0005-0000-0000-0000640A0000}"/>
    <cellStyle name="Calculation 2 5 3 5" xfId="1771" xr:uid="{00000000-0005-0000-0000-0000650A0000}"/>
    <cellStyle name="Calculation 2 5 3 5 2" xfId="3907" xr:uid="{00000000-0005-0000-0000-0000660A0000}"/>
    <cellStyle name="Calculation 2 5 3 5 2 2" xfId="10503" xr:uid="{00000000-0005-0000-0000-0000670A0000}"/>
    <cellStyle name="Calculation 2 5 3 5 2 3" xfId="17122" xr:uid="{00000000-0005-0000-0000-0000680A0000}"/>
    <cellStyle name="Calculation 2 5 3 5 3" xfId="5942" xr:uid="{00000000-0005-0000-0000-0000690A0000}"/>
    <cellStyle name="Calculation 2 5 3 5 3 2" xfId="12538" xr:uid="{00000000-0005-0000-0000-00006A0A0000}"/>
    <cellStyle name="Calculation 2 5 3 5 3 3" xfId="19157" xr:uid="{00000000-0005-0000-0000-00006B0A0000}"/>
    <cellStyle name="Calculation 2 5 3 5 4" xfId="8367" xr:uid="{00000000-0005-0000-0000-00006C0A0000}"/>
    <cellStyle name="Calculation 2 5 3 5 5" xfId="14986" xr:uid="{00000000-0005-0000-0000-00006D0A0000}"/>
    <cellStyle name="Calculation 2 5 3 6" xfId="2050" xr:uid="{00000000-0005-0000-0000-00006E0A0000}"/>
    <cellStyle name="Calculation 2 5 3 6 2" xfId="4186" xr:uid="{00000000-0005-0000-0000-00006F0A0000}"/>
    <cellStyle name="Calculation 2 5 3 6 2 2" xfId="10782" xr:uid="{00000000-0005-0000-0000-0000700A0000}"/>
    <cellStyle name="Calculation 2 5 3 6 2 3" xfId="17401" xr:uid="{00000000-0005-0000-0000-0000710A0000}"/>
    <cellStyle name="Calculation 2 5 3 6 3" xfId="6221" xr:uid="{00000000-0005-0000-0000-0000720A0000}"/>
    <cellStyle name="Calculation 2 5 3 6 3 2" xfId="12817" xr:uid="{00000000-0005-0000-0000-0000730A0000}"/>
    <cellStyle name="Calculation 2 5 3 6 3 3" xfId="19436" xr:uid="{00000000-0005-0000-0000-0000740A0000}"/>
    <cellStyle name="Calculation 2 5 3 6 4" xfId="8646" xr:uid="{00000000-0005-0000-0000-0000750A0000}"/>
    <cellStyle name="Calculation 2 5 3 6 5" xfId="15265" xr:uid="{00000000-0005-0000-0000-0000760A0000}"/>
    <cellStyle name="Calculation 2 5 3 7" xfId="2325" xr:uid="{00000000-0005-0000-0000-0000770A0000}"/>
    <cellStyle name="Calculation 2 5 3 7 2" xfId="4461" xr:uid="{00000000-0005-0000-0000-0000780A0000}"/>
    <cellStyle name="Calculation 2 5 3 7 2 2" xfId="11057" xr:uid="{00000000-0005-0000-0000-0000790A0000}"/>
    <cellStyle name="Calculation 2 5 3 7 2 3" xfId="17676" xr:uid="{00000000-0005-0000-0000-00007A0A0000}"/>
    <cellStyle name="Calculation 2 5 3 7 3" xfId="6496" xr:uid="{00000000-0005-0000-0000-00007B0A0000}"/>
    <cellStyle name="Calculation 2 5 3 7 3 2" xfId="13092" xr:uid="{00000000-0005-0000-0000-00007C0A0000}"/>
    <cellStyle name="Calculation 2 5 3 7 3 3" xfId="19711" xr:uid="{00000000-0005-0000-0000-00007D0A0000}"/>
    <cellStyle name="Calculation 2 5 3 7 4" xfId="8921" xr:uid="{00000000-0005-0000-0000-00007E0A0000}"/>
    <cellStyle name="Calculation 2 5 3 7 5" xfId="15540" xr:uid="{00000000-0005-0000-0000-00007F0A0000}"/>
    <cellStyle name="Calculation 2 5 3 8" xfId="2891" xr:uid="{00000000-0005-0000-0000-0000800A0000}"/>
    <cellStyle name="Calculation 2 5 3 8 2" xfId="9487" xr:uid="{00000000-0005-0000-0000-0000810A0000}"/>
    <cellStyle name="Calculation 2 5 3 8 3" xfId="16106" xr:uid="{00000000-0005-0000-0000-0000820A0000}"/>
    <cellStyle name="Calculation 2 5 3 9" xfId="4926" xr:uid="{00000000-0005-0000-0000-0000830A0000}"/>
    <cellStyle name="Calculation 2 5 3 9 2" xfId="11522" xr:uid="{00000000-0005-0000-0000-0000840A0000}"/>
    <cellStyle name="Calculation 2 5 3 9 3" xfId="18141" xr:uid="{00000000-0005-0000-0000-0000850A0000}"/>
    <cellStyle name="Calculation 2 5 3_Summary" xfId="20136" xr:uid="{00000000-0005-0000-0000-0000860A0000}"/>
    <cellStyle name="Calculation 2 5 4" xfId="371" xr:uid="{00000000-0005-0000-0000-0000870A0000}"/>
    <cellStyle name="Calculation 2 5 4 10" xfId="708" xr:uid="{00000000-0005-0000-0000-0000880A0000}"/>
    <cellStyle name="Calculation 2 5 4 10 2" xfId="13923" xr:uid="{00000000-0005-0000-0000-0000890A0000}"/>
    <cellStyle name="Calculation 2 5 4 11" xfId="7264" xr:uid="{00000000-0005-0000-0000-00008A0A0000}"/>
    <cellStyle name="Calculation 2 5 4 12" xfId="13586" xr:uid="{00000000-0005-0000-0000-00008B0A0000}"/>
    <cellStyle name="Calculation 2 5 4 13" xfId="30084" xr:uid="{BF083558-C964-4E1A-BDEF-0F55CD72918C}"/>
    <cellStyle name="Calculation 2 5 4 14" xfId="31516" xr:uid="{D8ED8D97-EC80-4D5A-8BB3-C8ED84735AEA}"/>
    <cellStyle name="Calculation 2 5 4 2" xfId="1065" xr:uid="{00000000-0005-0000-0000-00008C0A0000}"/>
    <cellStyle name="Calculation 2 5 4 2 2" xfId="3201" xr:uid="{00000000-0005-0000-0000-00008D0A0000}"/>
    <cellStyle name="Calculation 2 5 4 2 2 2" xfId="9797" xr:uid="{00000000-0005-0000-0000-00008E0A0000}"/>
    <cellStyle name="Calculation 2 5 4 2 2 3" xfId="16416" xr:uid="{00000000-0005-0000-0000-00008F0A0000}"/>
    <cellStyle name="Calculation 2 5 4 2 3" xfId="5236" xr:uid="{00000000-0005-0000-0000-0000900A0000}"/>
    <cellStyle name="Calculation 2 5 4 2 3 2" xfId="11832" xr:uid="{00000000-0005-0000-0000-0000910A0000}"/>
    <cellStyle name="Calculation 2 5 4 2 3 3" xfId="18451" xr:uid="{00000000-0005-0000-0000-0000920A0000}"/>
    <cellStyle name="Calculation 2 5 4 2 4" xfId="7662" xr:uid="{00000000-0005-0000-0000-0000930A0000}"/>
    <cellStyle name="Calculation 2 5 4 2 5" xfId="14280" xr:uid="{00000000-0005-0000-0000-0000940A0000}"/>
    <cellStyle name="Calculation 2 5 4 3" xfId="1347" xr:uid="{00000000-0005-0000-0000-0000950A0000}"/>
    <cellStyle name="Calculation 2 5 4 3 2" xfId="3483" xr:uid="{00000000-0005-0000-0000-0000960A0000}"/>
    <cellStyle name="Calculation 2 5 4 3 2 2" xfId="10079" xr:uid="{00000000-0005-0000-0000-0000970A0000}"/>
    <cellStyle name="Calculation 2 5 4 3 2 3" xfId="16698" xr:uid="{00000000-0005-0000-0000-0000980A0000}"/>
    <cellStyle name="Calculation 2 5 4 3 3" xfId="5518" xr:uid="{00000000-0005-0000-0000-0000990A0000}"/>
    <cellStyle name="Calculation 2 5 4 3 3 2" xfId="12114" xr:uid="{00000000-0005-0000-0000-00009A0A0000}"/>
    <cellStyle name="Calculation 2 5 4 3 3 3" xfId="18733" xr:uid="{00000000-0005-0000-0000-00009B0A0000}"/>
    <cellStyle name="Calculation 2 5 4 3 4" xfId="7943" xr:uid="{00000000-0005-0000-0000-00009C0A0000}"/>
    <cellStyle name="Calculation 2 5 4 3 5" xfId="14562" xr:uid="{00000000-0005-0000-0000-00009D0A0000}"/>
    <cellStyle name="Calculation 2 5 4 4" xfId="1628" xr:uid="{00000000-0005-0000-0000-00009E0A0000}"/>
    <cellStyle name="Calculation 2 5 4 4 2" xfId="3764" xr:uid="{00000000-0005-0000-0000-00009F0A0000}"/>
    <cellStyle name="Calculation 2 5 4 4 2 2" xfId="10360" xr:uid="{00000000-0005-0000-0000-0000A00A0000}"/>
    <cellStyle name="Calculation 2 5 4 4 2 3" xfId="16979" xr:uid="{00000000-0005-0000-0000-0000A10A0000}"/>
    <cellStyle name="Calculation 2 5 4 4 3" xfId="5799" xr:uid="{00000000-0005-0000-0000-0000A20A0000}"/>
    <cellStyle name="Calculation 2 5 4 4 3 2" xfId="12395" xr:uid="{00000000-0005-0000-0000-0000A30A0000}"/>
    <cellStyle name="Calculation 2 5 4 4 3 3" xfId="19014" xr:uid="{00000000-0005-0000-0000-0000A40A0000}"/>
    <cellStyle name="Calculation 2 5 4 4 4" xfId="8224" xr:uid="{00000000-0005-0000-0000-0000A50A0000}"/>
    <cellStyle name="Calculation 2 5 4 4 5" xfId="14843" xr:uid="{00000000-0005-0000-0000-0000A60A0000}"/>
    <cellStyle name="Calculation 2 5 4 5" xfId="1907" xr:uid="{00000000-0005-0000-0000-0000A70A0000}"/>
    <cellStyle name="Calculation 2 5 4 5 2" xfId="4043" xr:uid="{00000000-0005-0000-0000-0000A80A0000}"/>
    <cellStyle name="Calculation 2 5 4 5 2 2" xfId="10639" xr:uid="{00000000-0005-0000-0000-0000A90A0000}"/>
    <cellStyle name="Calculation 2 5 4 5 2 3" xfId="17258" xr:uid="{00000000-0005-0000-0000-0000AA0A0000}"/>
    <cellStyle name="Calculation 2 5 4 5 3" xfId="6078" xr:uid="{00000000-0005-0000-0000-0000AB0A0000}"/>
    <cellStyle name="Calculation 2 5 4 5 3 2" xfId="12674" xr:uid="{00000000-0005-0000-0000-0000AC0A0000}"/>
    <cellStyle name="Calculation 2 5 4 5 3 3" xfId="19293" xr:uid="{00000000-0005-0000-0000-0000AD0A0000}"/>
    <cellStyle name="Calculation 2 5 4 5 4" xfId="8503" xr:uid="{00000000-0005-0000-0000-0000AE0A0000}"/>
    <cellStyle name="Calculation 2 5 4 5 5" xfId="15122" xr:uid="{00000000-0005-0000-0000-0000AF0A0000}"/>
    <cellStyle name="Calculation 2 5 4 6" xfId="2182" xr:uid="{00000000-0005-0000-0000-0000B00A0000}"/>
    <cellStyle name="Calculation 2 5 4 6 2" xfId="4318" xr:uid="{00000000-0005-0000-0000-0000B10A0000}"/>
    <cellStyle name="Calculation 2 5 4 6 2 2" xfId="10914" xr:uid="{00000000-0005-0000-0000-0000B20A0000}"/>
    <cellStyle name="Calculation 2 5 4 6 2 3" xfId="17533" xr:uid="{00000000-0005-0000-0000-0000B30A0000}"/>
    <cellStyle name="Calculation 2 5 4 6 3" xfId="6353" xr:uid="{00000000-0005-0000-0000-0000B40A0000}"/>
    <cellStyle name="Calculation 2 5 4 6 3 2" xfId="12949" xr:uid="{00000000-0005-0000-0000-0000B50A0000}"/>
    <cellStyle name="Calculation 2 5 4 6 3 3" xfId="19568" xr:uid="{00000000-0005-0000-0000-0000B60A0000}"/>
    <cellStyle name="Calculation 2 5 4 6 4" xfId="8778" xr:uid="{00000000-0005-0000-0000-0000B70A0000}"/>
    <cellStyle name="Calculation 2 5 4 6 5" xfId="15397" xr:uid="{00000000-0005-0000-0000-0000B80A0000}"/>
    <cellStyle name="Calculation 2 5 4 7" xfId="2455" xr:uid="{00000000-0005-0000-0000-0000B90A0000}"/>
    <cellStyle name="Calculation 2 5 4 7 2" xfId="4591" xr:uid="{00000000-0005-0000-0000-0000BA0A0000}"/>
    <cellStyle name="Calculation 2 5 4 7 2 2" xfId="11187" xr:uid="{00000000-0005-0000-0000-0000BB0A0000}"/>
    <cellStyle name="Calculation 2 5 4 7 2 3" xfId="17806" xr:uid="{00000000-0005-0000-0000-0000BC0A0000}"/>
    <cellStyle name="Calculation 2 5 4 7 3" xfId="6626" xr:uid="{00000000-0005-0000-0000-0000BD0A0000}"/>
    <cellStyle name="Calculation 2 5 4 7 3 2" xfId="13222" xr:uid="{00000000-0005-0000-0000-0000BE0A0000}"/>
    <cellStyle name="Calculation 2 5 4 7 3 3" xfId="19841" xr:uid="{00000000-0005-0000-0000-0000BF0A0000}"/>
    <cellStyle name="Calculation 2 5 4 7 4" xfId="9051" xr:uid="{00000000-0005-0000-0000-0000C00A0000}"/>
    <cellStyle name="Calculation 2 5 4 7 5" xfId="15670" xr:uid="{00000000-0005-0000-0000-0000C10A0000}"/>
    <cellStyle name="Calculation 2 5 4 8" xfId="2844" xr:uid="{00000000-0005-0000-0000-0000C20A0000}"/>
    <cellStyle name="Calculation 2 5 4 8 2" xfId="9440" xr:uid="{00000000-0005-0000-0000-0000C30A0000}"/>
    <cellStyle name="Calculation 2 5 4 8 3" xfId="16059" xr:uid="{00000000-0005-0000-0000-0000C40A0000}"/>
    <cellStyle name="Calculation 2 5 4 9" xfId="4879" xr:uid="{00000000-0005-0000-0000-0000C50A0000}"/>
    <cellStyle name="Calculation 2 5 4 9 2" xfId="11475" xr:uid="{00000000-0005-0000-0000-0000C60A0000}"/>
    <cellStyle name="Calculation 2 5 4 9 3" xfId="18094" xr:uid="{00000000-0005-0000-0000-0000C70A0000}"/>
    <cellStyle name="Calculation 2 5 4_Summary" xfId="20137" xr:uid="{00000000-0005-0000-0000-0000C80A0000}"/>
    <cellStyle name="Calculation 2 5 5" xfId="877" xr:uid="{00000000-0005-0000-0000-0000C90A0000}"/>
    <cellStyle name="Calculation 2 5 5 2" xfId="3013" xr:uid="{00000000-0005-0000-0000-0000CA0A0000}"/>
    <cellStyle name="Calculation 2 5 5 2 2" xfId="9609" xr:uid="{00000000-0005-0000-0000-0000CB0A0000}"/>
    <cellStyle name="Calculation 2 5 5 2 3" xfId="16228" xr:uid="{00000000-0005-0000-0000-0000CC0A0000}"/>
    <cellStyle name="Calculation 2 5 5 3" xfId="5048" xr:uid="{00000000-0005-0000-0000-0000CD0A0000}"/>
    <cellStyle name="Calculation 2 5 5 3 2" xfId="11644" xr:uid="{00000000-0005-0000-0000-0000CE0A0000}"/>
    <cellStyle name="Calculation 2 5 5 3 3" xfId="18263" xr:uid="{00000000-0005-0000-0000-0000CF0A0000}"/>
    <cellStyle name="Calculation 2 5 5 4" xfId="7474" xr:uid="{00000000-0005-0000-0000-0000D00A0000}"/>
    <cellStyle name="Calculation 2 5 5 5" xfId="14092" xr:uid="{00000000-0005-0000-0000-0000D10A0000}"/>
    <cellStyle name="Calculation 2 5 6" xfId="741" xr:uid="{00000000-0005-0000-0000-0000D20A0000}"/>
    <cellStyle name="Calculation 2 5 6 2" xfId="2877" xr:uid="{00000000-0005-0000-0000-0000D30A0000}"/>
    <cellStyle name="Calculation 2 5 6 2 2" xfId="9473" xr:uid="{00000000-0005-0000-0000-0000D40A0000}"/>
    <cellStyle name="Calculation 2 5 6 2 3" xfId="16092" xr:uid="{00000000-0005-0000-0000-0000D50A0000}"/>
    <cellStyle name="Calculation 2 5 6 3" xfId="4912" xr:uid="{00000000-0005-0000-0000-0000D60A0000}"/>
    <cellStyle name="Calculation 2 5 6 3 2" xfId="11508" xr:uid="{00000000-0005-0000-0000-0000D70A0000}"/>
    <cellStyle name="Calculation 2 5 6 3 3" xfId="18127" xr:uid="{00000000-0005-0000-0000-0000D80A0000}"/>
    <cellStyle name="Calculation 2 5 6 4" xfId="7452" xr:uid="{00000000-0005-0000-0000-0000D90A0000}"/>
    <cellStyle name="Calculation 2 5 6 5" xfId="13956" xr:uid="{00000000-0005-0000-0000-0000DA0A0000}"/>
    <cellStyle name="Calculation 2 5 7" xfId="626" xr:uid="{00000000-0005-0000-0000-0000DB0A0000}"/>
    <cellStyle name="Calculation 2 5 7 2" xfId="2762" xr:uid="{00000000-0005-0000-0000-0000DC0A0000}"/>
    <cellStyle name="Calculation 2 5 7 2 2" xfId="9358" xr:uid="{00000000-0005-0000-0000-0000DD0A0000}"/>
    <cellStyle name="Calculation 2 5 7 2 3" xfId="15977" xr:uid="{00000000-0005-0000-0000-0000DE0A0000}"/>
    <cellStyle name="Calculation 2 5 7 3" xfId="4797" xr:uid="{00000000-0005-0000-0000-0000DF0A0000}"/>
    <cellStyle name="Calculation 2 5 7 3 2" xfId="11393" xr:uid="{00000000-0005-0000-0000-0000E00A0000}"/>
    <cellStyle name="Calculation 2 5 7 3 3" xfId="18012" xr:uid="{00000000-0005-0000-0000-0000E10A0000}"/>
    <cellStyle name="Calculation 2 5 7 4" xfId="7398" xr:uid="{00000000-0005-0000-0000-0000E20A0000}"/>
    <cellStyle name="Calculation 2 5 7 5" xfId="13841" xr:uid="{00000000-0005-0000-0000-0000E30A0000}"/>
    <cellStyle name="Calculation 2 5 8" xfId="792" xr:uid="{00000000-0005-0000-0000-0000E40A0000}"/>
    <cellStyle name="Calculation 2 5 8 2" xfId="2928" xr:uid="{00000000-0005-0000-0000-0000E50A0000}"/>
    <cellStyle name="Calculation 2 5 8 2 2" xfId="9524" xr:uid="{00000000-0005-0000-0000-0000E60A0000}"/>
    <cellStyle name="Calculation 2 5 8 2 3" xfId="16143" xr:uid="{00000000-0005-0000-0000-0000E70A0000}"/>
    <cellStyle name="Calculation 2 5 8 3" xfId="4963" xr:uid="{00000000-0005-0000-0000-0000E80A0000}"/>
    <cellStyle name="Calculation 2 5 8 3 2" xfId="11559" xr:uid="{00000000-0005-0000-0000-0000E90A0000}"/>
    <cellStyle name="Calculation 2 5 8 3 3" xfId="18178" xr:uid="{00000000-0005-0000-0000-0000EA0A0000}"/>
    <cellStyle name="Calculation 2 5 8 4" xfId="7459" xr:uid="{00000000-0005-0000-0000-0000EB0A0000}"/>
    <cellStyle name="Calculation 2 5 8 5" xfId="14007" xr:uid="{00000000-0005-0000-0000-0000EC0A0000}"/>
    <cellStyle name="Calculation 2 5 9" xfId="651" xr:uid="{00000000-0005-0000-0000-0000ED0A0000}"/>
    <cellStyle name="Calculation 2 5 9 2" xfId="2787" xr:uid="{00000000-0005-0000-0000-0000EE0A0000}"/>
    <cellStyle name="Calculation 2 5 9 2 2" xfId="9383" xr:uid="{00000000-0005-0000-0000-0000EF0A0000}"/>
    <cellStyle name="Calculation 2 5 9 2 3" xfId="16002" xr:uid="{00000000-0005-0000-0000-0000F00A0000}"/>
    <cellStyle name="Calculation 2 5 9 3" xfId="4822" xr:uid="{00000000-0005-0000-0000-0000F10A0000}"/>
    <cellStyle name="Calculation 2 5 9 3 2" xfId="11418" xr:uid="{00000000-0005-0000-0000-0000F20A0000}"/>
    <cellStyle name="Calculation 2 5 9 3 3" xfId="18037" xr:uid="{00000000-0005-0000-0000-0000F30A0000}"/>
    <cellStyle name="Calculation 2 5 9 4" xfId="7423" xr:uid="{00000000-0005-0000-0000-0000F40A0000}"/>
    <cellStyle name="Calculation 2 5 9 5" xfId="13866" xr:uid="{00000000-0005-0000-0000-0000F50A0000}"/>
    <cellStyle name="Calculation 2 5_Summary" xfId="20133" xr:uid="{00000000-0005-0000-0000-0000F60A0000}"/>
    <cellStyle name="Calculation 2 50" xfId="25581" xr:uid="{00000000-0005-0000-0000-00004B000000}"/>
    <cellStyle name="Calculation 2 51" xfId="25587" xr:uid="{00000000-0005-0000-0000-00004B000000}"/>
    <cellStyle name="Calculation 2 52" xfId="25685" xr:uid="{00000000-0005-0000-0000-00004B000000}"/>
    <cellStyle name="Calculation 2 53" xfId="25693" xr:uid="{00000000-0005-0000-0000-00004B000000}"/>
    <cellStyle name="Calculation 2 54" xfId="25706" xr:uid="{00000000-0005-0000-0000-00004B000000}"/>
    <cellStyle name="Calculation 2 55" xfId="25789" xr:uid="{2B610956-6AE5-4434-A8F5-EB934EE5E217}"/>
    <cellStyle name="Calculation 2 56" xfId="25857" xr:uid="{D9FA914B-054E-4D0A-9170-85BA1B1EE588}"/>
    <cellStyle name="Calculation 2 57" xfId="25824" xr:uid="{A13EB5BC-AB01-4610-AED9-89CDAD343C8B}"/>
    <cellStyle name="Calculation 2 58" xfId="26630" xr:uid="{CD9A2DA0-A806-4CF3-90AE-3A12A4AA5A0E}"/>
    <cellStyle name="Calculation 2 59" xfId="26983" xr:uid="{D1F7F09D-78F1-4479-9440-7A9F115CFA1F}"/>
    <cellStyle name="Calculation 2 6" xfId="178" xr:uid="{00000000-0005-0000-0000-0000F70A0000}"/>
    <cellStyle name="Calculation 2 6 10" xfId="2287" xr:uid="{00000000-0005-0000-0000-0000F80A0000}"/>
    <cellStyle name="Calculation 2 6 10 2" xfId="4423" xr:uid="{00000000-0005-0000-0000-0000F90A0000}"/>
    <cellStyle name="Calculation 2 6 10 2 2" xfId="11019" xr:uid="{00000000-0005-0000-0000-0000FA0A0000}"/>
    <cellStyle name="Calculation 2 6 10 2 3" xfId="17638" xr:uid="{00000000-0005-0000-0000-0000FB0A0000}"/>
    <cellStyle name="Calculation 2 6 10 3" xfId="6458" xr:uid="{00000000-0005-0000-0000-0000FC0A0000}"/>
    <cellStyle name="Calculation 2 6 10 3 2" xfId="13054" xr:uid="{00000000-0005-0000-0000-0000FD0A0000}"/>
    <cellStyle name="Calculation 2 6 10 3 3" xfId="19673" xr:uid="{00000000-0005-0000-0000-0000FE0A0000}"/>
    <cellStyle name="Calculation 2 6 10 4" xfId="8883" xr:uid="{00000000-0005-0000-0000-0000FF0A0000}"/>
    <cellStyle name="Calculation 2 6 10 5" xfId="15502" xr:uid="{00000000-0005-0000-0000-0000000B0000}"/>
    <cellStyle name="Calculation 2 6 11" xfId="2606" xr:uid="{00000000-0005-0000-0000-0000010B0000}"/>
    <cellStyle name="Calculation 2 6 11 2" xfId="9202" xr:uid="{00000000-0005-0000-0000-0000020B0000}"/>
    <cellStyle name="Calculation 2 6 11 3" xfId="15821" xr:uid="{00000000-0005-0000-0000-0000030B0000}"/>
    <cellStyle name="Calculation 2 6 12" xfId="2640" xr:uid="{00000000-0005-0000-0000-0000040B0000}"/>
    <cellStyle name="Calculation 2 6 12 2" xfId="9236" xr:uid="{00000000-0005-0000-0000-0000050B0000}"/>
    <cellStyle name="Calculation 2 6 12 3" xfId="15855" xr:uid="{00000000-0005-0000-0000-0000060B0000}"/>
    <cellStyle name="Calculation 2 6 13" xfId="495" xr:uid="{00000000-0005-0000-0000-0000070B0000}"/>
    <cellStyle name="Calculation 2 6 13 2" xfId="13710" xr:uid="{00000000-0005-0000-0000-0000080B0000}"/>
    <cellStyle name="Calculation 2 6 14" xfId="7086" xr:uid="{00000000-0005-0000-0000-0000090B0000}"/>
    <cellStyle name="Calculation 2 6 15" xfId="6971" xr:uid="{00000000-0005-0000-0000-00000A0B0000}"/>
    <cellStyle name="Calculation 2 6 16" xfId="26365" xr:uid="{F261499D-1AA6-4770-8FDA-AA485737A7F6}"/>
    <cellStyle name="Calculation 2 6 17" xfId="26766" xr:uid="{139C5A3A-FECB-44D5-9FC4-F43F67D32732}"/>
    <cellStyle name="Calculation 2 6 18" xfId="30808" xr:uid="{5670C021-6EB6-468C-8BF1-AA9074EF6C71}"/>
    <cellStyle name="Calculation 2 6 2" xfId="310" xr:uid="{00000000-0005-0000-0000-00000B0B0000}"/>
    <cellStyle name="Calculation 2 6 2 10" xfId="4731" xr:uid="{00000000-0005-0000-0000-00000C0B0000}"/>
    <cellStyle name="Calculation 2 6 2 10 2" xfId="11327" xr:uid="{00000000-0005-0000-0000-00000D0B0000}"/>
    <cellStyle name="Calculation 2 6 2 10 3" xfId="17946" xr:uid="{00000000-0005-0000-0000-00000E0B0000}"/>
    <cellStyle name="Calculation 2 6 2 11" xfId="560" xr:uid="{00000000-0005-0000-0000-00000F0B0000}"/>
    <cellStyle name="Calculation 2 6 2 11 2" xfId="13775" xr:uid="{00000000-0005-0000-0000-0000100B0000}"/>
    <cellStyle name="Calculation 2 6 2 12" xfId="7204" xr:uid="{00000000-0005-0000-0000-0000110B0000}"/>
    <cellStyle name="Calculation 2 6 2 13" xfId="13526" xr:uid="{00000000-0005-0000-0000-0000120B0000}"/>
    <cellStyle name="Calculation 2 6 2 14" xfId="26356" xr:uid="{3255B4BC-E31F-48CB-9911-9E43FD3DBB05}"/>
    <cellStyle name="Calculation 2 6 2 15" xfId="26760" xr:uid="{FB9CA162-C1E2-4F7A-A41C-2C12C41F6FB1}"/>
    <cellStyle name="Calculation 2 6 2 16" xfId="30809" xr:uid="{FCBBDF69-1B52-4D0D-9703-9A94532185FB}"/>
    <cellStyle name="Calculation 2 6 2 2" xfId="439" xr:uid="{00000000-0005-0000-0000-0000130B0000}"/>
    <cellStyle name="Calculation 2 6 2 2 10" xfId="833" xr:uid="{00000000-0005-0000-0000-0000140B0000}"/>
    <cellStyle name="Calculation 2 6 2 2 10 2" xfId="14048" xr:uid="{00000000-0005-0000-0000-0000150B0000}"/>
    <cellStyle name="Calculation 2 6 2 2 11" xfId="7332" xr:uid="{00000000-0005-0000-0000-0000160B0000}"/>
    <cellStyle name="Calculation 2 6 2 2 12" xfId="13654" xr:uid="{00000000-0005-0000-0000-0000170B0000}"/>
    <cellStyle name="Calculation 2 6 2 2 13" xfId="30088" xr:uid="{DC9AE724-D8D8-4ADE-9656-239AF8A1BF1B}"/>
    <cellStyle name="Calculation 2 6 2 2 14" xfId="31520" xr:uid="{2EB9A967-6DFE-445F-824A-3878ACB2B0D8}"/>
    <cellStyle name="Calculation 2 6 2 2 2" xfId="1133" xr:uid="{00000000-0005-0000-0000-0000180B0000}"/>
    <cellStyle name="Calculation 2 6 2 2 2 2" xfId="3269" xr:uid="{00000000-0005-0000-0000-0000190B0000}"/>
    <cellStyle name="Calculation 2 6 2 2 2 2 2" xfId="9865" xr:uid="{00000000-0005-0000-0000-00001A0B0000}"/>
    <cellStyle name="Calculation 2 6 2 2 2 2 3" xfId="16484" xr:uid="{00000000-0005-0000-0000-00001B0B0000}"/>
    <cellStyle name="Calculation 2 6 2 2 2 3" xfId="5304" xr:uid="{00000000-0005-0000-0000-00001C0B0000}"/>
    <cellStyle name="Calculation 2 6 2 2 2 3 2" xfId="11900" xr:uid="{00000000-0005-0000-0000-00001D0B0000}"/>
    <cellStyle name="Calculation 2 6 2 2 2 3 3" xfId="18519" xr:uid="{00000000-0005-0000-0000-00001E0B0000}"/>
    <cellStyle name="Calculation 2 6 2 2 2 4" xfId="7729" xr:uid="{00000000-0005-0000-0000-00001F0B0000}"/>
    <cellStyle name="Calculation 2 6 2 2 2 5" xfId="14348" xr:uid="{00000000-0005-0000-0000-0000200B0000}"/>
    <cellStyle name="Calculation 2 6 2 2 3" xfId="1415" xr:uid="{00000000-0005-0000-0000-0000210B0000}"/>
    <cellStyle name="Calculation 2 6 2 2 3 2" xfId="3551" xr:uid="{00000000-0005-0000-0000-0000220B0000}"/>
    <cellStyle name="Calculation 2 6 2 2 3 2 2" xfId="10147" xr:uid="{00000000-0005-0000-0000-0000230B0000}"/>
    <cellStyle name="Calculation 2 6 2 2 3 2 3" xfId="16766" xr:uid="{00000000-0005-0000-0000-0000240B0000}"/>
    <cellStyle name="Calculation 2 6 2 2 3 3" xfId="5586" xr:uid="{00000000-0005-0000-0000-0000250B0000}"/>
    <cellStyle name="Calculation 2 6 2 2 3 3 2" xfId="12182" xr:uid="{00000000-0005-0000-0000-0000260B0000}"/>
    <cellStyle name="Calculation 2 6 2 2 3 3 3" xfId="18801" xr:uid="{00000000-0005-0000-0000-0000270B0000}"/>
    <cellStyle name="Calculation 2 6 2 2 3 4" xfId="8011" xr:uid="{00000000-0005-0000-0000-0000280B0000}"/>
    <cellStyle name="Calculation 2 6 2 2 3 5" xfId="14630" xr:uid="{00000000-0005-0000-0000-0000290B0000}"/>
    <cellStyle name="Calculation 2 6 2 2 4" xfId="1696" xr:uid="{00000000-0005-0000-0000-00002A0B0000}"/>
    <cellStyle name="Calculation 2 6 2 2 4 2" xfId="3832" xr:uid="{00000000-0005-0000-0000-00002B0B0000}"/>
    <cellStyle name="Calculation 2 6 2 2 4 2 2" xfId="10428" xr:uid="{00000000-0005-0000-0000-00002C0B0000}"/>
    <cellStyle name="Calculation 2 6 2 2 4 2 3" xfId="17047" xr:uid="{00000000-0005-0000-0000-00002D0B0000}"/>
    <cellStyle name="Calculation 2 6 2 2 4 3" xfId="5867" xr:uid="{00000000-0005-0000-0000-00002E0B0000}"/>
    <cellStyle name="Calculation 2 6 2 2 4 3 2" xfId="12463" xr:uid="{00000000-0005-0000-0000-00002F0B0000}"/>
    <cellStyle name="Calculation 2 6 2 2 4 3 3" xfId="19082" xr:uid="{00000000-0005-0000-0000-0000300B0000}"/>
    <cellStyle name="Calculation 2 6 2 2 4 4" xfId="8292" xr:uid="{00000000-0005-0000-0000-0000310B0000}"/>
    <cellStyle name="Calculation 2 6 2 2 4 5" xfId="14911" xr:uid="{00000000-0005-0000-0000-0000320B0000}"/>
    <cellStyle name="Calculation 2 6 2 2 5" xfId="1975" xr:uid="{00000000-0005-0000-0000-0000330B0000}"/>
    <cellStyle name="Calculation 2 6 2 2 5 2" xfId="4111" xr:uid="{00000000-0005-0000-0000-0000340B0000}"/>
    <cellStyle name="Calculation 2 6 2 2 5 2 2" xfId="10707" xr:uid="{00000000-0005-0000-0000-0000350B0000}"/>
    <cellStyle name="Calculation 2 6 2 2 5 2 3" xfId="17326" xr:uid="{00000000-0005-0000-0000-0000360B0000}"/>
    <cellStyle name="Calculation 2 6 2 2 5 3" xfId="6146" xr:uid="{00000000-0005-0000-0000-0000370B0000}"/>
    <cellStyle name="Calculation 2 6 2 2 5 3 2" xfId="12742" xr:uid="{00000000-0005-0000-0000-0000380B0000}"/>
    <cellStyle name="Calculation 2 6 2 2 5 3 3" xfId="19361" xr:uid="{00000000-0005-0000-0000-0000390B0000}"/>
    <cellStyle name="Calculation 2 6 2 2 5 4" xfId="8571" xr:uid="{00000000-0005-0000-0000-00003A0B0000}"/>
    <cellStyle name="Calculation 2 6 2 2 5 5" xfId="15190" xr:uid="{00000000-0005-0000-0000-00003B0B0000}"/>
    <cellStyle name="Calculation 2 6 2 2 6" xfId="2250" xr:uid="{00000000-0005-0000-0000-00003C0B0000}"/>
    <cellStyle name="Calculation 2 6 2 2 6 2" xfId="4386" xr:uid="{00000000-0005-0000-0000-00003D0B0000}"/>
    <cellStyle name="Calculation 2 6 2 2 6 2 2" xfId="10982" xr:uid="{00000000-0005-0000-0000-00003E0B0000}"/>
    <cellStyle name="Calculation 2 6 2 2 6 2 3" xfId="17601" xr:uid="{00000000-0005-0000-0000-00003F0B0000}"/>
    <cellStyle name="Calculation 2 6 2 2 6 3" xfId="6421" xr:uid="{00000000-0005-0000-0000-0000400B0000}"/>
    <cellStyle name="Calculation 2 6 2 2 6 3 2" xfId="13017" xr:uid="{00000000-0005-0000-0000-0000410B0000}"/>
    <cellStyle name="Calculation 2 6 2 2 6 3 3" xfId="19636" xr:uid="{00000000-0005-0000-0000-0000420B0000}"/>
    <cellStyle name="Calculation 2 6 2 2 6 4" xfId="8846" xr:uid="{00000000-0005-0000-0000-0000430B0000}"/>
    <cellStyle name="Calculation 2 6 2 2 6 5" xfId="15465" xr:uid="{00000000-0005-0000-0000-0000440B0000}"/>
    <cellStyle name="Calculation 2 6 2 2 7" xfId="2523" xr:uid="{00000000-0005-0000-0000-0000450B0000}"/>
    <cellStyle name="Calculation 2 6 2 2 7 2" xfId="4659" xr:uid="{00000000-0005-0000-0000-0000460B0000}"/>
    <cellStyle name="Calculation 2 6 2 2 7 2 2" xfId="11255" xr:uid="{00000000-0005-0000-0000-0000470B0000}"/>
    <cellStyle name="Calculation 2 6 2 2 7 2 3" xfId="17874" xr:uid="{00000000-0005-0000-0000-0000480B0000}"/>
    <cellStyle name="Calculation 2 6 2 2 7 3" xfId="6694" xr:uid="{00000000-0005-0000-0000-0000490B0000}"/>
    <cellStyle name="Calculation 2 6 2 2 7 3 2" xfId="13290" xr:uid="{00000000-0005-0000-0000-00004A0B0000}"/>
    <cellStyle name="Calculation 2 6 2 2 7 3 3" xfId="19909" xr:uid="{00000000-0005-0000-0000-00004B0B0000}"/>
    <cellStyle name="Calculation 2 6 2 2 7 4" xfId="9119" xr:uid="{00000000-0005-0000-0000-00004C0B0000}"/>
    <cellStyle name="Calculation 2 6 2 2 7 5" xfId="15738" xr:uid="{00000000-0005-0000-0000-00004D0B0000}"/>
    <cellStyle name="Calculation 2 6 2 2 8" xfId="2969" xr:uid="{00000000-0005-0000-0000-00004E0B0000}"/>
    <cellStyle name="Calculation 2 6 2 2 8 2" xfId="9565" xr:uid="{00000000-0005-0000-0000-00004F0B0000}"/>
    <cellStyle name="Calculation 2 6 2 2 8 3" xfId="16184" xr:uid="{00000000-0005-0000-0000-0000500B0000}"/>
    <cellStyle name="Calculation 2 6 2 2 9" xfId="5004" xr:uid="{00000000-0005-0000-0000-0000510B0000}"/>
    <cellStyle name="Calculation 2 6 2 2 9 2" xfId="11600" xr:uid="{00000000-0005-0000-0000-0000520B0000}"/>
    <cellStyle name="Calculation 2 6 2 2 9 3" xfId="18219" xr:uid="{00000000-0005-0000-0000-0000530B0000}"/>
    <cellStyle name="Calculation 2 6 2 2_Summary" xfId="20140" xr:uid="{00000000-0005-0000-0000-0000540B0000}"/>
    <cellStyle name="Calculation 2 6 2 3" xfId="1005" xr:uid="{00000000-0005-0000-0000-0000550B0000}"/>
    <cellStyle name="Calculation 2 6 2 3 2" xfId="3141" xr:uid="{00000000-0005-0000-0000-0000560B0000}"/>
    <cellStyle name="Calculation 2 6 2 3 2 2" xfId="9737" xr:uid="{00000000-0005-0000-0000-0000570B0000}"/>
    <cellStyle name="Calculation 2 6 2 3 2 3" xfId="16356" xr:uid="{00000000-0005-0000-0000-0000580B0000}"/>
    <cellStyle name="Calculation 2 6 2 3 3" xfId="5176" xr:uid="{00000000-0005-0000-0000-0000590B0000}"/>
    <cellStyle name="Calculation 2 6 2 3 3 2" xfId="11772" xr:uid="{00000000-0005-0000-0000-00005A0B0000}"/>
    <cellStyle name="Calculation 2 6 2 3 3 3" xfId="18391" xr:uid="{00000000-0005-0000-0000-00005B0B0000}"/>
    <cellStyle name="Calculation 2 6 2 3 4" xfId="7602" xr:uid="{00000000-0005-0000-0000-00005C0B0000}"/>
    <cellStyle name="Calculation 2 6 2 3 5" xfId="14220" xr:uid="{00000000-0005-0000-0000-00005D0B0000}"/>
    <cellStyle name="Calculation 2 6 2 4" xfId="1287" xr:uid="{00000000-0005-0000-0000-00005E0B0000}"/>
    <cellStyle name="Calculation 2 6 2 4 2" xfId="3423" xr:uid="{00000000-0005-0000-0000-00005F0B0000}"/>
    <cellStyle name="Calculation 2 6 2 4 2 2" xfId="10019" xr:uid="{00000000-0005-0000-0000-0000600B0000}"/>
    <cellStyle name="Calculation 2 6 2 4 2 3" xfId="16638" xr:uid="{00000000-0005-0000-0000-0000610B0000}"/>
    <cellStyle name="Calculation 2 6 2 4 3" xfId="5458" xr:uid="{00000000-0005-0000-0000-0000620B0000}"/>
    <cellStyle name="Calculation 2 6 2 4 3 2" xfId="12054" xr:uid="{00000000-0005-0000-0000-0000630B0000}"/>
    <cellStyle name="Calculation 2 6 2 4 3 3" xfId="18673" xr:uid="{00000000-0005-0000-0000-0000640B0000}"/>
    <cellStyle name="Calculation 2 6 2 4 4" xfId="7883" xr:uid="{00000000-0005-0000-0000-0000650B0000}"/>
    <cellStyle name="Calculation 2 6 2 4 5" xfId="14502" xr:uid="{00000000-0005-0000-0000-0000660B0000}"/>
    <cellStyle name="Calculation 2 6 2 5" xfId="1568" xr:uid="{00000000-0005-0000-0000-0000670B0000}"/>
    <cellStyle name="Calculation 2 6 2 5 2" xfId="3704" xr:uid="{00000000-0005-0000-0000-0000680B0000}"/>
    <cellStyle name="Calculation 2 6 2 5 2 2" xfId="10300" xr:uid="{00000000-0005-0000-0000-0000690B0000}"/>
    <cellStyle name="Calculation 2 6 2 5 2 3" xfId="16919" xr:uid="{00000000-0005-0000-0000-00006A0B0000}"/>
    <cellStyle name="Calculation 2 6 2 5 3" xfId="5739" xr:uid="{00000000-0005-0000-0000-00006B0B0000}"/>
    <cellStyle name="Calculation 2 6 2 5 3 2" xfId="12335" xr:uid="{00000000-0005-0000-0000-00006C0B0000}"/>
    <cellStyle name="Calculation 2 6 2 5 3 3" xfId="18954" xr:uid="{00000000-0005-0000-0000-00006D0B0000}"/>
    <cellStyle name="Calculation 2 6 2 5 4" xfId="8164" xr:uid="{00000000-0005-0000-0000-00006E0B0000}"/>
    <cellStyle name="Calculation 2 6 2 5 5" xfId="14783" xr:uid="{00000000-0005-0000-0000-00006F0B0000}"/>
    <cellStyle name="Calculation 2 6 2 6" xfId="1847" xr:uid="{00000000-0005-0000-0000-0000700B0000}"/>
    <cellStyle name="Calculation 2 6 2 6 2" xfId="3983" xr:uid="{00000000-0005-0000-0000-0000710B0000}"/>
    <cellStyle name="Calculation 2 6 2 6 2 2" xfId="10579" xr:uid="{00000000-0005-0000-0000-0000720B0000}"/>
    <cellStyle name="Calculation 2 6 2 6 2 3" xfId="17198" xr:uid="{00000000-0005-0000-0000-0000730B0000}"/>
    <cellStyle name="Calculation 2 6 2 6 3" xfId="6018" xr:uid="{00000000-0005-0000-0000-0000740B0000}"/>
    <cellStyle name="Calculation 2 6 2 6 3 2" xfId="12614" xr:uid="{00000000-0005-0000-0000-0000750B0000}"/>
    <cellStyle name="Calculation 2 6 2 6 3 3" xfId="19233" xr:uid="{00000000-0005-0000-0000-0000760B0000}"/>
    <cellStyle name="Calculation 2 6 2 6 4" xfId="8443" xr:uid="{00000000-0005-0000-0000-0000770B0000}"/>
    <cellStyle name="Calculation 2 6 2 6 5" xfId="15062" xr:uid="{00000000-0005-0000-0000-0000780B0000}"/>
    <cellStyle name="Calculation 2 6 2 7" xfId="2122" xr:uid="{00000000-0005-0000-0000-0000790B0000}"/>
    <cellStyle name="Calculation 2 6 2 7 2" xfId="4258" xr:uid="{00000000-0005-0000-0000-00007A0B0000}"/>
    <cellStyle name="Calculation 2 6 2 7 2 2" xfId="10854" xr:uid="{00000000-0005-0000-0000-00007B0B0000}"/>
    <cellStyle name="Calculation 2 6 2 7 2 3" xfId="17473" xr:uid="{00000000-0005-0000-0000-00007C0B0000}"/>
    <cellStyle name="Calculation 2 6 2 7 3" xfId="6293" xr:uid="{00000000-0005-0000-0000-00007D0B0000}"/>
    <cellStyle name="Calculation 2 6 2 7 3 2" xfId="12889" xr:uid="{00000000-0005-0000-0000-00007E0B0000}"/>
    <cellStyle name="Calculation 2 6 2 7 3 3" xfId="19508" xr:uid="{00000000-0005-0000-0000-00007F0B0000}"/>
    <cellStyle name="Calculation 2 6 2 7 4" xfId="8718" xr:uid="{00000000-0005-0000-0000-0000800B0000}"/>
    <cellStyle name="Calculation 2 6 2 7 5" xfId="15337" xr:uid="{00000000-0005-0000-0000-0000810B0000}"/>
    <cellStyle name="Calculation 2 6 2 8" xfId="2395" xr:uid="{00000000-0005-0000-0000-0000820B0000}"/>
    <cellStyle name="Calculation 2 6 2 8 2" xfId="4531" xr:uid="{00000000-0005-0000-0000-0000830B0000}"/>
    <cellStyle name="Calculation 2 6 2 8 2 2" xfId="11127" xr:uid="{00000000-0005-0000-0000-0000840B0000}"/>
    <cellStyle name="Calculation 2 6 2 8 2 3" xfId="17746" xr:uid="{00000000-0005-0000-0000-0000850B0000}"/>
    <cellStyle name="Calculation 2 6 2 8 3" xfId="6566" xr:uid="{00000000-0005-0000-0000-0000860B0000}"/>
    <cellStyle name="Calculation 2 6 2 8 3 2" xfId="13162" xr:uid="{00000000-0005-0000-0000-0000870B0000}"/>
    <cellStyle name="Calculation 2 6 2 8 3 3" xfId="19781" xr:uid="{00000000-0005-0000-0000-0000880B0000}"/>
    <cellStyle name="Calculation 2 6 2 8 4" xfId="8991" xr:uid="{00000000-0005-0000-0000-0000890B0000}"/>
    <cellStyle name="Calculation 2 6 2 8 5" xfId="15610" xr:uid="{00000000-0005-0000-0000-00008A0B0000}"/>
    <cellStyle name="Calculation 2 6 2 9" xfId="2696" xr:uid="{00000000-0005-0000-0000-00008B0B0000}"/>
    <cellStyle name="Calculation 2 6 2 9 2" xfId="9292" xr:uid="{00000000-0005-0000-0000-00008C0B0000}"/>
    <cellStyle name="Calculation 2 6 2 9 3" xfId="15911" xr:uid="{00000000-0005-0000-0000-00008D0B0000}"/>
    <cellStyle name="Calculation 2 6 2_Summary" xfId="20139" xr:uid="{00000000-0005-0000-0000-00008E0B0000}"/>
    <cellStyle name="Calculation 2 6 3" xfId="224" xr:uid="{00000000-0005-0000-0000-00008F0B0000}"/>
    <cellStyle name="Calculation 2 6 3 10" xfId="761" xr:uid="{00000000-0005-0000-0000-0000900B0000}"/>
    <cellStyle name="Calculation 2 6 3 10 2" xfId="13976" xr:uid="{00000000-0005-0000-0000-0000910B0000}"/>
    <cellStyle name="Calculation 2 6 3 11" xfId="7131" xr:uid="{00000000-0005-0000-0000-0000920B0000}"/>
    <cellStyle name="Calculation 2 6 3 12" xfId="7014" xr:uid="{00000000-0005-0000-0000-0000930B0000}"/>
    <cellStyle name="Calculation 2 6 3 13" xfId="28227" xr:uid="{3285C274-22ED-403C-845E-2E67A461DD23}"/>
    <cellStyle name="Calculation 2 6 3 14" xfId="30810" xr:uid="{A71C9C19-5B44-437E-BDF1-7721E3EBEAFB}"/>
    <cellStyle name="Calculation 2 6 3 2" xfId="929" xr:uid="{00000000-0005-0000-0000-0000940B0000}"/>
    <cellStyle name="Calculation 2 6 3 2 2" xfId="3065" xr:uid="{00000000-0005-0000-0000-0000950B0000}"/>
    <cellStyle name="Calculation 2 6 3 2 2 2" xfId="9661" xr:uid="{00000000-0005-0000-0000-0000960B0000}"/>
    <cellStyle name="Calculation 2 6 3 2 2 3" xfId="16280" xr:uid="{00000000-0005-0000-0000-0000970B0000}"/>
    <cellStyle name="Calculation 2 6 3 2 3" xfId="5100" xr:uid="{00000000-0005-0000-0000-0000980B0000}"/>
    <cellStyle name="Calculation 2 6 3 2 3 2" xfId="11696" xr:uid="{00000000-0005-0000-0000-0000990B0000}"/>
    <cellStyle name="Calculation 2 6 3 2 3 3" xfId="18315" xr:uid="{00000000-0005-0000-0000-00009A0B0000}"/>
    <cellStyle name="Calculation 2 6 3 2 4" xfId="7526" xr:uid="{00000000-0005-0000-0000-00009B0B0000}"/>
    <cellStyle name="Calculation 2 6 3 2 5" xfId="14144" xr:uid="{00000000-0005-0000-0000-00009C0B0000}"/>
    <cellStyle name="Calculation 2 6 3 2 6" xfId="30089" xr:uid="{68645B7F-8336-46F2-96DB-F7A5B684C494}"/>
    <cellStyle name="Calculation 2 6 3 2 7" xfId="31521" xr:uid="{DFAF8F7A-C214-4866-B939-527F0A3F8598}"/>
    <cellStyle name="Calculation 2 6 3 3" xfId="1214" xr:uid="{00000000-0005-0000-0000-00009D0B0000}"/>
    <cellStyle name="Calculation 2 6 3 3 2" xfId="3350" xr:uid="{00000000-0005-0000-0000-00009E0B0000}"/>
    <cellStyle name="Calculation 2 6 3 3 2 2" xfId="9946" xr:uid="{00000000-0005-0000-0000-00009F0B0000}"/>
    <cellStyle name="Calculation 2 6 3 3 2 3" xfId="16565" xr:uid="{00000000-0005-0000-0000-0000A00B0000}"/>
    <cellStyle name="Calculation 2 6 3 3 3" xfId="5385" xr:uid="{00000000-0005-0000-0000-0000A10B0000}"/>
    <cellStyle name="Calculation 2 6 3 3 3 2" xfId="11981" xr:uid="{00000000-0005-0000-0000-0000A20B0000}"/>
    <cellStyle name="Calculation 2 6 3 3 3 3" xfId="18600" xr:uid="{00000000-0005-0000-0000-0000A30B0000}"/>
    <cellStyle name="Calculation 2 6 3 3 4" xfId="7810" xr:uid="{00000000-0005-0000-0000-0000A40B0000}"/>
    <cellStyle name="Calculation 2 6 3 3 5" xfId="14429" xr:uid="{00000000-0005-0000-0000-0000A50B0000}"/>
    <cellStyle name="Calculation 2 6 3 4" xfId="1496" xr:uid="{00000000-0005-0000-0000-0000A60B0000}"/>
    <cellStyle name="Calculation 2 6 3 4 2" xfId="3632" xr:uid="{00000000-0005-0000-0000-0000A70B0000}"/>
    <cellStyle name="Calculation 2 6 3 4 2 2" xfId="10228" xr:uid="{00000000-0005-0000-0000-0000A80B0000}"/>
    <cellStyle name="Calculation 2 6 3 4 2 3" xfId="16847" xr:uid="{00000000-0005-0000-0000-0000A90B0000}"/>
    <cellStyle name="Calculation 2 6 3 4 3" xfId="5667" xr:uid="{00000000-0005-0000-0000-0000AA0B0000}"/>
    <cellStyle name="Calculation 2 6 3 4 3 2" xfId="12263" xr:uid="{00000000-0005-0000-0000-0000AB0B0000}"/>
    <cellStyle name="Calculation 2 6 3 4 3 3" xfId="18882" xr:uid="{00000000-0005-0000-0000-0000AC0B0000}"/>
    <cellStyle name="Calculation 2 6 3 4 4" xfId="8092" xr:uid="{00000000-0005-0000-0000-0000AD0B0000}"/>
    <cellStyle name="Calculation 2 6 3 4 5" xfId="14711" xr:uid="{00000000-0005-0000-0000-0000AE0B0000}"/>
    <cellStyle name="Calculation 2 6 3 5" xfId="1777" xr:uid="{00000000-0005-0000-0000-0000AF0B0000}"/>
    <cellStyle name="Calculation 2 6 3 5 2" xfId="3913" xr:uid="{00000000-0005-0000-0000-0000B00B0000}"/>
    <cellStyle name="Calculation 2 6 3 5 2 2" xfId="10509" xr:uid="{00000000-0005-0000-0000-0000B10B0000}"/>
    <cellStyle name="Calculation 2 6 3 5 2 3" xfId="17128" xr:uid="{00000000-0005-0000-0000-0000B20B0000}"/>
    <cellStyle name="Calculation 2 6 3 5 3" xfId="5948" xr:uid="{00000000-0005-0000-0000-0000B30B0000}"/>
    <cellStyle name="Calculation 2 6 3 5 3 2" xfId="12544" xr:uid="{00000000-0005-0000-0000-0000B40B0000}"/>
    <cellStyle name="Calculation 2 6 3 5 3 3" xfId="19163" xr:uid="{00000000-0005-0000-0000-0000B50B0000}"/>
    <cellStyle name="Calculation 2 6 3 5 4" xfId="8373" xr:uid="{00000000-0005-0000-0000-0000B60B0000}"/>
    <cellStyle name="Calculation 2 6 3 5 5" xfId="14992" xr:uid="{00000000-0005-0000-0000-0000B70B0000}"/>
    <cellStyle name="Calculation 2 6 3 6" xfId="2056" xr:uid="{00000000-0005-0000-0000-0000B80B0000}"/>
    <cellStyle name="Calculation 2 6 3 6 2" xfId="4192" xr:uid="{00000000-0005-0000-0000-0000B90B0000}"/>
    <cellStyle name="Calculation 2 6 3 6 2 2" xfId="10788" xr:uid="{00000000-0005-0000-0000-0000BA0B0000}"/>
    <cellStyle name="Calculation 2 6 3 6 2 3" xfId="17407" xr:uid="{00000000-0005-0000-0000-0000BB0B0000}"/>
    <cellStyle name="Calculation 2 6 3 6 3" xfId="6227" xr:uid="{00000000-0005-0000-0000-0000BC0B0000}"/>
    <cellStyle name="Calculation 2 6 3 6 3 2" xfId="12823" xr:uid="{00000000-0005-0000-0000-0000BD0B0000}"/>
    <cellStyle name="Calculation 2 6 3 6 3 3" xfId="19442" xr:uid="{00000000-0005-0000-0000-0000BE0B0000}"/>
    <cellStyle name="Calculation 2 6 3 6 4" xfId="8652" xr:uid="{00000000-0005-0000-0000-0000BF0B0000}"/>
    <cellStyle name="Calculation 2 6 3 6 5" xfId="15271" xr:uid="{00000000-0005-0000-0000-0000C00B0000}"/>
    <cellStyle name="Calculation 2 6 3 7" xfId="2331" xr:uid="{00000000-0005-0000-0000-0000C10B0000}"/>
    <cellStyle name="Calculation 2 6 3 7 2" xfId="4467" xr:uid="{00000000-0005-0000-0000-0000C20B0000}"/>
    <cellStyle name="Calculation 2 6 3 7 2 2" xfId="11063" xr:uid="{00000000-0005-0000-0000-0000C30B0000}"/>
    <cellStyle name="Calculation 2 6 3 7 2 3" xfId="17682" xr:uid="{00000000-0005-0000-0000-0000C40B0000}"/>
    <cellStyle name="Calculation 2 6 3 7 3" xfId="6502" xr:uid="{00000000-0005-0000-0000-0000C50B0000}"/>
    <cellStyle name="Calculation 2 6 3 7 3 2" xfId="13098" xr:uid="{00000000-0005-0000-0000-0000C60B0000}"/>
    <cellStyle name="Calculation 2 6 3 7 3 3" xfId="19717" xr:uid="{00000000-0005-0000-0000-0000C70B0000}"/>
    <cellStyle name="Calculation 2 6 3 7 4" xfId="8927" xr:uid="{00000000-0005-0000-0000-0000C80B0000}"/>
    <cellStyle name="Calculation 2 6 3 7 5" xfId="15546" xr:uid="{00000000-0005-0000-0000-0000C90B0000}"/>
    <cellStyle name="Calculation 2 6 3 8" xfId="2897" xr:uid="{00000000-0005-0000-0000-0000CA0B0000}"/>
    <cellStyle name="Calculation 2 6 3 8 2" xfId="9493" xr:uid="{00000000-0005-0000-0000-0000CB0B0000}"/>
    <cellStyle name="Calculation 2 6 3 8 3" xfId="16112" xr:uid="{00000000-0005-0000-0000-0000CC0B0000}"/>
    <cellStyle name="Calculation 2 6 3 9" xfId="4932" xr:uid="{00000000-0005-0000-0000-0000CD0B0000}"/>
    <cellStyle name="Calculation 2 6 3 9 2" xfId="11528" xr:uid="{00000000-0005-0000-0000-0000CE0B0000}"/>
    <cellStyle name="Calculation 2 6 3 9 3" xfId="18147" xr:uid="{00000000-0005-0000-0000-0000CF0B0000}"/>
    <cellStyle name="Calculation 2 6 3_Summary" xfId="20141" xr:uid="{00000000-0005-0000-0000-0000D00B0000}"/>
    <cellStyle name="Calculation 2 6 4" xfId="378" xr:uid="{00000000-0005-0000-0000-0000D10B0000}"/>
    <cellStyle name="Calculation 2 6 4 10" xfId="715" xr:uid="{00000000-0005-0000-0000-0000D20B0000}"/>
    <cellStyle name="Calculation 2 6 4 10 2" xfId="13930" xr:uid="{00000000-0005-0000-0000-0000D30B0000}"/>
    <cellStyle name="Calculation 2 6 4 11" xfId="7271" xr:uid="{00000000-0005-0000-0000-0000D40B0000}"/>
    <cellStyle name="Calculation 2 6 4 12" xfId="13593" xr:uid="{00000000-0005-0000-0000-0000D50B0000}"/>
    <cellStyle name="Calculation 2 6 4 13" xfId="30087" xr:uid="{089F62D3-41A4-4DD8-B17C-0BEC003F7902}"/>
    <cellStyle name="Calculation 2 6 4 14" xfId="31519" xr:uid="{F756624D-017E-4F13-B6E3-1756B8F32C88}"/>
    <cellStyle name="Calculation 2 6 4 2" xfId="1072" xr:uid="{00000000-0005-0000-0000-0000D60B0000}"/>
    <cellStyle name="Calculation 2 6 4 2 2" xfId="3208" xr:uid="{00000000-0005-0000-0000-0000D70B0000}"/>
    <cellStyle name="Calculation 2 6 4 2 2 2" xfId="9804" xr:uid="{00000000-0005-0000-0000-0000D80B0000}"/>
    <cellStyle name="Calculation 2 6 4 2 2 3" xfId="16423" xr:uid="{00000000-0005-0000-0000-0000D90B0000}"/>
    <cellStyle name="Calculation 2 6 4 2 3" xfId="5243" xr:uid="{00000000-0005-0000-0000-0000DA0B0000}"/>
    <cellStyle name="Calculation 2 6 4 2 3 2" xfId="11839" xr:uid="{00000000-0005-0000-0000-0000DB0B0000}"/>
    <cellStyle name="Calculation 2 6 4 2 3 3" xfId="18458" xr:uid="{00000000-0005-0000-0000-0000DC0B0000}"/>
    <cellStyle name="Calculation 2 6 4 2 4" xfId="7669" xr:uid="{00000000-0005-0000-0000-0000DD0B0000}"/>
    <cellStyle name="Calculation 2 6 4 2 5" xfId="14287" xr:uid="{00000000-0005-0000-0000-0000DE0B0000}"/>
    <cellStyle name="Calculation 2 6 4 3" xfId="1354" xr:uid="{00000000-0005-0000-0000-0000DF0B0000}"/>
    <cellStyle name="Calculation 2 6 4 3 2" xfId="3490" xr:uid="{00000000-0005-0000-0000-0000E00B0000}"/>
    <cellStyle name="Calculation 2 6 4 3 2 2" xfId="10086" xr:uid="{00000000-0005-0000-0000-0000E10B0000}"/>
    <cellStyle name="Calculation 2 6 4 3 2 3" xfId="16705" xr:uid="{00000000-0005-0000-0000-0000E20B0000}"/>
    <cellStyle name="Calculation 2 6 4 3 3" xfId="5525" xr:uid="{00000000-0005-0000-0000-0000E30B0000}"/>
    <cellStyle name="Calculation 2 6 4 3 3 2" xfId="12121" xr:uid="{00000000-0005-0000-0000-0000E40B0000}"/>
    <cellStyle name="Calculation 2 6 4 3 3 3" xfId="18740" xr:uid="{00000000-0005-0000-0000-0000E50B0000}"/>
    <cellStyle name="Calculation 2 6 4 3 4" xfId="7950" xr:uid="{00000000-0005-0000-0000-0000E60B0000}"/>
    <cellStyle name="Calculation 2 6 4 3 5" xfId="14569" xr:uid="{00000000-0005-0000-0000-0000E70B0000}"/>
    <cellStyle name="Calculation 2 6 4 4" xfId="1635" xr:uid="{00000000-0005-0000-0000-0000E80B0000}"/>
    <cellStyle name="Calculation 2 6 4 4 2" xfId="3771" xr:uid="{00000000-0005-0000-0000-0000E90B0000}"/>
    <cellStyle name="Calculation 2 6 4 4 2 2" xfId="10367" xr:uid="{00000000-0005-0000-0000-0000EA0B0000}"/>
    <cellStyle name="Calculation 2 6 4 4 2 3" xfId="16986" xr:uid="{00000000-0005-0000-0000-0000EB0B0000}"/>
    <cellStyle name="Calculation 2 6 4 4 3" xfId="5806" xr:uid="{00000000-0005-0000-0000-0000EC0B0000}"/>
    <cellStyle name="Calculation 2 6 4 4 3 2" xfId="12402" xr:uid="{00000000-0005-0000-0000-0000ED0B0000}"/>
    <cellStyle name="Calculation 2 6 4 4 3 3" xfId="19021" xr:uid="{00000000-0005-0000-0000-0000EE0B0000}"/>
    <cellStyle name="Calculation 2 6 4 4 4" xfId="8231" xr:uid="{00000000-0005-0000-0000-0000EF0B0000}"/>
    <cellStyle name="Calculation 2 6 4 4 5" xfId="14850" xr:uid="{00000000-0005-0000-0000-0000F00B0000}"/>
    <cellStyle name="Calculation 2 6 4 5" xfId="1914" xr:uid="{00000000-0005-0000-0000-0000F10B0000}"/>
    <cellStyle name="Calculation 2 6 4 5 2" xfId="4050" xr:uid="{00000000-0005-0000-0000-0000F20B0000}"/>
    <cellStyle name="Calculation 2 6 4 5 2 2" xfId="10646" xr:uid="{00000000-0005-0000-0000-0000F30B0000}"/>
    <cellStyle name="Calculation 2 6 4 5 2 3" xfId="17265" xr:uid="{00000000-0005-0000-0000-0000F40B0000}"/>
    <cellStyle name="Calculation 2 6 4 5 3" xfId="6085" xr:uid="{00000000-0005-0000-0000-0000F50B0000}"/>
    <cellStyle name="Calculation 2 6 4 5 3 2" xfId="12681" xr:uid="{00000000-0005-0000-0000-0000F60B0000}"/>
    <cellStyle name="Calculation 2 6 4 5 3 3" xfId="19300" xr:uid="{00000000-0005-0000-0000-0000F70B0000}"/>
    <cellStyle name="Calculation 2 6 4 5 4" xfId="8510" xr:uid="{00000000-0005-0000-0000-0000F80B0000}"/>
    <cellStyle name="Calculation 2 6 4 5 5" xfId="15129" xr:uid="{00000000-0005-0000-0000-0000F90B0000}"/>
    <cellStyle name="Calculation 2 6 4 6" xfId="2189" xr:uid="{00000000-0005-0000-0000-0000FA0B0000}"/>
    <cellStyle name="Calculation 2 6 4 6 2" xfId="4325" xr:uid="{00000000-0005-0000-0000-0000FB0B0000}"/>
    <cellStyle name="Calculation 2 6 4 6 2 2" xfId="10921" xr:uid="{00000000-0005-0000-0000-0000FC0B0000}"/>
    <cellStyle name="Calculation 2 6 4 6 2 3" xfId="17540" xr:uid="{00000000-0005-0000-0000-0000FD0B0000}"/>
    <cellStyle name="Calculation 2 6 4 6 3" xfId="6360" xr:uid="{00000000-0005-0000-0000-0000FE0B0000}"/>
    <cellStyle name="Calculation 2 6 4 6 3 2" xfId="12956" xr:uid="{00000000-0005-0000-0000-0000FF0B0000}"/>
    <cellStyle name="Calculation 2 6 4 6 3 3" xfId="19575" xr:uid="{00000000-0005-0000-0000-0000000C0000}"/>
    <cellStyle name="Calculation 2 6 4 6 4" xfId="8785" xr:uid="{00000000-0005-0000-0000-0000010C0000}"/>
    <cellStyle name="Calculation 2 6 4 6 5" xfId="15404" xr:uid="{00000000-0005-0000-0000-0000020C0000}"/>
    <cellStyle name="Calculation 2 6 4 7" xfId="2462" xr:uid="{00000000-0005-0000-0000-0000030C0000}"/>
    <cellStyle name="Calculation 2 6 4 7 2" xfId="4598" xr:uid="{00000000-0005-0000-0000-0000040C0000}"/>
    <cellStyle name="Calculation 2 6 4 7 2 2" xfId="11194" xr:uid="{00000000-0005-0000-0000-0000050C0000}"/>
    <cellStyle name="Calculation 2 6 4 7 2 3" xfId="17813" xr:uid="{00000000-0005-0000-0000-0000060C0000}"/>
    <cellStyle name="Calculation 2 6 4 7 3" xfId="6633" xr:uid="{00000000-0005-0000-0000-0000070C0000}"/>
    <cellStyle name="Calculation 2 6 4 7 3 2" xfId="13229" xr:uid="{00000000-0005-0000-0000-0000080C0000}"/>
    <cellStyle name="Calculation 2 6 4 7 3 3" xfId="19848" xr:uid="{00000000-0005-0000-0000-0000090C0000}"/>
    <cellStyle name="Calculation 2 6 4 7 4" xfId="9058" xr:uid="{00000000-0005-0000-0000-00000A0C0000}"/>
    <cellStyle name="Calculation 2 6 4 7 5" xfId="15677" xr:uid="{00000000-0005-0000-0000-00000B0C0000}"/>
    <cellStyle name="Calculation 2 6 4 8" xfId="2851" xr:uid="{00000000-0005-0000-0000-00000C0C0000}"/>
    <cellStyle name="Calculation 2 6 4 8 2" xfId="9447" xr:uid="{00000000-0005-0000-0000-00000D0C0000}"/>
    <cellStyle name="Calculation 2 6 4 8 3" xfId="16066" xr:uid="{00000000-0005-0000-0000-00000E0C0000}"/>
    <cellStyle name="Calculation 2 6 4 9" xfId="4886" xr:uid="{00000000-0005-0000-0000-00000F0C0000}"/>
    <cellStyle name="Calculation 2 6 4 9 2" xfId="11482" xr:uid="{00000000-0005-0000-0000-0000100C0000}"/>
    <cellStyle name="Calculation 2 6 4 9 3" xfId="18101" xr:uid="{00000000-0005-0000-0000-0000110C0000}"/>
    <cellStyle name="Calculation 2 6 4_Summary" xfId="20142" xr:uid="{00000000-0005-0000-0000-0000120C0000}"/>
    <cellStyle name="Calculation 2 6 5" xfId="885" xr:uid="{00000000-0005-0000-0000-0000130C0000}"/>
    <cellStyle name="Calculation 2 6 5 2" xfId="3021" xr:uid="{00000000-0005-0000-0000-0000140C0000}"/>
    <cellStyle name="Calculation 2 6 5 2 2" xfId="9617" xr:uid="{00000000-0005-0000-0000-0000150C0000}"/>
    <cellStyle name="Calculation 2 6 5 2 3" xfId="16236" xr:uid="{00000000-0005-0000-0000-0000160C0000}"/>
    <cellStyle name="Calculation 2 6 5 3" xfId="5056" xr:uid="{00000000-0005-0000-0000-0000170C0000}"/>
    <cellStyle name="Calculation 2 6 5 3 2" xfId="11652" xr:uid="{00000000-0005-0000-0000-0000180C0000}"/>
    <cellStyle name="Calculation 2 6 5 3 3" xfId="18271" xr:uid="{00000000-0005-0000-0000-0000190C0000}"/>
    <cellStyle name="Calculation 2 6 5 4" xfId="7482" xr:uid="{00000000-0005-0000-0000-00001A0C0000}"/>
    <cellStyle name="Calculation 2 6 5 5" xfId="14100" xr:uid="{00000000-0005-0000-0000-00001B0C0000}"/>
    <cellStyle name="Calculation 2 6 6" xfId="1170" xr:uid="{00000000-0005-0000-0000-00001C0C0000}"/>
    <cellStyle name="Calculation 2 6 6 2" xfId="3306" xr:uid="{00000000-0005-0000-0000-00001D0C0000}"/>
    <cellStyle name="Calculation 2 6 6 2 2" xfId="9902" xr:uid="{00000000-0005-0000-0000-00001E0C0000}"/>
    <cellStyle name="Calculation 2 6 6 2 3" xfId="16521" xr:uid="{00000000-0005-0000-0000-00001F0C0000}"/>
    <cellStyle name="Calculation 2 6 6 3" xfId="5341" xr:uid="{00000000-0005-0000-0000-0000200C0000}"/>
    <cellStyle name="Calculation 2 6 6 3 2" xfId="11937" xr:uid="{00000000-0005-0000-0000-0000210C0000}"/>
    <cellStyle name="Calculation 2 6 6 3 3" xfId="18556" xr:uid="{00000000-0005-0000-0000-0000220C0000}"/>
    <cellStyle name="Calculation 2 6 6 4" xfId="7766" xr:uid="{00000000-0005-0000-0000-0000230C0000}"/>
    <cellStyle name="Calculation 2 6 6 5" xfId="14385" xr:uid="{00000000-0005-0000-0000-0000240C0000}"/>
    <cellStyle name="Calculation 2 6 7" xfId="1452" xr:uid="{00000000-0005-0000-0000-0000250C0000}"/>
    <cellStyle name="Calculation 2 6 7 2" xfId="3588" xr:uid="{00000000-0005-0000-0000-0000260C0000}"/>
    <cellStyle name="Calculation 2 6 7 2 2" xfId="10184" xr:uid="{00000000-0005-0000-0000-0000270C0000}"/>
    <cellStyle name="Calculation 2 6 7 2 3" xfId="16803" xr:uid="{00000000-0005-0000-0000-0000280C0000}"/>
    <cellStyle name="Calculation 2 6 7 3" xfId="5623" xr:uid="{00000000-0005-0000-0000-0000290C0000}"/>
    <cellStyle name="Calculation 2 6 7 3 2" xfId="12219" xr:uid="{00000000-0005-0000-0000-00002A0C0000}"/>
    <cellStyle name="Calculation 2 6 7 3 3" xfId="18838" xr:uid="{00000000-0005-0000-0000-00002B0C0000}"/>
    <cellStyle name="Calculation 2 6 7 4" xfId="8048" xr:uid="{00000000-0005-0000-0000-00002C0C0000}"/>
    <cellStyle name="Calculation 2 6 7 5" xfId="14667" xr:uid="{00000000-0005-0000-0000-00002D0C0000}"/>
    <cellStyle name="Calculation 2 6 8" xfId="1733" xr:uid="{00000000-0005-0000-0000-00002E0C0000}"/>
    <cellStyle name="Calculation 2 6 8 2" xfId="3869" xr:uid="{00000000-0005-0000-0000-00002F0C0000}"/>
    <cellStyle name="Calculation 2 6 8 2 2" xfId="10465" xr:uid="{00000000-0005-0000-0000-0000300C0000}"/>
    <cellStyle name="Calculation 2 6 8 2 3" xfId="17084" xr:uid="{00000000-0005-0000-0000-0000310C0000}"/>
    <cellStyle name="Calculation 2 6 8 3" xfId="5904" xr:uid="{00000000-0005-0000-0000-0000320C0000}"/>
    <cellStyle name="Calculation 2 6 8 3 2" xfId="12500" xr:uid="{00000000-0005-0000-0000-0000330C0000}"/>
    <cellStyle name="Calculation 2 6 8 3 3" xfId="19119" xr:uid="{00000000-0005-0000-0000-0000340C0000}"/>
    <cellStyle name="Calculation 2 6 8 4" xfId="8329" xr:uid="{00000000-0005-0000-0000-0000350C0000}"/>
    <cellStyle name="Calculation 2 6 8 5" xfId="14948" xr:uid="{00000000-0005-0000-0000-0000360C0000}"/>
    <cellStyle name="Calculation 2 6 9" xfId="2012" xr:uid="{00000000-0005-0000-0000-0000370C0000}"/>
    <cellStyle name="Calculation 2 6 9 2" xfId="4148" xr:uid="{00000000-0005-0000-0000-0000380C0000}"/>
    <cellStyle name="Calculation 2 6 9 2 2" xfId="10744" xr:uid="{00000000-0005-0000-0000-0000390C0000}"/>
    <cellStyle name="Calculation 2 6 9 2 3" xfId="17363" xr:uid="{00000000-0005-0000-0000-00003A0C0000}"/>
    <cellStyle name="Calculation 2 6 9 3" xfId="6183" xr:uid="{00000000-0005-0000-0000-00003B0C0000}"/>
    <cellStyle name="Calculation 2 6 9 3 2" xfId="12779" xr:uid="{00000000-0005-0000-0000-00003C0C0000}"/>
    <cellStyle name="Calculation 2 6 9 3 3" xfId="19398" xr:uid="{00000000-0005-0000-0000-00003D0C0000}"/>
    <cellStyle name="Calculation 2 6 9 4" xfId="8608" xr:uid="{00000000-0005-0000-0000-00003E0C0000}"/>
    <cellStyle name="Calculation 2 6 9 5" xfId="15227" xr:uid="{00000000-0005-0000-0000-00003F0C0000}"/>
    <cellStyle name="Calculation 2 6_Summary" xfId="20138" xr:uid="{00000000-0005-0000-0000-0000400C0000}"/>
    <cellStyle name="Calculation 2 60" xfId="26656" xr:uid="{516BB078-5ED1-4DFB-AED8-E0DA4BDAF471}"/>
    <cellStyle name="Calculation 2 61" xfId="28216" xr:uid="{E82D2673-E9D9-4DD9-BBD7-E2A06F03C8CC}"/>
    <cellStyle name="Calculation 2 62" xfId="30790" xr:uid="{6BAE15A7-CCF8-49E6-9F2D-0E08496FD1E1}"/>
    <cellStyle name="Calculation 2 7" xfId="182" xr:uid="{00000000-0005-0000-0000-0000410C0000}"/>
    <cellStyle name="Calculation 2 7 10" xfId="2291" xr:uid="{00000000-0005-0000-0000-0000420C0000}"/>
    <cellStyle name="Calculation 2 7 10 2" xfId="4427" xr:uid="{00000000-0005-0000-0000-0000430C0000}"/>
    <cellStyle name="Calculation 2 7 10 2 2" xfId="11023" xr:uid="{00000000-0005-0000-0000-0000440C0000}"/>
    <cellStyle name="Calculation 2 7 10 2 3" xfId="17642" xr:uid="{00000000-0005-0000-0000-0000450C0000}"/>
    <cellStyle name="Calculation 2 7 10 3" xfId="6462" xr:uid="{00000000-0005-0000-0000-0000460C0000}"/>
    <cellStyle name="Calculation 2 7 10 3 2" xfId="13058" xr:uid="{00000000-0005-0000-0000-0000470C0000}"/>
    <cellStyle name="Calculation 2 7 10 3 3" xfId="19677" xr:uid="{00000000-0005-0000-0000-0000480C0000}"/>
    <cellStyle name="Calculation 2 7 10 4" xfId="8887" xr:uid="{00000000-0005-0000-0000-0000490C0000}"/>
    <cellStyle name="Calculation 2 7 10 5" xfId="15506" xr:uid="{00000000-0005-0000-0000-00004A0C0000}"/>
    <cellStyle name="Calculation 2 7 11" xfId="2610" xr:uid="{00000000-0005-0000-0000-00004B0C0000}"/>
    <cellStyle name="Calculation 2 7 11 2" xfId="9206" xr:uid="{00000000-0005-0000-0000-00004C0C0000}"/>
    <cellStyle name="Calculation 2 7 11 3" xfId="15825" xr:uid="{00000000-0005-0000-0000-00004D0C0000}"/>
    <cellStyle name="Calculation 2 7 12" xfId="2638" xr:uid="{00000000-0005-0000-0000-00004E0C0000}"/>
    <cellStyle name="Calculation 2 7 12 2" xfId="9234" xr:uid="{00000000-0005-0000-0000-00004F0C0000}"/>
    <cellStyle name="Calculation 2 7 12 3" xfId="15853" xr:uid="{00000000-0005-0000-0000-0000500C0000}"/>
    <cellStyle name="Calculation 2 7 13" xfId="499" xr:uid="{00000000-0005-0000-0000-0000510C0000}"/>
    <cellStyle name="Calculation 2 7 13 2" xfId="13714" xr:uid="{00000000-0005-0000-0000-0000520C0000}"/>
    <cellStyle name="Calculation 2 7 14" xfId="7090" xr:uid="{00000000-0005-0000-0000-0000530C0000}"/>
    <cellStyle name="Calculation 2 7 15" xfId="7030" xr:uid="{00000000-0005-0000-0000-0000540C0000}"/>
    <cellStyle name="Calculation 2 7 16" xfId="28228" xr:uid="{963A31F4-4751-417E-AA23-B7EE71CB2D44}"/>
    <cellStyle name="Calculation 2 7 17" xfId="30811" xr:uid="{6662A25C-DFC5-4808-8497-BE13DADEF2BC}"/>
    <cellStyle name="Calculation 2 7 2" xfId="314" xr:uid="{00000000-0005-0000-0000-0000550C0000}"/>
    <cellStyle name="Calculation 2 7 2 10" xfId="4735" xr:uid="{00000000-0005-0000-0000-0000560C0000}"/>
    <cellStyle name="Calculation 2 7 2 10 2" xfId="11331" xr:uid="{00000000-0005-0000-0000-0000570C0000}"/>
    <cellStyle name="Calculation 2 7 2 10 3" xfId="17950" xr:uid="{00000000-0005-0000-0000-0000580C0000}"/>
    <cellStyle name="Calculation 2 7 2 11" xfId="564" xr:uid="{00000000-0005-0000-0000-0000590C0000}"/>
    <cellStyle name="Calculation 2 7 2 11 2" xfId="13779" xr:uid="{00000000-0005-0000-0000-00005A0C0000}"/>
    <cellStyle name="Calculation 2 7 2 12" xfId="7208" xr:uid="{00000000-0005-0000-0000-00005B0C0000}"/>
    <cellStyle name="Calculation 2 7 2 13" xfId="13530" xr:uid="{00000000-0005-0000-0000-00005C0C0000}"/>
    <cellStyle name="Calculation 2 7 2 14" xfId="28229" xr:uid="{FA1035A3-1653-4ADF-9AE3-2BEA96ADC774}"/>
    <cellStyle name="Calculation 2 7 2 15" xfId="30812" xr:uid="{DDB0EE95-613D-4BB8-B3EB-ECB2C89FDE62}"/>
    <cellStyle name="Calculation 2 7 2 2" xfId="443" xr:uid="{00000000-0005-0000-0000-00005D0C0000}"/>
    <cellStyle name="Calculation 2 7 2 2 10" xfId="837" xr:uid="{00000000-0005-0000-0000-00005E0C0000}"/>
    <cellStyle name="Calculation 2 7 2 2 10 2" xfId="14052" xr:uid="{00000000-0005-0000-0000-00005F0C0000}"/>
    <cellStyle name="Calculation 2 7 2 2 11" xfId="7336" xr:uid="{00000000-0005-0000-0000-0000600C0000}"/>
    <cellStyle name="Calculation 2 7 2 2 12" xfId="13658" xr:uid="{00000000-0005-0000-0000-0000610C0000}"/>
    <cellStyle name="Calculation 2 7 2 2 13" xfId="30091" xr:uid="{9E572C04-0434-404E-A441-1377ED476462}"/>
    <cellStyle name="Calculation 2 7 2 2 14" xfId="31523" xr:uid="{FBF9AB76-8BC5-48E2-BCA9-F871869B8249}"/>
    <cellStyle name="Calculation 2 7 2 2 2" xfId="1137" xr:uid="{00000000-0005-0000-0000-0000620C0000}"/>
    <cellStyle name="Calculation 2 7 2 2 2 2" xfId="3273" xr:uid="{00000000-0005-0000-0000-0000630C0000}"/>
    <cellStyle name="Calculation 2 7 2 2 2 2 2" xfId="9869" xr:uid="{00000000-0005-0000-0000-0000640C0000}"/>
    <cellStyle name="Calculation 2 7 2 2 2 2 3" xfId="16488" xr:uid="{00000000-0005-0000-0000-0000650C0000}"/>
    <cellStyle name="Calculation 2 7 2 2 2 3" xfId="5308" xr:uid="{00000000-0005-0000-0000-0000660C0000}"/>
    <cellStyle name="Calculation 2 7 2 2 2 3 2" xfId="11904" xr:uid="{00000000-0005-0000-0000-0000670C0000}"/>
    <cellStyle name="Calculation 2 7 2 2 2 3 3" xfId="18523" xr:uid="{00000000-0005-0000-0000-0000680C0000}"/>
    <cellStyle name="Calculation 2 7 2 2 2 4" xfId="7733" xr:uid="{00000000-0005-0000-0000-0000690C0000}"/>
    <cellStyle name="Calculation 2 7 2 2 2 5" xfId="14352" xr:uid="{00000000-0005-0000-0000-00006A0C0000}"/>
    <cellStyle name="Calculation 2 7 2 2 3" xfId="1419" xr:uid="{00000000-0005-0000-0000-00006B0C0000}"/>
    <cellStyle name="Calculation 2 7 2 2 3 2" xfId="3555" xr:uid="{00000000-0005-0000-0000-00006C0C0000}"/>
    <cellStyle name="Calculation 2 7 2 2 3 2 2" xfId="10151" xr:uid="{00000000-0005-0000-0000-00006D0C0000}"/>
    <cellStyle name="Calculation 2 7 2 2 3 2 3" xfId="16770" xr:uid="{00000000-0005-0000-0000-00006E0C0000}"/>
    <cellStyle name="Calculation 2 7 2 2 3 3" xfId="5590" xr:uid="{00000000-0005-0000-0000-00006F0C0000}"/>
    <cellStyle name="Calculation 2 7 2 2 3 3 2" xfId="12186" xr:uid="{00000000-0005-0000-0000-0000700C0000}"/>
    <cellStyle name="Calculation 2 7 2 2 3 3 3" xfId="18805" xr:uid="{00000000-0005-0000-0000-0000710C0000}"/>
    <cellStyle name="Calculation 2 7 2 2 3 4" xfId="8015" xr:uid="{00000000-0005-0000-0000-0000720C0000}"/>
    <cellStyle name="Calculation 2 7 2 2 3 5" xfId="14634" xr:uid="{00000000-0005-0000-0000-0000730C0000}"/>
    <cellStyle name="Calculation 2 7 2 2 4" xfId="1700" xr:uid="{00000000-0005-0000-0000-0000740C0000}"/>
    <cellStyle name="Calculation 2 7 2 2 4 2" xfId="3836" xr:uid="{00000000-0005-0000-0000-0000750C0000}"/>
    <cellStyle name="Calculation 2 7 2 2 4 2 2" xfId="10432" xr:uid="{00000000-0005-0000-0000-0000760C0000}"/>
    <cellStyle name="Calculation 2 7 2 2 4 2 3" xfId="17051" xr:uid="{00000000-0005-0000-0000-0000770C0000}"/>
    <cellStyle name="Calculation 2 7 2 2 4 3" xfId="5871" xr:uid="{00000000-0005-0000-0000-0000780C0000}"/>
    <cellStyle name="Calculation 2 7 2 2 4 3 2" xfId="12467" xr:uid="{00000000-0005-0000-0000-0000790C0000}"/>
    <cellStyle name="Calculation 2 7 2 2 4 3 3" xfId="19086" xr:uid="{00000000-0005-0000-0000-00007A0C0000}"/>
    <cellStyle name="Calculation 2 7 2 2 4 4" xfId="8296" xr:uid="{00000000-0005-0000-0000-00007B0C0000}"/>
    <cellStyle name="Calculation 2 7 2 2 4 5" xfId="14915" xr:uid="{00000000-0005-0000-0000-00007C0C0000}"/>
    <cellStyle name="Calculation 2 7 2 2 5" xfId="1979" xr:uid="{00000000-0005-0000-0000-00007D0C0000}"/>
    <cellStyle name="Calculation 2 7 2 2 5 2" xfId="4115" xr:uid="{00000000-0005-0000-0000-00007E0C0000}"/>
    <cellStyle name="Calculation 2 7 2 2 5 2 2" xfId="10711" xr:uid="{00000000-0005-0000-0000-00007F0C0000}"/>
    <cellStyle name="Calculation 2 7 2 2 5 2 3" xfId="17330" xr:uid="{00000000-0005-0000-0000-0000800C0000}"/>
    <cellStyle name="Calculation 2 7 2 2 5 3" xfId="6150" xr:uid="{00000000-0005-0000-0000-0000810C0000}"/>
    <cellStyle name="Calculation 2 7 2 2 5 3 2" xfId="12746" xr:uid="{00000000-0005-0000-0000-0000820C0000}"/>
    <cellStyle name="Calculation 2 7 2 2 5 3 3" xfId="19365" xr:uid="{00000000-0005-0000-0000-0000830C0000}"/>
    <cellStyle name="Calculation 2 7 2 2 5 4" xfId="8575" xr:uid="{00000000-0005-0000-0000-0000840C0000}"/>
    <cellStyle name="Calculation 2 7 2 2 5 5" xfId="15194" xr:uid="{00000000-0005-0000-0000-0000850C0000}"/>
    <cellStyle name="Calculation 2 7 2 2 6" xfId="2254" xr:uid="{00000000-0005-0000-0000-0000860C0000}"/>
    <cellStyle name="Calculation 2 7 2 2 6 2" xfId="4390" xr:uid="{00000000-0005-0000-0000-0000870C0000}"/>
    <cellStyle name="Calculation 2 7 2 2 6 2 2" xfId="10986" xr:uid="{00000000-0005-0000-0000-0000880C0000}"/>
    <cellStyle name="Calculation 2 7 2 2 6 2 3" xfId="17605" xr:uid="{00000000-0005-0000-0000-0000890C0000}"/>
    <cellStyle name="Calculation 2 7 2 2 6 3" xfId="6425" xr:uid="{00000000-0005-0000-0000-00008A0C0000}"/>
    <cellStyle name="Calculation 2 7 2 2 6 3 2" xfId="13021" xr:uid="{00000000-0005-0000-0000-00008B0C0000}"/>
    <cellStyle name="Calculation 2 7 2 2 6 3 3" xfId="19640" xr:uid="{00000000-0005-0000-0000-00008C0C0000}"/>
    <cellStyle name="Calculation 2 7 2 2 6 4" xfId="8850" xr:uid="{00000000-0005-0000-0000-00008D0C0000}"/>
    <cellStyle name="Calculation 2 7 2 2 6 5" xfId="15469" xr:uid="{00000000-0005-0000-0000-00008E0C0000}"/>
    <cellStyle name="Calculation 2 7 2 2 7" xfId="2527" xr:uid="{00000000-0005-0000-0000-00008F0C0000}"/>
    <cellStyle name="Calculation 2 7 2 2 7 2" xfId="4663" xr:uid="{00000000-0005-0000-0000-0000900C0000}"/>
    <cellStyle name="Calculation 2 7 2 2 7 2 2" xfId="11259" xr:uid="{00000000-0005-0000-0000-0000910C0000}"/>
    <cellStyle name="Calculation 2 7 2 2 7 2 3" xfId="17878" xr:uid="{00000000-0005-0000-0000-0000920C0000}"/>
    <cellStyle name="Calculation 2 7 2 2 7 3" xfId="6698" xr:uid="{00000000-0005-0000-0000-0000930C0000}"/>
    <cellStyle name="Calculation 2 7 2 2 7 3 2" xfId="13294" xr:uid="{00000000-0005-0000-0000-0000940C0000}"/>
    <cellStyle name="Calculation 2 7 2 2 7 3 3" xfId="19913" xr:uid="{00000000-0005-0000-0000-0000950C0000}"/>
    <cellStyle name="Calculation 2 7 2 2 7 4" xfId="9123" xr:uid="{00000000-0005-0000-0000-0000960C0000}"/>
    <cellStyle name="Calculation 2 7 2 2 7 5" xfId="15742" xr:uid="{00000000-0005-0000-0000-0000970C0000}"/>
    <cellStyle name="Calculation 2 7 2 2 8" xfId="2973" xr:uid="{00000000-0005-0000-0000-0000980C0000}"/>
    <cellStyle name="Calculation 2 7 2 2 8 2" xfId="9569" xr:uid="{00000000-0005-0000-0000-0000990C0000}"/>
    <cellStyle name="Calculation 2 7 2 2 8 3" xfId="16188" xr:uid="{00000000-0005-0000-0000-00009A0C0000}"/>
    <cellStyle name="Calculation 2 7 2 2 9" xfId="5008" xr:uid="{00000000-0005-0000-0000-00009B0C0000}"/>
    <cellStyle name="Calculation 2 7 2 2 9 2" xfId="11604" xr:uid="{00000000-0005-0000-0000-00009C0C0000}"/>
    <cellStyle name="Calculation 2 7 2 2 9 3" xfId="18223" xr:uid="{00000000-0005-0000-0000-00009D0C0000}"/>
    <cellStyle name="Calculation 2 7 2 2_Summary" xfId="20145" xr:uid="{00000000-0005-0000-0000-00009E0C0000}"/>
    <cellStyle name="Calculation 2 7 2 3" xfId="1009" xr:uid="{00000000-0005-0000-0000-00009F0C0000}"/>
    <cellStyle name="Calculation 2 7 2 3 2" xfId="3145" xr:uid="{00000000-0005-0000-0000-0000A00C0000}"/>
    <cellStyle name="Calculation 2 7 2 3 2 2" xfId="9741" xr:uid="{00000000-0005-0000-0000-0000A10C0000}"/>
    <cellStyle name="Calculation 2 7 2 3 2 3" xfId="16360" xr:uid="{00000000-0005-0000-0000-0000A20C0000}"/>
    <cellStyle name="Calculation 2 7 2 3 3" xfId="5180" xr:uid="{00000000-0005-0000-0000-0000A30C0000}"/>
    <cellStyle name="Calculation 2 7 2 3 3 2" xfId="11776" xr:uid="{00000000-0005-0000-0000-0000A40C0000}"/>
    <cellStyle name="Calculation 2 7 2 3 3 3" xfId="18395" xr:uid="{00000000-0005-0000-0000-0000A50C0000}"/>
    <cellStyle name="Calculation 2 7 2 3 4" xfId="7606" xr:uid="{00000000-0005-0000-0000-0000A60C0000}"/>
    <cellStyle name="Calculation 2 7 2 3 5" xfId="14224" xr:uid="{00000000-0005-0000-0000-0000A70C0000}"/>
    <cellStyle name="Calculation 2 7 2 4" xfId="1291" xr:uid="{00000000-0005-0000-0000-0000A80C0000}"/>
    <cellStyle name="Calculation 2 7 2 4 2" xfId="3427" xr:uid="{00000000-0005-0000-0000-0000A90C0000}"/>
    <cellStyle name="Calculation 2 7 2 4 2 2" xfId="10023" xr:uid="{00000000-0005-0000-0000-0000AA0C0000}"/>
    <cellStyle name="Calculation 2 7 2 4 2 3" xfId="16642" xr:uid="{00000000-0005-0000-0000-0000AB0C0000}"/>
    <cellStyle name="Calculation 2 7 2 4 3" xfId="5462" xr:uid="{00000000-0005-0000-0000-0000AC0C0000}"/>
    <cellStyle name="Calculation 2 7 2 4 3 2" xfId="12058" xr:uid="{00000000-0005-0000-0000-0000AD0C0000}"/>
    <cellStyle name="Calculation 2 7 2 4 3 3" xfId="18677" xr:uid="{00000000-0005-0000-0000-0000AE0C0000}"/>
    <cellStyle name="Calculation 2 7 2 4 4" xfId="7887" xr:uid="{00000000-0005-0000-0000-0000AF0C0000}"/>
    <cellStyle name="Calculation 2 7 2 4 5" xfId="14506" xr:uid="{00000000-0005-0000-0000-0000B00C0000}"/>
    <cellStyle name="Calculation 2 7 2 5" xfId="1572" xr:uid="{00000000-0005-0000-0000-0000B10C0000}"/>
    <cellStyle name="Calculation 2 7 2 5 2" xfId="3708" xr:uid="{00000000-0005-0000-0000-0000B20C0000}"/>
    <cellStyle name="Calculation 2 7 2 5 2 2" xfId="10304" xr:uid="{00000000-0005-0000-0000-0000B30C0000}"/>
    <cellStyle name="Calculation 2 7 2 5 2 3" xfId="16923" xr:uid="{00000000-0005-0000-0000-0000B40C0000}"/>
    <cellStyle name="Calculation 2 7 2 5 3" xfId="5743" xr:uid="{00000000-0005-0000-0000-0000B50C0000}"/>
    <cellStyle name="Calculation 2 7 2 5 3 2" xfId="12339" xr:uid="{00000000-0005-0000-0000-0000B60C0000}"/>
    <cellStyle name="Calculation 2 7 2 5 3 3" xfId="18958" xr:uid="{00000000-0005-0000-0000-0000B70C0000}"/>
    <cellStyle name="Calculation 2 7 2 5 4" xfId="8168" xr:uid="{00000000-0005-0000-0000-0000B80C0000}"/>
    <cellStyle name="Calculation 2 7 2 5 5" xfId="14787" xr:uid="{00000000-0005-0000-0000-0000B90C0000}"/>
    <cellStyle name="Calculation 2 7 2 6" xfId="1851" xr:uid="{00000000-0005-0000-0000-0000BA0C0000}"/>
    <cellStyle name="Calculation 2 7 2 6 2" xfId="3987" xr:uid="{00000000-0005-0000-0000-0000BB0C0000}"/>
    <cellStyle name="Calculation 2 7 2 6 2 2" xfId="10583" xr:uid="{00000000-0005-0000-0000-0000BC0C0000}"/>
    <cellStyle name="Calculation 2 7 2 6 2 3" xfId="17202" xr:uid="{00000000-0005-0000-0000-0000BD0C0000}"/>
    <cellStyle name="Calculation 2 7 2 6 3" xfId="6022" xr:uid="{00000000-0005-0000-0000-0000BE0C0000}"/>
    <cellStyle name="Calculation 2 7 2 6 3 2" xfId="12618" xr:uid="{00000000-0005-0000-0000-0000BF0C0000}"/>
    <cellStyle name="Calculation 2 7 2 6 3 3" xfId="19237" xr:uid="{00000000-0005-0000-0000-0000C00C0000}"/>
    <cellStyle name="Calculation 2 7 2 6 4" xfId="8447" xr:uid="{00000000-0005-0000-0000-0000C10C0000}"/>
    <cellStyle name="Calculation 2 7 2 6 5" xfId="15066" xr:uid="{00000000-0005-0000-0000-0000C20C0000}"/>
    <cellStyle name="Calculation 2 7 2 7" xfId="2126" xr:uid="{00000000-0005-0000-0000-0000C30C0000}"/>
    <cellStyle name="Calculation 2 7 2 7 2" xfId="4262" xr:uid="{00000000-0005-0000-0000-0000C40C0000}"/>
    <cellStyle name="Calculation 2 7 2 7 2 2" xfId="10858" xr:uid="{00000000-0005-0000-0000-0000C50C0000}"/>
    <cellStyle name="Calculation 2 7 2 7 2 3" xfId="17477" xr:uid="{00000000-0005-0000-0000-0000C60C0000}"/>
    <cellStyle name="Calculation 2 7 2 7 3" xfId="6297" xr:uid="{00000000-0005-0000-0000-0000C70C0000}"/>
    <cellStyle name="Calculation 2 7 2 7 3 2" xfId="12893" xr:uid="{00000000-0005-0000-0000-0000C80C0000}"/>
    <cellStyle name="Calculation 2 7 2 7 3 3" xfId="19512" xr:uid="{00000000-0005-0000-0000-0000C90C0000}"/>
    <cellStyle name="Calculation 2 7 2 7 4" xfId="8722" xr:uid="{00000000-0005-0000-0000-0000CA0C0000}"/>
    <cellStyle name="Calculation 2 7 2 7 5" xfId="15341" xr:uid="{00000000-0005-0000-0000-0000CB0C0000}"/>
    <cellStyle name="Calculation 2 7 2 8" xfId="2399" xr:uid="{00000000-0005-0000-0000-0000CC0C0000}"/>
    <cellStyle name="Calculation 2 7 2 8 2" xfId="4535" xr:uid="{00000000-0005-0000-0000-0000CD0C0000}"/>
    <cellStyle name="Calculation 2 7 2 8 2 2" xfId="11131" xr:uid="{00000000-0005-0000-0000-0000CE0C0000}"/>
    <cellStyle name="Calculation 2 7 2 8 2 3" xfId="17750" xr:uid="{00000000-0005-0000-0000-0000CF0C0000}"/>
    <cellStyle name="Calculation 2 7 2 8 3" xfId="6570" xr:uid="{00000000-0005-0000-0000-0000D00C0000}"/>
    <cellStyle name="Calculation 2 7 2 8 3 2" xfId="13166" xr:uid="{00000000-0005-0000-0000-0000D10C0000}"/>
    <cellStyle name="Calculation 2 7 2 8 3 3" xfId="19785" xr:uid="{00000000-0005-0000-0000-0000D20C0000}"/>
    <cellStyle name="Calculation 2 7 2 8 4" xfId="8995" xr:uid="{00000000-0005-0000-0000-0000D30C0000}"/>
    <cellStyle name="Calculation 2 7 2 8 5" xfId="15614" xr:uid="{00000000-0005-0000-0000-0000D40C0000}"/>
    <cellStyle name="Calculation 2 7 2 9" xfId="2700" xr:uid="{00000000-0005-0000-0000-0000D50C0000}"/>
    <cellStyle name="Calculation 2 7 2 9 2" xfId="9296" xr:uid="{00000000-0005-0000-0000-0000D60C0000}"/>
    <cellStyle name="Calculation 2 7 2 9 3" xfId="15915" xr:uid="{00000000-0005-0000-0000-0000D70C0000}"/>
    <cellStyle name="Calculation 2 7 2_Summary" xfId="20144" xr:uid="{00000000-0005-0000-0000-0000D80C0000}"/>
    <cellStyle name="Calculation 2 7 3" xfId="228" xr:uid="{00000000-0005-0000-0000-0000D90C0000}"/>
    <cellStyle name="Calculation 2 7 3 10" xfId="765" xr:uid="{00000000-0005-0000-0000-0000DA0C0000}"/>
    <cellStyle name="Calculation 2 7 3 10 2" xfId="13980" xr:uid="{00000000-0005-0000-0000-0000DB0C0000}"/>
    <cellStyle name="Calculation 2 7 3 11" xfId="7135" xr:uid="{00000000-0005-0000-0000-0000DC0C0000}"/>
    <cellStyle name="Calculation 2 7 3 12" xfId="6990" xr:uid="{00000000-0005-0000-0000-0000DD0C0000}"/>
    <cellStyle name="Calculation 2 7 3 13" xfId="28230" xr:uid="{584D888A-427F-44C9-BE9D-F2EB035712F4}"/>
    <cellStyle name="Calculation 2 7 3 14" xfId="30813" xr:uid="{03E55BF3-310C-40BC-A727-6ADC41A2214A}"/>
    <cellStyle name="Calculation 2 7 3 2" xfId="933" xr:uid="{00000000-0005-0000-0000-0000DE0C0000}"/>
    <cellStyle name="Calculation 2 7 3 2 2" xfId="3069" xr:uid="{00000000-0005-0000-0000-0000DF0C0000}"/>
    <cellStyle name="Calculation 2 7 3 2 2 2" xfId="9665" xr:uid="{00000000-0005-0000-0000-0000E00C0000}"/>
    <cellStyle name="Calculation 2 7 3 2 2 3" xfId="16284" xr:uid="{00000000-0005-0000-0000-0000E10C0000}"/>
    <cellStyle name="Calculation 2 7 3 2 3" xfId="5104" xr:uid="{00000000-0005-0000-0000-0000E20C0000}"/>
    <cellStyle name="Calculation 2 7 3 2 3 2" xfId="11700" xr:uid="{00000000-0005-0000-0000-0000E30C0000}"/>
    <cellStyle name="Calculation 2 7 3 2 3 3" xfId="18319" xr:uid="{00000000-0005-0000-0000-0000E40C0000}"/>
    <cellStyle name="Calculation 2 7 3 2 4" xfId="7530" xr:uid="{00000000-0005-0000-0000-0000E50C0000}"/>
    <cellStyle name="Calculation 2 7 3 2 5" xfId="14148" xr:uid="{00000000-0005-0000-0000-0000E60C0000}"/>
    <cellStyle name="Calculation 2 7 3 2 6" xfId="30092" xr:uid="{ACA7E9C7-1F33-4A80-8A35-A6C1399D09B1}"/>
    <cellStyle name="Calculation 2 7 3 2 7" xfId="31524" xr:uid="{5F643D35-95BB-4521-95DC-F3D3E44D0237}"/>
    <cellStyle name="Calculation 2 7 3 3" xfId="1218" xr:uid="{00000000-0005-0000-0000-0000E70C0000}"/>
    <cellStyle name="Calculation 2 7 3 3 2" xfId="3354" xr:uid="{00000000-0005-0000-0000-0000E80C0000}"/>
    <cellStyle name="Calculation 2 7 3 3 2 2" xfId="9950" xr:uid="{00000000-0005-0000-0000-0000E90C0000}"/>
    <cellStyle name="Calculation 2 7 3 3 2 3" xfId="16569" xr:uid="{00000000-0005-0000-0000-0000EA0C0000}"/>
    <cellStyle name="Calculation 2 7 3 3 3" xfId="5389" xr:uid="{00000000-0005-0000-0000-0000EB0C0000}"/>
    <cellStyle name="Calculation 2 7 3 3 3 2" xfId="11985" xr:uid="{00000000-0005-0000-0000-0000EC0C0000}"/>
    <cellStyle name="Calculation 2 7 3 3 3 3" xfId="18604" xr:uid="{00000000-0005-0000-0000-0000ED0C0000}"/>
    <cellStyle name="Calculation 2 7 3 3 4" xfId="7814" xr:uid="{00000000-0005-0000-0000-0000EE0C0000}"/>
    <cellStyle name="Calculation 2 7 3 3 5" xfId="14433" xr:uid="{00000000-0005-0000-0000-0000EF0C0000}"/>
    <cellStyle name="Calculation 2 7 3 4" xfId="1500" xr:uid="{00000000-0005-0000-0000-0000F00C0000}"/>
    <cellStyle name="Calculation 2 7 3 4 2" xfId="3636" xr:uid="{00000000-0005-0000-0000-0000F10C0000}"/>
    <cellStyle name="Calculation 2 7 3 4 2 2" xfId="10232" xr:uid="{00000000-0005-0000-0000-0000F20C0000}"/>
    <cellStyle name="Calculation 2 7 3 4 2 3" xfId="16851" xr:uid="{00000000-0005-0000-0000-0000F30C0000}"/>
    <cellStyle name="Calculation 2 7 3 4 3" xfId="5671" xr:uid="{00000000-0005-0000-0000-0000F40C0000}"/>
    <cellStyle name="Calculation 2 7 3 4 3 2" xfId="12267" xr:uid="{00000000-0005-0000-0000-0000F50C0000}"/>
    <cellStyle name="Calculation 2 7 3 4 3 3" xfId="18886" xr:uid="{00000000-0005-0000-0000-0000F60C0000}"/>
    <cellStyle name="Calculation 2 7 3 4 4" xfId="8096" xr:uid="{00000000-0005-0000-0000-0000F70C0000}"/>
    <cellStyle name="Calculation 2 7 3 4 5" xfId="14715" xr:uid="{00000000-0005-0000-0000-0000F80C0000}"/>
    <cellStyle name="Calculation 2 7 3 5" xfId="1781" xr:uid="{00000000-0005-0000-0000-0000F90C0000}"/>
    <cellStyle name="Calculation 2 7 3 5 2" xfId="3917" xr:uid="{00000000-0005-0000-0000-0000FA0C0000}"/>
    <cellStyle name="Calculation 2 7 3 5 2 2" xfId="10513" xr:uid="{00000000-0005-0000-0000-0000FB0C0000}"/>
    <cellStyle name="Calculation 2 7 3 5 2 3" xfId="17132" xr:uid="{00000000-0005-0000-0000-0000FC0C0000}"/>
    <cellStyle name="Calculation 2 7 3 5 3" xfId="5952" xr:uid="{00000000-0005-0000-0000-0000FD0C0000}"/>
    <cellStyle name="Calculation 2 7 3 5 3 2" xfId="12548" xr:uid="{00000000-0005-0000-0000-0000FE0C0000}"/>
    <cellStyle name="Calculation 2 7 3 5 3 3" xfId="19167" xr:uid="{00000000-0005-0000-0000-0000FF0C0000}"/>
    <cellStyle name="Calculation 2 7 3 5 4" xfId="8377" xr:uid="{00000000-0005-0000-0000-0000000D0000}"/>
    <cellStyle name="Calculation 2 7 3 5 5" xfId="14996" xr:uid="{00000000-0005-0000-0000-0000010D0000}"/>
    <cellStyle name="Calculation 2 7 3 6" xfId="2060" xr:uid="{00000000-0005-0000-0000-0000020D0000}"/>
    <cellStyle name="Calculation 2 7 3 6 2" xfId="4196" xr:uid="{00000000-0005-0000-0000-0000030D0000}"/>
    <cellStyle name="Calculation 2 7 3 6 2 2" xfId="10792" xr:uid="{00000000-0005-0000-0000-0000040D0000}"/>
    <cellStyle name="Calculation 2 7 3 6 2 3" xfId="17411" xr:uid="{00000000-0005-0000-0000-0000050D0000}"/>
    <cellStyle name="Calculation 2 7 3 6 3" xfId="6231" xr:uid="{00000000-0005-0000-0000-0000060D0000}"/>
    <cellStyle name="Calculation 2 7 3 6 3 2" xfId="12827" xr:uid="{00000000-0005-0000-0000-0000070D0000}"/>
    <cellStyle name="Calculation 2 7 3 6 3 3" xfId="19446" xr:uid="{00000000-0005-0000-0000-0000080D0000}"/>
    <cellStyle name="Calculation 2 7 3 6 4" xfId="8656" xr:uid="{00000000-0005-0000-0000-0000090D0000}"/>
    <cellStyle name="Calculation 2 7 3 6 5" xfId="15275" xr:uid="{00000000-0005-0000-0000-00000A0D0000}"/>
    <cellStyle name="Calculation 2 7 3 7" xfId="2335" xr:uid="{00000000-0005-0000-0000-00000B0D0000}"/>
    <cellStyle name="Calculation 2 7 3 7 2" xfId="4471" xr:uid="{00000000-0005-0000-0000-00000C0D0000}"/>
    <cellStyle name="Calculation 2 7 3 7 2 2" xfId="11067" xr:uid="{00000000-0005-0000-0000-00000D0D0000}"/>
    <cellStyle name="Calculation 2 7 3 7 2 3" xfId="17686" xr:uid="{00000000-0005-0000-0000-00000E0D0000}"/>
    <cellStyle name="Calculation 2 7 3 7 3" xfId="6506" xr:uid="{00000000-0005-0000-0000-00000F0D0000}"/>
    <cellStyle name="Calculation 2 7 3 7 3 2" xfId="13102" xr:uid="{00000000-0005-0000-0000-0000100D0000}"/>
    <cellStyle name="Calculation 2 7 3 7 3 3" xfId="19721" xr:uid="{00000000-0005-0000-0000-0000110D0000}"/>
    <cellStyle name="Calculation 2 7 3 7 4" xfId="8931" xr:uid="{00000000-0005-0000-0000-0000120D0000}"/>
    <cellStyle name="Calculation 2 7 3 7 5" xfId="15550" xr:uid="{00000000-0005-0000-0000-0000130D0000}"/>
    <cellStyle name="Calculation 2 7 3 8" xfId="2901" xr:uid="{00000000-0005-0000-0000-0000140D0000}"/>
    <cellStyle name="Calculation 2 7 3 8 2" xfId="9497" xr:uid="{00000000-0005-0000-0000-0000150D0000}"/>
    <cellStyle name="Calculation 2 7 3 8 3" xfId="16116" xr:uid="{00000000-0005-0000-0000-0000160D0000}"/>
    <cellStyle name="Calculation 2 7 3 9" xfId="4936" xr:uid="{00000000-0005-0000-0000-0000170D0000}"/>
    <cellStyle name="Calculation 2 7 3 9 2" xfId="11532" xr:uid="{00000000-0005-0000-0000-0000180D0000}"/>
    <cellStyle name="Calculation 2 7 3 9 3" xfId="18151" xr:uid="{00000000-0005-0000-0000-0000190D0000}"/>
    <cellStyle name="Calculation 2 7 3_Summary" xfId="20146" xr:uid="{00000000-0005-0000-0000-00001A0D0000}"/>
    <cellStyle name="Calculation 2 7 4" xfId="382" xr:uid="{00000000-0005-0000-0000-00001B0D0000}"/>
    <cellStyle name="Calculation 2 7 4 10" xfId="719" xr:uid="{00000000-0005-0000-0000-00001C0D0000}"/>
    <cellStyle name="Calculation 2 7 4 10 2" xfId="13934" xr:uid="{00000000-0005-0000-0000-00001D0D0000}"/>
    <cellStyle name="Calculation 2 7 4 11" xfId="7275" xr:uid="{00000000-0005-0000-0000-00001E0D0000}"/>
    <cellStyle name="Calculation 2 7 4 12" xfId="13597" xr:uid="{00000000-0005-0000-0000-00001F0D0000}"/>
    <cellStyle name="Calculation 2 7 4 13" xfId="30090" xr:uid="{574958A8-30D2-4BDE-A380-1F50A70A1CF4}"/>
    <cellStyle name="Calculation 2 7 4 14" xfId="31522" xr:uid="{C74092BF-EDCF-4A1C-81B8-D4FD5CF11638}"/>
    <cellStyle name="Calculation 2 7 4 2" xfId="1076" xr:uid="{00000000-0005-0000-0000-0000200D0000}"/>
    <cellStyle name="Calculation 2 7 4 2 2" xfId="3212" xr:uid="{00000000-0005-0000-0000-0000210D0000}"/>
    <cellStyle name="Calculation 2 7 4 2 2 2" xfId="9808" xr:uid="{00000000-0005-0000-0000-0000220D0000}"/>
    <cellStyle name="Calculation 2 7 4 2 2 3" xfId="16427" xr:uid="{00000000-0005-0000-0000-0000230D0000}"/>
    <cellStyle name="Calculation 2 7 4 2 3" xfId="5247" xr:uid="{00000000-0005-0000-0000-0000240D0000}"/>
    <cellStyle name="Calculation 2 7 4 2 3 2" xfId="11843" xr:uid="{00000000-0005-0000-0000-0000250D0000}"/>
    <cellStyle name="Calculation 2 7 4 2 3 3" xfId="18462" xr:uid="{00000000-0005-0000-0000-0000260D0000}"/>
    <cellStyle name="Calculation 2 7 4 2 4" xfId="7673" xr:uid="{00000000-0005-0000-0000-0000270D0000}"/>
    <cellStyle name="Calculation 2 7 4 2 5" xfId="14291" xr:uid="{00000000-0005-0000-0000-0000280D0000}"/>
    <cellStyle name="Calculation 2 7 4 3" xfId="1358" xr:uid="{00000000-0005-0000-0000-0000290D0000}"/>
    <cellStyle name="Calculation 2 7 4 3 2" xfId="3494" xr:uid="{00000000-0005-0000-0000-00002A0D0000}"/>
    <cellStyle name="Calculation 2 7 4 3 2 2" xfId="10090" xr:uid="{00000000-0005-0000-0000-00002B0D0000}"/>
    <cellStyle name="Calculation 2 7 4 3 2 3" xfId="16709" xr:uid="{00000000-0005-0000-0000-00002C0D0000}"/>
    <cellStyle name="Calculation 2 7 4 3 3" xfId="5529" xr:uid="{00000000-0005-0000-0000-00002D0D0000}"/>
    <cellStyle name="Calculation 2 7 4 3 3 2" xfId="12125" xr:uid="{00000000-0005-0000-0000-00002E0D0000}"/>
    <cellStyle name="Calculation 2 7 4 3 3 3" xfId="18744" xr:uid="{00000000-0005-0000-0000-00002F0D0000}"/>
    <cellStyle name="Calculation 2 7 4 3 4" xfId="7954" xr:uid="{00000000-0005-0000-0000-0000300D0000}"/>
    <cellStyle name="Calculation 2 7 4 3 5" xfId="14573" xr:uid="{00000000-0005-0000-0000-0000310D0000}"/>
    <cellStyle name="Calculation 2 7 4 4" xfId="1639" xr:uid="{00000000-0005-0000-0000-0000320D0000}"/>
    <cellStyle name="Calculation 2 7 4 4 2" xfId="3775" xr:uid="{00000000-0005-0000-0000-0000330D0000}"/>
    <cellStyle name="Calculation 2 7 4 4 2 2" xfId="10371" xr:uid="{00000000-0005-0000-0000-0000340D0000}"/>
    <cellStyle name="Calculation 2 7 4 4 2 3" xfId="16990" xr:uid="{00000000-0005-0000-0000-0000350D0000}"/>
    <cellStyle name="Calculation 2 7 4 4 3" xfId="5810" xr:uid="{00000000-0005-0000-0000-0000360D0000}"/>
    <cellStyle name="Calculation 2 7 4 4 3 2" xfId="12406" xr:uid="{00000000-0005-0000-0000-0000370D0000}"/>
    <cellStyle name="Calculation 2 7 4 4 3 3" xfId="19025" xr:uid="{00000000-0005-0000-0000-0000380D0000}"/>
    <cellStyle name="Calculation 2 7 4 4 4" xfId="8235" xr:uid="{00000000-0005-0000-0000-0000390D0000}"/>
    <cellStyle name="Calculation 2 7 4 4 5" xfId="14854" xr:uid="{00000000-0005-0000-0000-00003A0D0000}"/>
    <cellStyle name="Calculation 2 7 4 5" xfId="1918" xr:uid="{00000000-0005-0000-0000-00003B0D0000}"/>
    <cellStyle name="Calculation 2 7 4 5 2" xfId="4054" xr:uid="{00000000-0005-0000-0000-00003C0D0000}"/>
    <cellStyle name="Calculation 2 7 4 5 2 2" xfId="10650" xr:uid="{00000000-0005-0000-0000-00003D0D0000}"/>
    <cellStyle name="Calculation 2 7 4 5 2 3" xfId="17269" xr:uid="{00000000-0005-0000-0000-00003E0D0000}"/>
    <cellStyle name="Calculation 2 7 4 5 3" xfId="6089" xr:uid="{00000000-0005-0000-0000-00003F0D0000}"/>
    <cellStyle name="Calculation 2 7 4 5 3 2" xfId="12685" xr:uid="{00000000-0005-0000-0000-0000400D0000}"/>
    <cellStyle name="Calculation 2 7 4 5 3 3" xfId="19304" xr:uid="{00000000-0005-0000-0000-0000410D0000}"/>
    <cellStyle name="Calculation 2 7 4 5 4" xfId="8514" xr:uid="{00000000-0005-0000-0000-0000420D0000}"/>
    <cellStyle name="Calculation 2 7 4 5 5" xfId="15133" xr:uid="{00000000-0005-0000-0000-0000430D0000}"/>
    <cellStyle name="Calculation 2 7 4 6" xfId="2193" xr:uid="{00000000-0005-0000-0000-0000440D0000}"/>
    <cellStyle name="Calculation 2 7 4 6 2" xfId="4329" xr:uid="{00000000-0005-0000-0000-0000450D0000}"/>
    <cellStyle name="Calculation 2 7 4 6 2 2" xfId="10925" xr:uid="{00000000-0005-0000-0000-0000460D0000}"/>
    <cellStyle name="Calculation 2 7 4 6 2 3" xfId="17544" xr:uid="{00000000-0005-0000-0000-0000470D0000}"/>
    <cellStyle name="Calculation 2 7 4 6 3" xfId="6364" xr:uid="{00000000-0005-0000-0000-0000480D0000}"/>
    <cellStyle name="Calculation 2 7 4 6 3 2" xfId="12960" xr:uid="{00000000-0005-0000-0000-0000490D0000}"/>
    <cellStyle name="Calculation 2 7 4 6 3 3" xfId="19579" xr:uid="{00000000-0005-0000-0000-00004A0D0000}"/>
    <cellStyle name="Calculation 2 7 4 6 4" xfId="8789" xr:uid="{00000000-0005-0000-0000-00004B0D0000}"/>
    <cellStyle name="Calculation 2 7 4 6 5" xfId="15408" xr:uid="{00000000-0005-0000-0000-00004C0D0000}"/>
    <cellStyle name="Calculation 2 7 4 7" xfId="2466" xr:uid="{00000000-0005-0000-0000-00004D0D0000}"/>
    <cellStyle name="Calculation 2 7 4 7 2" xfId="4602" xr:uid="{00000000-0005-0000-0000-00004E0D0000}"/>
    <cellStyle name="Calculation 2 7 4 7 2 2" xfId="11198" xr:uid="{00000000-0005-0000-0000-00004F0D0000}"/>
    <cellStyle name="Calculation 2 7 4 7 2 3" xfId="17817" xr:uid="{00000000-0005-0000-0000-0000500D0000}"/>
    <cellStyle name="Calculation 2 7 4 7 3" xfId="6637" xr:uid="{00000000-0005-0000-0000-0000510D0000}"/>
    <cellStyle name="Calculation 2 7 4 7 3 2" xfId="13233" xr:uid="{00000000-0005-0000-0000-0000520D0000}"/>
    <cellStyle name="Calculation 2 7 4 7 3 3" xfId="19852" xr:uid="{00000000-0005-0000-0000-0000530D0000}"/>
    <cellStyle name="Calculation 2 7 4 7 4" xfId="9062" xr:uid="{00000000-0005-0000-0000-0000540D0000}"/>
    <cellStyle name="Calculation 2 7 4 7 5" xfId="15681" xr:uid="{00000000-0005-0000-0000-0000550D0000}"/>
    <cellStyle name="Calculation 2 7 4 8" xfId="2855" xr:uid="{00000000-0005-0000-0000-0000560D0000}"/>
    <cellStyle name="Calculation 2 7 4 8 2" xfId="9451" xr:uid="{00000000-0005-0000-0000-0000570D0000}"/>
    <cellStyle name="Calculation 2 7 4 8 3" xfId="16070" xr:uid="{00000000-0005-0000-0000-0000580D0000}"/>
    <cellStyle name="Calculation 2 7 4 9" xfId="4890" xr:uid="{00000000-0005-0000-0000-0000590D0000}"/>
    <cellStyle name="Calculation 2 7 4 9 2" xfId="11486" xr:uid="{00000000-0005-0000-0000-00005A0D0000}"/>
    <cellStyle name="Calculation 2 7 4 9 3" xfId="18105" xr:uid="{00000000-0005-0000-0000-00005B0D0000}"/>
    <cellStyle name="Calculation 2 7 4_Summary" xfId="20147" xr:uid="{00000000-0005-0000-0000-00005C0D0000}"/>
    <cellStyle name="Calculation 2 7 5" xfId="889" xr:uid="{00000000-0005-0000-0000-00005D0D0000}"/>
    <cellStyle name="Calculation 2 7 5 2" xfId="3025" xr:uid="{00000000-0005-0000-0000-00005E0D0000}"/>
    <cellStyle name="Calculation 2 7 5 2 2" xfId="9621" xr:uid="{00000000-0005-0000-0000-00005F0D0000}"/>
    <cellStyle name="Calculation 2 7 5 2 3" xfId="16240" xr:uid="{00000000-0005-0000-0000-0000600D0000}"/>
    <cellStyle name="Calculation 2 7 5 3" xfId="5060" xr:uid="{00000000-0005-0000-0000-0000610D0000}"/>
    <cellStyle name="Calculation 2 7 5 3 2" xfId="11656" xr:uid="{00000000-0005-0000-0000-0000620D0000}"/>
    <cellStyle name="Calculation 2 7 5 3 3" xfId="18275" xr:uid="{00000000-0005-0000-0000-0000630D0000}"/>
    <cellStyle name="Calculation 2 7 5 4" xfId="7486" xr:uid="{00000000-0005-0000-0000-0000640D0000}"/>
    <cellStyle name="Calculation 2 7 5 5" xfId="14104" xr:uid="{00000000-0005-0000-0000-0000650D0000}"/>
    <cellStyle name="Calculation 2 7 6" xfId="1174" xr:uid="{00000000-0005-0000-0000-0000660D0000}"/>
    <cellStyle name="Calculation 2 7 6 2" xfId="3310" xr:uid="{00000000-0005-0000-0000-0000670D0000}"/>
    <cellStyle name="Calculation 2 7 6 2 2" xfId="9906" xr:uid="{00000000-0005-0000-0000-0000680D0000}"/>
    <cellStyle name="Calculation 2 7 6 2 3" xfId="16525" xr:uid="{00000000-0005-0000-0000-0000690D0000}"/>
    <cellStyle name="Calculation 2 7 6 3" xfId="5345" xr:uid="{00000000-0005-0000-0000-00006A0D0000}"/>
    <cellStyle name="Calculation 2 7 6 3 2" xfId="11941" xr:uid="{00000000-0005-0000-0000-00006B0D0000}"/>
    <cellStyle name="Calculation 2 7 6 3 3" xfId="18560" xr:uid="{00000000-0005-0000-0000-00006C0D0000}"/>
    <cellStyle name="Calculation 2 7 6 4" xfId="7770" xr:uid="{00000000-0005-0000-0000-00006D0D0000}"/>
    <cellStyle name="Calculation 2 7 6 5" xfId="14389" xr:uid="{00000000-0005-0000-0000-00006E0D0000}"/>
    <cellStyle name="Calculation 2 7 7" xfId="1456" xr:uid="{00000000-0005-0000-0000-00006F0D0000}"/>
    <cellStyle name="Calculation 2 7 7 2" xfId="3592" xr:uid="{00000000-0005-0000-0000-0000700D0000}"/>
    <cellStyle name="Calculation 2 7 7 2 2" xfId="10188" xr:uid="{00000000-0005-0000-0000-0000710D0000}"/>
    <cellStyle name="Calculation 2 7 7 2 3" xfId="16807" xr:uid="{00000000-0005-0000-0000-0000720D0000}"/>
    <cellStyle name="Calculation 2 7 7 3" xfId="5627" xr:uid="{00000000-0005-0000-0000-0000730D0000}"/>
    <cellStyle name="Calculation 2 7 7 3 2" xfId="12223" xr:uid="{00000000-0005-0000-0000-0000740D0000}"/>
    <cellStyle name="Calculation 2 7 7 3 3" xfId="18842" xr:uid="{00000000-0005-0000-0000-0000750D0000}"/>
    <cellStyle name="Calculation 2 7 7 4" xfId="8052" xr:uid="{00000000-0005-0000-0000-0000760D0000}"/>
    <cellStyle name="Calculation 2 7 7 5" xfId="14671" xr:uid="{00000000-0005-0000-0000-0000770D0000}"/>
    <cellStyle name="Calculation 2 7 8" xfId="1737" xr:uid="{00000000-0005-0000-0000-0000780D0000}"/>
    <cellStyle name="Calculation 2 7 8 2" xfId="3873" xr:uid="{00000000-0005-0000-0000-0000790D0000}"/>
    <cellStyle name="Calculation 2 7 8 2 2" xfId="10469" xr:uid="{00000000-0005-0000-0000-00007A0D0000}"/>
    <cellStyle name="Calculation 2 7 8 2 3" xfId="17088" xr:uid="{00000000-0005-0000-0000-00007B0D0000}"/>
    <cellStyle name="Calculation 2 7 8 3" xfId="5908" xr:uid="{00000000-0005-0000-0000-00007C0D0000}"/>
    <cellStyle name="Calculation 2 7 8 3 2" xfId="12504" xr:uid="{00000000-0005-0000-0000-00007D0D0000}"/>
    <cellStyle name="Calculation 2 7 8 3 3" xfId="19123" xr:uid="{00000000-0005-0000-0000-00007E0D0000}"/>
    <cellStyle name="Calculation 2 7 8 4" xfId="8333" xr:uid="{00000000-0005-0000-0000-00007F0D0000}"/>
    <cellStyle name="Calculation 2 7 8 5" xfId="14952" xr:uid="{00000000-0005-0000-0000-0000800D0000}"/>
    <cellStyle name="Calculation 2 7 9" xfId="2016" xr:uid="{00000000-0005-0000-0000-0000810D0000}"/>
    <cellStyle name="Calculation 2 7 9 2" xfId="4152" xr:uid="{00000000-0005-0000-0000-0000820D0000}"/>
    <cellStyle name="Calculation 2 7 9 2 2" xfId="10748" xr:uid="{00000000-0005-0000-0000-0000830D0000}"/>
    <cellStyle name="Calculation 2 7 9 2 3" xfId="17367" xr:uid="{00000000-0005-0000-0000-0000840D0000}"/>
    <cellStyle name="Calculation 2 7 9 3" xfId="6187" xr:uid="{00000000-0005-0000-0000-0000850D0000}"/>
    <cellStyle name="Calculation 2 7 9 3 2" xfId="12783" xr:uid="{00000000-0005-0000-0000-0000860D0000}"/>
    <cellStyle name="Calculation 2 7 9 3 3" xfId="19402" xr:uid="{00000000-0005-0000-0000-0000870D0000}"/>
    <cellStyle name="Calculation 2 7 9 4" xfId="8612" xr:uid="{00000000-0005-0000-0000-0000880D0000}"/>
    <cellStyle name="Calculation 2 7 9 5" xfId="15231" xr:uid="{00000000-0005-0000-0000-0000890D0000}"/>
    <cellStyle name="Calculation 2 7_Summary" xfId="20143" xr:uid="{00000000-0005-0000-0000-00008A0D0000}"/>
    <cellStyle name="Calculation 2 8" xfId="186" xr:uid="{00000000-0005-0000-0000-00008B0D0000}"/>
    <cellStyle name="Calculation 2 8 10" xfId="2295" xr:uid="{00000000-0005-0000-0000-00008C0D0000}"/>
    <cellStyle name="Calculation 2 8 10 2" xfId="4431" xr:uid="{00000000-0005-0000-0000-00008D0D0000}"/>
    <cellStyle name="Calculation 2 8 10 2 2" xfId="11027" xr:uid="{00000000-0005-0000-0000-00008E0D0000}"/>
    <cellStyle name="Calculation 2 8 10 2 3" xfId="17646" xr:uid="{00000000-0005-0000-0000-00008F0D0000}"/>
    <cellStyle name="Calculation 2 8 10 3" xfId="6466" xr:uid="{00000000-0005-0000-0000-0000900D0000}"/>
    <cellStyle name="Calculation 2 8 10 3 2" xfId="13062" xr:uid="{00000000-0005-0000-0000-0000910D0000}"/>
    <cellStyle name="Calculation 2 8 10 3 3" xfId="19681" xr:uid="{00000000-0005-0000-0000-0000920D0000}"/>
    <cellStyle name="Calculation 2 8 10 4" xfId="8891" xr:uid="{00000000-0005-0000-0000-0000930D0000}"/>
    <cellStyle name="Calculation 2 8 10 5" xfId="15510" xr:uid="{00000000-0005-0000-0000-0000940D0000}"/>
    <cellStyle name="Calculation 2 8 11" xfId="2614" xr:uid="{00000000-0005-0000-0000-0000950D0000}"/>
    <cellStyle name="Calculation 2 8 11 2" xfId="9210" xr:uid="{00000000-0005-0000-0000-0000960D0000}"/>
    <cellStyle name="Calculation 2 8 11 3" xfId="15829" xr:uid="{00000000-0005-0000-0000-0000970D0000}"/>
    <cellStyle name="Calculation 2 8 12" xfId="2562" xr:uid="{00000000-0005-0000-0000-0000980D0000}"/>
    <cellStyle name="Calculation 2 8 12 2" xfId="9158" xr:uid="{00000000-0005-0000-0000-0000990D0000}"/>
    <cellStyle name="Calculation 2 8 12 3" xfId="15777" xr:uid="{00000000-0005-0000-0000-00009A0D0000}"/>
    <cellStyle name="Calculation 2 8 13" xfId="503" xr:uid="{00000000-0005-0000-0000-00009B0D0000}"/>
    <cellStyle name="Calculation 2 8 13 2" xfId="13718" xr:uid="{00000000-0005-0000-0000-00009C0D0000}"/>
    <cellStyle name="Calculation 2 8 14" xfId="7094" xr:uid="{00000000-0005-0000-0000-00009D0D0000}"/>
    <cellStyle name="Calculation 2 8 15" xfId="6977" xr:uid="{00000000-0005-0000-0000-00009E0D0000}"/>
    <cellStyle name="Calculation 2 8 16" xfId="28231" xr:uid="{B02508F9-D8F9-4483-B316-18C878DAA3E8}"/>
    <cellStyle name="Calculation 2 8 17" xfId="30814" xr:uid="{028E54FB-BF69-426E-9B7F-D4DAF3AFA260}"/>
    <cellStyle name="Calculation 2 8 2" xfId="318" xr:uid="{00000000-0005-0000-0000-00009F0D0000}"/>
    <cellStyle name="Calculation 2 8 2 10" xfId="4739" xr:uid="{00000000-0005-0000-0000-0000A00D0000}"/>
    <cellStyle name="Calculation 2 8 2 10 2" xfId="11335" xr:uid="{00000000-0005-0000-0000-0000A10D0000}"/>
    <cellStyle name="Calculation 2 8 2 10 3" xfId="17954" xr:uid="{00000000-0005-0000-0000-0000A20D0000}"/>
    <cellStyle name="Calculation 2 8 2 11" xfId="568" xr:uid="{00000000-0005-0000-0000-0000A30D0000}"/>
    <cellStyle name="Calculation 2 8 2 11 2" xfId="13783" xr:uid="{00000000-0005-0000-0000-0000A40D0000}"/>
    <cellStyle name="Calculation 2 8 2 12" xfId="7212" xr:uid="{00000000-0005-0000-0000-0000A50D0000}"/>
    <cellStyle name="Calculation 2 8 2 13" xfId="13534" xr:uid="{00000000-0005-0000-0000-0000A60D0000}"/>
    <cellStyle name="Calculation 2 8 2 14" xfId="28232" xr:uid="{08F7D09F-0149-499E-B635-B1EF63A5C5AA}"/>
    <cellStyle name="Calculation 2 8 2 15" xfId="30815" xr:uid="{A8B53925-40D9-4AB0-81A7-990A118A66DA}"/>
    <cellStyle name="Calculation 2 8 2 2" xfId="447" xr:uid="{00000000-0005-0000-0000-0000A70D0000}"/>
    <cellStyle name="Calculation 2 8 2 2 10" xfId="841" xr:uid="{00000000-0005-0000-0000-0000A80D0000}"/>
    <cellStyle name="Calculation 2 8 2 2 10 2" xfId="14056" xr:uid="{00000000-0005-0000-0000-0000A90D0000}"/>
    <cellStyle name="Calculation 2 8 2 2 11" xfId="7340" xr:uid="{00000000-0005-0000-0000-0000AA0D0000}"/>
    <cellStyle name="Calculation 2 8 2 2 12" xfId="13662" xr:uid="{00000000-0005-0000-0000-0000AB0D0000}"/>
    <cellStyle name="Calculation 2 8 2 2 13" xfId="30094" xr:uid="{8A2AF91C-7B96-40FE-8916-DF8D42F4881F}"/>
    <cellStyle name="Calculation 2 8 2 2 14" xfId="31526" xr:uid="{41D2A6E0-874A-4B6D-9D11-DE13AAB8C495}"/>
    <cellStyle name="Calculation 2 8 2 2 2" xfId="1141" xr:uid="{00000000-0005-0000-0000-0000AC0D0000}"/>
    <cellStyle name="Calculation 2 8 2 2 2 2" xfId="3277" xr:uid="{00000000-0005-0000-0000-0000AD0D0000}"/>
    <cellStyle name="Calculation 2 8 2 2 2 2 2" xfId="9873" xr:uid="{00000000-0005-0000-0000-0000AE0D0000}"/>
    <cellStyle name="Calculation 2 8 2 2 2 2 3" xfId="16492" xr:uid="{00000000-0005-0000-0000-0000AF0D0000}"/>
    <cellStyle name="Calculation 2 8 2 2 2 3" xfId="5312" xr:uid="{00000000-0005-0000-0000-0000B00D0000}"/>
    <cellStyle name="Calculation 2 8 2 2 2 3 2" xfId="11908" xr:uid="{00000000-0005-0000-0000-0000B10D0000}"/>
    <cellStyle name="Calculation 2 8 2 2 2 3 3" xfId="18527" xr:uid="{00000000-0005-0000-0000-0000B20D0000}"/>
    <cellStyle name="Calculation 2 8 2 2 2 4" xfId="7737" xr:uid="{00000000-0005-0000-0000-0000B30D0000}"/>
    <cellStyle name="Calculation 2 8 2 2 2 5" xfId="14356" xr:uid="{00000000-0005-0000-0000-0000B40D0000}"/>
    <cellStyle name="Calculation 2 8 2 2 3" xfId="1423" xr:uid="{00000000-0005-0000-0000-0000B50D0000}"/>
    <cellStyle name="Calculation 2 8 2 2 3 2" xfId="3559" xr:uid="{00000000-0005-0000-0000-0000B60D0000}"/>
    <cellStyle name="Calculation 2 8 2 2 3 2 2" xfId="10155" xr:uid="{00000000-0005-0000-0000-0000B70D0000}"/>
    <cellStyle name="Calculation 2 8 2 2 3 2 3" xfId="16774" xr:uid="{00000000-0005-0000-0000-0000B80D0000}"/>
    <cellStyle name="Calculation 2 8 2 2 3 3" xfId="5594" xr:uid="{00000000-0005-0000-0000-0000B90D0000}"/>
    <cellStyle name="Calculation 2 8 2 2 3 3 2" xfId="12190" xr:uid="{00000000-0005-0000-0000-0000BA0D0000}"/>
    <cellStyle name="Calculation 2 8 2 2 3 3 3" xfId="18809" xr:uid="{00000000-0005-0000-0000-0000BB0D0000}"/>
    <cellStyle name="Calculation 2 8 2 2 3 4" xfId="8019" xr:uid="{00000000-0005-0000-0000-0000BC0D0000}"/>
    <cellStyle name="Calculation 2 8 2 2 3 5" xfId="14638" xr:uid="{00000000-0005-0000-0000-0000BD0D0000}"/>
    <cellStyle name="Calculation 2 8 2 2 4" xfId="1704" xr:uid="{00000000-0005-0000-0000-0000BE0D0000}"/>
    <cellStyle name="Calculation 2 8 2 2 4 2" xfId="3840" xr:uid="{00000000-0005-0000-0000-0000BF0D0000}"/>
    <cellStyle name="Calculation 2 8 2 2 4 2 2" xfId="10436" xr:uid="{00000000-0005-0000-0000-0000C00D0000}"/>
    <cellStyle name="Calculation 2 8 2 2 4 2 3" xfId="17055" xr:uid="{00000000-0005-0000-0000-0000C10D0000}"/>
    <cellStyle name="Calculation 2 8 2 2 4 3" xfId="5875" xr:uid="{00000000-0005-0000-0000-0000C20D0000}"/>
    <cellStyle name="Calculation 2 8 2 2 4 3 2" xfId="12471" xr:uid="{00000000-0005-0000-0000-0000C30D0000}"/>
    <cellStyle name="Calculation 2 8 2 2 4 3 3" xfId="19090" xr:uid="{00000000-0005-0000-0000-0000C40D0000}"/>
    <cellStyle name="Calculation 2 8 2 2 4 4" xfId="8300" xr:uid="{00000000-0005-0000-0000-0000C50D0000}"/>
    <cellStyle name="Calculation 2 8 2 2 4 5" xfId="14919" xr:uid="{00000000-0005-0000-0000-0000C60D0000}"/>
    <cellStyle name="Calculation 2 8 2 2 5" xfId="1983" xr:uid="{00000000-0005-0000-0000-0000C70D0000}"/>
    <cellStyle name="Calculation 2 8 2 2 5 2" xfId="4119" xr:uid="{00000000-0005-0000-0000-0000C80D0000}"/>
    <cellStyle name="Calculation 2 8 2 2 5 2 2" xfId="10715" xr:uid="{00000000-0005-0000-0000-0000C90D0000}"/>
    <cellStyle name="Calculation 2 8 2 2 5 2 3" xfId="17334" xr:uid="{00000000-0005-0000-0000-0000CA0D0000}"/>
    <cellStyle name="Calculation 2 8 2 2 5 3" xfId="6154" xr:uid="{00000000-0005-0000-0000-0000CB0D0000}"/>
    <cellStyle name="Calculation 2 8 2 2 5 3 2" xfId="12750" xr:uid="{00000000-0005-0000-0000-0000CC0D0000}"/>
    <cellStyle name="Calculation 2 8 2 2 5 3 3" xfId="19369" xr:uid="{00000000-0005-0000-0000-0000CD0D0000}"/>
    <cellStyle name="Calculation 2 8 2 2 5 4" xfId="8579" xr:uid="{00000000-0005-0000-0000-0000CE0D0000}"/>
    <cellStyle name="Calculation 2 8 2 2 5 5" xfId="15198" xr:uid="{00000000-0005-0000-0000-0000CF0D0000}"/>
    <cellStyle name="Calculation 2 8 2 2 6" xfId="2258" xr:uid="{00000000-0005-0000-0000-0000D00D0000}"/>
    <cellStyle name="Calculation 2 8 2 2 6 2" xfId="4394" xr:uid="{00000000-0005-0000-0000-0000D10D0000}"/>
    <cellStyle name="Calculation 2 8 2 2 6 2 2" xfId="10990" xr:uid="{00000000-0005-0000-0000-0000D20D0000}"/>
    <cellStyle name="Calculation 2 8 2 2 6 2 3" xfId="17609" xr:uid="{00000000-0005-0000-0000-0000D30D0000}"/>
    <cellStyle name="Calculation 2 8 2 2 6 3" xfId="6429" xr:uid="{00000000-0005-0000-0000-0000D40D0000}"/>
    <cellStyle name="Calculation 2 8 2 2 6 3 2" xfId="13025" xr:uid="{00000000-0005-0000-0000-0000D50D0000}"/>
    <cellStyle name="Calculation 2 8 2 2 6 3 3" xfId="19644" xr:uid="{00000000-0005-0000-0000-0000D60D0000}"/>
    <cellStyle name="Calculation 2 8 2 2 6 4" xfId="8854" xr:uid="{00000000-0005-0000-0000-0000D70D0000}"/>
    <cellStyle name="Calculation 2 8 2 2 6 5" xfId="15473" xr:uid="{00000000-0005-0000-0000-0000D80D0000}"/>
    <cellStyle name="Calculation 2 8 2 2 7" xfId="2531" xr:uid="{00000000-0005-0000-0000-0000D90D0000}"/>
    <cellStyle name="Calculation 2 8 2 2 7 2" xfId="4667" xr:uid="{00000000-0005-0000-0000-0000DA0D0000}"/>
    <cellStyle name="Calculation 2 8 2 2 7 2 2" xfId="11263" xr:uid="{00000000-0005-0000-0000-0000DB0D0000}"/>
    <cellStyle name="Calculation 2 8 2 2 7 2 3" xfId="17882" xr:uid="{00000000-0005-0000-0000-0000DC0D0000}"/>
    <cellStyle name="Calculation 2 8 2 2 7 3" xfId="6702" xr:uid="{00000000-0005-0000-0000-0000DD0D0000}"/>
    <cellStyle name="Calculation 2 8 2 2 7 3 2" xfId="13298" xr:uid="{00000000-0005-0000-0000-0000DE0D0000}"/>
    <cellStyle name="Calculation 2 8 2 2 7 3 3" xfId="19917" xr:uid="{00000000-0005-0000-0000-0000DF0D0000}"/>
    <cellStyle name="Calculation 2 8 2 2 7 4" xfId="9127" xr:uid="{00000000-0005-0000-0000-0000E00D0000}"/>
    <cellStyle name="Calculation 2 8 2 2 7 5" xfId="15746" xr:uid="{00000000-0005-0000-0000-0000E10D0000}"/>
    <cellStyle name="Calculation 2 8 2 2 8" xfId="2977" xr:uid="{00000000-0005-0000-0000-0000E20D0000}"/>
    <cellStyle name="Calculation 2 8 2 2 8 2" xfId="9573" xr:uid="{00000000-0005-0000-0000-0000E30D0000}"/>
    <cellStyle name="Calculation 2 8 2 2 8 3" xfId="16192" xr:uid="{00000000-0005-0000-0000-0000E40D0000}"/>
    <cellStyle name="Calculation 2 8 2 2 9" xfId="5012" xr:uid="{00000000-0005-0000-0000-0000E50D0000}"/>
    <cellStyle name="Calculation 2 8 2 2 9 2" xfId="11608" xr:uid="{00000000-0005-0000-0000-0000E60D0000}"/>
    <cellStyle name="Calculation 2 8 2 2 9 3" xfId="18227" xr:uid="{00000000-0005-0000-0000-0000E70D0000}"/>
    <cellStyle name="Calculation 2 8 2 2_Summary" xfId="20150" xr:uid="{00000000-0005-0000-0000-0000E80D0000}"/>
    <cellStyle name="Calculation 2 8 2 3" xfId="1013" xr:uid="{00000000-0005-0000-0000-0000E90D0000}"/>
    <cellStyle name="Calculation 2 8 2 3 2" xfId="3149" xr:uid="{00000000-0005-0000-0000-0000EA0D0000}"/>
    <cellStyle name="Calculation 2 8 2 3 2 2" xfId="9745" xr:uid="{00000000-0005-0000-0000-0000EB0D0000}"/>
    <cellStyle name="Calculation 2 8 2 3 2 3" xfId="16364" xr:uid="{00000000-0005-0000-0000-0000EC0D0000}"/>
    <cellStyle name="Calculation 2 8 2 3 3" xfId="5184" xr:uid="{00000000-0005-0000-0000-0000ED0D0000}"/>
    <cellStyle name="Calculation 2 8 2 3 3 2" xfId="11780" xr:uid="{00000000-0005-0000-0000-0000EE0D0000}"/>
    <cellStyle name="Calculation 2 8 2 3 3 3" xfId="18399" xr:uid="{00000000-0005-0000-0000-0000EF0D0000}"/>
    <cellStyle name="Calculation 2 8 2 3 4" xfId="7610" xr:uid="{00000000-0005-0000-0000-0000F00D0000}"/>
    <cellStyle name="Calculation 2 8 2 3 5" xfId="14228" xr:uid="{00000000-0005-0000-0000-0000F10D0000}"/>
    <cellStyle name="Calculation 2 8 2 4" xfId="1295" xr:uid="{00000000-0005-0000-0000-0000F20D0000}"/>
    <cellStyle name="Calculation 2 8 2 4 2" xfId="3431" xr:uid="{00000000-0005-0000-0000-0000F30D0000}"/>
    <cellStyle name="Calculation 2 8 2 4 2 2" xfId="10027" xr:uid="{00000000-0005-0000-0000-0000F40D0000}"/>
    <cellStyle name="Calculation 2 8 2 4 2 3" xfId="16646" xr:uid="{00000000-0005-0000-0000-0000F50D0000}"/>
    <cellStyle name="Calculation 2 8 2 4 3" xfId="5466" xr:uid="{00000000-0005-0000-0000-0000F60D0000}"/>
    <cellStyle name="Calculation 2 8 2 4 3 2" xfId="12062" xr:uid="{00000000-0005-0000-0000-0000F70D0000}"/>
    <cellStyle name="Calculation 2 8 2 4 3 3" xfId="18681" xr:uid="{00000000-0005-0000-0000-0000F80D0000}"/>
    <cellStyle name="Calculation 2 8 2 4 4" xfId="7891" xr:uid="{00000000-0005-0000-0000-0000F90D0000}"/>
    <cellStyle name="Calculation 2 8 2 4 5" xfId="14510" xr:uid="{00000000-0005-0000-0000-0000FA0D0000}"/>
    <cellStyle name="Calculation 2 8 2 5" xfId="1576" xr:uid="{00000000-0005-0000-0000-0000FB0D0000}"/>
    <cellStyle name="Calculation 2 8 2 5 2" xfId="3712" xr:uid="{00000000-0005-0000-0000-0000FC0D0000}"/>
    <cellStyle name="Calculation 2 8 2 5 2 2" xfId="10308" xr:uid="{00000000-0005-0000-0000-0000FD0D0000}"/>
    <cellStyle name="Calculation 2 8 2 5 2 3" xfId="16927" xr:uid="{00000000-0005-0000-0000-0000FE0D0000}"/>
    <cellStyle name="Calculation 2 8 2 5 3" xfId="5747" xr:uid="{00000000-0005-0000-0000-0000FF0D0000}"/>
    <cellStyle name="Calculation 2 8 2 5 3 2" xfId="12343" xr:uid="{00000000-0005-0000-0000-0000000E0000}"/>
    <cellStyle name="Calculation 2 8 2 5 3 3" xfId="18962" xr:uid="{00000000-0005-0000-0000-0000010E0000}"/>
    <cellStyle name="Calculation 2 8 2 5 4" xfId="8172" xr:uid="{00000000-0005-0000-0000-0000020E0000}"/>
    <cellStyle name="Calculation 2 8 2 5 5" xfId="14791" xr:uid="{00000000-0005-0000-0000-0000030E0000}"/>
    <cellStyle name="Calculation 2 8 2 6" xfId="1855" xr:uid="{00000000-0005-0000-0000-0000040E0000}"/>
    <cellStyle name="Calculation 2 8 2 6 2" xfId="3991" xr:uid="{00000000-0005-0000-0000-0000050E0000}"/>
    <cellStyle name="Calculation 2 8 2 6 2 2" xfId="10587" xr:uid="{00000000-0005-0000-0000-0000060E0000}"/>
    <cellStyle name="Calculation 2 8 2 6 2 3" xfId="17206" xr:uid="{00000000-0005-0000-0000-0000070E0000}"/>
    <cellStyle name="Calculation 2 8 2 6 3" xfId="6026" xr:uid="{00000000-0005-0000-0000-0000080E0000}"/>
    <cellStyle name="Calculation 2 8 2 6 3 2" xfId="12622" xr:uid="{00000000-0005-0000-0000-0000090E0000}"/>
    <cellStyle name="Calculation 2 8 2 6 3 3" xfId="19241" xr:uid="{00000000-0005-0000-0000-00000A0E0000}"/>
    <cellStyle name="Calculation 2 8 2 6 4" xfId="8451" xr:uid="{00000000-0005-0000-0000-00000B0E0000}"/>
    <cellStyle name="Calculation 2 8 2 6 5" xfId="15070" xr:uid="{00000000-0005-0000-0000-00000C0E0000}"/>
    <cellStyle name="Calculation 2 8 2 7" xfId="2130" xr:uid="{00000000-0005-0000-0000-00000D0E0000}"/>
    <cellStyle name="Calculation 2 8 2 7 2" xfId="4266" xr:uid="{00000000-0005-0000-0000-00000E0E0000}"/>
    <cellStyle name="Calculation 2 8 2 7 2 2" xfId="10862" xr:uid="{00000000-0005-0000-0000-00000F0E0000}"/>
    <cellStyle name="Calculation 2 8 2 7 2 3" xfId="17481" xr:uid="{00000000-0005-0000-0000-0000100E0000}"/>
    <cellStyle name="Calculation 2 8 2 7 3" xfId="6301" xr:uid="{00000000-0005-0000-0000-0000110E0000}"/>
    <cellStyle name="Calculation 2 8 2 7 3 2" xfId="12897" xr:uid="{00000000-0005-0000-0000-0000120E0000}"/>
    <cellStyle name="Calculation 2 8 2 7 3 3" xfId="19516" xr:uid="{00000000-0005-0000-0000-0000130E0000}"/>
    <cellStyle name="Calculation 2 8 2 7 4" xfId="8726" xr:uid="{00000000-0005-0000-0000-0000140E0000}"/>
    <cellStyle name="Calculation 2 8 2 7 5" xfId="15345" xr:uid="{00000000-0005-0000-0000-0000150E0000}"/>
    <cellStyle name="Calculation 2 8 2 8" xfId="2403" xr:uid="{00000000-0005-0000-0000-0000160E0000}"/>
    <cellStyle name="Calculation 2 8 2 8 2" xfId="4539" xr:uid="{00000000-0005-0000-0000-0000170E0000}"/>
    <cellStyle name="Calculation 2 8 2 8 2 2" xfId="11135" xr:uid="{00000000-0005-0000-0000-0000180E0000}"/>
    <cellStyle name="Calculation 2 8 2 8 2 3" xfId="17754" xr:uid="{00000000-0005-0000-0000-0000190E0000}"/>
    <cellStyle name="Calculation 2 8 2 8 3" xfId="6574" xr:uid="{00000000-0005-0000-0000-00001A0E0000}"/>
    <cellStyle name="Calculation 2 8 2 8 3 2" xfId="13170" xr:uid="{00000000-0005-0000-0000-00001B0E0000}"/>
    <cellStyle name="Calculation 2 8 2 8 3 3" xfId="19789" xr:uid="{00000000-0005-0000-0000-00001C0E0000}"/>
    <cellStyle name="Calculation 2 8 2 8 4" xfId="8999" xr:uid="{00000000-0005-0000-0000-00001D0E0000}"/>
    <cellStyle name="Calculation 2 8 2 8 5" xfId="15618" xr:uid="{00000000-0005-0000-0000-00001E0E0000}"/>
    <cellStyle name="Calculation 2 8 2 9" xfId="2704" xr:uid="{00000000-0005-0000-0000-00001F0E0000}"/>
    <cellStyle name="Calculation 2 8 2 9 2" xfId="9300" xr:uid="{00000000-0005-0000-0000-0000200E0000}"/>
    <cellStyle name="Calculation 2 8 2 9 3" xfId="15919" xr:uid="{00000000-0005-0000-0000-0000210E0000}"/>
    <cellStyle name="Calculation 2 8 2_Summary" xfId="20149" xr:uid="{00000000-0005-0000-0000-0000220E0000}"/>
    <cellStyle name="Calculation 2 8 3" xfId="232" xr:uid="{00000000-0005-0000-0000-0000230E0000}"/>
    <cellStyle name="Calculation 2 8 3 10" xfId="769" xr:uid="{00000000-0005-0000-0000-0000240E0000}"/>
    <cellStyle name="Calculation 2 8 3 10 2" xfId="13984" xr:uid="{00000000-0005-0000-0000-0000250E0000}"/>
    <cellStyle name="Calculation 2 8 3 11" xfId="7139" xr:uid="{00000000-0005-0000-0000-0000260E0000}"/>
    <cellStyle name="Calculation 2 8 3 12" xfId="7067" xr:uid="{00000000-0005-0000-0000-0000270E0000}"/>
    <cellStyle name="Calculation 2 8 3 13" xfId="28233" xr:uid="{B426ACC1-A2E3-43F5-ACC0-3484AC999330}"/>
    <cellStyle name="Calculation 2 8 3 14" xfId="30816" xr:uid="{133D2FB1-8B79-423C-998B-EB4B51E671E2}"/>
    <cellStyle name="Calculation 2 8 3 2" xfId="937" xr:uid="{00000000-0005-0000-0000-0000280E0000}"/>
    <cellStyle name="Calculation 2 8 3 2 2" xfId="3073" xr:uid="{00000000-0005-0000-0000-0000290E0000}"/>
    <cellStyle name="Calculation 2 8 3 2 2 2" xfId="9669" xr:uid="{00000000-0005-0000-0000-00002A0E0000}"/>
    <cellStyle name="Calculation 2 8 3 2 2 3" xfId="16288" xr:uid="{00000000-0005-0000-0000-00002B0E0000}"/>
    <cellStyle name="Calculation 2 8 3 2 3" xfId="5108" xr:uid="{00000000-0005-0000-0000-00002C0E0000}"/>
    <cellStyle name="Calculation 2 8 3 2 3 2" xfId="11704" xr:uid="{00000000-0005-0000-0000-00002D0E0000}"/>
    <cellStyle name="Calculation 2 8 3 2 3 3" xfId="18323" xr:uid="{00000000-0005-0000-0000-00002E0E0000}"/>
    <cellStyle name="Calculation 2 8 3 2 4" xfId="7534" xr:uid="{00000000-0005-0000-0000-00002F0E0000}"/>
    <cellStyle name="Calculation 2 8 3 2 5" xfId="14152" xr:uid="{00000000-0005-0000-0000-0000300E0000}"/>
    <cellStyle name="Calculation 2 8 3 2 6" xfId="30095" xr:uid="{B2D1D34A-EFAD-433B-9D57-DBDC0FB5B577}"/>
    <cellStyle name="Calculation 2 8 3 2 7" xfId="31527" xr:uid="{748840D9-2C0A-4470-AA4A-0521B49EC51C}"/>
    <cellStyle name="Calculation 2 8 3 3" xfId="1222" xr:uid="{00000000-0005-0000-0000-0000310E0000}"/>
    <cellStyle name="Calculation 2 8 3 3 2" xfId="3358" xr:uid="{00000000-0005-0000-0000-0000320E0000}"/>
    <cellStyle name="Calculation 2 8 3 3 2 2" xfId="9954" xr:uid="{00000000-0005-0000-0000-0000330E0000}"/>
    <cellStyle name="Calculation 2 8 3 3 2 3" xfId="16573" xr:uid="{00000000-0005-0000-0000-0000340E0000}"/>
    <cellStyle name="Calculation 2 8 3 3 3" xfId="5393" xr:uid="{00000000-0005-0000-0000-0000350E0000}"/>
    <cellStyle name="Calculation 2 8 3 3 3 2" xfId="11989" xr:uid="{00000000-0005-0000-0000-0000360E0000}"/>
    <cellStyle name="Calculation 2 8 3 3 3 3" xfId="18608" xr:uid="{00000000-0005-0000-0000-0000370E0000}"/>
    <cellStyle name="Calculation 2 8 3 3 4" xfId="7818" xr:uid="{00000000-0005-0000-0000-0000380E0000}"/>
    <cellStyle name="Calculation 2 8 3 3 5" xfId="14437" xr:uid="{00000000-0005-0000-0000-0000390E0000}"/>
    <cellStyle name="Calculation 2 8 3 4" xfId="1504" xr:uid="{00000000-0005-0000-0000-00003A0E0000}"/>
    <cellStyle name="Calculation 2 8 3 4 2" xfId="3640" xr:uid="{00000000-0005-0000-0000-00003B0E0000}"/>
    <cellStyle name="Calculation 2 8 3 4 2 2" xfId="10236" xr:uid="{00000000-0005-0000-0000-00003C0E0000}"/>
    <cellStyle name="Calculation 2 8 3 4 2 3" xfId="16855" xr:uid="{00000000-0005-0000-0000-00003D0E0000}"/>
    <cellStyle name="Calculation 2 8 3 4 3" xfId="5675" xr:uid="{00000000-0005-0000-0000-00003E0E0000}"/>
    <cellStyle name="Calculation 2 8 3 4 3 2" xfId="12271" xr:uid="{00000000-0005-0000-0000-00003F0E0000}"/>
    <cellStyle name="Calculation 2 8 3 4 3 3" xfId="18890" xr:uid="{00000000-0005-0000-0000-0000400E0000}"/>
    <cellStyle name="Calculation 2 8 3 4 4" xfId="8100" xr:uid="{00000000-0005-0000-0000-0000410E0000}"/>
    <cellStyle name="Calculation 2 8 3 4 5" xfId="14719" xr:uid="{00000000-0005-0000-0000-0000420E0000}"/>
    <cellStyle name="Calculation 2 8 3 5" xfId="1785" xr:uid="{00000000-0005-0000-0000-0000430E0000}"/>
    <cellStyle name="Calculation 2 8 3 5 2" xfId="3921" xr:uid="{00000000-0005-0000-0000-0000440E0000}"/>
    <cellStyle name="Calculation 2 8 3 5 2 2" xfId="10517" xr:uid="{00000000-0005-0000-0000-0000450E0000}"/>
    <cellStyle name="Calculation 2 8 3 5 2 3" xfId="17136" xr:uid="{00000000-0005-0000-0000-0000460E0000}"/>
    <cellStyle name="Calculation 2 8 3 5 3" xfId="5956" xr:uid="{00000000-0005-0000-0000-0000470E0000}"/>
    <cellStyle name="Calculation 2 8 3 5 3 2" xfId="12552" xr:uid="{00000000-0005-0000-0000-0000480E0000}"/>
    <cellStyle name="Calculation 2 8 3 5 3 3" xfId="19171" xr:uid="{00000000-0005-0000-0000-0000490E0000}"/>
    <cellStyle name="Calculation 2 8 3 5 4" xfId="8381" xr:uid="{00000000-0005-0000-0000-00004A0E0000}"/>
    <cellStyle name="Calculation 2 8 3 5 5" xfId="15000" xr:uid="{00000000-0005-0000-0000-00004B0E0000}"/>
    <cellStyle name="Calculation 2 8 3 6" xfId="2064" xr:uid="{00000000-0005-0000-0000-00004C0E0000}"/>
    <cellStyle name="Calculation 2 8 3 6 2" xfId="4200" xr:uid="{00000000-0005-0000-0000-00004D0E0000}"/>
    <cellStyle name="Calculation 2 8 3 6 2 2" xfId="10796" xr:uid="{00000000-0005-0000-0000-00004E0E0000}"/>
    <cellStyle name="Calculation 2 8 3 6 2 3" xfId="17415" xr:uid="{00000000-0005-0000-0000-00004F0E0000}"/>
    <cellStyle name="Calculation 2 8 3 6 3" xfId="6235" xr:uid="{00000000-0005-0000-0000-0000500E0000}"/>
    <cellStyle name="Calculation 2 8 3 6 3 2" xfId="12831" xr:uid="{00000000-0005-0000-0000-0000510E0000}"/>
    <cellStyle name="Calculation 2 8 3 6 3 3" xfId="19450" xr:uid="{00000000-0005-0000-0000-0000520E0000}"/>
    <cellStyle name="Calculation 2 8 3 6 4" xfId="8660" xr:uid="{00000000-0005-0000-0000-0000530E0000}"/>
    <cellStyle name="Calculation 2 8 3 6 5" xfId="15279" xr:uid="{00000000-0005-0000-0000-0000540E0000}"/>
    <cellStyle name="Calculation 2 8 3 7" xfId="2339" xr:uid="{00000000-0005-0000-0000-0000550E0000}"/>
    <cellStyle name="Calculation 2 8 3 7 2" xfId="4475" xr:uid="{00000000-0005-0000-0000-0000560E0000}"/>
    <cellStyle name="Calculation 2 8 3 7 2 2" xfId="11071" xr:uid="{00000000-0005-0000-0000-0000570E0000}"/>
    <cellStyle name="Calculation 2 8 3 7 2 3" xfId="17690" xr:uid="{00000000-0005-0000-0000-0000580E0000}"/>
    <cellStyle name="Calculation 2 8 3 7 3" xfId="6510" xr:uid="{00000000-0005-0000-0000-0000590E0000}"/>
    <cellStyle name="Calculation 2 8 3 7 3 2" xfId="13106" xr:uid="{00000000-0005-0000-0000-00005A0E0000}"/>
    <cellStyle name="Calculation 2 8 3 7 3 3" xfId="19725" xr:uid="{00000000-0005-0000-0000-00005B0E0000}"/>
    <cellStyle name="Calculation 2 8 3 7 4" xfId="8935" xr:uid="{00000000-0005-0000-0000-00005C0E0000}"/>
    <cellStyle name="Calculation 2 8 3 7 5" xfId="15554" xr:uid="{00000000-0005-0000-0000-00005D0E0000}"/>
    <cellStyle name="Calculation 2 8 3 8" xfId="2905" xr:uid="{00000000-0005-0000-0000-00005E0E0000}"/>
    <cellStyle name="Calculation 2 8 3 8 2" xfId="9501" xr:uid="{00000000-0005-0000-0000-00005F0E0000}"/>
    <cellStyle name="Calculation 2 8 3 8 3" xfId="16120" xr:uid="{00000000-0005-0000-0000-0000600E0000}"/>
    <cellStyle name="Calculation 2 8 3 9" xfId="4940" xr:uid="{00000000-0005-0000-0000-0000610E0000}"/>
    <cellStyle name="Calculation 2 8 3 9 2" xfId="11536" xr:uid="{00000000-0005-0000-0000-0000620E0000}"/>
    <cellStyle name="Calculation 2 8 3 9 3" xfId="18155" xr:uid="{00000000-0005-0000-0000-0000630E0000}"/>
    <cellStyle name="Calculation 2 8 3_Summary" xfId="20151" xr:uid="{00000000-0005-0000-0000-0000640E0000}"/>
    <cellStyle name="Calculation 2 8 4" xfId="386" xr:uid="{00000000-0005-0000-0000-0000650E0000}"/>
    <cellStyle name="Calculation 2 8 4 10" xfId="723" xr:uid="{00000000-0005-0000-0000-0000660E0000}"/>
    <cellStyle name="Calculation 2 8 4 10 2" xfId="13938" xr:uid="{00000000-0005-0000-0000-0000670E0000}"/>
    <cellStyle name="Calculation 2 8 4 11" xfId="7279" xr:uid="{00000000-0005-0000-0000-0000680E0000}"/>
    <cellStyle name="Calculation 2 8 4 12" xfId="13601" xr:uid="{00000000-0005-0000-0000-0000690E0000}"/>
    <cellStyle name="Calculation 2 8 4 13" xfId="30093" xr:uid="{9308FE01-2D12-4045-B887-099C0EB4A8DC}"/>
    <cellStyle name="Calculation 2 8 4 14" xfId="31525" xr:uid="{16D99D8B-CE12-48F3-BE1A-D046AAE1260C}"/>
    <cellStyle name="Calculation 2 8 4 2" xfId="1080" xr:uid="{00000000-0005-0000-0000-00006A0E0000}"/>
    <cellStyle name="Calculation 2 8 4 2 2" xfId="3216" xr:uid="{00000000-0005-0000-0000-00006B0E0000}"/>
    <cellStyle name="Calculation 2 8 4 2 2 2" xfId="9812" xr:uid="{00000000-0005-0000-0000-00006C0E0000}"/>
    <cellStyle name="Calculation 2 8 4 2 2 3" xfId="16431" xr:uid="{00000000-0005-0000-0000-00006D0E0000}"/>
    <cellStyle name="Calculation 2 8 4 2 3" xfId="5251" xr:uid="{00000000-0005-0000-0000-00006E0E0000}"/>
    <cellStyle name="Calculation 2 8 4 2 3 2" xfId="11847" xr:uid="{00000000-0005-0000-0000-00006F0E0000}"/>
    <cellStyle name="Calculation 2 8 4 2 3 3" xfId="18466" xr:uid="{00000000-0005-0000-0000-0000700E0000}"/>
    <cellStyle name="Calculation 2 8 4 2 4" xfId="7677" xr:uid="{00000000-0005-0000-0000-0000710E0000}"/>
    <cellStyle name="Calculation 2 8 4 2 5" xfId="14295" xr:uid="{00000000-0005-0000-0000-0000720E0000}"/>
    <cellStyle name="Calculation 2 8 4 3" xfId="1362" xr:uid="{00000000-0005-0000-0000-0000730E0000}"/>
    <cellStyle name="Calculation 2 8 4 3 2" xfId="3498" xr:uid="{00000000-0005-0000-0000-0000740E0000}"/>
    <cellStyle name="Calculation 2 8 4 3 2 2" xfId="10094" xr:uid="{00000000-0005-0000-0000-0000750E0000}"/>
    <cellStyle name="Calculation 2 8 4 3 2 3" xfId="16713" xr:uid="{00000000-0005-0000-0000-0000760E0000}"/>
    <cellStyle name="Calculation 2 8 4 3 3" xfId="5533" xr:uid="{00000000-0005-0000-0000-0000770E0000}"/>
    <cellStyle name="Calculation 2 8 4 3 3 2" xfId="12129" xr:uid="{00000000-0005-0000-0000-0000780E0000}"/>
    <cellStyle name="Calculation 2 8 4 3 3 3" xfId="18748" xr:uid="{00000000-0005-0000-0000-0000790E0000}"/>
    <cellStyle name="Calculation 2 8 4 3 4" xfId="7958" xr:uid="{00000000-0005-0000-0000-00007A0E0000}"/>
    <cellStyle name="Calculation 2 8 4 3 5" xfId="14577" xr:uid="{00000000-0005-0000-0000-00007B0E0000}"/>
    <cellStyle name="Calculation 2 8 4 4" xfId="1643" xr:uid="{00000000-0005-0000-0000-00007C0E0000}"/>
    <cellStyle name="Calculation 2 8 4 4 2" xfId="3779" xr:uid="{00000000-0005-0000-0000-00007D0E0000}"/>
    <cellStyle name="Calculation 2 8 4 4 2 2" xfId="10375" xr:uid="{00000000-0005-0000-0000-00007E0E0000}"/>
    <cellStyle name="Calculation 2 8 4 4 2 3" xfId="16994" xr:uid="{00000000-0005-0000-0000-00007F0E0000}"/>
    <cellStyle name="Calculation 2 8 4 4 3" xfId="5814" xr:uid="{00000000-0005-0000-0000-0000800E0000}"/>
    <cellStyle name="Calculation 2 8 4 4 3 2" xfId="12410" xr:uid="{00000000-0005-0000-0000-0000810E0000}"/>
    <cellStyle name="Calculation 2 8 4 4 3 3" xfId="19029" xr:uid="{00000000-0005-0000-0000-0000820E0000}"/>
    <cellStyle name="Calculation 2 8 4 4 4" xfId="8239" xr:uid="{00000000-0005-0000-0000-0000830E0000}"/>
    <cellStyle name="Calculation 2 8 4 4 5" xfId="14858" xr:uid="{00000000-0005-0000-0000-0000840E0000}"/>
    <cellStyle name="Calculation 2 8 4 5" xfId="1922" xr:uid="{00000000-0005-0000-0000-0000850E0000}"/>
    <cellStyle name="Calculation 2 8 4 5 2" xfId="4058" xr:uid="{00000000-0005-0000-0000-0000860E0000}"/>
    <cellStyle name="Calculation 2 8 4 5 2 2" xfId="10654" xr:uid="{00000000-0005-0000-0000-0000870E0000}"/>
    <cellStyle name="Calculation 2 8 4 5 2 3" xfId="17273" xr:uid="{00000000-0005-0000-0000-0000880E0000}"/>
    <cellStyle name="Calculation 2 8 4 5 3" xfId="6093" xr:uid="{00000000-0005-0000-0000-0000890E0000}"/>
    <cellStyle name="Calculation 2 8 4 5 3 2" xfId="12689" xr:uid="{00000000-0005-0000-0000-00008A0E0000}"/>
    <cellStyle name="Calculation 2 8 4 5 3 3" xfId="19308" xr:uid="{00000000-0005-0000-0000-00008B0E0000}"/>
    <cellStyle name="Calculation 2 8 4 5 4" xfId="8518" xr:uid="{00000000-0005-0000-0000-00008C0E0000}"/>
    <cellStyle name="Calculation 2 8 4 5 5" xfId="15137" xr:uid="{00000000-0005-0000-0000-00008D0E0000}"/>
    <cellStyle name="Calculation 2 8 4 6" xfId="2197" xr:uid="{00000000-0005-0000-0000-00008E0E0000}"/>
    <cellStyle name="Calculation 2 8 4 6 2" xfId="4333" xr:uid="{00000000-0005-0000-0000-00008F0E0000}"/>
    <cellStyle name="Calculation 2 8 4 6 2 2" xfId="10929" xr:uid="{00000000-0005-0000-0000-0000900E0000}"/>
    <cellStyle name="Calculation 2 8 4 6 2 3" xfId="17548" xr:uid="{00000000-0005-0000-0000-0000910E0000}"/>
    <cellStyle name="Calculation 2 8 4 6 3" xfId="6368" xr:uid="{00000000-0005-0000-0000-0000920E0000}"/>
    <cellStyle name="Calculation 2 8 4 6 3 2" xfId="12964" xr:uid="{00000000-0005-0000-0000-0000930E0000}"/>
    <cellStyle name="Calculation 2 8 4 6 3 3" xfId="19583" xr:uid="{00000000-0005-0000-0000-0000940E0000}"/>
    <cellStyle name="Calculation 2 8 4 6 4" xfId="8793" xr:uid="{00000000-0005-0000-0000-0000950E0000}"/>
    <cellStyle name="Calculation 2 8 4 6 5" xfId="15412" xr:uid="{00000000-0005-0000-0000-0000960E0000}"/>
    <cellStyle name="Calculation 2 8 4 7" xfId="2470" xr:uid="{00000000-0005-0000-0000-0000970E0000}"/>
    <cellStyle name="Calculation 2 8 4 7 2" xfId="4606" xr:uid="{00000000-0005-0000-0000-0000980E0000}"/>
    <cellStyle name="Calculation 2 8 4 7 2 2" xfId="11202" xr:uid="{00000000-0005-0000-0000-0000990E0000}"/>
    <cellStyle name="Calculation 2 8 4 7 2 3" xfId="17821" xr:uid="{00000000-0005-0000-0000-00009A0E0000}"/>
    <cellStyle name="Calculation 2 8 4 7 3" xfId="6641" xr:uid="{00000000-0005-0000-0000-00009B0E0000}"/>
    <cellStyle name="Calculation 2 8 4 7 3 2" xfId="13237" xr:uid="{00000000-0005-0000-0000-00009C0E0000}"/>
    <cellStyle name="Calculation 2 8 4 7 3 3" xfId="19856" xr:uid="{00000000-0005-0000-0000-00009D0E0000}"/>
    <cellStyle name="Calculation 2 8 4 7 4" xfId="9066" xr:uid="{00000000-0005-0000-0000-00009E0E0000}"/>
    <cellStyle name="Calculation 2 8 4 7 5" xfId="15685" xr:uid="{00000000-0005-0000-0000-00009F0E0000}"/>
    <cellStyle name="Calculation 2 8 4 8" xfId="2859" xr:uid="{00000000-0005-0000-0000-0000A00E0000}"/>
    <cellStyle name="Calculation 2 8 4 8 2" xfId="9455" xr:uid="{00000000-0005-0000-0000-0000A10E0000}"/>
    <cellStyle name="Calculation 2 8 4 8 3" xfId="16074" xr:uid="{00000000-0005-0000-0000-0000A20E0000}"/>
    <cellStyle name="Calculation 2 8 4 9" xfId="4894" xr:uid="{00000000-0005-0000-0000-0000A30E0000}"/>
    <cellStyle name="Calculation 2 8 4 9 2" xfId="11490" xr:uid="{00000000-0005-0000-0000-0000A40E0000}"/>
    <cellStyle name="Calculation 2 8 4 9 3" xfId="18109" xr:uid="{00000000-0005-0000-0000-0000A50E0000}"/>
    <cellStyle name="Calculation 2 8 4_Summary" xfId="20152" xr:uid="{00000000-0005-0000-0000-0000A60E0000}"/>
    <cellStyle name="Calculation 2 8 5" xfId="893" xr:uid="{00000000-0005-0000-0000-0000A70E0000}"/>
    <cellStyle name="Calculation 2 8 5 2" xfId="3029" xr:uid="{00000000-0005-0000-0000-0000A80E0000}"/>
    <cellStyle name="Calculation 2 8 5 2 2" xfId="9625" xr:uid="{00000000-0005-0000-0000-0000A90E0000}"/>
    <cellStyle name="Calculation 2 8 5 2 3" xfId="16244" xr:uid="{00000000-0005-0000-0000-0000AA0E0000}"/>
    <cellStyle name="Calculation 2 8 5 3" xfId="5064" xr:uid="{00000000-0005-0000-0000-0000AB0E0000}"/>
    <cellStyle name="Calculation 2 8 5 3 2" xfId="11660" xr:uid="{00000000-0005-0000-0000-0000AC0E0000}"/>
    <cellStyle name="Calculation 2 8 5 3 3" xfId="18279" xr:uid="{00000000-0005-0000-0000-0000AD0E0000}"/>
    <cellStyle name="Calculation 2 8 5 4" xfId="7490" xr:uid="{00000000-0005-0000-0000-0000AE0E0000}"/>
    <cellStyle name="Calculation 2 8 5 5" xfId="14108" xr:uid="{00000000-0005-0000-0000-0000AF0E0000}"/>
    <cellStyle name="Calculation 2 8 6" xfId="1178" xr:uid="{00000000-0005-0000-0000-0000B00E0000}"/>
    <cellStyle name="Calculation 2 8 6 2" xfId="3314" xr:uid="{00000000-0005-0000-0000-0000B10E0000}"/>
    <cellStyle name="Calculation 2 8 6 2 2" xfId="9910" xr:uid="{00000000-0005-0000-0000-0000B20E0000}"/>
    <cellStyle name="Calculation 2 8 6 2 3" xfId="16529" xr:uid="{00000000-0005-0000-0000-0000B30E0000}"/>
    <cellStyle name="Calculation 2 8 6 3" xfId="5349" xr:uid="{00000000-0005-0000-0000-0000B40E0000}"/>
    <cellStyle name="Calculation 2 8 6 3 2" xfId="11945" xr:uid="{00000000-0005-0000-0000-0000B50E0000}"/>
    <cellStyle name="Calculation 2 8 6 3 3" xfId="18564" xr:uid="{00000000-0005-0000-0000-0000B60E0000}"/>
    <cellStyle name="Calculation 2 8 6 4" xfId="7774" xr:uid="{00000000-0005-0000-0000-0000B70E0000}"/>
    <cellStyle name="Calculation 2 8 6 5" xfId="14393" xr:uid="{00000000-0005-0000-0000-0000B80E0000}"/>
    <cellStyle name="Calculation 2 8 7" xfId="1460" xr:uid="{00000000-0005-0000-0000-0000B90E0000}"/>
    <cellStyle name="Calculation 2 8 7 2" xfId="3596" xr:uid="{00000000-0005-0000-0000-0000BA0E0000}"/>
    <cellStyle name="Calculation 2 8 7 2 2" xfId="10192" xr:uid="{00000000-0005-0000-0000-0000BB0E0000}"/>
    <cellStyle name="Calculation 2 8 7 2 3" xfId="16811" xr:uid="{00000000-0005-0000-0000-0000BC0E0000}"/>
    <cellStyle name="Calculation 2 8 7 3" xfId="5631" xr:uid="{00000000-0005-0000-0000-0000BD0E0000}"/>
    <cellStyle name="Calculation 2 8 7 3 2" xfId="12227" xr:uid="{00000000-0005-0000-0000-0000BE0E0000}"/>
    <cellStyle name="Calculation 2 8 7 3 3" xfId="18846" xr:uid="{00000000-0005-0000-0000-0000BF0E0000}"/>
    <cellStyle name="Calculation 2 8 7 4" xfId="8056" xr:uid="{00000000-0005-0000-0000-0000C00E0000}"/>
    <cellStyle name="Calculation 2 8 7 5" xfId="14675" xr:uid="{00000000-0005-0000-0000-0000C10E0000}"/>
    <cellStyle name="Calculation 2 8 8" xfId="1741" xr:uid="{00000000-0005-0000-0000-0000C20E0000}"/>
    <cellStyle name="Calculation 2 8 8 2" xfId="3877" xr:uid="{00000000-0005-0000-0000-0000C30E0000}"/>
    <cellStyle name="Calculation 2 8 8 2 2" xfId="10473" xr:uid="{00000000-0005-0000-0000-0000C40E0000}"/>
    <cellStyle name="Calculation 2 8 8 2 3" xfId="17092" xr:uid="{00000000-0005-0000-0000-0000C50E0000}"/>
    <cellStyle name="Calculation 2 8 8 3" xfId="5912" xr:uid="{00000000-0005-0000-0000-0000C60E0000}"/>
    <cellStyle name="Calculation 2 8 8 3 2" xfId="12508" xr:uid="{00000000-0005-0000-0000-0000C70E0000}"/>
    <cellStyle name="Calculation 2 8 8 3 3" xfId="19127" xr:uid="{00000000-0005-0000-0000-0000C80E0000}"/>
    <cellStyle name="Calculation 2 8 8 4" xfId="8337" xr:uid="{00000000-0005-0000-0000-0000C90E0000}"/>
    <cellStyle name="Calculation 2 8 8 5" xfId="14956" xr:uid="{00000000-0005-0000-0000-0000CA0E0000}"/>
    <cellStyle name="Calculation 2 8 9" xfId="2020" xr:uid="{00000000-0005-0000-0000-0000CB0E0000}"/>
    <cellStyle name="Calculation 2 8 9 2" xfId="4156" xr:uid="{00000000-0005-0000-0000-0000CC0E0000}"/>
    <cellStyle name="Calculation 2 8 9 2 2" xfId="10752" xr:uid="{00000000-0005-0000-0000-0000CD0E0000}"/>
    <cellStyle name="Calculation 2 8 9 2 3" xfId="17371" xr:uid="{00000000-0005-0000-0000-0000CE0E0000}"/>
    <cellStyle name="Calculation 2 8 9 3" xfId="6191" xr:uid="{00000000-0005-0000-0000-0000CF0E0000}"/>
    <cellStyle name="Calculation 2 8 9 3 2" xfId="12787" xr:uid="{00000000-0005-0000-0000-0000D00E0000}"/>
    <cellStyle name="Calculation 2 8 9 3 3" xfId="19406" xr:uid="{00000000-0005-0000-0000-0000D10E0000}"/>
    <cellStyle name="Calculation 2 8 9 4" xfId="8616" xr:uid="{00000000-0005-0000-0000-0000D20E0000}"/>
    <cellStyle name="Calculation 2 8 9 5" xfId="15235" xr:uid="{00000000-0005-0000-0000-0000D30E0000}"/>
    <cellStyle name="Calculation 2 8_Summary" xfId="20148" xr:uid="{00000000-0005-0000-0000-0000D40E0000}"/>
    <cellStyle name="Calculation 2 9" xfId="189" xr:uid="{00000000-0005-0000-0000-0000D50E0000}"/>
    <cellStyle name="Calculation 2 9 10" xfId="2298" xr:uid="{00000000-0005-0000-0000-0000D60E0000}"/>
    <cellStyle name="Calculation 2 9 10 2" xfId="4434" xr:uid="{00000000-0005-0000-0000-0000D70E0000}"/>
    <cellStyle name="Calculation 2 9 10 2 2" xfId="11030" xr:uid="{00000000-0005-0000-0000-0000D80E0000}"/>
    <cellStyle name="Calculation 2 9 10 2 3" xfId="17649" xr:uid="{00000000-0005-0000-0000-0000D90E0000}"/>
    <cellStyle name="Calculation 2 9 10 3" xfId="6469" xr:uid="{00000000-0005-0000-0000-0000DA0E0000}"/>
    <cellStyle name="Calculation 2 9 10 3 2" xfId="13065" xr:uid="{00000000-0005-0000-0000-0000DB0E0000}"/>
    <cellStyle name="Calculation 2 9 10 3 3" xfId="19684" xr:uid="{00000000-0005-0000-0000-0000DC0E0000}"/>
    <cellStyle name="Calculation 2 9 10 4" xfId="8894" xr:uid="{00000000-0005-0000-0000-0000DD0E0000}"/>
    <cellStyle name="Calculation 2 9 10 5" xfId="15513" xr:uid="{00000000-0005-0000-0000-0000DE0E0000}"/>
    <cellStyle name="Calculation 2 9 11" xfId="2617" xr:uid="{00000000-0005-0000-0000-0000DF0E0000}"/>
    <cellStyle name="Calculation 2 9 11 2" xfId="9213" xr:uid="{00000000-0005-0000-0000-0000E00E0000}"/>
    <cellStyle name="Calculation 2 9 11 3" xfId="15832" xr:uid="{00000000-0005-0000-0000-0000E10E0000}"/>
    <cellStyle name="Calculation 2 9 12" xfId="2651" xr:uid="{00000000-0005-0000-0000-0000E20E0000}"/>
    <cellStyle name="Calculation 2 9 12 2" xfId="9247" xr:uid="{00000000-0005-0000-0000-0000E30E0000}"/>
    <cellStyle name="Calculation 2 9 12 3" xfId="15866" xr:uid="{00000000-0005-0000-0000-0000E40E0000}"/>
    <cellStyle name="Calculation 2 9 13" xfId="506" xr:uid="{00000000-0005-0000-0000-0000E50E0000}"/>
    <cellStyle name="Calculation 2 9 13 2" xfId="13721" xr:uid="{00000000-0005-0000-0000-0000E60E0000}"/>
    <cellStyle name="Calculation 2 9 14" xfId="7097" xr:uid="{00000000-0005-0000-0000-0000E70E0000}"/>
    <cellStyle name="Calculation 2 9 15" xfId="7026" xr:uid="{00000000-0005-0000-0000-0000E80E0000}"/>
    <cellStyle name="Calculation 2 9 16" xfId="28234" xr:uid="{BC93B6C1-A6DC-4711-879C-F4772ECE82D0}"/>
    <cellStyle name="Calculation 2 9 17" xfId="30817" xr:uid="{7627F799-80B2-44FA-B3F4-D5A8914BE600}"/>
    <cellStyle name="Calculation 2 9 2" xfId="321" xr:uid="{00000000-0005-0000-0000-0000E90E0000}"/>
    <cellStyle name="Calculation 2 9 2 10" xfId="4742" xr:uid="{00000000-0005-0000-0000-0000EA0E0000}"/>
    <cellStyle name="Calculation 2 9 2 10 2" xfId="11338" xr:uid="{00000000-0005-0000-0000-0000EB0E0000}"/>
    <cellStyle name="Calculation 2 9 2 10 3" xfId="17957" xr:uid="{00000000-0005-0000-0000-0000EC0E0000}"/>
    <cellStyle name="Calculation 2 9 2 11" xfId="571" xr:uid="{00000000-0005-0000-0000-0000ED0E0000}"/>
    <cellStyle name="Calculation 2 9 2 11 2" xfId="13786" xr:uid="{00000000-0005-0000-0000-0000EE0E0000}"/>
    <cellStyle name="Calculation 2 9 2 12" xfId="7215" xr:uid="{00000000-0005-0000-0000-0000EF0E0000}"/>
    <cellStyle name="Calculation 2 9 2 13" xfId="13537" xr:uid="{00000000-0005-0000-0000-0000F00E0000}"/>
    <cellStyle name="Calculation 2 9 2 14" xfId="28235" xr:uid="{A4D449A9-3655-48EC-91E6-481A14C08E55}"/>
    <cellStyle name="Calculation 2 9 2 15" xfId="30818" xr:uid="{A9FE7A94-C15E-4991-B003-4935317AEDC3}"/>
    <cellStyle name="Calculation 2 9 2 2" xfId="450" xr:uid="{00000000-0005-0000-0000-0000F10E0000}"/>
    <cellStyle name="Calculation 2 9 2 2 10" xfId="844" xr:uid="{00000000-0005-0000-0000-0000F20E0000}"/>
    <cellStyle name="Calculation 2 9 2 2 10 2" xfId="14059" xr:uid="{00000000-0005-0000-0000-0000F30E0000}"/>
    <cellStyle name="Calculation 2 9 2 2 11" xfId="7343" xr:uid="{00000000-0005-0000-0000-0000F40E0000}"/>
    <cellStyle name="Calculation 2 9 2 2 12" xfId="13665" xr:uid="{00000000-0005-0000-0000-0000F50E0000}"/>
    <cellStyle name="Calculation 2 9 2 2 13" xfId="30097" xr:uid="{4A4BE8F9-BDB5-4559-864F-CEE7A519B53B}"/>
    <cellStyle name="Calculation 2 9 2 2 14" xfId="31529" xr:uid="{C286BB44-4AE4-4604-A475-9FAF6CC49F90}"/>
    <cellStyle name="Calculation 2 9 2 2 2" xfId="1144" xr:uid="{00000000-0005-0000-0000-0000F60E0000}"/>
    <cellStyle name="Calculation 2 9 2 2 2 2" xfId="3280" xr:uid="{00000000-0005-0000-0000-0000F70E0000}"/>
    <cellStyle name="Calculation 2 9 2 2 2 2 2" xfId="9876" xr:uid="{00000000-0005-0000-0000-0000F80E0000}"/>
    <cellStyle name="Calculation 2 9 2 2 2 2 3" xfId="16495" xr:uid="{00000000-0005-0000-0000-0000F90E0000}"/>
    <cellStyle name="Calculation 2 9 2 2 2 3" xfId="5315" xr:uid="{00000000-0005-0000-0000-0000FA0E0000}"/>
    <cellStyle name="Calculation 2 9 2 2 2 3 2" xfId="11911" xr:uid="{00000000-0005-0000-0000-0000FB0E0000}"/>
    <cellStyle name="Calculation 2 9 2 2 2 3 3" xfId="18530" xr:uid="{00000000-0005-0000-0000-0000FC0E0000}"/>
    <cellStyle name="Calculation 2 9 2 2 2 4" xfId="7740" xr:uid="{00000000-0005-0000-0000-0000FD0E0000}"/>
    <cellStyle name="Calculation 2 9 2 2 2 5" xfId="14359" xr:uid="{00000000-0005-0000-0000-0000FE0E0000}"/>
    <cellStyle name="Calculation 2 9 2 2 3" xfId="1426" xr:uid="{00000000-0005-0000-0000-0000FF0E0000}"/>
    <cellStyle name="Calculation 2 9 2 2 3 2" xfId="3562" xr:uid="{00000000-0005-0000-0000-0000000F0000}"/>
    <cellStyle name="Calculation 2 9 2 2 3 2 2" xfId="10158" xr:uid="{00000000-0005-0000-0000-0000010F0000}"/>
    <cellStyle name="Calculation 2 9 2 2 3 2 3" xfId="16777" xr:uid="{00000000-0005-0000-0000-0000020F0000}"/>
    <cellStyle name="Calculation 2 9 2 2 3 3" xfId="5597" xr:uid="{00000000-0005-0000-0000-0000030F0000}"/>
    <cellStyle name="Calculation 2 9 2 2 3 3 2" xfId="12193" xr:uid="{00000000-0005-0000-0000-0000040F0000}"/>
    <cellStyle name="Calculation 2 9 2 2 3 3 3" xfId="18812" xr:uid="{00000000-0005-0000-0000-0000050F0000}"/>
    <cellStyle name="Calculation 2 9 2 2 3 4" xfId="8022" xr:uid="{00000000-0005-0000-0000-0000060F0000}"/>
    <cellStyle name="Calculation 2 9 2 2 3 5" xfId="14641" xr:uid="{00000000-0005-0000-0000-0000070F0000}"/>
    <cellStyle name="Calculation 2 9 2 2 4" xfId="1707" xr:uid="{00000000-0005-0000-0000-0000080F0000}"/>
    <cellStyle name="Calculation 2 9 2 2 4 2" xfId="3843" xr:uid="{00000000-0005-0000-0000-0000090F0000}"/>
    <cellStyle name="Calculation 2 9 2 2 4 2 2" xfId="10439" xr:uid="{00000000-0005-0000-0000-00000A0F0000}"/>
    <cellStyle name="Calculation 2 9 2 2 4 2 3" xfId="17058" xr:uid="{00000000-0005-0000-0000-00000B0F0000}"/>
    <cellStyle name="Calculation 2 9 2 2 4 3" xfId="5878" xr:uid="{00000000-0005-0000-0000-00000C0F0000}"/>
    <cellStyle name="Calculation 2 9 2 2 4 3 2" xfId="12474" xr:uid="{00000000-0005-0000-0000-00000D0F0000}"/>
    <cellStyle name="Calculation 2 9 2 2 4 3 3" xfId="19093" xr:uid="{00000000-0005-0000-0000-00000E0F0000}"/>
    <cellStyle name="Calculation 2 9 2 2 4 4" xfId="8303" xr:uid="{00000000-0005-0000-0000-00000F0F0000}"/>
    <cellStyle name="Calculation 2 9 2 2 4 5" xfId="14922" xr:uid="{00000000-0005-0000-0000-0000100F0000}"/>
    <cellStyle name="Calculation 2 9 2 2 5" xfId="1986" xr:uid="{00000000-0005-0000-0000-0000110F0000}"/>
    <cellStyle name="Calculation 2 9 2 2 5 2" xfId="4122" xr:uid="{00000000-0005-0000-0000-0000120F0000}"/>
    <cellStyle name="Calculation 2 9 2 2 5 2 2" xfId="10718" xr:uid="{00000000-0005-0000-0000-0000130F0000}"/>
    <cellStyle name="Calculation 2 9 2 2 5 2 3" xfId="17337" xr:uid="{00000000-0005-0000-0000-0000140F0000}"/>
    <cellStyle name="Calculation 2 9 2 2 5 3" xfId="6157" xr:uid="{00000000-0005-0000-0000-0000150F0000}"/>
    <cellStyle name="Calculation 2 9 2 2 5 3 2" xfId="12753" xr:uid="{00000000-0005-0000-0000-0000160F0000}"/>
    <cellStyle name="Calculation 2 9 2 2 5 3 3" xfId="19372" xr:uid="{00000000-0005-0000-0000-0000170F0000}"/>
    <cellStyle name="Calculation 2 9 2 2 5 4" xfId="8582" xr:uid="{00000000-0005-0000-0000-0000180F0000}"/>
    <cellStyle name="Calculation 2 9 2 2 5 5" xfId="15201" xr:uid="{00000000-0005-0000-0000-0000190F0000}"/>
    <cellStyle name="Calculation 2 9 2 2 6" xfId="2261" xr:uid="{00000000-0005-0000-0000-00001A0F0000}"/>
    <cellStyle name="Calculation 2 9 2 2 6 2" xfId="4397" xr:uid="{00000000-0005-0000-0000-00001B0F0000}"/>
    <cellStyle name="Calculation 2 9 2 2 6 2 2" xfId="10993" xr:uid="{00000000-0005-0000-0000-00001C0F0000}"/>
    <cellStyle name="Calculation 2 9 2 2 6 2 3" xfId="17612" xr:uid="{00000000-0005-0000-0000-00001D0F0000}"/>
    <cellStyle name="Calculation 2 9 2 2 6 3" xfId="6432" xr:uid="{00000000-0005-0000-0000-00001E0F0000}"/>
    <cellStyle name="Calculation 2 9 2 2 6 3 2" xfId="13028" xr:uid="{00000000-0005-0000-0000-00001F0F0000}"/>
    <cellStyle name="Calculation 2 9 2 2 6 3 3" xfId="19647" xr:uid="{00000000-0005-0000-0000-0000200F0000}"/>
    <cellStyle name="Calculation 2 9 2 2 6 4" xfId="8857" xr:uid="{00000000-0005-0000-0000-0000210F0000}"/>
    <cellStyle name="Calculation 2 9 2 2 6 5" xfId="15476" xr:uid="{00000000-0005-0000-0000-0000220F0000}"/>
    <cellStyle name="Calculation 2 9 2 2 7" xfId="2534" xr:uid="{00000000-0005-0000-0000-0000230F0000}"/>
    <cellStyle name="Calculation 2 9 2 2 7 2" xfId="4670" xr:uid="{00000000-0005-0000-0000-0000240F0000}"/>
    <cellStyle name="Calculation 2 9 2 2 7 2 2" xfId="11266" xr:uid="{00000000-0005-0000-0000-0000250F0000}"/>
    <cellStyle name="Calculation 2 9 2 2 7 2 3" xfId="17885" xr:uid="{00000000-0005-0000-0000-0000260F0000}"/>
    <cellStyle name="Calculation 2 9 2 2 7 3" xfId="6705" xr:uid="{00000000-0005-0000-0000-0000270F0000}"/>
    <cellStyle name="Calculation 2 9 2 2 7 3 2" xfId="13301" xr:uid="{00000000-0005-0000-0000-0000280F0000}"/>
    <cellStyle name="Calculation 2 9 2 2 7 3 3" xfId="19920" xr:uid="{00000000-0005-0000-0000-0000290F0000}"/>
    <cellStyle name="Calculation 2 9 2 2 7 4" xfId="9130" xr:uid="{00000000-0005-0000-0000-00002A0F0000}"/>
    <cellStyle name="Calculation 2 9 2 2 7 5" xfId="15749" xr:uid="{00000000-0005-0000-0000-00002B0F0000}"/>
    <cellStyle name="Calculation 2 9 2 2 8" xfId="2980" xr:uid="{00000000-0005-0000-0000-00002C0F0000}"/>
    <cellStyle name="Calculation 2 9 2 2 8 2" xfId="9576" xr:uid="{00000000-0005-0000-0000-00002D0F0000}"/>
    <cellStyle name="Calculation 2 9 2 2 8 3" xfId="16195" xr:uid="{00000000-0005-0000-0000-00002E0F0000}"/>
    <cellStyle name="Calculation 2 9 2 2 9" xfId="5015" xr:uid="{00000000-0005-0000-0000-00002F0F0000}"/>
    <cellStyle name="Calculation 2 9 2 2 9 2" xfId="11611" xr:uid="{00000000-0005-0000-0000-0000300F0000}"/>
    <cellStyle name="Calculation 2 9 2 2 9 3" xfId="18230" xr:uid="{00000000-0005-0000-0000-0000310F0000}"/>
    <cellStyle name="Calculation 2 9 2 2_Summary" xfId="20155" xr:uid="{00000000-0005-0000-0000-0000320F0000}"/>
    <cellStyle name="Calculation 2 9 2 3" xfId="1016" xr:uid="{00000000-0005-0000-0000-0000330F0000}"/>
    <cellStyle name="Calculation 2 9 2 3 2" xfId="3152" xr:uid="{00000000-0005-0000-0000-0000340F0000}"/>
    <cellStyle name="Calculation 2 9 2 3 2 2" xfId="9748" xr:uid="{00000000-0005-0000-0000-0000350F0000}"/>
    <cellStyle name="Calculation 2 9 2 3 2 3" xfId="16367" xr:uid="{00000000-0005-0000-0000-0000360F0000}"/>
    <cellStyle name="Calculation 2 9 2 3 3" xfId="5187" xr:uid="{00000000-0005-0000-0000-0000370F0000}"/>
    <cellStyle name="Calculation 2 9 2 3 3 2" xfId="11783" xr:uid="{00000000-0005-0000-0000-0000380F0000}"/>
    <cellStyle name="Calculation 2 9 2 3 3 3" xfId="18402" xr:uid="{00000000-0005-0000-0000-0000390F0000}"/>
    <cellStyle name="Calculation 2 9 2 3 4" xfId="7613" xr:uid="{00000000-0005-0000-0000-00003A0F0000}"/>
    <cellStyle name="Calculation 2 9 2 3 5" xfId="14231" xr:uid="{00000000-0005-0000-0000-00003B0F0000}"/>
    <cellStyle name="Calculation 2 9 2 4" xfId="1298" xr:uid="{00000000-0005-0000-0000-00003C0F0000}"/>
    <cellStyle name="Calculation 2 9 2 4 2" xfId="3434" xr:uid="{00000000-0005-0000-0000-00003D0F0000}"/>
    <cellStyle name="Calculation 2 9 2 4 2 2" xfId="10030" xr:uid="{00000000-0005-0000-0000-00003E0F0000}"/>
    <cellStyle name="Calculation 2 9 2 4 2 3" xfId="16649" xr:uid="{00000000-0005-0000-0000-00003F0F0000}"/>
    <cellStyle name="Calculation 2 9 2 4 3" xfId="5469" xr:uid="{00000000-0005-0000-0000-0000400F0000}"/>
    <cellStyle name="Calculation 2 9 2 4 3 2" xfId="12065" xr:uid="{00000000-0005-0000-0000-0000410F0000}"/>
    <cellStyle name="Calculation 2 9 2 4 3 3" xfId="18684" xr:uid="{00000000-0005-0000-0000-0000420F0000}"/>
    <cellStyle name="Calculation 2 9 2 4 4" xfId="7894" xr:uid="{00000000-0005-0000-0000-0000430F0000}"/>
    <cellStyle name="Calculation 2 9 2 4 5" xfId="14513" xr:uid="{00000000-0005-0000-0000-0000440F0000}"/>
    <cellStyle name="Calculation 2 9 2 5" xfId="1579" xr:uid="{00000000-0005-0000-0000-0000450F0000}"/>
    <cellStyle name="Calculation 2 9 2 5 2" xfId="3715" xr:uid="{00000000-0005-0000-0000-0000460F0000}"/>
    <cellStyle name="Calculation 2 9 2 5 2 2" xfId="10311" xr:uid="{00000000-0005-0000-0000-0000470F0000}"/>
    <cellStyle name="Calculation 2 9 2 5 2 3" xfId="16930" xr:uid="{00000000-0005-0000-0000-0000480F0000}"/>
    <cellStyle name="Calculation 2 9 2 5 3" xfId="5750" xr:uid="{00000000-0005-0000-0000-0000490F0000}"/>
    <cellStyle name="Calculation 2 9 2 5 3 2" xfId="12346" xr:uid="{00000000-0005-0000-0000-00004A0F0000}"/>
    <cellStyle name="Calculation 2 9 2 5 3 3" xfId="18965" xr:uid="{00000000-0005-0000-0000-00004B0F0000}"/>
    <cellStyle name="Calculation 2 9 2 5 4" xfId="8175" xr:uid="{00000000-0005-0000-0000-00004C0F0000}"/>
    <cellStyle name="Calculation 2 9 2 5 5" xfId="14794" xr:uid="{00000000-0005-0000-0000-00004D0F0000}"/>
    <cellStyle name="Calculation 2 9 2 6" xfId="1858" xr:uid="{00000000-0005-0000-0000-00004E0F0000}"/>
    <cellStyle name="Calculation 2 9 2 6 2" xfId="3994" xr:uid="{00000000-0005-0000-0000-00004F0F0000}"/>
    <cellStyle name="Calculation 2 9 2 6 2 2" xfId="10590" xr:uid="{00000000-0005-0000-0000-0000500F0000}"/>
    <cellStyle name="Calculation 2 9 2 6 2 3" xfId="17209" xr:uid="{00000000-0005-0000-0000-0000510F0000}"/>
    <cellStyle name="Calculation 2 9 2 6 3" xfId="6029" xr:uid="{00000000-0005-0000-0000-0000520F0000}"/>
    <cellStyle name="Calculation 2 9 2 6 3 2" xfId="12625" xr:uid="{00000000-0005-0000-0000-0000530F0000}"/>
    <cellStyle name="Calculation 2 9 2 6 3 3" xfId="19244" xr:uid="{00000000-0005-0000-0000-0000540F0000}"/>
    <cellStyle name="Calculation 2 9 2 6 4" xfId="8454" xr:uid="{00000000-0005-0000-0000-0000550F0000}"/>
    <cellStyle name="Calculation 2 9 2 6 5" xfId="15073" xr:uid="{00000000-0005-0000-0000-0000560F0000}"/>
    <cellStyle name="Calculation 2 9 2 7" xfId="2133" xr:uid="{00000000-0005-0000-0000-0000570F0000}"/>
    <cellStyle name="Calculation 2 9 2 7 2" xfId="4269" xr:uid="{00000000-0005-0000-0000-0000580F0000}"/>
    <cellStyle name="Calculation 2 9 2 7 2 2" xfId="10865" xr:uid="{00000000-0005-0000-0000-0000590F0000}"/>
    <cellStyle name="Calculation 2 9 2 7 2 3" xfId="17484" xr:uid="{00000000-0005-0000-0000-00005A0F0000}"/>
    <cellStyle name="Calculation 2 9 2 7 3" xfId="6304" xr:uid="{00000000-0005-0000-0000-00005B0F0000}"/>
    <cellStyle name="Calculation 2 9 2 7 3 2" xfId="12900" xr:uid="{00000000-0005-0000-0000-00005C0F0000}"/>
    <cellStyle name="Calculation 2 9 2 7 3 3" xfId="19519" xr:uid="{00000000-0005-0000-0000-00005D0F0000}"/>
    <cellStyle name="Calculation 2 9 2 7 4" xfId="8729" xr:uid="{00000000-0005-0000-0000-00005E0F0000}"/>
    <cellStyle name="Calculation 2 9 2 7 5" xfId="15348" xr:uid="{00000000-0005-0000-0000-00005F0F0000}"/>
    <cellStyle name="Calculation 2 9 2 8" xfId="2406" xr:uid="{00000000-0005-0000-0000-0000600F0000}"/>
    <cellStyle name="Calculation 2 9 2 8 2" xfId="4542" xr:uid="{00000000-0005-0000-0000-0000610F0000}"/>
    <cellStyle name="Calculation 2 9 2 8 2 2" xfId="11138" xr:uid="{00000000-0005-0000-0000-0000620F0000}"/>
    <cellStyle name="Calculation 2 9 2 8 2 3" xfId="17757" xr:uid="{00000000-0005-0000-0000-0000630F0000}"/>
    <cellStyle name="Calculation 2 9 2 8 3" xfId="6577" xr:uid="{00000000-0005-0000-0000-0000640F0000}"/>
    <cellStyle name="Calculation 2 9 2 8 3 2" xfId="13173" xr:uid="{00000000-0005-0000-0000-0000650F0000}"/>
    <cellStyle name="Calculation 2 9 2 8 3 3" xfId="19792" xr:uid="{00000000-0005-0000-0000-0000660F0000}"/>
    <cellStyle name="Calculation 2 9 2 8 4" xfId="9002" xr:uid="{00000000-0005-0000-0000-0000670F0000}"/>
    <cellStyle name="Calculation 2 9 2 8 5" xfId="15621" xr:uid="{00000000-0005-0000-0000-0000680F0000}"/>
    <cellStyle name="Calculation 2 9 2 9" xfId="2707" xr:uid="{00000000-0005-0000-0000-0000690F0000}"/>
    <cellStyle name="Calculation 2 9 2 9 2" xfId="9303" xr:uid="{00000000-0005-0000-0000-00006A0F0000}"/>
    <cellStyle name="Calculation 2 9 2 9 3" xfId="15922" xr:uid="{00000000-0005-0000-0000-00006B0F0000}"/>
    <cellStyle name="Calculation 2 9 2_Summary" xfId="20154" xr:uid="{00000000-0005-0000-0000-00006C0F0000}"/>
    <cellStyle name="Calculation 2 9 3" xfId="235" xr:uid="{00000000-0005-0000-0000-00006D0F0000}"/>
    <cellStyle name="Calculation 2 9 3 10" xfId="772" xr:uid="{00000000-0005-0000-0000-00006E0F0000}"/>
    <cellStyle name="Calculation 2 9 3 10 2" xfId="13987" xr:uid="{00000000-0005-0000-0000-00006F0F0000}"/>
    <cellStyle name="Calculation 2 9 3 11" xfId="7142" xr:uid="{00000000-0005-0000-0000-0000700F0000}"/>
    <cellStyle name="Calculation 2 9 3 12" xfId="7066" xr:uid="{00000000-0005-0000-0000-0000710F0000}"/>
    <cellStyle name="Calculation 2 9 3 13" xfId="28236" xr:uid="{EC9D9846-A9B4-44E5-BED7-5233E934E36A}"/>
    <cellStyle name="Calculation 2 9 3 14" xfId="30819" xr:uid="{F4100087-4910-4CEE-BFBB-5942313B1873}"/>
    <cellStyle name="Calculation 2 9 3 2" xfId="940" xr:uid="{00000000-0005-0000-0000-0000720F0000}"/>
    <cellStyle name="Calculation 2 9 3 2 2" xfId="3076" xr:uid="{00000000-0005-0000-0000-0000730F0000}"/>
    <cellStyle name="Calculation 2 9 3 2 2 2" xfId="9672" xr:uid="{00000000-0005-0000-0000-0000740F0000}"/>
    <cellStyle name="Calculation 2 9 3 2 2 3" xfId="16291" xr:uid="{00000000-0005-0000-0000-0000750F0000}"/>
    <cellStyle name="Calculation 2 9 3 2 3" xfId="5111" xr:uid="{00000000-0005-0000-0000-0000760F0000}"/>
    <cellStyle name="Calculation 2 9 3 2 3 2" xfId="11707" xr:uid="{00000000-0005-0000-0000-0000770F0000}"/>
    <cellStyle name="Calculation 2 9 3 2 3 3" xfId="18326" xr:uid="{00000000-0005-0000-0000-0000780F0000}"/>
    <cellStyle name="Calculation 2 9 3 2 4" xfId="7537" xr:uid="{00000000-0005-0000-0000-0000790F0000}"/>
    <cellStyle name="Calculation 2 9 3 2 5" xfId="14155" xr:uid="{00000000-0005-0000-0000-00007A0F0000}"/>
    <cellStyle name="Calculation 2 9 3 2 6" xfId="30098" xr:uid="{186C925B-139C-4DC8-AA60-2C5BFC890B9F}"/>
    <cellStyle name="Calculation 2 9 3 2 7" xfId="31530" xr:uid="{EC5DC82C-8B82-4D89-A774-22EA8615D50A}"/>
    <cellStyle name="Calculation 2 9 3 3" xfId="1225" xr:uid="{00000000-0005-0000-0000-00007B0F0000}"/>
    <cellStyle name="Calculation 2 9 3 3 2" xfId="3361" xr:uid="{00000000-0005-0000-0000-00007C0F0000}"/>
    <cellStyle name="Calculation 2 9 3 3 2 2" xfId="9957" xr:uid="{00000000-0005-0000-0000-00007D0F0000}"/>
    <cellStyle name="Calculation 2 9 3 3 2 3" xfId="16576" xr:uid="{00000000-0005-0000-0000-00007E0F0000}"/>
    <cellStyle name="Calculation 2 9 3 3 3" xfId="5396" xr:uid="{00000000-0005-0000-0000-00007F0F0000}"/>
    <cellStyle name="Calculation 2 9 3 3 3 2" xfId="11992" xr:uid="{00000000-0005-0000-0000-0000800F0000}"/>
    <cellStyle name="Calculation 2 9 3 3 3 3" xfId="18611" xr:uid="{00000000-0005-0000-0000-0000810F0000}"/>
    <cellStyle name="Calculation 2 9 3 3 4" xfId="7821" xr:uid="{00000000-0005-0000-0000-0000820F0000}"/>
    <cellStyle name="Calculation 2 9 3 3 5" xfId="14440" xr:uid="{00000000-0005-0000-0000-0000830F0000}"/>
    <cellStyle name="Calculation 2 9 3 4" xfId="1507" xr:uid="{00000000-0005-0000-0000-0000840F0000}"/>
    <cellStyle name="Calculation 2 9 3 4 2" xfId="3643" xr:uid="{00000000-0005-0000-0000-0000850F0000}"/>
    <cellStyle name="Calculation 2 9 3 4 2 2" xfId="10239" xr:uid="{00000000-0005-0000-0000-0000860F0000}"/>
    <cellStyle name="Calculation 2 9 3 4 2 3" xfId="16858" xr:uid="{00000000-0005-0000-0000-0000870F0000}"/>
    <cellStyle name="Calculation 2 9 3 4 3" xfId="5678" xr:uid="{00000000-0005-0000-0000-0000880F0000}"/>
    <cellStyle name="Calculation 2 9 3 4 3 2" xfId="12274" xr:uid="{00000000-0005-0000-0000-0000890F0000}"/>
    <cellStyle name="Calculation 2 9 3 4 3 3" xfId="18893" xr:uid="{00000000-0005-0000-0000-00008A0F0000}"/>
    <cellStyle name="Calculation 2 9 3 4 4" xfId="8103" xr:uid="{00000000-0005-0000-0000-00008B0F0000}"/>
    <cellStyle name="Calculation 2 9 3 4 5" xfId="14722" xr:uid="{00000000-0005-0000-0000-00008C0F0000}"/>
    <cellStyle name="Calculation 2 9 3 5" xfId="1788" xr:uid="{00000000-0005-0000-0000-00008D0F0000}"/>
    <cellStyle name="Calculation 2 9 3 5 2" xfId="3924" xr:uid="{00000000-0005-0000-0000-00008E0F0000}"/>
    <cellStyle name="Calculation 2 9 3 5 2 2" xfId="10520" xr:uid="{00000000-0005-0000-0000-00008F0F0000}"/>
    <cellStyle name="Calculation 2 9 3 5 2 3" xfId="17139" xr:uid="{00000000-0005-0000-0000-0000900F0000}"/>
    <cellStyle name="Calculation 2 9 3 5 3" xfId="5959" xr:uid="{00000000-0005-0000-0000-0000910F0000}"/>
    <cellStyle name="Calculation 2 9 3 5 3 2" xfId="12555" xr:uid="{00000000-0005-0000-0000-0000920F0000}"/>
    <cellStyle name="Calculation 2 9 3 5 3 3" xfId="19174" xr:uid="{00000000-0005-0000-0000-0000930F0000}"/>
    <cellStyle name="Calculation 2 9 3 5 4" xfId="8384" xr:uid="{00000000-0005-0000-0000-0000940F0000}"/>
    <cellStyle name="Calculation 2 9 3 5 5" xfId="15003" xr:uid="{00000000-0005-0000-0000-0000950F0000}"/>
    <cellStyle name="Calculation 2 9 3 6" xfId="2067" xr:uid="{00000000-0005-0000-0000-0000960F0000}"/>
    <cellStyle name="Calculation 2 9 3 6 2" xfId="4203" xr:uid="{00000000-0005-0000-0000-0000970F0000}"/>
    <cellStyle name="Calculation 2 9 3 6 2 2" xfId="10799" xr:uid="{00000000-0005-0000-0000-0000980F0000}"/>
    <cellStyle name="Calculation 2 9 3 6 2 3" xfId="17418" xr:uid="{00000000-0005-0000-0000-0000990F0000}"/>
    <cellStyle name="Calculation 2 9 3 6 3" xfId="6238" xr:uid="{00000000-0005-0000-0000-00009A0F0000}"/>
    <cellStyle name="Calculation 2 9 3 6 3 2" xfId="12834" xr:uid="{00000000-0005-0000-0000-00009B0F0000}"/>
    <cellStyle name="Calculation 2 9 3 6 3 3" xfId="19453" xr:uid="{00000000-0005-0000-0000-00009C0F0000}"/>
    <cellStyle name="Calculation 2 9 3 6 4" xfId="8663" xr:uid="{00000000-0005-0000-0000-00009D0F0000}"/>
    <cellStyle name="Calculation 2 9 3 6 5" xfId="15282" xr:uid="{00000000-0005-0000-0000-00009E0F0000}"/>
    <cellStyle name="Calculation 2 9 3 7" xfId="2342" xr:uid="{00000000-0005-0000-0000-00009F0F0000}"/>
    <cellStyle name="Calculation 2 9 3 7 2" xfId="4478" xr:uid="{00000000-0005-0000-0000-0000A00F0000}"/>
    <cellStyle name="Calculation 2 9 3 7 2 2" xfId="11074" xr:uid="{00000000-0005-0000-0000-0000A10F0000}"/>
    <cellStyle name="Calculation 2 9 3 7 2 3" xfId="17693" xr:uid="{00000000-0005-0000-0000-0000A20F0000}"/>
    <cellStyle name="Calculation 2 9 3 7 3" xfId="6513" xr:uid="{00000000-0005-0000-0000-0000A30F0000}"/>
    <cellStyle name="Calculation 2 9 3 7 3 2" xfId="13109" xr:uid="{00000000-0005-0000-0000-0000A40F0000}"/>
    <cellStyle name="Calculation 2 9 3 7 3 3" xfId="19728" xr:uid="{00000000-0005-0000-0000-0000A50F0000}"/>
    <cellStyle name="Calculation 2 9 3 7 4" xfId="8938" xr:uid="{00000000-0005-0000-0000-0000A60F0000}"/>
    <cellStyle name="Calculation 2 9 3 7 5" xfId="15557" xr:uid="{00000000-0005-0000-0000-0000A70F0000}"/>
    <cellStyle name="Calculation 2 9 3 8" xfId="2908" xr:uid="{00000000-0005-0000-0000-0000A80F0000}"/>
    <cellStyle name="Calculation 2 9 3 8 2" xfId="9504" xr:uid="{00000000-0005-0000-0000-0000A90F0000}"/>
    <cellStyle name="Calculation 2 9 3 8 3" xfId="16123" xr:uid="{00000000-0005-0000-0000-0000AA0F0000}"/>
    <cellStyle name="Calculation 2 9 3 9" xfId="4943" xr:uid="{00000000-0005-0000-0000-0000AB0F0000}"/>
    <cellStyle name="Calculation 2 9 3 9 2" xfId="11539" xr:uid="{00000000-0005-0000-0000-0000AC0F0000}"/>
    <cellStyle name="Calculation 2 9 3 9 3" xfId="18158" xr:uid="{00000000-0005-0000-0000-0000AD0F0000}"/>
    <cellStyle name="Calculation 2 9 3_Summary" xfId="20156" xr:uid="{00000000-0005-0000-0000-0000AE0F0000}"/>
    <cellStyle name="Calculation 2 9 4" xfId="389" xr:uid="{00000000-0005-0000-0000-0000AF0F0000}"/>
    <cellStyle name="Calculation 2 9 4 10" xfId="726" xr:uid="{00000000-0005-0000-0000-0000B00F0000}"/>
    <cellStyle name="Calculation 2 9 4 10 2" xfId="13941" xr:uid="{00000000-0005-0000-0000-0000B10F0000}"/>
    <cellStyle name="Calculation 2 9 4 11" xfId="7282" xr:uid="{00000000-0005-0000-0000-0000B20F0000}"/>
    <cellStyle name="Calculation 2 9 4 12" xfId="13604" xr:uid="{00000000-0005-0000-0000-0000B30F0000}"/>
    <cellStyle name="Calculation 2 9 4 13" xfId="30096" xr:uid="{EA825E46-0A4B-463B-BBCE-90065380E9FD}"/>
    <cellStyle name="Calculation 2 9 4 14" xfId="31528" xr:uid="{F9B81B62-B227-4CE4-A177-2411AC70E409}"/>
    <cellStyle name="Calculation 2 9 4 2" xfId="1083" xr:uid="{00000000-0005-0000-0000-0000B40F0000}"/>
    <cellStyle name="Calculation 2 9 4 2 2" xfId="3219" xr:uid="{00000000-0005-0000-0000-0000B50F0000}"/>
    <cellStyle name="Calculation 2 9 4 2 2 2" xfId="9815" xr:uid="{00000000-0005-0000-0000-0000B60F0000}"/>
    <cellStyle name="Calculation 2 9 4 2 2 3" xfId="16434" xr:uid="{00000000-0005-0000-0000-0000B70F0000}"/>
    <cellStyle name="Calculation 2 9 4 2 3" xfId="5254" xr:uid="{00000000-0005-0000-0000-0000B80F0000}"/>
    <cellStyle name="Calculation 2 9 4 2 3 2" xfId="11850" xr:uid="{00000000-0005-0000-0000-0000B90F0000}"/>
    <cellStyle name="Calculation 2 9 4 2 3 3" xfId="18469" xr:uid="{00000000-0005-0000-0000-0000BA0F0000}"/>
    <cellStyle name="Calculation 2 9 4 2 4" xfId="7680" xr:uid="{00000000-0005-0000-0000-0000BB0F0000}"/>
    <cellStyle name="Calculation 2 9 4 2 5" xfId="14298" xr:uid="{00000000-0005-0000-0000-0000BC0F0000}"/>
    <cellStyle name="Calculation 2 9 4 3" xfId="1365" xr:uid="{00000000-0005-0000-0000-0000BD0F0000}"/>
    <cellStyle name="Calculation 2 9 4 3 2" xfId="3501" xr:uid="{00000000-0005-0000-0000-0000BE0F0000}"/>
    <cellStyle name="Calculation 2 9 4 3 2 2" xfId="10097" xr:uid="{00000000-0005-0000-0000-0000BF0F0000}"/>
    <cellStyle name="Calculation 2 9 4 3 2 3" xfId="16716" xr:uid="{00000000-0005-0000-0000-0000C00F0000}"/>
    <cellStyle name="Calculation 2 9 4 3 3" xfId="5536" xr:uid="{00000000-0005-0000-0000-0000C10F0000}"/>
    <cellStyle name="Calculation 2 9 4 3 3 2" xfId="12132" xr:uid="{00000000-0005-0000-0000-0000C20F0000}"/>
    <cellStyle name="Calculation 2 9 4 3 3 3" xfId="18751" xr:uid="{00000000-0005-0000-0000-0000C30F0000}"/>
    <cellStyle name="Calculation 2 9 4 3 4" xfId="7961" xr:uid="{00000000-0005-0000-0000-0000C40F0000}"/>
    <cellStyle name="Calculation 2 9 4 3 5" xfId="14580" xr:uid="{00000000-0005-0000-0000-0000C50F0000}"/>
    <cellStyle name="Calculation 2 9 4 4" xfId="1646" xr:uid="{00000000-0005-0000-0000-0000C60F0000}"/>
    <cellStyle name="Calculation 2 9 4 4 2" xfId="3782" xr:uid="{00000000-0005-0000-0000-0000C70F0000}"/>
    <cellStyle name="Calculation 2 9 4 4 2 2" xfId="10378" xr:uid="{00000000-0005-0000-0000-0000C80F0000}"/>
    <cellStyle name="Calculation 2 9 4 4 2 3" xfId="16997" xr:uid="{00000000-0005-0000-0000-0000C90F0000}"/>
    <cellStyle name="Calculation 2 9 4 4 3" xfId="5817" xr:uid="{00000000-0005-0000-0000-0000CA0F0000}"/>
    <cellStyle name="Calculation 2 9 4 4 3 2" xfId="12413" xr:uid="{00000000-0005-0000-0000-0000CB0F0000}"/>
    <cellStyle name="Calculation 2 9 4 4 3 3" xfId="19032" xr:uid="{00000000-0005-0000-0000-0000CC0F0000}"/>
    <cellStyle name="Calculation 2 9 4 4 4" xfId="8242" xr:uid="{00000000-0005-0000-0000-0000CD0F0000}"/>
    <cellStyle name="Calculation 2 9 4 4 5" xfId="14861" xr:uid="{00000000-0005-0000-0000-0000CE0F0000}"/>
    <cellStyle name="Calculation 2 9 4 5" xfId="1925" xr:uid="{00000000-0005-0000-0000-0000CF0F0000}"/>
    <cellStyle name="Calculation 2 9 4 5 2" xfId="4061" xr:uid="{00000000-0005-0000-0000-0000D00F0000}"/>
    <cellStyle name="Calculation 2 9 4 5 2 2" xfId="10657" xr:uid="{00000000-0005-0000-0000-0000D10F0000}"/>
    <cellStyle name="Calculation 2 9 4 5 2 3" xfId="17276" xr:uid="{00000000-0005-0000-0000-0000D20F0000}"/>
    <cellStyle name="Calculation 2 9 4 5 3" xfId="6096" xr:uid="{00000000-0005-0000-0000-0000D30F0000}"/>
    <cellStyle name="Calculation 2 9 4 5 3 2" xfId="12692" xr:uid="{00000000-0005-0000-0000-0000D40F0000}"/>
    <cellStyle name="Calculation 2 9 4 5 3 3" xfId="19311" xr:uid="{00000000-0005-0000-0000-0000D50F0000}"/>
    <cellStyle name="Calculation 2 9 4 5 4" xfId="8521" xr:uid="{00000000-0005-0000-0000-0000D60F0000}"/>
    <cellStyle name="Calculation 2 9 4 5 5" xfId="15140" xr:uid="{00000000-0005-0000-0000-0000D70F0000}"/>
    <cellStyle name="Calculation 2 9 4 6" xfId="2200" xr:uid="{00000000-0005-0000-0000-0000D80F0000}"/>
    <cellStyle name="Calculation 2 9 4 6 2" xfId="4336" xr:uid="{00000000-0005-0000-0000-0000D90F0000}"/>
    <cellStyle name="Calculation 2 9 4 6 2 2" xfId="10932" xr:uid="{00000000-0005-0000-0000-0000DA0F0000}"/>
    <cellStyle name="Calculation 2 9 4 6 2 3" xfId="17551" xr:uid="{00000000-0005-0000-0000-0000DB0F0000}"/>
    <cellStyle name="Calculation 2 9 4 6 3" xfId="6371" xr:uid="{00000000-0005-0000-0000-0000DC0F0000}"/>
    <cellStyle name="Calculation 2 9 4 6 3 2" xfId="12967" xr:uid="{00000000-0005-0000-0000-0000DD0F0000}"/>
    <cellStyle name="Calculation 2 9 4 6 3 3" xfId="19586" xr:uid="{00000000-0005-0000-0000-0000DE0F0000}"/>
    <cellStyle name="Calculation 2 9 4 6 4" xfId="8796" xr:uid="{00000000-0005-0000-0000-0000DF0F0000}"/>
    <cellStyle name="Calculation 2 9 4 6 5" xfId="15415" xr:uid="{00000000-0005-0000-0000-0000E00F0000}"/>
    <cellStyle name="Calculation 2 9 4 7" xfId="2473" xr:uid="{00000000-0005-0000-0000-0000E10F0000}"/>
    <cellStyle name="Calculation 2 9 4 7 2" xfId="4609" xr:uid="{00000000-0005-0000-0000-0000E20F0000}"/>
    <cellStyle name="Calculation 2 9 4 7 2 2" xfId="11205" xr:uid="{00000000-0005-0000-0000-0000E30F0000}"/>
    <cellStyle name="Calculation 2 9 4 7 2 3" xfId="17824" xr:uid="{00000000-0005-0000-0000-0000E40F0000}"/>
    <cellStyle name="Calculation 2 9 4 7 3" xfId="6644" xr:uid="{00000000-0005-0000-0000-0000E50F0000}"/>
    <cellStyle name="Calculation 2 9 4 7 3 2" xfId="13240" xr:uid="{00000000-0005-0000-0000-0000E60F0000}"/>
    <cellStyle name="Calculation 2 9 4 7 3 3" xfId="19859" xr:uid="{00000000-0005-0000-0000-0000E70F0000}"/>
    <cellStyle name="Calculation 2 9 4 7 4" xfId="9069" xr:uid="{00000000-0005-0000-0000-0000E80F0000}"/>
    <cellStyle name="Calculation 2 9 4 7 5" xfId="15688" xr:uid="{00000000-0005-0000-0000-0000E90F0000}"/>
    <cellStyle name="Calculation 2 9 4 8" xfId="2862" xr:uid="{00000000-0005-0000-0000-0000EA0F0000}"/>
    <cellStyle name="Calculation 2 9 4 8 2" xfId="9458" xr:uid="{00000000-0005-0000-0000-0000EB0F0000}"/>
    <cellStyle name="Calculation 2 9 4 8 3" xfId="16077" xr:uid="{00000000-0005-0000-0000-0000EC0F0000}"/>
    <cellStyle name="Calculation 2 9 4 9" xfId="4897" xr:uid="{00000000-0005-0000-0000-0000ED0F0000}"/>
    <cellStyle name="Calculation 2 9 4 9 2" xfId="11493" xr:uid="{00000000-0005-0000-0000-0000EE0F0000}"/>
    <cellStyle name="Calculation 2 9 4 9 3" xfId="18112" xr:uid="{00000000-0005-0000-0000-0000EF0F0000}"/>
    <cellStyle name="Calculation 2 9 4_Summary" xfId="20157" xr:uid="{00000000-0005-0000-0000-0000F00F0000}"/>
    <cellStyle name="Calculation 2 9 5" xfId="896" xr:uid="{00000000-0005-0000-0000-0000F10F0000}"/>
    <cellStyle name="Calculation 2 9 5 2" xfId="3032" xr:uid="{00000000-0005-0000-0000-0000F20F0000}"/>
    <cellStyle name="Calculation 2 9 5 2 2" xfId="9628" xr:uid="{00000000-0005-0000-0000-0000F30F0000}"/>
    <cellStyle name="Calculation 2 9 5 2 3" xfId="16247" xr:uid="{00000000-0005-0000-0000-0000F40F0000}"/>
    <cellStyle name="Calculation 2 9 5 3" xfId="5067" xr:uid="{00000000-0005-0000-0000-0000F50F0000}"/>
    <cellStyle name="Calculation 2 9 5 3 2" xfId="11663" xr:uid="{00000000-0005-0000-0000-0000F60F0000}"/>
    <cellStyle name="Calculation 2 9 5 3 3" xfId="18282" xr:uid="{00000000-0005-0000-0000-0000F70F0000}"/>
    <cellStyle name="Calculation 2 9 5 4" xfId="7493" xr:uid="{00000000-0005-0000-0000-0000F80F0000}"/>
    <cellStyle name="Calculation 2 9 5 5" xfId="14111" xr:uid="{00000000-0005-0000-0000-0000F90F0000}"/>
    <cellStyle name="Calculation 2 9 6" xfId="1181" xr:uid="{00000000-0005-0000-0000-0000FA0F0000}"/>
    <cellStyle name="Calculation 2 9 6 2" xfId="3317" xr:uid="{00000000-0005-0000-0000-0000FB0F0000}"/>
    <cellStyle name="Calculation 2 9 6 2 2" xfId="9913" xr:uid="{00000000-0005-0000-0000-0000FC0F0000}"/>
    <cellStyle name="Calculation 2 9 6 2 3" xfId="16532" xr:uid="{00000000-0005-0000-0000-0000FD0F0000}"/>
    <cellStyle name="Calculation 2 9 6 3" xfId="5352" xr:uid="{00000000-0005-0000-0000-0000FE0F0000}"/>
    <cellStyle name="Calculation 2 9 6 3 2" xfId="11948" xr:uid="{00000000-0005-0000-0000-0000FF0F0000}"/>
    <cellStyle name="Calculation 2 9 6 3 3" xfId="18567" xr:uid="{00000000-0005-0000-0000-000000100000}"/>
    <cellStyle name="Calculation 2 9 6 3_Summary" xfId="20158" xr:uid="{00000000-0005-0000-0000-000001100000}"/>
    <cellStyle name="Calculation 2 9 6 4" xfId="7777" xr:uid="{00000000-0005-0000-0000-000002100000}"/>
    <cellStyle name="Calculation 2 9 6 5" xfId="14396" xr:uid="{00000000-0005-0000-0000-000003100000}"/>
    <cellStyle name="Calculation 2 9 7" xfId="1463" xr:uid="{00000000-0005-0000-0000-000004100000}"/>
    <cellStyle name="Calculation 2 9 7 2" xfId="3599" xr:uid="{00000000-0005-0000-0000-000005100000}"/>
    <cellStyle name="Calculation 2 9 7 2 2" xfId="10195" xr:uid="{00000000-0005-0000-0000-000006100000}"/>
    <cellStyle name="Calculation 2 9 7 2 3" xfId="16814" xr:uid="{00000000-0005-0000-0000-000007100000}"/>
    <cellStyle name="Calculation 2 9 7 2_Summary" xfId="20160" xr:uid="{00000000-0005-0000-0000-000008100000}"/>
    <cellStyle name="Calculation 2 9 7 3" xfId="5634" xr:uid="{00000000-0005-0000-0000-000009100000}"/>
    <cellStyle name="Calculation 2 9 7 3 2" xfId="12230" xr:uid="{00000000-0005-0000-0000-00000A100000}"/>
    <cellStyle name="Calculation 2 9 7 3 3" xfId="18849" xr:uid="{00000000-0005-0000-0000-00000B100000}"/>
    <cellStyle name="Calculation 2 9 7 3_Summary" xfId="20161" xr:uid="{00000000-0005-0000-0000-00000C100000}"/>
    <cellStyle name="Calculation 2 9 7 4" xfId="8059" xr:uid="{00000000-0005-0000-0000-00000D100000}"/>
    <cellStyle name="Calculation 2 9 7 5" xfId="14678" xr:uid="{00000000-0005-0000-0000-00000E100000}"/>
    <cellStyle name="Calculation 2 9 7_Summary" xfId="20159" xr:uid="{00000000-0005-0000-0000-00000F100000}"/>
    <cellStyle name="Calculation 2 9 8" xfId="1744" xr:uid="{00000000-0005-0000-0000-000010100000}"/>
    <cellStyle name="Calculation 2 9 8 2" xfId="3880" xr:uid="{00000000-0005-0000-0000-000011100000}"/>
    <cellStyle name="Calculation 2 9 8 2 2" xfId="10476" xr:uid="{00000000-0005-0000-0000-000012100000}"/>
    <cellStyle name="Calculation 2 9 8 2 3" xfId="17095" xr:uid="{00000000-0005-0000-0000-000013100000}"/>
    <cellStyle name="Calculation 2 9 8 2_Summary" xfId="20163" xr:uid="{00000000-0005-0000-0000-000014100000}"/>
    <cellStyle name="Calculation 2 9 8 3" xfId="5915" xr:uid="{00000000-0005-0000-0000-000015100000}"/>
    <cellStyle name="Calculation 2 9 8 3 2" xfId="12511" xr:uid="{00000000-0005-0000-0000-000016100000}"/>
    <cellStyle name="Calculation 2 9 8 3 3" xfId="19130" xr:uid="{00000000-0005-0000-0000-000017100000}"/>
    <cellStyle name="Calculation 2 9 8 3_Summary" xfId="20164" xr:uid="{00000000-0005-0000-0000-000018100000}"/>
    <cellStyle name="Calculation 2 9 8 4" xfId="8340" xr:uid="{00000000-0005-0000-0000-000019100000}"/>
    <cellStyle name="Calculation 2 9 8 5" xfId="14959" xr:uid="{00000000-0005-0000-0000-00001A100000}"/>
    <cellStyle name="Calculation 2 9 8_Summary" xfId="20162" xr:uid="{00000000-0005-0000-0000-00001B100000}"/>
    <cellStyle name="Calculation 2 9 9" xfId="2023" xr:uid="{00000000-0005-0000-0000-00001C100000}"/>
    <cellStyle name="Calculation 2 9 9 2" xfId="4159" xr:uid="{00000000-0005-0000-0000-00001D100000}"/>
    <cellStyle name="Calculation 2 9 9 2 2" xfId="10755" xr:uid="{00000000-0005-0000-0000-00001E100000}"/>
    <cellStyle name="Calculation 2 9 9 2 3" xfId="17374" xr:uid="{00000000-0005-0000-0000-00001F100000}"/>
    <cellStyle name="Calculation 2 9 9 2_Summary" xfId="20166" xr:uid="{00000000-0005-0000-0000-000020100000}"/>
    <cellStyle name="Calculation 2 9 9 3" xfId="6194" xr:uid="{00000000-0005-0000-0000-000021100000}"/>
    <cellStyle name="Calculation 2 9 9 3 2" xfId="12790" xr:uid="{00000000-0005-0000-0000-000022100000}"/>
    <cellStyle name="Calculation 2 9 9 3 3" xfId="19409" xr:uid="{00000000-0005-0000-0000-000023100000}"/>
    <cellStyle name="Calculation 2 9 9 3_Summary" xfId="20167" xr:uid="{00000000-0005-0000-0000-000024100000}"/>
    <cellStyle name="Calculation 2 9 9 4" xfId="8619" xr:uid="{00000000-0005-0000-0000-000025100000}"/>
    <cellStyle name="Calculation 2 9 9 5" xfId="15238" xr:uid="{00000000-0005-0000-0000-000026100000}"/>
    <cellStyle name="Calculation 2 9 9_Summary" xfId="20165" xr:uid="{00000000-0005-0000-0000-000027100000}"/>
    <cellStyle name="Calculation 2 9_Summary" xfId="20153" xr:uid="{00000000-0005-0000-0000-000028100000}"/>
    <cellStyle name="Calculation 2_Summary" xfId="20097" xr:uid="{00000000-0005-0000-0000-000029100000}"/>
    <cellStyle name="Calculation 3" xfId="25637" xr:uid="{00000000-0005-0000-0000-0000CC000000}"/>
    <cellStyle name="Calculation 3 10" xfId="28237" xr:uid="{D5825E6F-E521-4CC5-A5E0-C70A00138E76}"/>
    <cellStyle name="Calculation 3 10 2" xfId="28238" xr:uid="{D97F28A3-56AF-4BA6-9338-A6A5F6900207}"/>
    <cellStyle name="Calculation 3 10 2 2" xfId="30100" xr:uid="{669C63C9-8709-4D50-955D-FC8C85BC2F1F}"/>
    <cellStyle name="Calculation 3 10 2 2 2" xfId="31532" xr:uid="{C3056AB7-6526-4CA9-951C-6631EE51B568}"/>
    <cellStyle name="Calculation 3 10 2 3" xfId="30821" xr:uid="{69A10266-AF5B-48F4-8E35-42FFA4BA4943}"/>
    <cellStyle name="Calculation 3 10 3" xfId="28239" xr:uid="{BF6DD582-987A-4608-A182-554DD0AD0DDA}"/>
    <cellStyle name="Calculation 3 10 3 2" xfId="30101" xr:uid="{D8D0FB40-E57E-49A0-8028-E498F7414C76}"/>
    <cellStyle name="Calculation 3 10 3 2 2" xfId="31533" xr:uid="{E9FBD008-4123-4FF6-9CAE-720C2AE27088}"/>
    <cellStyle name="Calculation 3 10 3 3" xfId="30822" xr:uid="{9E7D4787-D5D3-42BC-8389-FE1698765AB0}"/>
    <cellStyle name="Calculation 3 10 4" xfId="30099" xr:uid="{7B4F0B60-25C1-49D9-AD54-0C52D1988435}"/>
    <cellStyle name="Calculation 3 10 4 2" xfId="31531" xr:uid="{27E1E4BF-D7DE-4671-A67A-DC119AA98D55}"/>
    <cellStyle name="Calculation 3 10 5" xfId="30820" xr:uid="{1C9F890E-487D-4185-9D99-70B79AC829EB}"/>
    <cellStyle name="Calculation 3 2" xfId="25717" xr:uid="{00000000-0005-0000-0000-0000CC000000}"/>
    <cellStyle name="Calculation 3 2 2" xfId="28241" xr:uid="{7B3AEBFB-345B-4E6C-883C-913F21B9CA1C}"/>
    <cellStyle name="Calculation 3 2 2 2" xfId="30103" xr:uid="{F972F154-D799-45C6-B39A-DA87F83671FF}"/>
    <cellStyle name="Calculation 3 2 2 2 2" xfId="31535" xr:uid="{D19C88B2-E303-4375-8DD4-D4BFD3D142F4}"/>
    <cellStyle name="Calculation 3 2 2 3" xfId="30824" xr:uid="{C237C2FA-295D-490C-AC70-CC6695C8222D}"/>
    <cellStyle name="Calculation 3 2 3" xfId="28242" xr:uid="{18794CAE-D01E-4B65-B27D-03969CEBC768}"/>
    <cellStyle name="Calculation 3 2 3 2" xfId="30104" xr:uid="{6B7703E1-D52A-4F0E-A650-D117398EA882}"/>
    <cellStyle name="Calculation 3 2 3 2 2" xfId="31536" xr:uid="{337B79E5-2037-455C-9F5F-0D70C227EF1F}"/>
    <cellStyle name="Calculation 3 2 3 3" xfId="30825" xr:uid="{122122F4-5748-4A0C-B5FB-5FDEBE520E62}"/>
    <cellStyle name="Calculation 3 2 4" xfId="30102" xr:uid="{CE5D731C-DFA0-475A-B7CA-9ACB1980DFEB}"/>
    <cellStyle name="Calculation 3 2 4 2" xfId="31534" xr:uid="{6F9EE8D5-CCAE-4586-BA81-0B9CDF2529DB}"/>
    <cellStyle name="Calculation 3 2 5" xfId="28240" xr:uid="{1DBC9E8B-712D-47FF-969F-D2996DFA06B2}"/>
    <cellStyle name="Calculation 3 2 6" xfId="30823" xr:uid="{4CA9B943-F9E9-4F7D-AB5A-8DD47A973879}"/>
    <cellStyle name="Calculation 3 3" xfId="28243" xr:uid="{7112F650-5084-4839-A987-490ECFDFBBEA}"/>
    <cellStyle name="Calculation 3 3 2" xfId="28244" xr:uid="{5D3FF622-AC40-410A-AA90-9EFCA5F0DF38}"/>
    <cellStyle name="Calculation 3 3 2 2" xfId="30106" xr:uid="{D29342A7-40BF-4B70-AC77-6AEC4CC7840E}"/>
    <cellStyle name="Calculation 3 3 2 2 2" xfId="31538" xr:uid="{DBB98201-512A-42D2-A3DD-E1508D5CA4AC}"/>
    <cellStyle name="Calculation 3 3 2 3" xfId="30827" xr:uid="{9C47ACE9-7CDC-45BB-9CC2-CB7CEC4BD817}"/>
    <cellStyle name="Calculation 3 3 3" xfId="28245" xr:uid="{8CA42E57-F9D6-4EEC-8CCC-AA5DECFEC6C7}"/>
    <cellStyle name="Calculation 3 3 3 2" xfId="30107" xr:uid="{8F8DC8D3-5C55-4948-A6AB-55AFEF6C7C03}"/>
    <cellStyle name="Calculation 3 3 3 2 2" xfId="31539" xr:uid="{716B6C7E-1519-4052-8901-4DB6A2C4AE9A}"/>
    <cellStyle name="Calculation 3 3 3 3" xfId="30828" xr:uid="{C6154FEA-5081-45B4-93B6-9ED4124B788D}"/>
    <cellStyle name="Calculation 3 3 4" xfId="30105" xr:uid="{0107EFCE-C69A-4688-A637-8C76EC964C22}"/>
    <cellStyle name="Calculation 3 3 4 2" xfId="31537" xr:uid="{FDB87A60-F7A5-45CE-9D2E-088B240AC78A}"/>
    <cellStyle name="Calculation 3 3 5" xfId="30826" xr:uid="{8DD97111-3C48-4ECC-9BA8-BED19CEA9B7E}"/>
    <cellStyle name="Calculation 3 4" xfId="28246" xr:uid="{B5C93776-887C-4500-AB4D-4EBB49D2D160}"/>
    <cellStyle name="Calculation 3 4 2" xfId="28247" xr:uid="{21452E5A-56A9-4BF5-8BD1-C3A12890EBE8}"/>
    <cellStyle name="Calculation 3 4 2 2" xfId="30109" xr:uid="{42AFC51F-AAFF-406E-BAA7-9E11B5A000C6}"/>
    <cellStyle name="Calculation 3 4 2 2 2" xfId="31541" xr:uid="{59FDA6E4-AA72-4431-88E8-F155052BB708}"/>
    <cellStyle name="Calculation 3 4 2 3" xfId="30830" xr:uid="{D9F96824-609A-44EE-99F0-F64A4BCD5CA2}"/>
    <cellStyle name="Calculation 3 4 3" xfId="28248" xr:uid="{6E435439-4156-4A1B-A5BB-68C181B8499F}"/>
    <cellStyle name="Calculation 3 4 3 2" xfId="30110" xr:uid="{38DC91F1-B475-486D-89A8-4A9D668677DE}"/>
    <cellStyle name="Calculation 3 4 3 2 2" xfId="31542" xr:uid="{8702B21A-40A0-4A3E-9B5F-C530572E1D06}"/>
    <cellStyle name="Calculation 3 4 3 3" xfId="30831" xr:uid="{4A7472E0-771A-4875-85C5-340D411B0F36}"/>
    <cellStyle name="Calculation 3 4 4" xfId="30108" xr:uid="{BDC6D686-66A3-49ED-8ACE-4C0CD3410F24}"/>
    <cellStyle name="Calculation 3 4 4 2" xfId="31540" xr:uid="{E21B3650-8B47-4A9F-9AB1-5C342134D95E}"/>
    <cellStyle name="Calculation 3 4 5" xfId="30829" xr:uid="{DE20E358-06EE-4536-ACA8-916413A32349}"/>
    <cellStyle name="Calculation 3 5" xfId="28249" xr:uid="{35B3CC37-F49B-443D-9E16-5129981CE573}"/>
    <cellStyle name="Calculation 3 5 2" xfId="28250" xr:uid="{65C30919-E5EC-4856-856A-B3DE364BCDA7}"/>
    <cellStyle name="Calculation 3 5 2 2" xfId="30112" xr:uid="{A7384178-E127-43E1-AF68-FF7B2E9B989D}"/>
    <cellStyle name="Calculation 3 5 2 2 2" xfId="31544" xr:uid="{88298507-706F-466D-AE5C-86798660CCDA}"/>
    <cellStyle name="Calculation 3 5 2 3" xfId="30833" xr:uid="{25E93475-BDD5-4275-B2B8-24D0B91D923F}"/>
    <cellStyle name="Calculation 3 5 3" xfId="28251" xr:uid="{E35C0E01-B79A-41FF-8953-5B37D1BF01EB}"/>
    <cellStyle name="Calculation 3 5 3 2" xfId="30113" xr:uid="{63AC6B2F-1371-49FC-A7D3-A4B2901B21DB}"/>
    <cellStyle name="Calculation 3 5 3 2 2" xfId="31545" xr:uid="{C42CA39C-B6F6-49B8-8A23-78D021969FA6}"/>
    <cellStyle name="Calculation 3 5 3 3" xfId="30834" xr:uid="{C40C901B-E6A4-4BDB-AEFD-AB72ACAAACBD}"/>
    <cellStyle name="Calculation 3 5 4" xfId="30111" xr:uid="{33F47544-8943-4554-88D0-0D4F5EB00B93}"/>
    <cellStyle name="Calculation 3 5 4 2" xfId="31543" xr:uid="{B2D17412-C214-45B4-988C-D4B2EA6E06B7}"/>
    <cellStyle name="Calculation 3 5 5" xfId="30832" xr:uid="{DE3AD7E6-1086-4C96-A2FE-AAE4BF1D1D4C}"/>
    <cellStyle name="Calculation 3 6" xfId="28252" xr:uid="{B443E718-1DCE-4AD4-A20A-9B5720857D8E}"/>
    <cellStyle name="Calculation 3 6 2" xfId="28253" xr:uid="{B5A03FCB-92C5-4B32-AE79-54E35BEDC96B}"/>
    <cellStyle name="Calculation 3 6 2 2" xfId="30115" xr:uid="{9622681B-46F2-41A1-A40D-030E1BD7EFB4}"/>
    <cellStyle name="Calculation 3 6 2 2 2" xfId="31547" xr:uid="{EC8DF339-10C2-4086-8627-BF12B159FD43}"/>
    <cellStyle name="Calculation 3 6 2 3" xfId="30836" xr:uid="{28AD20DD-828B-4632-B61C-F5389D2ADCD7}"/>
    <cellStyle name="Calculation 3 6 3" xfId="28254" xr:uid="{10BFC4E4-AE99-41A0-ABC0-552D55651CAD}"/>
    <cellStyle name="Calculation 3 6 3 2" xfId="30116" xr:uid="{A4F3D4BB-DD64-475F-8DE3-36C867E731A0}"/>
    <cellStyle name="Calculation 3 6 3 2 2" xfId="31548" xr:uid="{E61D64D1-11E3-47D9-8542-DF9B66F5EB3D}"/>
    <cellStyle name="Calculation 3 6 3 3" xfId="30837" xr:uid="{730E0D97-163D-40D5-9794-8DFFE4BFE3D3}"/>
    <cellStyle name="Calculation 3 6 4" xfId="30114" xr:uid="{56B8E5DA-D102-401F-B7B1-F51182806F89}"/>
    <cellStyle name="Calculation 3 6 4 2" xfId="31546" xr:uid="{0A345976-080E-4F9A-8378-E862DE4D9CFB}"/>
    <cellStyle name="Calculation 3 6 5" xfId="30835" xr:uid="{CA12531B-B202-4143-A112-480E1582D8AE}"/>
    <cellStyle name="Calculation 3 7" xfId="28255" xr:uid="{3BF9B13D-6649-489A-97B9-BF40F425F465}"/>
    <cellStyle name="Calculation 3 7 2" xfId="28256" xr:uid="{08E6E2CA-FB17-4472-AC59-B507E5F6C022}"/>
    <cellStyle name="Calculation 3 7 2 2" xfId="30118" xr:uid="{E84891CE-FC69-4A86-AAC1-EC79FFA6487F}"/>
    <cellStyle name="Calculation 3 7 2 2 2" xfId="31550" xr:uid="{FEEB3CA5-FE76-4389-9E49-282D7B45B71E}"/>
    <cellStyle name="Calculation 3 7 2 3" xfId="30839" xr:uid="{27FB63CD-8DAE-46E4-82A1-CC35E00E0916}"/>
    <cellStyle name="Calculation 3 7 3" xfId="28257" xr:uid="{895DFE44-FCBA-451E-9D62-F13606EAA77B}"/>
    <cellStyle name="Calculation 3 7 3 2" xfId="30119" xr:uid="{73A223E9-16C0-442D-8380-963DDA1FDE53}"/>
    <cellStyle name="Calculation 3 7 3 2 2" xfId="31551" xr:uid="{4B31A8DB-010F-47C3-8698-EDBA150942A0}"/>
    <cellStyle name="Calculation 3 7 3 3" xfId="30840" xr:uid="{2442AA71-66C1-4F2E-9B53-174CB0EE48A7}"/>
    <cellStyle name="Calculation 3 7 4" xfId="30117" xr:uid="{7AC7ED07-8D53-4A78-902A-272685AC7797}"/>
    <cellStyle name="Calculation 3 7 4 2" xfId="31549" xr:uid="{10109462-7521-4121-A135-AA5AB86384F7}"/>
    <cellStyle name="Calculation 3 7 5" xfId="30838" xr:uid="{DBB37217-10CE-4905-B930-17057B20D9D3}"/>
    <cellStyle name="Calculation 3 8" xfId="28258" xr:uid="{F00112FD-86E8-443F-BF79-8FF8BD5A1932}"/>
    <cellStyle name="Calculation 3 8 2" xfId="28259" xr:uid="{B0B33A5E-6FA7-43FE-BDD3-748E740CC68C}"/>
    <cellStyle name="Calculation 3 8 2 2" xfId="30121" xr:uid="{51C6C3F9-57CC-4F8C-880F-7480243E2F9F}"/>
    <cellStyle name="Calculation 3 8 2 2 2" xfId="31553" xr:uid="{499E0FFC-C046-4244-BD9A-CB03B11155B0}"/>
    <cellStyle name="Calculation 3 8 2 3" xfId="30842" xr:uid="{B5FC9197-36B0-4AAB-8DE3-EE678183849C}"/>
    <cellStyle name="Calculation 3 8 3" xfId="28260" xr:uid="{9672AA56-C5C5-4EE7-A053-62A16CB5418D}"/>
    <cellStyle name="Calculation 3 8 3 2" xfId="30122" xr:uid="{5CF905E4-4D08-4DB7-ADD5-FDDA3764DA24}"/>
    <cellStyle name="Calculation 3 8 3 2 2" xfId="31554" xr:uid="{262DB59A-48AE-4827-B0AB-521BDC745C3C}"/>
    <cellStyle name="Calculation 3 8 3 3" xfId="30843" xr:uid="{A447452F-6E64-4663-8137-E8557437FE79}"/>
    <cellStyle name="Calculation 3 8 4" xfId="30120" xr:uid="{1D210991-966D-4BF6-917B-1DA9CC301E9C}"/>
    <cellStyle name="Calculation 3 8 4 2" xfId="31552" xr:uid="{85E7BC52-EE24-4880-AA51-08AAB7E705B9}"/>
    <cellStyle name="Calculation 3 8 5" xfId="30841" xr:uid="{B6386296-8D1C-493E-9315-84F1572D6D10}"/>
    <cellStyle name="Calculation 3 9" xfId="28261" xr:uid="{52D2B9C5-78C4-4DDE-BCAA-92CE0646E290}"/>
    <cellStyle name="Calculation 3 9 2" xfId="28262" xr:uid="{13AF0E8F-1818-48DD-8039-F5E9A533922B}"/>
    <cellStyle name="Calculation 3 9 2 2" xfId="30124" xr:uid="{F41231DF-8C81-48F4-8A0C-1136237FA6E1}"/>
    <cellStyle name="Calculation 3 9 2 2 2" xfId="31556" xr:uid="{A8EA126F-FA16-42A6-90DE-A0B26CE1D1F2}"/>
    <cellStyle name="Calculation 3 9 2 3" xfId="30845" xr:uid="{93CAFC12-0025-458A-836C-C034A12D6371}"/>
    <cellStyle name="Calculation 3 9 3" xfId="28263" xr:uid="{F614C67A-3930-4BD5-B0E7-4AABF041DDB7}"/>
    <cellStyle name="Calculation 3 9 3 2" xfId="30125" xr:uid="{5787EA0D-C7EB-4BCE-848C-6150DBAF8A93}"/>
    <cellStyle name="Calculation 3 9 3 2 2" xfId="31557" xr:uid="{9EA14ED5-A20C-4B13-A355-E3F36913D447}"/>
    <cellStyle name="Calculation 3 9 3 3" xfId="30846" xr:uid="{AA686CE7-DFAD-4B41-853B-D951A1BFAF6F}"/>
    <cellStyle name="Calculation 3 9 4" xfId="30123" xr:uid="{956B8028-E9B9-4EF6-84E7-273B8A8BD957}"/>
    <cellStyle name="Calculation 3 9 4 2" xfId="31555" xr:uid="{EC3B8605-D734-4C29-97CC-764487383081}"/>
    <cellStyle name="Calculation 3 9 5" xfId="30844" xr:uid="{DBFC6198-6602-4774-8D3E-9D7F76F48EF6}"/>
    <cellStyle name="Calculation 4 10" xfId="28264" xr:uid="{1EB1FBF9-4722-44E0-8E81-08F70F4F9920}"/>
    <cellStyle name="Calculation 4 10 2" xfId="28265" xr:uid="{A161A506-5CA1-4402-9107-8991365642AC}"/>
    <cellStyle name="Calculation 4 10 2 2" xfId="30127" xr:uid="{A3AC5A04-3841-4C13-9DC1-A730B9FBEB6A}"/>
    <cellStyle name="Calculation 4 10 2 2 2" xfId="31559" xr:uid="{5F7726D5-94DC-48B0-8098-8A11457EB289}"/>
    <cellStyle name="Calculation 4 10 2 3" xfId="30848" xr:uid="{DA8755AE-7003-4BA0-9274-FD73C4AFAF0D}"/>
    <cellStyle name="Calculation 4 10 3" xfId="28266" xr:uid="{F73F19C0-1365-4AE6-BD96-E5C523BB122F}"/>
    <cellStyle name="Calculation 4 10 3 2" xfId="30128" xr:uid="{20FFFDB7-753F-4243-B246-4610BD04F293}"/>
    <cellStyle name="Calculation 4 10 3 2 2" xfId="31560" xr:uid="{6E0DCC41-33C2-4511-83E1-59D14D70726A}"/>
    <cellStyle name="Calculation 4 10 3 3" xfId="30849" xr:uid="{A83F6F72-AFEF-4483-A371-2826854EB3D7}"/>
    <cellStyle name="Calculation 4 10 4" xfId="30126" xr:uid="{DF06A260-285A-4BC0-A407-5C2129BB885E}"/>
    <cellStyle name="Calculation 4 10 4 2" xfId="31558" xr:uid="{8CB39643-DDF9-49F9-99BA-8F5B846DC47F}"/>
    <cellStyle name="Calculation 4 10 5" xfId="30847" xr:uid="{579419FE-7F74-4E88-A97E-5FE132B48378}"/>
    <cellStyle name="Calculation 4 2" xfId="28267" xr:uid="{589B778F-2DFE-441A-8A5D-1C6F1D1C2636}"/>
    <cellStyle name="Calculation 4 2 2" xfId="28268" xr:uid="{20F5D63B-EB7D-4869-B053-D4DFD9597F10}"/>
    <cellStyle name="Calculation 4 2 2 2" xfId="30130" xr:uid="{A05C5DFB-0FB9-41E8-953C-25EC73ABC797}"/>
    <cellStyle name="Calculation 4 2 2 2 2" xfId="31562" xr:uid="{95756674-C20E-4EDF-9BA4-A4D21F33DD19}"/>
    <cellStyle name="Calculation 4 2 2 3" xfId="30851" xr:uid="{7C589AD3-CECA-49B3-B3EB-BFA1668B3496}"/>
    <cellStyle name="Calculation 4 2 3" xfId="28269" xr:uid="{25F59070-D4D2-45C6-9803-1274CEAF14E1}"/>
    <cellStyle name="Calculation 4 2 3 2" xfId="30131" xr:uid="{03D3C34E-0369-4BCA-963C-2399E47780F5}"/>
    <cellStyle name="Calculation 4 2 3 2 2" xfId="31563" xr:uid="{1C09079B-96F3-47D8-AA2C-FEAF30193EB8}"/>
    <cellStyle name="Calculation 4 2 3 3" xfId="30852" xr:uid="{7B8EA272-10B3-40E1-B7A7-A6A39A056971}"/>
    <cellStyle name="Calculation 4 2 4" xfId="30129" xr:uid="{E89EAD16-97F4-4884-A9E7-91F99B7A34D4}"/>
    <cellStyle name="Calculation 4 2 4 2" xfId="31561" xr:uid="{5FA6818B-51F1-46DA-B442-7DB668D9AAEC}"/>
    <cellStyle name="Calculation 4 2 5" xfId="30850" xr:uid="{DA0615CD-BD48-41B8-9295-F1C0BF8EC634}"/>
    <cellStyle name="Calculation 4 3" xfId="28270" xr:uid="{B4371419-C91C-4754-ACB5-C004C51FCBFF}"/>
    <cellStyle name="Calculation 4 3 2" xfId="28271" xr:uid="{8AE26C65-6A4D-41D9-9C0D-65A35A390377}"/>
    <cellStyle name="Calculation 4 3 2 2" xfId="30133" xr:uid="{074A3A69-8125-40F2-BC03-8A9875C87AEF}"/>
    <cellStyle name="Calculation 4 3 2 2 2" xfId="31565" xr:uid="{03EBEC3C-FCCA-4BA9-9400-82109F7E212A}"/>
    <cellStyle name="Calculation 4 3 2 3" xfId="30854" xr:uid="{CF00B2B0-D5C3-4EE9-84BF-AC69D40A116D}"/>
    <cellStyle name="Calculation 4 3 3" xfId="28272" xr:uid="{9782970B-8576-4737-A6A8-83E80B853013}"/>
    <cellStyle name="Calculation 4 3 3 2" xfId="30134" xr:uid="{B3363983-E09B-45F1-A1D8-B748F1A5D78F}"/>
    <cellStyle name="Calculation 4 3 3 2 2" xfId="31566" xr:uid="{7E60E9F3-E7FF-462C-B785-AC2ED49687F3}"/>
    <cellStyle name="Calculation 4 3 3 3" xfId="30855" xr:uid="{9DB2BB8B-1963-4DCD-9C27-54544EB6D1AB}"/>
    <cellStyle name="Calculation 4 3 4" xfId="30132" xr:uid="{E7E9285A-35C9-4119-A576-E25CAB5A72F3}"/>
    <cellStyle name="Calculation 4 3 4 2" xfId="31564" xr:uid="{1E5D16E0-4BCE-48F0-957D-ED55B8349437}"/>
    <cellStyle name="Calculation 4 3 5" xfId="30853" xr:uid="{EEFB36CB-B143-4217-97F6-0F8901851B44}"/>
    <cellStyle name="Calculation 4 4" xfId="28273" xr:uid="{8E38615B-5ECB-4CC4-89AC-EC8C6E600FA8}"/>
    <cellStyle name="Calculation 4 4 2" xfId="28274" xr:uid="{FF37B7D4-F985-46D9-BEC7-5C939B3E58BA}"/>
    <cellStyle name="Calculation 4 4 2 2" xfId="30136" xr:uid="{9A5D9544-B5BB-4437-AD7E-DC11BA66F334}"/>
    <cellStyle name="Calculation 4 4 2 2 2" xfId="31568" xr:uid="{CEAB8F1D-52BA-4DF9-928F-3E86C81BDB28}"/>
    <cellStyle name="Calculation 4 4 2 3" xfId="30857" xr:uid="{EC2DCBE7-4A90-4A93-9F92-FFDC5263983B}"/>
    <cellStyle name="Calculation 4 4 3" xfId="28275" xr:uid="{6F493657-3AB2-4727-8BC0-6C9F3D4F49B4}"/>
    <cellStyle name="Calculation 4 4 3 2" xfId="30137" xr:uid="{98AFC5B7-7A46-4E1C-B5BF-AA67E3CCD250}"/>
    <cellStyle name="Calculation 4 4 3 2 2" xfId="31569" xr:uid="{3BDD655A-EC13-410A-AFBF-44419E7069A4}"/>
    <cellStyle name="Calculation 4 4 3 3" xfId="30858" xr:uid="{F064D7D5-0EB1-426C-B0DF-18F8DB6741E0}"/>
    <cellStyle name="Calculation 4 4 4" xfId="30135" xr:uid="{07A1E441-F516-4281-AFCB-2E92F1C0E37B}"/>
    <cellStyle name="Calculation 4 4 4 2" xfId="31567" xr:uid="{BD39D438-3E9E-466E-9CF9-F6D5B8480CDF}"/>
    <cellStyle name="Calculation 4 4 5" xfId="30856" xr:uid="{287C472A-4506-49EA-8FEE-3305F3CBE44B}"/>
    <cellStyle name="Calculation 4 5" xfId="28276" xr:uid="{87A3FE23-4E7C-49D2-B075-36C9636DF31C}"/>
    <cellStyle name="Calculation 4 5 2" xfId="28277" xr:uid="{7F281278-6098-460E-B984-5A37B3C1FD1C}"/>
    <cellStyle name="Calculation 4 5 2 2" xfId="30139" xr:uid="{C992462B-45EA-4E84-A3B6-0C3A5A4E9CBC}"/>
    <cellStyle name="Calculation 4 5 2 2 2" xfId="31571" xr:uid="{A69E9A39-3019-4E48-A5F9-81092C6D4F8C}"/>
    <cellStyle name="Calculation 4 5 2 3" xfId="30860" xr:uid="{5C48E5EB-74B5-4E8F-88FA-4E8E99542D13}"/>
    <cellStyle name="Calculation 4 5 3" xfId="28278" xr:uid="{146EC838-D907-43A2-A435-4BB7A9B6FDC0}"/>
    <cellStyle name="Calculation 4 5 3 2" xfId="30140" xr:uid="{E56E4D38-682B-4F3A-867D-096D8711F45E}"/>
    <cellStyle name="Calculation 4 5 3 2 2" xfId="31572" xr:uid="{0E8824F0-0B14-4772-BDA7-CDBB9962A848}"/>
    <cellStyle name="Calculation 4 5 3 3" xfId="30861" xr:uid="{56F6497A-BDAC-41D9-9342-C4F8DB99B101}"/>
    <cellStyle name="Calculation 4 5 4" xfId="30138" xr:uid="{271954E6-5228-4CFE-9959-0FB9F0050732}"/>
    <cellStyle name="Calculation 4 5 4 2" xfId="31570" xr:uid="{CD3E48BD-85B5-4AF6-9DFE-742FC56FB141}"/>
    <cellStyle name="Calculation 4 5 5" xfId="30859" xr:uid="{341D7224-0995-41B7-83DC-86ED49F6E5A7}"/>
    <cellStyle name="Calculation 4 6" xfId="28279" xr:uid="{452D2C9D-47CD-4445-8BBD-ABFE45212CC3}"/>
    <cellStyle name="Calculation 4 6 2" xfId="28280" xr:uid="{8281FDFA-5DC2-43D4-BF2D-4E9D129537FD}"/>
    <cellStyle name="Calculation 4 6 2 2" xfId="30142" xr:uid="{D2EF6199-39D1-4973-8033-40F9B901CEDC}"/>
    <cellStyle name="Calculation 4 6 2 2 2" xfId="31574" xr:uid="{C7E9B929-D2D8-44CD-A04E-76BC108E3CB4}"/>
    <cellStyle name="Calculation 4 6 2 3" xfId="30863" xr:uid="{246BB218-E2FA-4A3A-B446-E78613ABA383}"/>
    <cellStyle name="Calculation 4 6 3" xfId="28281" xr:uid="{941D9950-924D-4F14-B68A-B7EE342E0397}"/>
    <cellStyle name="Calculation 4 6 3 2" xfId="30143" xr:uid="{870B0015-B647-4BE5-BB13-C17EC644CDBE}"/>
    <cellStyle name="Calculation 4 6 3 2 2" xfId="31575" xr:uid="{AF75496C-C29B-4EAE-A1ED-1EF45F6D6D59}"/>
    <cellStyle name="Calculation 4 6 3 3" xfId="30864" xr:uid="{62D56E0D-877E-46EC-AD5E-6AAD3F1D87BD}"/>
    <cellStyle name="Calculation 4 6 4" xfId="30141" xr:uid="{F5B1177D-4605-4F00-9F7C-CB515C9C53EE}"/>
    <cellStyle name="Calculation 4 6 4 2" xfId="31573" xr:uid="{7371A9E3-2355-440B-B6BC-88B1A70727BE}"/>
    <cellStyle name="Calculation 4 6 5" xfId="30862" xr:uid="{D064D2CB-1357-4EBE-9673-2549643E85C2}"/>
    <cellStyle name="Calculation 4 7" xfId="28282" xr:uid="{B1BADC3F-7CC9-458F-B2E2-8CC5824C2F0F}"/>
    <cellStyle name="Calculation 4 7 2" xfId="28283" xr:uid="{C5351716-BDD3-41AA-B81A-F9060BC7BFA8}"/>
    <cellStyle name="Calculation 4 7 2 2" xfId="30145" xr:uid="{A8AD155E-23E1-41D1-B4B9-04A252B8106A}"/>
    <cellStyle name="Calculation 4 7 2 2 2" xfId="31577" xr:uid="{4305214F-0A6F-44CF-BCCC-D7472383EED6}"/>
    <cellStyle name="Calculation 4 7 2 3" xfId="30866" xr:uid="{AE6EF6F5-2B3A-4114-A18A-375971E0F48C}"/>
    <cellStyle name="Calculation 4 7 3" xfId="28284" xr:uid="{CA185795-37E5-44F1-81D4-CEB7007B9BE2}"/>
    <cellStyle name="Calculation 4 7 3 2" xfId="30146" xr:uid="{506FB3D5-1A31-46CD-9AA6-33F925B11124}"/>
    <cellStyle name="Calculation 4 7 3 2 2" xfId="31578" xr:uid="{76BFA371-EFAA-4D27-AE84-7AD0E90B1EED}"/>
    <cellStyle name="Calculation 4 7 3 3" xfId="30867" xr:uid="{B4E5CBE2-C9BB-464C-8014-3BEF8D508AD3}"/>
    <cellStyle name="Calculation 4 7 4" xfId="30144" xr:uid="{C287BD42-0284-4D57-8991-E01D71F7FB4D}"/>
    <cellStyle name="Calculation 4 7 4 2" xfId="31576" xr:uid="{FC2D0F03-C53A-4B32-B9DD-7D1B9477CA81}"/>
    <cellStyle name="Calculation 4 7 5" xfId="30865" xr:uid="{C2539D07-184A-498D-896D-141C0C4EA067}"/>
    <cellStyle name="Calculation 4 8" xfId="28285" xr:uid="{BB363D65-4403-46CC-9983-0FECCEEFC5EE}"/>
    <cellStyle name="Calculation 4 8 2" xfId="28286" xr:uid="{272BEFAB-45C4-4FEC-A6B6-5CB7F165C9A1}"/>
    <cellStyle name="Calculation 4 8 2 2" xfId="30148" xr:uid="{0682B24A-C66F-4484-A92C-DE37CBCC7276}"/>
    <cellStyle name="Calculation 4 8 2 2 2" xfId="31580" xr:uid="{FD6ED9B6-F884-4EEF-8049-A2424E412A38}"/>
    <cellStyle name="Calculation 4 8 2 3" xfId="30869" xr:uid="{965D8C82-CFFC-46A9-A34C-DE1649CB2A52}"/>
    <cellStyle name="Calculation 4 8 3" xfId="28287" xr:uid="{454B1599-2DEF-468F-9220-D7CD3F441757}"/>
    <cellStyle name="Calculation 4 8 3 2" xfId="30149" xr:uid="{1300A6AE-5B75-4F02-9CAF-A34C8D1AB9C0}"/>
    <cellStyle name="Calculation 4 8 3 2 2" xfId="31581" xr:uid="{4D8AF53F-94DC-4738-81B3-BFEC404AD473}"/>
    <cellStyle name="Calculation 4 8 3 3" xfId="30870" xr:uid="{4EBD91BC-2809-49E0-91A0-B6F6E39931B1}"/>
    <cellStyle name="Calculation 4 8 4" xfId="30147" xr:uid="{16354D41-274C-4AAC-B957-77101AF7F1EF}"/>
    <cellStyle name="Calculation 4 8 4 2" xfId="31579" xr:uid="{878216C6-D0BE-40EE-A2A7-D22EE94919D8}"/>
    <cellStyle name="Calculation 4 8 5" xfId="30868" xr:uid="{18C79BFE-80AF-41B3-92A3-2EB9564B3F40}"/>
    <cellStyle name="Calculation 4 9" xfId="28288" xr:uid="{9E662BDD-27D0-42B4-8945-8E6C4AC6AB04}"/>
    <cellStyle name="Calculation 4 9 2" xfId="28289" xr:uid="{3177E913-0476-4682-96D3-63DBE23767CD}"/>
    <cellStyle name="Calculation 4 9 2 2" xfId="30151" xr:uid="{054D7597-4992-4F5C-B1F8-B19692740F92}"/>
    <cellStyle name="Calculation 4 9 2 2 2" xfId="31583" xr:uid="{C24D75F1-9949-44F9-BCD1-9378DE53448B}"/>
    <cellStyle name="Calculation 4 9 2 3" xfId="30872" xr:uid="{BE92D2EB-D1DD-48B0-B19B-F6029A11A9D9}"/>
    <cellStyle name="Calculation 4 9 3" xfId="28290" xr:uid="{A326ECEC-9BFD-41FE-9462-DC8F1754CCB6}"/>
    <cellStyle name="Calculation 4 9 3 2" xfId="30152" xr:uid="{CE711431-62A2-42C8-9484-C5760F04D670}"/>
    <cellStyle name="Calculation 4 9 3 2 2" xfId="31584" xr:uid="{39A5C376-4BEF-4029-B64E-8D631DA347A5}"/>
    <cellStyle name="Calculation 4 9 3 3" xfId="30873" xr:uid="{9E201AFE-32E7-452A-8496-3AB728AD5AE1}"/>
    <cellStyle name="Calculation 4 9 4" xfId="30150" xr:uid="{81FBBCEE-5540-4AA8-BD3E-33A4771D6B22}"/>
    <cellStyle name="Calculation 4 9 4 2" xfId="31582" xr:uid="{FCA8B7BC-D603-4E90-9D30-A74775B0068D}"/>
    <cellStyle name="Calculation 4 9 5" xfId="30871" xr:uid="{8D3ADB00-0FB6-4477-94C4-96B2E6AC8E34}"/>
    <cellStyle name="Calculation 5 10" xfId="28291" xr:uid="{0B87960C-E21A-41CB-9BDC-165A9FA3BA68}"/>
    <cellStyle name="Calculation 5 10 2" xfId="28292" xr:uid="{4668DDAC-FCD8-4D3A-B253-9A0D3411E117}"/>
    <cellStyle name="Calculation 5 10 2 2" xfId="30154" xr:uid="{925D7BE2-1C43-486F-9222-E44459A65AC1}"/>
    <cellStyle name="Calculation 5 10 2 2 2" xfId="31586" xr:uid="{E83E7914-1830-4115-BE65-CAD3948E3EC8}"/>
    <cellStyle name="Calculation 5 10 2 3" xfId="30875" xr:uid="{2350EFB4-6C77-4924-B94A-9EDF301F2DEE}"/>
    <cellStyle name="Calculation 5 10 3" xfId="28293" xr:uid="{9F84E40D-9D3E-4557-9037-88263C215DDD}"/>
    <cellStyle name="Calculation 5 10 3 2" xfId="30155" xr:uid="{2DFC9724-2161-47B7-B531-C51F806A1128}"/>
    <cellStyle name="Calculation 5 10 3 2 2" xfId="31587" xr:uid="{AEAAAD16-9A93-43BC-9EA7-F07C37B4ECCE}"/>
    <cellStyle name="Calculation 5 10 3 3" xfId="30876" xr:uid="{74428DD4-2B47-4544-9EF2-A7BC33546321}"/>
    <cellStyle name="Calculation 5 10 4" xfId="30153" xr:uid="{67423A33-17F6-4DEC-AF27-F78556F11AF1}"/>
    <cellStyle name="Calculation 5 10 4 2" xfId="31585" xr:uid="{DDAD97F8-99BC-4816-B516-33CDD413213F}"/>
    <cellStyle name="Calculation 5 10 5" xfId="30874" xr:uid="{A804D8CC-E826-40B1-A988-DE4D8C897B18}"/>
    <cellStyle name="Calculation 5 2" xfId="28294" xr:uid="{CF14EE4E-49EC-4232-B83F-A623CB9B0895}"/>
    <cellStyle name="Calculation 5 2 2" xfId="28295" xr:uid="{AB6734B5-8C2C-4FB4-8E0B-3261DC5C4686}"/>
    <cellStyle name="Calculation 5 2 2 2" xfId="30157" xr:uid="{A0EE0D41-4168-4A1F-AE56-B2596D20D629}"/>
    <cellStyle name="Calculation 5 2 2 2 2" xfId="31589" xr:uid="{47E576DF-AC97-43E0-A010-CBE20F797491}"/>
    <cellStyle name="Calculation 5 2 2 3" xfId="30878" xr:uid="{FF8EE079-92CA-4B36-9B2C-2416C5CA8F42}"/>
    <cellStyle name="Calculation 5 2 3" xfId="28296" xr:uid="{7ED386F5-0D7A-4A56-8CE1-388FB4304EE4}"/>
    <cellStyle name="Calculation 5 2 3 2" xfId="30158" xr:uid="{E0670D67-274D-426B-BB64-D15B35C6E3E8}"/>
    <cellStyle name="Calculation 5 2 3 2 2" xfId="31590" xr:uid="{48A2C855-35E6-4D86-9709-A2B72D651362}"/>
    <cellStyle name="Calculation 5 2 3 3" xfId="30879" xr:uid="{5B17FD69-098C-4271-83F8-8AD1E9992AFB}"/>
    <cellStyle name="Calculation 5 2 4" xfId="30156" xr:uid="{F6802494-298B-4D64-8FDA-F9D8CCAE8F69}"/>
    <cellStyle name="Calculation 5 2 4 2" xfId="31588" xr:uid="{3D1955B3-1AB3-4D83-94BE-417977A34266}"/>
    <cellStyle name="Calculation 5 2 5" xfId="30877" xr:uid="{087E1877-F385-4390-8D2C-B34AA1080AE4}"/>
    <cellStyle name="Calculation 5 3" xfId="28297" xr:uid="{B0FBC486-ABFC-445A-87E2-E9D31D4C79E1}"/>
    <cellStyle name="Calculation 5 3 2" xfId="28298" xr:uid="{4EE3B3E5-A67F-46EB-9B2C-17F143803AD2}"/>
    <cellStyle name="Calculation 5 3 2 2" xfId="30160" xr:uid="{61016FBD-F75C-4B1D-AE99-1529DF2D1FA0}"/>
    <cellStyle name="Calculation 5 3 2 2 2" xfId="31592" xr:uid="{5601F47A-E386-44D5-B7CB-B9B0D56370D7}"/>
    <cellStyle name="Calculation 5 3 2 3" xfId="30881" xr:uid="{A12F1C91-2820-4585-A4C6-5079B477BE65}"/>
    <cellStyle name="Calculation 5 3 3" xfId="28299" xr:uid="{092BFD2D-B96A-4EF0-BFBA-CE79EC116C93}"/>
    <cellStyle name="Calculation 5 3 3 2" xfId="30161" xr:uid="{68E21C88-BA45-4481-973B-70ED4A6E7020}"/>
    <cellStyle name="Calculation 5 3 3 2 2" xfId="31593" xr:uid="{CAEEE5AB-674A-4685-B730-4ABC56323623}"/>
    <cellStyle name="Calculation 5 3 3 3" xfId="30882" xr:uid="{9A3A4C9B-1262-4BB8-83E7-25469679EE6E}"/>
    <cellStyle name="Calculation 5 3 4" xfId="30159" xr:uid="{465625E9-E652-4B00-A727-E9172D109D87}"/>
    <cellStyle name="Calculation 5 3 4 2" xfId="31591" xr:uid="{5B1ACC15-06DB-4534-8309-01F002895002}"/>
    <cellStyle name="Calculation 5 3 5" xfId="30880" xr:uid="{26461EB7-577B-472B-B4ED-DC2D4388BBEB}"/>
    <cellStyle name="Calculation 5 4" xfId="28300" xr:uid="{FBA3ECB9-61AB-4130-AE0B-3D6F85850E02}"/>
    <cellStyle name="Calculation 5 4 2" xfId="28301" xr:uid="{2A73A6EC-D269-4725-AD29-6A300F5FA391}"/>
    <cellStyle name="Calculation 5 4 2 2" xfId="30163" xr:uid="{63CEACF6-2D07-4CC5-B6FB-57843024F310}"/>
    <cellStyle name="Calculation 5 4 2 2 2" xfId="31595" xr:uid="{9B4B4553-C027-439A-99E8-16F6E3A258D6}"/>
    <cellStyle name="Calculation 5 4 2 3" xfId="30884" xr:uid="{F8D37C07-EF00-4A82-A568-50ADECF9B008}"/>
    <cellStyle name="Calculation 5 4 3" xfId="28302" xr:uid="{5273324E-844D-4178-8D61-9DFE5340D463}"/>
    <cellStyle name="Calculation 5 4 3 2" xfId="30164" xr:uid="{CA535911-363B-4529-83E5-98FF31C7D770}"/>
    <cellStyle name="Calculation 5 4 3 2 2" xfId="31596" xr:uid="{68E4ACC2-87C6-4EFF-B134-C90A8BC1EE44}"/>
    <cellStyle name="Calculation 5 4 3 3" xfId="30885" xr:uid="{CEE43116-3663-488E-926A-7A4FDA009E67}"/>
    <cellStyle name="Calculation 5 4 4" xfId="30162" xr:uid="{A380D569-2933-436F-8263-CD862B6D1124}"/>
    <cellStyle name="Calculation 5 4 4 2" xfId="31594" xr:uid="{E207F2E9-40CB-47C4-8855-0A67BB5CA5AF}"/>
    <cellStyle name="Calculation 5 4 5" xfId="30883" xr:uid="{410562F6-93D9-4C68-AB83-AAA2E0AB0793}"/>
    <cellStyle name="Calculation 5 5" xfId="28303" xr:uid="{FD487C3C-C5DA-4F6A-9F43-50163F4B2F9B}"/>
    <cellStyle name="Calculation 5 5 2" xfId="28304" xr:uid="{CA4C06A7-40F5-43C8-92DB-6C3BE72928E7}"/>
    <cellStyle name="Calculation 5 5 2 2" xfId="30166" xr:uid="{77ED34C3-EECB-4935-A5AB-A62C25789448}"/>
    <cellStyle name="Calculation 5 5 2 2 2" xfId="31598" xr:uid="{3169C433-BED5-401C-95E5-652479F77148}"/>
    <cellStyle name="Calculation 5 5 2 3" xfId="30887" xr:uid="{65DB332C-38F8-4F9A-B64E-7D71778F8636}"/>
    <cellStyle name="Calculation 5 5 3" xfId="28305" xr:uid="{6B7F8584-29FF-4C2A-97DC-A3F77327DD09}"/>
    <cellStyle name="Calculation 5 5 3 2" xfId="30167" xr:uid="{66E64FD7-5460-4F58-B944-F39D61D53E49}"/>
    <cellStyle name="Calculation 5 5 3 2 2" xfId="31599" xr:uid="{79438BDA-C423-4701-92AF-7EA4A70F0DEE}"/>
    <cellStyle name="Calculation 5 5 3 3" xfId="30888" xr:uid="{D5BFD95C-FB01-4652-8181-69CABFA6EE33}"/>
    <cellStyle name="Calculation 5 5 4" xfId="30165" xr:uid="{669B3014-0CB5-4E3F-8E26-9B7A17D933E1}"/>
    <cellStyle name="Calculation 5 5 4 2" xfId="31597" xr:uid="{F546C394-FAB3-463D-B56E-A0BB7C503195}"/>
    <cellStyle name="Calculation 5 5 5" xfId="30886" xr:uid="{63EAEFBC-B060-4BB8-9CB6-8E36449BE814}"/>
    <cellStyle name="Calculation 5 6" xfId="28306" xr:uid="{6D741850-D17B-4A00-AE28-F1900DF7DEDB}"/>
    <cellStyle name="Calculation 5 6 2" xfId="28307" xr:uid="{49BE8DDD-A199-4023-87ED-8F3A86C30EB2}"/>
    <cellStyle name="Calculation 5 6 2 2" xfId="30169" xr:uid="{A1CB7898-97CF-424F-B021-A5724D3CEEA8}"/>
    <cellStyle name="Calculation 5 6 2 2 2" xfId="31601" xr:uid="{FA5CAF65-6317-428E-BC38-91AE108C8FF5}"/>
    <cellStyle name="Calculation 5 6 2 3" xfId="30890" xr:uid="{E228B4EA-56BB-4ED5-80B6-B3A34B013592}"/>
    <cellStyle name="Calculation 5 6 3" xfId="28308" xr:uid="{23926827-AB4D-44BC-9762-66BD3B1E50CB}"/>
    <cellStyle name="Calculation 5 6 3 2" xfId="30170" xr:uid="{B442102B-1A0B-42A7-99D0-8F38B4A18D33}"/>
    <cellStyle name="Calculation 5 6 3 2 2" xfId="31602" xr:uid="{CC2DC517-2E75-4F88-930B-A950BCAADC31}"/>
    <cellStyle name="Calculation 5 6 3 3" xfId="30891" xr:uid="{D716912A-A693-4EA7-8B72-71EE3070EF63}"/>
    <cellStyle name="Calculation 5 6 4" xfId="30168" xr:uid="{6600C0E2-3EB4-4AF9-A08F-8A1E30D89E89}"/>
    <cellStyle name="Calculation 5 6 4 2" xfId="31600" xr:uid="{5DD0670F-3133-4F7C-809F-6D5473A09F87}"/>
    <cellStyle name="Calculation 5 6 5" xfId="30889" xr:uid="{4B9E1DC2-9C10-41C6-888A-D3EBFE0EE7FF}"/>
    <cellStyle name="Calculation 5 7" xfId="28309" xr:uid="{399FBB3C-16BC-4FB4-80F7-CAE5A9925EEF}"/>
    <cellStyle name="Calculation 5 7 2" xfId="28310" xr:uid="{483D4609-831E-4DAA-BC40-E50A455F01DB}"/>
    <cellStyle name="Calculation 5 7 2 2" xfId="30172" xr:uid="{09F3CFE6-E201-4CB1-B264-4CCEF1A2042C}"/>
    <cellStyle name="Calculation 5 7 2 2 2" xfId="31604" xr:uid="{C0AA86A4-DD5D-470E-AE4D-14C8A06CAFD4}"/>
    <cellStyle name="Calculation 5 7 2 3" xfId="30893" xr:uid="{23CE3CA4-3AC4-468A-9813-80E0D1A20D3B}"/>
    <cellStyle name="Calculation 5 7 3" xfId="28311" xr:uid="{7AA5B41B-3D18-431E-9F09-CC83B2E59196}"/>
    <cellStyle name="Calculation 5 7 3 2" xfId="30173" xr:uid="{B1F97F02-322F-481D-8B4A-85CE16021B4D}"/>
    <cellStyle name="Calculation 5 7 3 2 2" xfId="31605" xr:uid="{552D2EBB-8E27-43A9-A877-EE3E9335499D}"/>
    <cellStyle name="Calculation 5 7 3 3" xfId="30894" xr:uid="{AE053F32-B078-4816-8753-D160A835DE8A}"/>
    <cellStyle name="Calculation 5 7 4" xfId="30171" xr:uid="{522C31FE-4B95-4BA0-96BB-B2B53E2CC988}"/>
    <cellStyle name="Calculation 5 7 4 2" xfId="31603" xr:uid="{44459D38-AF47-4879-BDB6-C27F2A4E7F93}"/>
    <cellStyle name="Calculation 5 7 5" xfId="30892" xr:uid="{F667C2E7-A674-44DB-A471-A55949133839}"/>
    <cellStyle name="Calculation 5 8" xfId="28312" xr:uid="{1FEF968E-0D5C-45C9-948D-709FFEAB1B6D}"/>
    <cellStyle name="Calculation 5 8 2" xfId="28313" xr:uid="{AF3F340D-1A91-40A1-80EF-3040B8978174}"/>
    <cellStyle name="Calculation 5 8 2 2" xfId="30175" xr:uid="{FE5050EE-AC29-4567-B291-A931D98C90CD}"/>
    <cellStyle name="Calculation 5 8 2 2 2" xfId="31607" xr:uid="{70BB2230-209F-4DEF-AC61-792186F05825}"/>
    <cellStyle name="Calculation 5 8 2 3" xfId="30896" xr:uid="{7BA43676-8299-4FC5-A398-4E43A9D64F58}"/>
    <cellStyle name="Calculation 5 8 3" xfId="28314" xr:uid="{B552E02B-9537-4B8F-9056-C787E7D0C05D}"/>
    <cellStyle name="Calculation 5 8 3 2" xfId="30176" xr:uid="{653F0D69-DB38-4A57-A60F-85841D4968F4}"/>
    <cellStyle name="Calculation 5 8 3 2 2" xfId="31608" xr:uid="{51B5BDD9-CEDB-4F6E-BDEA-D2296C526BB0}"/>
    <cellStyle name="Calculation 5 8 3 3" xfId="30897" xr:uid="{2C1A9DEA-4612-4470-8A71-128CA21F7BDC}"/>
    <cellStyle name="Calculation 5 8 4" xfId="30174" xr:uid="{CA650EDD-F95F-446F-955E-439FB5CF38F5}"/>
    <cellStyle name="Calculation 5 8 4 2" xfId="31606" xr:uid="{F958498A-A570-43C1-95C0-A8AE90E82ABB}"/>
    <cellStyle name="Calculation 5 8 5" xfId="30895" xr:uid="{7B4851BA-7313-4C5E-AD96-6E1E05DFC512}"/>
    <cellStyle name="Calculation 5 9" xfId="28315" xr:uid="{F5757E71-907F-4037-960E-DB51FC49012A}"/>
    <cellStyle name="Calculation 5 9 2" xfId="28316" xr:uid="{2A73AACC-84C2-4859-B7CD-0E5870181D05}"/>
    <cellStyle name="Calculation 5 9 2 2" xfId="30178" xr:uid="{5A79B0E2-EF81-47AC-9F9A-056D165BF819}"/>
    <cellStyle name="Calculation 5 9 2 2 2" xfId="31610" xr:uid="{809079B0-A14A-44A8-BAB1-F3FFB4A6390B}"/>
    <cellStyle name="Calculation 5 9 2 3" xfId="30899" xr:uid="{48E1FD7B-0D0F-4052-996F-14E8F2579847}"/>
    <cellStyle name="Calculation 5 9 3" xfId="28317" xr:uid="{37F66CB8-3732-4280-9BF4-A94B97085053}"/>
    <cellStyle name="Calculation 5 9 3 2" xfId="30179" xr:uid="{9E275D1E-E606-4264-BEF1-AD7657562E1B}"/>
    <cellStyle name="Calculation 5 9 3 2 2" xfId="31611" xr:uid="{039B0FDF-F622-4A1C-BD5F-3BBF7A2DED3B}"/>
    <cellStyle name="Calculation 5 9 3 3" xfId="30900" xr:uid="{9892708A-EB06-419C-94D9-70CDB5351C83}"/>
    <cellStyle name="Calculation 5 9 4" xfId="30177" xr:uid="{403EE6C0-BEE0-4FA4-B462-DE3E599B0454}"/>
    <cellStyle name="Calculation 5 9 4 2" xfId="31609" xr:uid="{34567F2E-6F35-4C88-B765-F176A5743608}"/>
    <cellStyle name="Calculation 5 9 5" xfId="30898" xr:uid="{0E9EF3DA-DA7D-4EE7-B9E4-DD6BE3ECB3D8}"/>
    <cellStyle name="category" xfId="26127" xr:uid="{1C21CA48-67F6-46C2-AFFC-F89C249DAA51}"/>
    <cellStyle name="Check Cell" xfId="35" builtinId="23" customBuiltin="1"/>
    <cellStyle name="Check Cell 2" xfId="102" xr:uid="{00000000-0005-0000-0000-00002B100000}"/>
    <cellStyle name="Check Cell 2 10" xfId="28318" xr:uid="{3B5A46F2-152F-47F0-BDF8-6427DCA99611}"/>
    <cellStyle name="Check Cell 2 2" xfId="26212" xr:uid="{D4E14632-1B87-4F7F-9904-44F94471D9B1}"/>
    <cellStyle name="Check Cell 2 2 2" xfId="28319" xr:uid="{FF7BF02A-C767-414C-9D3B-C8ED3E67D4DD}"/>
    <cellStyle name="Check Cell 2 3" xfId="28320" xr:uid="{D45A2E9B-2088-4F16-9E97-A51FFF463879}"/>
    <cellStyle name="Check Cell 2 4" xfId="28321" xr:uid="{E51676B5-6A51-4E4D-98BE-D4B6FA968421}"/>
    <cellStyle name="Check Cell 2 5" xfId="28322" xr:uid="{24494F36-B3E3-4C24-ACE5-031AEEA828FD}"/>
    <cellStyle name="Check Cell 2 6" xfId="28323" xr:uid="{6BEBDFB4-504D-415A-948D-8F2D492B2818}"/>
    <cellStyle name="Check Cell 2 7" xfId="28324" xr:uid="{E57F5791-BEF2-42C7-9483-4DD64901E481}"/>
    <cellStyle name="Check Cell 2 8" xfId="28325" xr:uid="{DE63BED4-7F09-4A3C-94A6-95C5CED457AC}"/>
    <cellStyle name="Check Cell 2 9" xfId="28326" xr:uid="{2CDF1DB9-46F6-4623-B875-24BD40F45459}"/>
    <cellStyle name="Check Cell 2_WBS Creation" xfId="28327" xr:uid="{BB7B17A4-FC4C-4D4D-B5BC-2323522CCECF}"/>
    <cellStyle name="Check Cell 3 10" xfId="28328" xr:uid="{77B48A2C-B92A-4941-BFD8-8294A791C030}"/>
    <cellStyle name="Check Cell 3 2" xfId="28329" xr:uid="{3333E3D5-3416-475F-98E4-C8ACE419E9DD}"/>
    <cellStyle name="Check Cell 3 3" xfId="28330" xr:uid="{7E082A57-8575-4FD5-BCE6-25E916549BB4}"/>
    <cellStyle name="Check Cell 3 4" xfId="28331" xr:uid="{75725F02-3734-4C99-ABE3-7F013F9EEE55}"/>
    <cellStyle name="Check Cell 3 5" xfId="28332" xr:uid="{8F90B0D0-A831-4146-B2B6-12E66A08A037}"/>
    <cellStyle name="Check Cell 3 6" xfId="28333" xr:uid="{16143E00-FDDF-46D1-841F-9DB79192AAE4}"/>
    <cellStyle name="Check Cell 3 7" xfId="28334" xr:uid="{4C9E807F-21EA-4C22-A3CA-704BFCCB08B5}"/>
    <cellStyle name="Check Cell 3 8" xfId="28335" xr:uid="{B2D11157-43F9-4628-AEA2-935F3A7AEB22}"/>
    <cellStyle name="Check Cell 3 9" xfId="28336" xr:uid="{6D6B1D6F-959D-44E6-BA97-CEC3EFE87CCB}"/>
    <cellStyle name="Check Cell 4 10" xfId="28337" xr:uid="{B240338A-9DC1-46CA-BDF8-C7583AFF8E72}"/>
    <cellStyle name="Check Cell 4 2" xfId="28338" xr:uid="{084D9F85-E34F-4706-B734-382B374AB552}"/>
    <cellStyle name="Check Cell 4 3" xfId="28339" xr:uid="{6CBFDB13-D33C-4FD5-83F8-9B9CBE9DAE65}"/>
    <cellStyle name="Check Cell 4 4" xfId="28340" xr:uid="{4B87B98B-3B93-4FE0-A07D-359390AED343}"/>
    <cellStyle name="Check Cell 4 5" xfId="28341" xr:uid="{60E452E2-8CD7-4CF7-9571-85F4D015ABFB}"/>
    <cellStyle name="Check Cell 4 6" xfId="28342" xr:uid="{D68A5EA9-55B0-45E5-8F79-A06218C3749F}"/>
    <cellStyle name="Check Cell 4 7" xfId="28343" xr:uid="{B02B78F2-FFD9-46F0-AFCA-0092FD14622F}"/>
    <cellStyle name="Check Cell 4 8" xfId="28344" xr:uid="{42ECFC24-D9B0-4113-913E-0240D12AFD2F}"/>
    <cellStyle name="Check Cell 4 9" xfId="28345" xr:uid="{81EFC747-4642-439A-9BB4-41CDA0F6A8D9}"/>
    <cellStyle name="Check Cell 5 10" xfId="28346" xr:uid="{32F27DD9-A816-4141-8FA0-95C9A7C3D8B7}"/>
    <cellStyle name="Check Cell 5 2" xfId="28347" xr:uid="{DCBA2FA6-12B6-4410-834A-035CCF329867}"/>
    <cellStyle name="Check Cell 5 3" xfId="28348" xr:uid="{E4B3962E-9EF8-4018-AB67-1D73E80C6C36}"/>
    <cellStyle name="Check Cell 5 4" xfId="28349" xr:uid="{4F53E8E9-9D26-4720-AD6E-7C046D1E66AC}"/>
    <cellStyle name="Check Cell 5 5" xfId="28350" xr:uid="{7B429BBD-AB63-4CE7-BD2C-30D0CF9C2B63}"/>
    <cellStyle name="Check Cell 5 6" xfId="28351" xr:uid="{8F6CCD32-EFBB-4A81-B77C-C79ADE9F8F67}"/>
    <cellStyle name="Check Cell 5 7" xfId="28352" xr:uid="{1A4ADF30-1BEA-41DC-BD05-3F5491A07D52}"/>
    <cellStyle name="Check Cell 5 8" xfId="28353" xr:uid="{42E8138F-2BF6-4972-A196-197B0A96DE17}"/>
    <cellStyle name="Check Cell 5 9" xfId="28354" xr:uid="{57A2EA2A-EB14-497F-9716-C959A3C96BF0}"/>
    <cellStyle name="Comma" xfId="1" builtinId="3"/>
    <cellStyle name="Comma [0] 2" xfId="28355" xr:uid="{E2C5977F-CFBE-4D56-8A37-763CFC9AE803}"/>
    <cellStyle name="Comma 10" xfId="25779" xr:uid="{34DF7E28-10FF-46F5-9E2B-3AE1100CD17A}"/>
    <cellStyle name="Comma 10 2" xfId="28356" xr:uid="{01A7F775-D209-4736-AA27-AC3418AA22FC}"/>
    <cellStyle name="Comma 100" xfId="32222" xr:uid="{2904A009-50B1-43B1-BFA6-8F6E431A21B3}"/>
    <cellStyle name="Comma 11" xfId="27095" xr:uid="{E1840806-EA93-4509-A9CB-EA50683C7B3A}"/>
    <cellStyle name="Comma 11 2" xfId="28357" xr:uid="{24E6C086-2FBA-4106-B689-F583F2494D7E}"/>
    <cellStyle name="Comma 12" xfId="28358" xr:uid="{DBEA2202-A8BB-411B-9934-35667B5812AC}"/>
    <cellStyle name="Comma 1247" xfId="25812" xr:uid="{09F7C3E9-4083-4DEA-86B9-1B65AC6725C1}"/>
    <cellStyle name="Comma 13" xfId="28359" xr:uid="{A67A2BE9-29E0-4597-A0BF-CED5B926125F}"/>
    <cellStyle name="Comma 14" xfId="28360" xr:uid="{B91A17F9-88A2-45BC-8EB7-B08E7B1F7193}"/>
    <cellStyle name="Comma 15" xfId="28361" xr:uid="{246F42A0-C8FD-467D-91D9-13A6184FB13F}"/>
    <cellStyle name="Comma 16" xfId="32218" xr:uid="{B61577A2-3213-495E-B849-72A855CE8CA2}"/>
    <cellStyle name="Comma 17" xfId="32219" xr:uid="{4D528E19-B380-464D-A456-E91DDE0524A4}"/>
    <cellStyle name="Comma 2" xfId="10" xr:uid="{00000000-0005-0000-0000-00002D100000}"/>
    <cellStyle name="Comma 2 10" xfId="28363" xr:uid="{009B06CF-AEBE-48C0-AEE3-3E9031D2BD49}"/>
    <cellStyle name="Comma 2 10 2" xfId="28364" xr:uid="{A4D1FBF1-4A7C-43E3-8663-3AFAE606C4B0}"/>
    <cellStyle name="Comma 2 11" xfId="28365" xr:uid="{4C622206-51CE-4DA5-9E72-FBE235CB9BE8}"/>
    <cellStyle name="Comma 2 11 2" xfId="28366" xr:uid="{A0F08471-9071-4B86-ACAF-10F6C1B493DA}"/>
    <cellStyle name="Comma 2 12" xfId="28367" xr:uid="{91897566-4F6C-4674-88C8-7E1BDD9E9BDB}"/>
    <cellStyle name="Comma 2 12 2" xfId="28368" xr:uid="{8A8FFBD6-2972-4E24-BE16-8BAEAE90C6C2}"/>
    <cellStyle name="Comma 2 13" xfId="28369" xr:uid="{D777CD13-2FC6-4985-8441-D8B3BBCE176F}"/>
    <cellStyle name="Comma 2 13 2" xfId="28370" xr:uid="{A8DF41AA-C4A9-4BA0-A05A-859A71941AA2}"/>
    <cellStyle name="Comma 2 14" xfId="28371" xr:uid="{49AEDCC7-4C92-4935-BE65-8B1C55A396D1}"/>
    <cellStyle name="Comma 2 14 2" xfId="28372" xr:uid="{A3D862A7-1884-4571-A953-2225E67922B0}"/>
    <cellStyle name="Comma 2 15" xfId="28373" xr:uid="{27BAEC1C-0599-4FB2-900F-AC04E3F7BB76}"/>
    <cellStyle name="Comma 2 15 2" xfId="28374" xr:uid="{4D11EC08-63E7-4304-8B38-7212B81D1810}"/>
    <cellStyle name="Comma 2 15 2 2" xfId="28375" xr:uid="{FE232600-772A-479E-93C1-B391B961DA17}"/>
    <cellStyle name="Comma 2 15 3" xfId="28376" xr:uid="{82FF8785-39E0-4FC6-90AD-E8F9DD7E7BDE}"/>
    <cellStyle name="Comma 2 16" xfId="28377" xr:uid="{B6E39FEC-A885-42E5-BB29-3C5F380B278D}"/>
    <cellStyle name="Comma 2 16 2" xfId="28378" xr:uid="{3EC1B853-4AE9-4575-AC8A-B12515BE1936}"/>
    <cellStyle name="Comma 2 17" xfId="28379" xr:uid="{4DF7F4D6-682E-44AF-AF06-B0430D3A193A}"/>
    <cellStyle name="Comma 2 17 2" xfId="28380" xr:uid="{C8E7FB24-5EC5-4E83-BAF4-5714CA1AB30D}"/>
    <cellStyle name="Comma 2 18" xfId="28381" xr:uid="{360DC89B-1A92-4865-9D0D-CBFC99106465}"/>
    <cellStyle name="Comma 2 18 2" xfId="28382" xr:uid="{0A204ACE-D087-4EF7-9DEE-8A3188477CE9}"/>
    <cellStyle name="Comma 2 19" xfId="28383" xr:uid="{295D582C-6DE8-4E55-B6F5-26285052C318}"/>
    <cellStyle name="Comma 2 19 2" xfId="28384" xr:uid="{33581D0B-626E-4584-AED0-6CD847895485}"/>
    <cellStyle name="Comma 2 2" xfId="6877" xr:uid="{00000000-0005-0000-0000-00002E100000}"/>
    <cellStyle name="Comma 2 2 2" xfId="20169" xr:uid="{00000000-0005-0000-0000-00002F100000}"/>
    <cellStyle name="Comma 2 2 2 2" xfId="25799" xr:uid="{B2610344-0D65-4B3B-AF96-55B305F4DAEE}"/>
    <cellStyle name="Comma 2 2 2 3" xfId="28385" xr:uid="{A4A8FF65-7A50-4A25-8EC9-BCBEBC3927C4}"/>
    <cellStyle name="Comma 2 2 3" xfId="25606" xr:uid="{00000000-0005-0000-0000-000000000000}"/>
    <cellStyle name="Comma 2 2 5" xfId="25873" xr:uid="{85C607B2-60D5-45E9-BEB2-2054CAF3FD55}"/>
    <cellStyle name="Comma 2 2 6" xfId="27088" xr:uid="{1CA8C6F9-E2A7-428D-ACBD-7118B6A94A3B}"/>
    <cellStyle name="Comma 2 2_Summary" xfId="20168" xr:uid="{00000000-0005-0000-0000-000030100000}"/>
    <cellStyle name="Comma 2 20" xfId="28386" xr:uid="{DF9EB3E0-CDB7-42DF-9D77-95BAD3E5B6CF}"/>
    <cellStyle name="Comma 2 20 2" xfId="28387" xr:uid="{23D96BA4-C574-4E69-8071-DFAB0CAA9A07}"/>
    <cellStyle name="Comma 2 21" xfId="28388" xr:uid="{507B5E6C-99AD-41A4-B541-95D0252CA9AB}"/>
    <cellStyle name="Comma 2 21 2" xfId="28389" xr:uid="{B6A8A456-CB47-4873-A11D-3AB5892BF78E}"/>
    <cellStyle name="Comma 2 22" xfId="28390" xr:uid="{F5B75756-7BEF-464C-9233-BF90C529E8F2}"/>
    <cellStyle name="Comma 2 22 2" xfId="28391" xr:uid="{D1B78B57-7791-44AA-BDE1-6B10695F96A2}"/>
    <cellStyle name="Comma 2 23" xfId="28392" xr:uid="{9B5CE2E2-6163-4A5A-90E7-0B267F237EA2}"/>
    <cellStyle name="Comma 2 23 2" xfId="28393" xr:uid="{CFFA4DBF-FA73-4878-B191-272374D6BE8E}"/>
    <cellStyle name="Comma 2 24" xfId="28394" xr:uid="{05DD4606-AB29-479E-94F1-F5FAD676460C}"/>
    <cellStyle name="Comma 2 24 2" xfId="28395" xr:uid="{7451C45A-4472-4AB9-BA0A-67476E3798B2}"/>
    <cellStyle name="Comma 2 25" xfId="28396" xr:uid="{EA52D106-8FB7-4BF9-B656-D85A1E7A18F8}"/>
    <cellStyle name="Comma 2 25 2" xfId="28397" xr:uid="{C435CD4D-8D5A-4F1F-8DC8-2245ED18CDAE}"/>
    <cellStyle name="Comma 2 26" xfId="28398" xr:uid="{4EDAF20F-C4C7-4E41-A594-5C558246DDAF}"/>
    <cellStyle name="Comma 2 26 2" xfId="28399" xr:uid="{A8BD51DF-8BB5-47CA-B31A-B2C2AAD0C4F1}"/>
    <cellStyle name="Comma 2 27" xfId="28400" xr:uid="{1356BB0E-D8D3-46B4-8AC2-0C3B33D3AC1B}"/>
    <cellStyle name="Comma 2 27 2" xfId="28401" xr:uid="{5A5EC687-61CC-4FC5-AD14-966A462946B9}"/>
    <cellStyle name="Comma 2 28" xfId="28402" xr:uid="{33A8A1C6-1BC1-41D4-8A4D-F4FB404CB00B}"/>
    <cellStyle name="Comma 2 28 2" xfId="28403" xr:uid="{04695690-D0AA-46D2-A6C3-FAEDCBFEAF1A}"/>
    <cellStyle name="Comma 2 29" xfId="28404" xr:uid="{03E889CA-54D6-4898-9ABF-C88F8FA4CF5F}"/>
    <cellStyle name="Comma 2 29 2" xfId="28405" xr:uid="{0926D9D5-8667-423F-9972-124E3F325439}"/>
    <cellStyle name="Comma 2 3" xfId="20170" xr:uid="{00000000-0005-0000-0000-000031100000}"/>
    <cellStyle name="Comma 2 3 2" xfId="25643" xr:uid="{00000000-0005-0000-0000-00001E000000}"/>
    <cellStyle name="Comma 2 3 2 2" xfId="28407" xr:uid="{149408F5-D61E-4ACB-9733-FC7270DFD7B8}"/>
    <cellStyle name="Comma 2 3 3" xfId="25796" xr:uid="{B592C04B-4F40-4B5E-9534-40C1FA616375}"/>
    <cellStyle name="Comma 2 3 4" xfId="25874" xr:uid="{54B3D1EE-F7BC-49BD-94C7-20EDEADD4185}"/>
    <cellStyle name="Comma 2 3 5" xfId="28406" xr:uid="{AC119464-F065-408D-A84D-0B77A50AD4DC}"/>
    <cellStyle name="Comma 2 30" xfId="28408" xr:uid="{9F13F1E6-7C45-4E07-AB02-18F23A05C4FE}"/>
    <cellStyle name="Comma 2 30 2" xfId="28409" xr:uid="{4F37D1BF-9D6A-43D1-B69A-18BA4111678B}"/>
    <cellStyle name="Comma 2 31" xfId="28410" xr:uid="{564D5D2D-D1A5-4C57-9ED8-796B427EC4ED}"/>
    <cellStyle name="Comma 2 31 2" xfId="28411" xr:uid="{B2BE963D-00EE-4BB2-911B-CA61CD19EC0E}"/>
    <cellStyle name="Comma 2 32" xfId="28412" xr:uid="{C39A1EC7-5F7E-4042-A69A-2383AD5906FB}"/>
    <cellStyle name="Comma 2 32 2" xfId="28413" xr:uid="{CD09EF22-E70B-458E-B96A-6587CD65D645}"/>
    <cellStyle name="Comma 2 33" xfId="28414" xr:uid="{9DDF3915-6844-4EE9-A54B-69EA74E29A68}"/>
    <cellStyle name="Comma 2 33 2" xfId="28415" xr:uid="{99F99BEB-4303-4147-B004-7F9E399657AB}"/>
    <cellStyle name="Comma 2 34" xfId="28416" xr:uid="{15C43D77-B82D-4647-BABE-DEB534FCF5C4}"/>
    <cellStyle name="Comma 2 34 2" xfId="28417" xr:uid="{0300F1AC-106B-4438-85CE-C4C26C41A3F9}"/>
    <cellStyle name="Comma 2 35" xfId="28362" xr:uid="{A0CE9834-5ECB-45ED-BE5B-F4C29E3CD42E}"/>
    <cellStyle name="Comma 2 4 2" xfId="25993" xr:uid="{20470EEF-0203-4331-9144-4E546AF8EBD8}"/>
    <cellStyle name="Comma 2 4 3" xfId="28418" xr:uid="{3C04845C-3549-4187-9989-14569B7157C6}"/>
    <cellStyle name="Comma 2 5" xfId="26327" xr:uid="{A4E2AD1C-4736-4F19-BEE7-A439046A993F}"/>
    <cellStyle name="Comma 2 5 2" xfId="28420" xr:uid="{534BED31-F611-4A6F-B833-13C5EEA05BDD}"/>
    <cellStyle name="Comma 2 5 3" xfId="28419" xr:uid="{95542513-2423-4768-9E99-B1E4919468C4}"/>
    <cellStyle name="Comma 2 6" xfId="26255" xr:uid="{FBC9A3F9-DBD6-49D6-B062-E0A2BDD23D9E}"/>
    <cellStyle name="Comma 2 6 2" xfId="28422" xr:uid="{AD1A0D68-9699-4EA5-AED6-BF3B773F1F70}"/>
    <cellStyle name="Comma 2 6 3" xfId="28421" xr:uid="{DB46A7E8-6C2D-49BD-9418-284DBDE6A892}"/>
    <cellStyle name="Comma 2 7" xfId="26476" xr:uid="{138DB429-BD1A-49D5-B159-078E4AFCB1A1}"/>
    <cellStyle name="Comma 2 7 2" xfId="28424" xr:uid="{DCC4E1D5-F0A2-4FCE-ADAC-42C103CD9D46}"/>
    <cellStyle name="Comma 2 7 3" xfId="28423" xr:uid="{A20D761C-6A18-45FA-A5BA-078988C9D48F}"/>
    <cellStyle name="Comma 2 8" xfId="28425" xr:uid="{AE2892FD-14D8-4254-BBCB-DD3A4CEB3284}"/>
    <cellStyle name="Comma 2 8 2" xfId="28426" xr:uid="{DF78D7F3-8CAB-416A-A888-8C4E6846FF32}"/>
    <cellStyle name="Comma 2 9" xfId="28427" xr:uid="{A6A48E47-7EE0-4564-B001-410CA84C3C33}"/>
    <cellStyle name="Comma 2 9 2" xfId="28428" xr:uid="{CDA7B518-B95A-40A5-97F7-A7780094AE2F}"/>
    <cellStyle name="Comma 2_PO Creation" xfId="28429" xr:uid="{DE780061-AD12-4EEE-9A81-3A9D0B37FD3A}"/>
    <cellStyle name="Comma 3" xfId="12" xr:uid="{00000000-0005-0000-0000-000034100000}"/>
    <cellStyle name="Comma 3 2" xfId="14" xr:uid="{00000000-0005-0000-0000-000035100000}"/>
    <cellStyle name="Comma 3 2 2" xfId="25669" xr:uid="{00000000-0005-0000-0000-000028000000}"/>
    <cellStyle name="Comma 3 2 3" xfId="26359" xr:uid="{EC752E0D-2D77-475D-8F25-A7D1811CD51A}"/>
    <cellStyle name="Comma 3 2 4" xfId="28430" xr:uid="{E0AF8ABA-6AE3-42A7-9E14-6CEC2F040594}"/>
    <cellStyle name="Comma 3 3" xfId="6804" xr:uid="{00000000-0005-0000-0000-000036100000}"/>
    <cellStyle name="Comma 3 3 2" xfId="20173" xr:uid="{00000000-0005-0000-0000-000037100000}"/>
    <cellStyle name="Comma 3 3 3" xfId="26355" xr:uid="{643A9B76-D22F-4115-952C-1A35BE412708}"/>
    <cellStyle name="Comma 3 3_Summary" xfId="20172" xr:uid="{00000000-0005-0000-0000-000038100000}"/>
    <cellStyle name="Comma 3 4" xfId="20174" xr:uid="{00000000-0005-0000-0000-000039100000}"/>
    <cellStyle name="Comma 3 5" xfId="25859" xr:uid="{4AC0FBA9-13B9-4B10-B2EC-4B0B702A6078}"/>
    <cellStyle name="Comma 3 6" xfId="25823" xr:uid="{15B4824B-7675-4673-A59E-35D9E6CC7A9C}"/>
    <cellStyle name="Comma 3 7" xfId="26564" xr:uid="{8727785D-8C66-4D82-8690-3586040F392F}"/>
    <cellStyle name="Comma 3 8" xfId="27010" xr:uid="{409133F1-8B5B-4A56-947D-4EDB730DF173}"/>
    <cellStyle name="Comma 3 9" xfId="26642" xr:uid="{0F337AB5-890C-42A1-8D50-509C24E5F13B}"/>
    <cellStyle name="Comma 3_Summary" xfId="20171" xr:uid="{00000000-0005-0000-0000-00003A100000}"/>
    <cellStyle name="Comma 4" xfId="22" xr:uid="{00000000-0005-0000-0000-00003B100000}"/>
    <cellStyle name="Comma 4 2" xfId="204" xr:uid="{00000000-0005-0000-0000-00003C100000}"/>
    <cellStyle name="Comma 4 2 2" xfId="20177" xr:uid="{00000000-0005-0000-0000-00003D100000}"/>
    <cellStyle name="Comma 4 2_Summary" xfId="20176" xr:uid="{00000000-0005-0000-0000-00003E100000}"/>
    <cellStyle name="Comma 4 3" xfId="258" xr:uid="{00000000-0005-0000-0000-00003F100000}"/>
    <cellStyle name="Comma 4 3 2" xfId="20179" xr:uid="{00000000-0005-0000-0000-000040100000}"/>
    <cellStyle name="Comma 4 3_Summary" xfId="20178" xr:uid="{00000000-0005-0000-0000-000041100000}"/>
    <cellStyle name="Comma 4 4" xfId="20180" xr:uid="{00000000-0005-0000-0000-000042100000}"/>
    <cellStyle name="Comma 4 5" xfId="28431" xr:uid="{23916D71-5B12-4264-A87E-607CF3A31BDC}"/>
    <cellStyle name="Comma 4 6" xfId="30901" xr:uid="{78F72551-B00F-4FB6-9751-534E7D13108C}"/>
    <cellStyle name="Comma 4_Summary" xfId="20175" xr:uid="{00000000-0005-0000-0000-000043100000}"/>
    <cellStyle name="Comma 5" xfId="65" xr:uid="{00000000-0005-0000-0000-000044100000}"/>
    <cellStyle name="Comma 5 2" xfId="20182" xr:uid="{00000000-0005-0000-0000-000045100000}"/>
    <cellStyle name="Comma 5 3" xfId="25702" xr:uid="{00000000-0005-0000-0000-00000A010000}"/>
    <cellStyle name="Comma 5_Summary" xfId="20181" xr:uid="{00000000-0005-0000-0000-000046100000}"/>
    <cellStyle name="Comma 6" xfId="20183" xr:uid="{00000000-0005-0000-0000-000047100000}"/>
    <cellStyle name="Comma 6 2" xfId="26273" xr:uid="{FE5EE41A-BA1F-465A-BA44-057762097FB2}"/>
    <cellStyle name="Comma 6 2 2" xfId="26482" xr:uid="{0612553B-1BAF-4EF8-95D3-9304703DBD1F}"/>
    <cellStyle name="Comma 6 3" xfId="26483" xr:uid="{E2C30C52-53BD-43A8-90F1-133D9319033A}"/>
    <cellStyle name="Comma 6 4" xfId="26265" xr:uid="{1B5BC478-DC01-45C5-875F-B66D6050DA1A}"/>
    <cellStyle name="Comma 7" xfId="25575" xr:uid="{00000000-0005-0000-0000-000048100000}"/>
    <cellStyle name="Comma 7 2" xfId="26268" xr:uid="{241BE336-3DDE-46EB-B43B-31CA0562D717}"/>
    <cellStyle name="Comma 7 3" xfId="28432" xr:uid="{62613FEB-8A91-459F-B08B-60585576B8F2}"/>
    <cellStyle name="Comma 8" xfId="27090" xr:uid="{3F6B7056-6F47-477B-BD03-D9773340015B}"/>
    <cellStyle name="Comma 8 2" xfId="28433" xr:uid="{7043A0DF-64D4-4535-9AC6-CEA783B2B3CC}"/>
    <cellStyle name="Comma 9" xfId="27094" xr:uid="{0635AEF9-C2FE-4203-A0E7-197C6DE46A16}"/>
    <cellStyle name="Comma 9 2" xfId="28434" xr:uid="{02A8478C-46A1-4571-A171-63A6455727DA}"/>
    <cellStyle name="COMPS" xfId="28435" xr:uid="{EE2E3624-83FA-404D-98FA-6C728EF72444}"/>
    <cellStyle name="COMPS 2" xfId="28436" xr:uid="{E5DD7494-DE81-4215-82AD-7F93AE06ADCA}"/>
    <cellStyle name="COMPS 2 2" xfId="30181" xr:uid="{DB97C29F-B827-440A-B745-7DFA47F40EB0}"/>
    <cellStyle name="COMPS 2 2 2" xfId="31613" xr:uid="{4EDBD00A-EE37-4997-BCAC-0E8627B6ABC1}"/>
    <cellStyle name="COMPS 2 3" xfId="30903" xr:uid="{6E8F1FEF-505E-4126-BAB7-C0DD3615A4FB}"/>
    <cellStyle name="COMPS 3" xfId="28437" xr:uid="{D42F6A96-D939-477A-A017-AA0B295164E7}"/>
    <cellStyle name="COMPS 3 2" xfId="30182" xr:uid="{38E519D8-192C-4605-96C2-BE0385BB0270}"/>
    <cellStyle name="COMPS 3 2 2" xfId="31614" xr:uid="{C975CE22-1180-41F2-95F5-715E07C9D35D}"/>
    <cellStyle name="COMPS 3 3" xfId="30904" xr:uid="{395D14DA-FED4-4D12-B974-33C05E679246}"/>
    <cellStyle name="COMPS 4" xfId="28438" xr:uid="{BAD8CF73-9C42-4A55-B383-99A7BFCB11A9}"/>
    <cellStyle name="COMPS 4 2" xfId="30183" xr:uid="{C62075F8-D15C-48CA-B0E5-83CF58301C0C}"/>
    <cellStyle name="COMPS 4 2 2" xfId="31615" xr:uid="{073F39C5-3C42-4B19-AD79-722BC7E05ED2}"/>
    <cellStyle name="COMPS 4 3" xfId="30905" xr:uid="{586EE145-781F-4C18-A6DC-5B53F84C84B8}"/>
    <cellStyle name="COMPS 5" xfId="30180" xr:uid="{F9D134C5-55BB-4B86-9D8D-E5E8A673DF2E}"/>
    <cellStyle name="COMPS 5 2" xfId="31612" xr:uid="{63C5C596-774F-436E-8BAD-54E8A443FC55}"/>
    <cellStyle name="COMPS 6" xfId="30902" xr:uid="{241F9A83-438E-465C-86DB-7AD956D4FD77}"/>
    <cellStyle name="Currency 10" xfId="26724" xr:uid="{C2D9A53F-03BB-4C11-AE14-C14A12DB6468}"/>
    <cellStyle name="Currency 2" xfId="9" xr:uid="{00000000-0005-0000-0000-000049100000}"/>
    <cellStyle name="Currency 2 2" xfId="124" xr:uid="{00000000-0005-0000-0000-00004A100000}"/>
    <cellStyle name="Currency 2 2 2" xfId="131" xr:uid="{00000000-0005-0000-0000-00004B100000}"/>
    <cellStyle name="Currency 2 2 2 2" xfId="25652" xr:uid="{96C6F72F-2650-4D92-8D1D-489032663F00}"/>
    <cellStyle name="Currency 2 2 3" xfId="279" xr:uid="{00000000-0005-0000-0000-00004C100000}"/>
    <cellStyle name="Currency 2 2 3 2" xfId="25674" xr:uid="{00000000-0005-0000-0000-000089030000}"/>
    <cellStyle name="Currency 2 2_Summary" xfId="20185" xr:uid="{00000000-0005-0000-0000-00004D100000}"/>
    <cellStyle name="Currency 2 3" xfId="251" xr:uid="{00000000-0005-0000-0000-00004E100000}"/>
    <cellStyle name="Currency 2 3 2" xfId="25650" xr:uid="{A934008F-C3FC-4014-9D4E-B806AE32B291}"/>
    <cellStyle name="Currency 2 3 3" xfId="26333" xr:uid="{0994074B-4BE4-489D-B164-C178F27F1687}"/>
    <cellStyle name="Currency 2 4" xfId="25648" xr:uid="{96C6F72F-2650-4D92-8D1D-489032663F00}"/>
    <cellStyle name="Currency 2 5" xfId="25599" xr:uid="{00000000-0005-0000-0000-00006B000000}"/>
    <cellStyle name="Currency 2_Summary" xfId="20184" xr:uid="{00000000-0005-0000-0000-00004F100000}"/>
    <cellStyle name="Currency 3" xfId="21" xr:uid="{00000000-0005-0000-0000-000050100000}"/>
    <cellStyle name="Currency 3 2" xfId="6878" xr:uid="{00000000-0005-0000-0000-000051100000}"/>
    <cellStyle name="Currency 3 2 2" xfId="6879" xr:uid="{00000000-0005-0000-0000-000052100000}"/>
    <cellStyle name="Currency 3 2 2 2" xfId="6880" xr:uid="{00000000-0005-0000-0000-000053100000}"/>
    <cellStyle name="Currency 3 2 2 2 2" xfId="25997" xr:uid="{8DB32D0B-FDC7-403D-B1EA-49F95AF263A8}"/>
    <cellStyle name="Currency 3 2 2 3" xfId="25996" xr:uid="{B6FF4FBC-1C51-4CAC-80C9-E1FA80518B39}"/>
    <cellStyle name="Currency 3 2 2_Summary" xfId="20188" xr:uid="{00000000-0005-0000-0000-000054100000}"/>
    <cellStyle name="Currency 3 2 3" xfId="6881" xr:uid="{00000000-0005-0000-0000-000055100000}"/>
    <cellStyle name="Currency 3 2 3 2" xfId="25998" xr:uid="{649BC56C-6703-4ADB-89FC-46F1706A60F8}"/>
    <cellStyle name="Currency 3 2 4" xfId="25995" xr:uid="{30BE6A61-3F0C-4D66-8338-E7E74D6F7655}"/>
    <cellStyle name="Currency 3 2_Summary" xfId="20187" xr:uid="{00000000-0005-0000-0000-000056100000}"/>
    <cellStyle name="Currency 3 3" xfId="6882" xr:uid="{00000000-0005-0000-0000-000057100000}"/>
    <cellStyle name="Currency 3 3 2" xfId="25999" xr:uid="{57F590DF-3C80-4609-8613-35F81FF1FC48}"/>
    <cellStyle name="Currency 3 4" xfId="6883" xr:uid="{00000000-0005-0000-0000-000058100000}"/>
    <cellStyle name="Currency 3 4 2" xfId="6884" xr:uid="{00000000-0005-0000-0000-000059100000}"/>
    <cellStyle name="Currency 3 4 2 2" xfId="26001" xr:uid="{EC471C8F-0F4F-44F3-B428-7E58FCCDD44D}"/>
    <cellStyle name="Currency 3 4 3" xfId="26000" xr:uid="{6B038C02-A69C-4644-BE54-6235BF54C98A}"/>
    <cellStyle name="Currency 3 4_Summary" xfId="20189" xr:uid="{00000000-0005-0000-0000-00005A100000}"/>
    <cellStyle name="Currency 3 5" xfId="25994" xr:uid="{62A1AC57-463C-4B12-A882-06DE95445A22}"/>
    <cellStyle name="Currency 3_Summary" xfId="20186" xr:uid="{00000000-0005-0000-0000-00005B100000}"/>
    <cellStyle name="Currency 4" xfId="6818" xr:uid="{00000000-0005-0000-0000-00005C100000}"/>
    <cellStyle name="Currency 4 2" xfId="6886" xr:uid="{00000000-0005-0000-0000-00005D100000}"/>
    <cellStyle name="Currency 4 2 2" xfId="26002" xr:uid="{722008E4-2987-4ABE-806A-E711C94C75D8}"/>
    <cellStyle name="Currency 4 3" xfId="6885" xr:uid="{00000000-0005-0000-0000-00005E100000}"/>
    <cellStyle name="Currency 4_Summary" xfId="20190" xr:uid="{00000000-0005-0000-0000-00005F100000}"/>
    <cellStyle name="Currency 5" xfId="6898" xr:uid="{00000000-0005-0000-0000-000060100000}"/>
    <cellStyle name="Currency 5 2" xfId="25722" xr:uid="{00000000-0005-0000-0000-00000F010000}"/>
    <cellStyle name="Currency 6" xfId="25816" xr:uid="{90361F0C-E610-4C7F-9B7D-2D82AFBA64F5}"/>
    <cellStyle name="Currency 7" xfId="25869" xr:uid="{32D73126-4B88-4CF5-8C86-0B4E9B40ABBC}"/>
    <cellStyle name="Currency 8" xfId="26931" xr:uid="{DD22D1DE-163B-4149-A278-36C14070AF48}"/>
    <cellStyle name="Currency 9" xfId="26960" xr:uid="{9E2B1B6E-BBF1-446A-8EBB-03EC42904132}"/>
    <cellStyle name="DATA_ENT" xfId="28439" xr:uid="{A6FC7FBA-27A7-466A-AEBD-0B669A25FE3F}"/>
    <cellStyle name="Dot_Table" xfId="26353" xr:uid="{3C35B33C-6564-4BA3-8806-ED6409D8B9BC}"/>
    <cellStyle name="DOWNFOOT" xfId="28440" xr:uid="{06D32244-46C8-4572-B275-1B3287457DC1}"/>
    <cellStyle name="DOWNFOOT 2" xfId="28441" xr:uid="{E0882496-8E93-4CCF-9450-CFF469594D40}"/>
    <cellStyle name="DOWNFOOT 2 2" xfId="30185" xr:uid="{ECD633B8-28A0-49D2-B6B4-642C37B19FA8}"/>
    <cellStyle name="DOWNFOOT 2 2 2" xfId="31617" xr:uid="{A5733B76-8C7F-40B4-BCAC-96F3DEE9E044}"/>
    <cellStyle name="DOWNFOOT 2 3" xfId="30907" xr:uid="{BC6852FC-5F3C-4FBC-9C01-A8A8E908CF59}"/>
    <cellStyle name="DOWNFOOT 3" xfId="28442" xr:uid="{5D48EF92-5306-423C-936B-3AB3FBA91E36}"/>
    <cellStyle name="DOWNFOOT 3 2" xfId="30186" xr:uid="{39E59657-9150-468C-A53D-2234B980BEA0}"/>
    <cellStyle name="DOWNFOOT 3 2 2" xfId="31618" xr:uid="{9B7C445C-E6B5-4558-924C-1341C23F8002}"/>
    <cellStyle name="DOWNFOOT 3 3" xfId="30908" xr:uid="{B473C8C2-195E-413D-B512-78468EF6FA60}"/>
    <cellStyle name="DOWNFOOT 4" xfId="30184" xr:uid="{1672BBEF-AB01-4B4C-BEE6-C3BC7E630EF8}"/>
    <cellStyle name="DOWNFOOT 4 2" xfId="31616" xr:uid="{9832A318-38A3-43A7-B5A9-845F53F38FFD}"/>
    <cellStyle name="DOWNFOOT 5" xfId="30906" xr:uid="{32EC43D5-50D5-408D-ABB2-66E918AB7C9C}"/>
    <cellStyle name="edlsfjk" xfId="162" xr:uid="{00000000-0005-0000-0000-000062100000}"/>
    <cellStyle name="Euro" xfId="26128" xr:uid="{D838DEAD-6EAF-418E-AD00-CA2D5F054FB2}"/>
    <cellStyle name="Explanatory Text" xfId="38" builtinId="53" customBuiltin="1"/>
    <cellStyle name="Explanatory Text 2" xfId="103" xr:uid="{00000000-0005-0000-0000-000064100000}"/>
    <cellStyle name="Explanatory Text 2 10" xfId="28443" xr:uid="{3D38D553-7A0B-417B-803E-E4AFB4EECC8E}"/>
    <cellStyle name="Explanatory Text 2 2" xfId="26227" xr:uid="{B701B3B7-D9EA-4293-88B2-96CD0E4DEE7F}"/>
    <cellStyle name="Explanatory Text 2 2 2" xfId="28444" xr:uid="{5C383413-AB11-49B1-A0E3-F1A04EE7731B}"/>
    <cellStyle name="Explanatory Text 2 3" xfId="28445" xr:uid="{EE15479E-655B-46AF-A5F3-C23A9225B3DD}"/>
    <cellStyle name="Explanatory Text 2 4" xfId="28446" xr:uid="{7649D810-15EE-4AF7-921F-7D9D4610E0B5}"/>
    <cellStyle name="Explanatory Text 2 5" xfId="28447" xr:uid="{A33A3B5B-32F2-4EEC-A8B8-11F2336DB081}"/>
    <cellStyle name="Explanatory Text 2 6" xfId="28448" xr:uid="{9B7ACC72-D207-454A-9304-8B6F1E76CC70}"/>
    <cellStyle name="Explanatory Text 2 7" xfId="28449" xr:uid="{03ECE60F-1849-4EB0-8227-D477E92918D1}"/>
    <cellStyle name="Explanatory Text 2 8" xfId="28450" xr:uid="{258918F4-8635-4818-8DE8-3529D873ECE5}"/>
    <cellStyle name="Explanatory Text 2 9" xfId="28451" xr:uid="{E609175A-6E33-458B-987A-9C3BE9ADE49B}"/>
    <cellStyle name="Explanatory Text 2_WBS Creation" xfId="28452" xr:uid="{79E30DF3-1FC0-4898-BBC4-D4F14E77012E}"/>
    <cellStyle name="Explanatory Text 3 10" xfId="28453" xr:uid="{26A05D03-2F26-413C-B684-9306EC38D418}"/>
    <cellStyle name="Explanatory Text 3 2" xfId="28454" xr:uid="{BBB81AF0-7A73-4DA9-BAA7-24EFACDFE603}"/>
    <cellStyle name="Explanatory Text 3 3" xfId="28455" xr:uid="{2FF3E7C8-68BE-40CE-B464-1AF717DB0463}"/>
    <cellStyle name="Explanatory Text 3 4" xfId="28456" xr:uid="{7F3BB9C6-D93E-4435-BD87-ED44EE946584}"/>
    <cellStyle name="Explanatory Text 3 5" xfId="28457" xr:uid="{59DCF441-4488-4C32-9A11-CF96163C6597}"/>
    <cellStyle name="Explanatory Text 3 6" xfId="28458" xr:uid="{1748F667-BED4-4DAC-94F7-B1D39FE06CB2}"/>
    <cellStyle name="Explanatory Text 3 7" xfId="28459" xr:uid="{F476CAEC-46BF-4DF3-87C6-A927377ED588}"/>
    <cellStyle name="Explanatory Text 3 8" xfId="28460" xr:uid="{4BD3A71D-6175-4426-9414-A2CBDEEA928E}"/>
    <cellStyle name="Explanatory Text 3 9" xfId="28461" xr:uid="{BE39DC82-0031-4196-982F-0B2BA42D616B}"/>
    <cellStyle name="Explanatory Text 4 10" xfId="28462" xr:uid="{8CEC7CD4-BC71-49B2-B35B-ABEB1AB3D3AA}"/>
    <cellStyle name="Explanatory Text 4 2" xfId="28463" xr:uid="{F82CA1E6-FAE9-4655-8DAF-C2F1FE62E229}"/>
    <cellStyle name="Explanatory Text 4 3" xfId="28464" xr:uid="{7D19ABC3-BCFF-4FF9-B9BD-804740443066}"/>
    <cellStyle name="Explanatory Text 4 4" xfId="28465" xr:uid="{C50BCB44-92E0-446F-9369-BDFA6591A354}"/>
    <cellStyle name="Explanatory Text 4 5" xfId="28466" xr:uid="{B818DCC1-3FC2-486E-B6D4-BE216CF071F2}"/>
    <cellStyle name="Explanatory Text 4 6" xfId="28467" xr:uid="{4556FD07-2B48-4CE7-A28A-CE263386903E}"/>
    <cellStyle name="Explanatory Text 4 7" xfId="28468" xr:uid="{1CF019B1-BD23-4B2B-A0F9-C8503C82DD52}"/>
    <cellStyle name="Explanatory Text 4 8" xfId="28469" xr:uid="{D7263BE2-77CA-4DB2-8467-CA24BAE3803D}"/>
    <cellStyle name="Explanatory Text 4 9" xfId="28470" xr:uid="{ED3F6266-3B83-4BF9-89AA-570BC44B9844}"/>
    <cellStyle name="Explanatory Text 5 10" xfId="28471" xr:uid="{15FDB26C-1DCC-4F03-8FEB-CE1463DF1F50}"/>
    <cellStyle name="Explanatory Text 5 2" xfId="28472" xr:uid="{66430462-B8DD-4796-A72C-D1BD6FBFEB8F}"/>
    <cellStyle name="Explanatory Text 5 3" xfId="28473" xr:uid="{DD0E1342-9E2A-4CE2-8D43-407BF61543A1}"/>
    <cellStyle name="Explanatory Text 5 4" xfId="28474" xr:uid="{9AE83437-565E-4689-AF7F-0E3F6CD8D96D}"/>
    <cellStyle name="Explanatory Text 5 5" xfId="28475" xr:uid="{C652194B-2D4C-4654-9969-53CA703AC987}"/>
    <cellStyle name="Explanatory Text 5 6" xfId="28476" xr:uid="{B9BD7BE5-8E2A-4277-ABCB-2C1B18D3273B}"/>
    <cellStyle name="Explanatory Text 5 7" xfId="28477" xr:uid="{A4752845-937F-40C0-BC63-00E151313C1B}"/>
    <cellStyle name="Explanatory Text 5 8" xfId="28478" xr:uid="{C786489F-E9AF-43B9-BFCF-C5E7F1346FE1}"/>
    <cellStyle name="Explanatory Text 5 9" xfId="28479" xr:uid="{4EE953DE-B8EB-47B6-AF91-3521A21F23AB}"/>
    <cellStyle name="Good" xfId="28" builtinId="26" customBuiltin="1"/>
    <cellStyle name="Good 2" xfId="104" xr:uid="{00000000-0005-0000-0000-000066100000}"/>
    <cellStyle name="Good 2 10" xfId="28480" xr:uid="{5E415251-F896-4DA0-83C4-AA0CD0F634AB}"/>
    <cellStyle name="Good 2 2" xfId="26223" xr:uid="{2877ADCA-EE44-43AD-9E4F-17597A72419B}"/>
    <cellStyle name="Good 2 2 2" xfId="28481" xr:uid="{869D2895-8524-45BC-B15C-8B9B17A3E446}"/>
    <cellStyle name="Good 2 3" xfId="28482" xr:uid="{69DF93DD-BBCD-48FC-844C-19131F90A263}"/>
    <cellStyle name="Good 2 4" xfId="28483" xr:uid="{AEE2DB49-457A-4672-8EAC-68D21F7188EC}"/>
    <cellStyle name="Good 2 5" xfId="28484" xr:uid="{B3C559D8-B281-4B3F-9432-E1FBB26A68A6}"/>
    <cellStyle name="Good 2 6" xfId="28485" xr:uid="{311DB981-99DD-4FC3-BDAC-C3630D8DB614}"/>
    <cellStyle name="Good 2 7" xfId="28486" xr:uid="{F97B26B7-8A26-4451-B147-85F04F41A543}"/>
    <cellStyle name="Good 2 8" xfId="28487" xr:uid="{158F488C-5781-4E43-B058-C282C66808D0}"/>
    <cellStyle name="Good 2 9" xfId="28488" xr:uid="{4529E38A-D012-4BA2-95CE-584C8D5CA5AD}"/>
    <cellStyle name="Good 2_WBS Creation" xfId="28489" xr:uid="{E3448972-758E-4EA9-B0C1-6E8D45DAEDF1}"/>
    <cellStyle name="Good 3 10" xfId="28490" xr:uid="{29BDD44E-A25C-437A-B075-14F8088DB9E6}"/>
    <cellStyle name="Good 3 2" xfId="28491" xr:uid="{45423B31-BC1E-434E-81C4-6034AFE7D444}"/>
    <cellStyle name="Good 3 3" xfId="28492" xr:uid="{EB8EEE7C-BD4A-4776-8D19-85296A1E27BA}"/>
    <cellStyle name="Good 3 4" xfId="28493" xr:uid="{D375D0D0-4876-4050-803E-D8B3CCCF8891}"/>
    <cellStyle name="Good 3 5" xfId="28494" xr:uid="{E389A1AE-8A3D-4A37-95D4-AEFC8232F746}"/>
    <cellStyle name="Good 3 6" xfId="28495" xr:uid="{805A29A1-597A-4C94-90EB-09BF63B6BF9A}"/>
    <cellStyle name="Good 3 7" xfId="28496" xr:uid="{A7E70D71-E427-4E7D-8E7F-BEB6999F21A4}"/>
    <cellStyle name="Good 3 8" xfId="28497" xr:uid="{AC7CA1DD-93FA-4F7D-90FA-ED3C4E7B3FA5}"/>
    <cellStyle name="Good 3 9" xfId="28498" xr:uid="{83A707D4-F9F0-4817-B525-2F6EDEC6593A}"/>
    <cellStyle name="Good 4 10" xfId="28499" xr:uid="{854C8496-AE07-4518-9A33-CCED4CBD8DFC}"/>
    <cellStyle name="Good 4 2" xfId="28500" xr:uid="{C2230EAF-EB13-45CB-B4E1-C987C58A5A1E}"/>
    <cellStyle name="Good 4 3" xfId="28501" xr:uid="{02DA6EE2-7AFD-4DB6-8C18-030861028EB5}"/>
    <cellStyle name="Good 4 4" xfId="28502" xr:uid="{DFBE1ACF-CD7E-4DC6-92DC-5D5AC29526BD}"/>
    <cellStyle name="Good 4 5" xfId="28503" xr:uid="{5F561676-9BE7-43A1-A83D-620B449DA67E}"/>
    <cellStyle name="Good 4 6" xfId="28504" xr:uid="{1BDB9C4F-AB5E-4A86-99FC-7E1DCBBBA0BA}"/>
    <cellStyle name="Good 4 7" xfId="28505" xr:uid="{39FF1BA1-2F65-4F56-851C-38D3AC745D8F}"/>
    <cellStyle name="Good 4 8" xfId="28506" xr:uid="{4878C360-A7C3-4B23-8D3A-53BD0FD69C64}"/>
    <cellStyle name="Good 4 9" xfId="28507" xr:uid="{99D4F9EC-B96E-4D85-821C-F7BC48200770}"/>
    <cellStyle name="Good 5 10" xfId="28508" xr:uid="{0CDB0652-9619-4C80-87D6-04E25CDF6A18}"/>
    <cellStyle name="Good 5 2" xfId="28509" xr:uid="{B45DD004-0C29-4D27-A838-15C9E0A90AD1}"/>
    <cellStyle name="Good 5 3" xfId="28510" xr:uid="{FB526D9F-4909-4E44-A1C7-1F04A0F4C71F}"/>
    <cellStyle name="Good 5 4" xfId="28511" xr:uid="{CEAD1155-BFF7-450B-8A62-4F3F1A0FDCCC}"/>
    <cellStyle name="Good 5 5" xfId="28512" xr:uid="{843F33A4-4E6A-4019-89C2-931AE700DB8B}"/>
    <cellStyle name="Good 5 6" xfId="28513" xr:uid="{6A04D5C2-D409-4A99-B7C2-78041E4C3075}"/>
    <cellStyle name="Good 5 7" xfId="28514" xr:uid="{3817C9CC-B900-4EAB-9F8D-0E4B2AC2202C}"/>
    <cellStyle name="Good 5 8" xfId="28515" xr:uid="{04392F44-5F98-441E-948B-C340E78C1D2C}"/>
    <cellStyle name="Good 5 9" xfId="28516" xr:uid="{8F448E13-6D9E-4D41-A81C-E5FD9137043C}"/>
    <cellStyle name="Grey" xfId="26129" xr:uid="{8103B92C-BBC9-4DED-AB58-9B4E39ECBA0E}"/>
    <cellStyle name="HEADER" xfId="26130" xr:uid="{CA75B99F-F8B1-4B1D-909B-F50FBA892A36}"/>
    <cellStyle name="header 2" xfId="28517" xr:uid="{8C9DF004-64CF-47D2-A824-2D6E75F0E256}"/>
    <cellStyle name="Header1" xfId="26131" xr:uid="{610BDC7B-FA33-4144-B9A5-0D0B27238633}"/>
    <cellStyle name="Header2" xfId="26132" xr:uid="{D13291E1-0CF1-4A50-A614-2D0A80641888}"/>
    <cellStyle name="Header2 2" xfId="26287" xr:uid="{E7BF635B-D109-4EFC-822D-B16948C4D7E8}"/>
    <cellStyle name="Header2 2 2" xfId="26432" xr:uid="{0B0D5A73-1700-4340-9D57-3ADE606B977C}"/>
    <cellStyle name="Header2 2 2 2" xfId="26516" xr:uid="{97DAEB2A-9E35-46F0-8D0D-A9900C475DA7}"/>
    <cellStyle name="Header2 2 2 2 2" xfId="26562" xr:uid="{FF9B8156-E3E7-4AE9-9DE4-C1BA65C763CA}"/>
    <cellStyle name="Header2 2 2 2 2 2" xfId="26939" xr:uid="{08D1C061-8944-4167-B235-DD22B9306753}"/>
    <cellStyle name="Header2 2 2 2 3" xfId="26899" xr:uid="{D1FD1574-92C7-493E-84C3-27A80CF558B5}"/>
    <cellStyle name="Header2 2 2 3" xfId="26829" xr:uid="{80962A2B-4164-4EE5-A2D1-0A5751D5C413}"/>
    <cellStyle name="Header2 2 2 4" xfId="30188" xr:uid="{344516CB-CE8C-4D0E-B085-C88DE0C15A41}"/>
    <cellStyle name="Header2 2 2 5" xfId="31620" xr:uid="{01F4366B-7647-4016-90AF-46180B843563}"/>
    <cellStyle name="Header2 2 3" xfId="26560" xr:uid="{ECD43397-A1DF-40CC-AE85-84EBA412C9A5}"/>
    <cellStyle name="Header2 2 3 2" xfId="26937" xr:uid="{085ADA0E-2DB4-4B98-9D0F-1F3D7A919DA6}"/>
    <cellStyle name="Header2 2 4" xfId="26703" xr:uid="{7D8467BF-643D-4DCE-B2F3-86D787F9FC66}"/>
    <cellStyle name="Header2 3" xfId="26411" xr:uid="{06813F25-1C9C-43FA-BDC1-FC6C8F0251B9}"/>
    <cellStyle name="Header2 3 2" xfId="26507" xr:uid="{5AA7A6A5-1387-4F7B-AF0A-78537EF67831}"/>
    <cellStyle name="Header2 3 2 2" xfId="26561" xr:uid="{9D73E0D0-E336-438C-BBC5-D578B1B0159F}"/>
    <cellStyle name="Header2 3 2 2 2" xfId="26938" xr:uid="{0C6E715B-1312-43CD-B0BF-FC12573A1DDE}"/>
    <cellStyle name="Header2 3 2 3" xfId="26890" xr:uid="{D77BCA1A-AF2A-41E1-91BD-C17B8939CACB}"/>
    <cellStyle name="Header2 3 2 4" xfId="30189" xr:uid="{45268BCF-BB40-4A3A-8418-D74DB45D92DF}"/>
    <cellStyle name="Header2 3 2 5" xfId="31621" xr:uid="{36EAFFE0-E643-44ED-9642-652DA48ECD73}"/>
    <cellStyle name="Header2 3 3" xfId="26809" xr:uid="{9CEFCAB3-2951-4DDF-9370-9E0AC110AE3E}"/>
    <cellStyle name="Header2 4" xfId="26559" xr:uid="{F1C3505B-81C1-4FEC-8E43-AD64985CD554}"/>
    <cellStyle name="Header2 4 2" xfId="26936" xr:uid="{8E31F2F7-D3A6-41A4-9B70-E876F60CC6E4}"/>
    <cellStyle name="Header2 4 2 2" xfId="30190" xr:uid="{B9B2CF1C-89DC-48AA-829E-EAE67A3158E0}"/>
    <cellStyle name="Header2 4 2 3" xfId="31622" xr:uid="{85ED8307-85B6-4F8C-8F6E-5B9EE9C59707}"/>
    <cellStyle name="Header2 5" xfId="26651" xr:uid="{0FEEF025-4EF5-4981-ABB9-F1C1068DC7A3}"/>
    <cellStyle name="Header2 5 2" xfId="30187" xr:uid="{88730B74-5CE0-4BCC-B336-87487D070142}"/>
    <cellStyle name="Header2 5 3" xfId="31619" xr:uid="{2F56897E-6901-4008-91AE-54E1B6047779}"/>
    <cellStyle name="Header3" xfId="28518" xr:uid="{5EF07177-BE78-4243-8B6A-333F23881A43}"/>
    <cellStyle name="Heading 1" xfId="24" builtinId="16" customBuiltin="1"/>
    <cellStyle name="Heading 1 2" xfId="105" xr:uid="{00000000-0005-0000-0000-000068100000}"/>
    <cellStyle name="Heading 1 2 10" xfId="28519" xr:uid="{E100B332-B7C8-4D6E-BC1A-4F1B1E752E17}"/>
    <cellStyle name="Heading 1 2 2" xfId="26213" xr:uid="{1623EA2D-D806-4B07-A4DE-0C771C51B2F2}"/>
    <cellStyle name="Heading 1 2 2 2" xfId="28520" xr:uid="{FBB22457-14EF-4C2D-ADDE-D97FB1092E28}"/>
    <cellStyle name="Heading 1 2 3" xfId="26133" xr:uid="{3643A24F-7990-4943-94B0-391C6B0D10B5}"/>
    <cellStyle name="Heading 1 2 3 2" xfId="28521" xr:uid="{F1F70F5B-4207-47FD-ACC8-380D262EB13B}"/>
    <cellStyle name="Heading 1 2 4" xfId="28522" xr:uid="{30CD726D-87E7-4EC9-9197-2572F4834EA3}"/>
    <cellStyle name="Heading 1 2 5" xfId="28523" xr:uid="{B3256B81-9CE4-41E8-AF8F-910DB77C8835}"/>
    <cellStyle name="Heading 1 2 6" xfId="28524" xr:uid="{9F32E35B-7145-4C89-8E2F-E9052DBA104E}"/>
    <cellStyle name="Heading 1 2 7" xfId="28525" xr:uid="{56BF89DA-618C-4432-BADF-BDE9FBA25278}"/>
    <cellStyle name="Heading 1 2 8" xfId="28526" xr:uid="{5B7C51C5-14DC-428B-AC5F-86C1F1B0C34B}"/>
    <cellStyle name="Heading 1 2 9" xfId="28527" xr:uid="{E27DAAF4-47BF-424B-9B3B-40BEE5DCDA67}"/>
    <cellStyle name="Heading 1 2_WBS Creation" xfId="28528" xr:uid="{29B45C6C-E5E7-41A3-B3DC-AFAB9BD2721B}"/>
    <cellStyle name="Heading 1 3 10" xfId="28529" xr:uid="{D3D51CFB-5532-4422-9890-73F206BE5474}"/>
    <cellStyle name="Heading 1 3 2" xfId="28530" xr:uid="{E3C4299D-119C-431B-99CD-9C1D2673FF4E}"/>
    <cellStyle name="Heading 1 3 3" xfId="28531" xr:uid="{55159A27-EA77-472C-96E8-C4D275E2940D}"/>
    <cellStyle name="Heading 1 3 4" xfId="28532" xr:uid="{58760D70-72D3-4BC4-B65F-7801659702CA}"/>
    <cellStyle name="Heading 1 3 5" xfId="28533" xr:uid="{4C30449F-E8FE-47C3-A39D-90258A436AB8}"/>
    <cellStyle name="Heading 1 3 6" xfId="28534" xr:uid="{5E463F0F-18E8-4B0B-9A12-C286239AF986}"/>
    <cellStyle name="Heading 1 3 7" xfId="28535" xr:uid="{8686F4A0-BBD5-47D2-9811-8C42347A27DA}"/>
    <cellStyle name="Heading 1 3 8" xfId="28536" xr:uid="{7C21A289-642B-4C7E-B18D-2FCDE59829AE}"/>
    <cellStyle name="Heading 1 3 9" xfId="28537" xr:uid="{299F73B7-2A49-41DA-8463-404EDB4834E3}"/>
    <cellStyle name="Heading 1 4 10" xfId="28538" xr:uid="{660F5678-B460-4A2A-BF5F-78118192AA42}"/>
    <cellStyle name="Heading 1 4 2" xfId="28539" xr:uid="{11CECF8B-46FD-4183-85B8-4D81318842E9}"/>
    <cellStyle name="Heading 1 4 3" xfId="28540" xr:uid="{FA97A0E4-E3D8-424C-A0EF-5F65792AC163}"/>
    <cellStyle name="Heading 1 4 4" xfId="28541" xr:uid="{F452908D-682C-40B5-BCD7-8595211012D1}"/>
    <cellStyle name="Heading 1 4 5" xfId="28542" xr:uid="{9EADFC40-80C1-4176-8DA3-5BA04427EB97}"/>
    <cellStyle name="Heading 1 4 6" xfId="28543" xr:uid="{1DAF8946-1BA8-463C-9D96-9F0DC2FAF725}"/>
    <cellStyle name="Heading 1 4 7" xfId="28544" xr:uid="{1B452078-30A2-4ACC-BC84-E1832991B56F}"/>
    <cellStyle name="Heading 1 4 8" xfId="28545" xr:uid="{2CA7BA49-03A8-4722-B6DF-51AD6351B323}"/>
    <cellStyle name="Heading 1 4 9" xfId="28546" xr:uid="{32E5BD93-0A9F-4B67-9BDC-7E650DFE674F}"/>
    <cellStyle name="Heading 1 5 10" xfId="28547" xr:uid="{E79B2236-81BD-48AB-A547-07555D26CBAC}"/>
    <cellStyle name="Heading 1 5 2" xfId="28548" xr:uid="{A71D0D5D-1E61-43C2-A7B4-EF023728CAFF}"/>
    <cellStyle name="Heading 1 5 3" xfId="28549" xr:uid="{E3ADAC95-90F1-4FE2-A139-7F723C508209}"/>
    <cellStyle name="Heading 1 5 4" xfId="28550" xr:uid="{21199E1C-8118-401D-9E92-C7B13E67263A}"/>
    <cellStyle name="Heading 1 5 5" xfId="28551" xr:uid="{A3FC7F1B-0C5A-4D91-95EC-965B1F6B0C77}"/>
    <cellStyle name="Heading 1 5 6" xfId="28552" xr:uid="{D77B9B13-48F7-487C-9F42-C12243BFBAB6}"/>
    <cellStyle name="Heading 1 5 7" xfId="28553" xr:uid="{A72531FD-9DC8-41A3-9A3D-AF4E0FC5C1DD}"/>
    <cellStyle name="Heading 1 5 8" xfId="28554" xr:uid="{DD1A1BDE-9187-4F0F-B670-0055A47360C5}"/>
    <cellStyle name="Heading 1 5 9" xfId="28555" xr:uid="{2E460C1E-6FA5-4D77-B124-F5FECE67DC63}"/>
    <cellStyle name="Heading 2" xfId="25" builtinId="17" customBuiltin="1"/>
    <cellStyle name="Heading 2 2" xfId="106" xr:uid="{00000000-0005-0000-0000-00006A100000}"/>
    <cellStyle name="Heading 2 2 10" xfId="28556" xr:uid="{9FC9B69F-3E50-4DC8-82D4-9FD17EC3C23E}"/>
    <cellStyle name="Heading 2 2 2" xfId="26231" xr:uid="{24A57638-205A-49B0-8C6E-D84C2DC95261}"/>
    <cellStyle name="Heading 2 2 2 2" xfId="28557" xr:uid="{6C19FECA-B39B-4987-ABEE-61F1A2F19BDE}"/>
    <cellStyle name="Heading 2 2 3" xfId="26134" xr:uid="{B8851970-0BA6-4C46-B4E6-CAD181BA1CC5}"/>
    <cellStyle name="Heading 2 2 3 2" xfId="28558" xr:uid="{BD977118-943D-492B-85A2-99CFE9474163}"/>
    <cellStyle name="Heading 2 2 4" xfId="28559" xr:uid="{655F7019-BBAA-4855-89C7-747512DBB47E}"/>
    <cellStyle name="Heading 2 2 5" xfId="28560" xr:uid="{26482D22-0960-41FD-A279-CCD53522B21B}"/>
    <cellStyle name="Heading 2 2 6" xfId="28561" xr:uid="{977DFEF6-E436-40D6-8CC7-AA9F7E630BEC}"/>
    <cellStyle name="Heading 2 2 7" xfId="28562" xr:uid="{C9FEF0FA-722D-4D6F-9EA0-9B40B2FD47C0}"/>
    <cellStyle name="Heading 2 2 8" xfId="28563" xr:uid="{7BCC163B-3F17-42FC-B805-AC6565384BE8}"/>
    <cellStyle name="Heading 2 2 9" xfId="28564" xr:uid="{B8F78840-5DF2-43DC-AD2B-B17ED63672E6}"/>
    <cellStyle name="Heading 2 2_WBS Creation" xfId="28565" xr:uid="{E7C35F23-BA00-4E31-ABBA-B46428F4ACC7}"/>
    <cellStyle name="Heading 2 3 10" xfId="28566" xr:uid="{4D15DA40-C0C8-4F47-A042-67310833D673}"/>
    <cellStyle name="Heading 2 3 2" xfId="28567" xr:uid="{171C850C-661B-4032-B8C8-1517FEAF1ED4}"/>
    <cellStyle name="Heading 2 3 3" xfId="28568" xr:uid="{08001F4C-E7D1-4C7B-B2BF-7C721939DA2F}"/>
    <cellStyle name="Heading 2 3 4" xfId="28569" xr:uid="{28D3DE2B-98ED-419E-ADAF-1BF8BFF82173}"/>
    <cellStyle name="Heading 2 3 5" xfId="28570" xr:uid="{75F4A023-EFB8-4DCD-8B22-4F8541852CB2}"/>
    <cellStyle name="Heading 2 3 6" xfId="28571" xr:uid="{E8CF7117-D83A-4B14-A5BF-AF80F1562290}"/>
    <cellStyle name="Heading 2 3 7" xfId="28572" xr:uid="{1D68A47E-852F-4AE8-B5A0-8DFEB748AAF3}"/>
    <cellStyle name="Heading 2 3 8" xfId="28573" xr:uid="{5E15D60C-139C-4874-BA0B-4421D947CD15}"/>
    <cellStyle name="Heading 2 3 9" xfId="28574" xr:uid="{3C43396C-7523-4422-9C37-A839646B96FA}"/>
    <cellStyle name="Heading 2 4 10" xfId="28575" xr:uid="{C52286DA-9AC2-4253-906C-26DB9B956093}"/>
    <cellStyle name="Heading 2 4 2" xfId="28576" xr:uid="{3397E7C6-2900-4B19-93C3-D279744446F1}"/>
    <cellStyle name="Heading 2 4 3" xfId="28577" xr:uid="{A8B3F4E4-B68C-4420-B010-3A023B438B0F}"/>
    <cellStyle name="Heading 2 4 4" xfId="28578" xr:uid="{EB019554-E9CA-4DDF-B5E9-1636A38CE413}"/>
    <cellStyle name="Heading 2 4 5" xfId="28579" xr:uid="{91FB45A9-5FB0-4275-922E-1C5B0BDD3AE4}"/>
    <cellStyle name="Heading 2 4 6" xfId="28580" xr:uid="{A3FEECDE-6C40-4476-AAA2-A990368AD060}"/>
    <cellStyle name="Heading 2 4 7" xfId="28581" xr:uid="{E54782ED-D39A-4890-82B1-D6E967B7C9E4}"/>
    <cellStyle name="Heading 2 4 8" xfId="28582" xr:uid="{107ADA11-09DB-4C9A-9011-29A384319DCC}"/>
    <cellStyle name="Heading 2 4 9" xfId="28583" xr:uid="{369661D5-2779-4A87-A401-31C37AD92784}"/>
    <cellStyle name="Heading 2 5 10" xfId="28584" xr:uid="{0F9D37A8-164B-4FC1-86FB-B7B63116AE17}"/>
    <cellStyle name="Heading 2 5 2" xfId="28585" xr:uid="{E0894291-C6E7-4897-AF9C-39F44134271F}"/>
    <cellStyle name="Heading 2 5 3" xfId="28586" xr:uid="{B97A6954-887A-4E82-9254-E937597D6D7B}"/>
    <cellStyle name="Heading 2 5 4" xfId="28587" xr:uid="{84A3D1B1-80E3-4675-8550-D81D0EC6ADD9}"/>
    <cellStyle name="Heading 2 5 5" xfId="28588" xr:uid="{6F7D3BA7-C804-465C-A38D-49F654BDD215}"/>
    <cellStyle name="Heading 2 5 6" xfId="28589" xr:uid="{823EFBB1-4B1F-41F7-8697-A65F64BAB5D4}"/>
    <cellStyle name="Heading 2 5 7" xfId="28590" xr:uid="{A4F61F95-4294-4710-99DC-36478A969025}"/>
    <cellStyle name="Heading 2 5 8" xfId="28591" xr:uid="{08DDDC09-2069-473E-9839-C37697DE8C27}"/>
    <cellStyle name="Heading 2 5 9" xfId="28592" xr:uid="{D774B138-3277-4C64-BBBA-39B5BBED55A6}"/>
    <cellStyle name="Heading 3" xfId="26" builtinId="18" customBuiltin="1"/>
    <cellStyle name="Heading 3 2" xfId="107" xr:uid="{00000000-0005-0000-0000-00006C100000}"/>
    <cellStyle name="Heading 3 2 10" xfId="28593" xr:uid="{34ADB78B-F661-4678-A519-7AD2B359E4B8}"/>
    <cellStyle name="Heading 3 2 2" xfId="26215" xr:uid="{E6F5BB4A-DF85-4E17-AF75-F4D4E9150D41}"/>
    <cellStyle name="Heading 3 2 2 2" xfId="28594" xr:uid="{AA3040D6-B57C-4E3E-8D6B-F85A1F65835F}"/>
    <cellStyle name="Heading 3 2 3" xfId="26135" xr:uid="{6C57CAA3-59EB-4055-91D0-50597468A050}"/>
    <cellStyle name="Heading 3 2 3 2" xfId="28595" xr:uid="{68B5C385-057F-40ED-837D-5C3A5014844E}"/>
    <cellStyle name="Heading 3 2 4" xfId="28596" xr:uid="{979176DF-E815-4400-BC3D-C3621707A012}"/>
    <cellStyle name="Heading 3 2 5" xfId="28597" xr:uid="{BB20604B-89D4-481C-AFA5-5497D62A8E8E}"/>
    <cellStyle name="Heading 3 2 6" xfId="28598" xr:uid="{4393AA29-A7E2-4973-B2F1-D4BBC232EB4A}"/>
    <cellStyle name="Heading 3 2 7" xfId="28599" xr:uid="{3E8C8AC7-1E42-40DE-9C77-D16698EA5308}"/>
    <cellStyle name="Heading 3 2 8" xfId="28600" xr:uid="{225D5F8A-5530-49D7-A746-61059536994A}"/>
    <cellStyle name="Heading 3 2 9" xfId="28601" xr:uid="{2C67612A-731E-4D74-9B54-2F87312174BC}"/>
    <cellStyle name="Heading 3 2_WBS Creation" xfId="28602" xr:uid="{D569E9D8-F4C8-48D7-A705-4B4BA45255BA}"/>
    <cellStyle name="Heading 3 3 10" xfId="28603" xr:uid="{5B490915-FC94-4660-8E0B-0C99FB74E851}"/>
    <cellStyle name="Heading 3 3 2" xfId="28604" xr:uid="{E21F3C2E-33F3-4BEF-A47F-63E5F40DF0DA}"/>
    <cellStyle name="Heading 3 3 3" xfId="28605" xr:uid="{60FAC88B-433C-4B95-8EE9-85F23C7ECF41}"/>
    <cellStyle name="Heading 3 3 4" xfId="28606" xr:uid="{D6666FF3-E5E2-463B-9870-5D78D0FA6F6D}"/>
    <cellStyle name="Heading 3 3 5" xfId="28607" xr:uid="{A83F238F-8A1C-47F1-AC6D-5AEECCC85833}"/>
    <cellStyle name="Heading 3 3 6" xfId="28608" xr:uid="{BB1CD837-F066-47EF-9696-06D949C51E1C}"/>
    <cellStyle name="Heading 3 3 7" xfId="28609" xr:uid="{1F0F5457-44B9-4628-B20D-25E65E3CA8AB}"/>
    <cellStyle name="Heading 3 3 8" xfId="28610" xr:uid="{781D7F13-FEDD-4C39-AB02-A9D17E955B23}"/>
    <cellStyle name="Heading 3 3 9" xfId="28611" xr:uid="{33ACFF8A-3372-4BC8-88FF-1214150F7FBD}"/>
    <cellStyle name="Heading 3 4 10" xfId="28612" xr:uid="{0ACC4464-4C89-4CD5-A5ED-58157831BEF0}"/>
    <cellStyle name="Heading 3 4 2" xfId="28613" xr:uid="{321CF1A4-7F92-4E9F-8E42-D82B23FF32A8}"/>
    <cellStyle name="Heading 3 4 3" xfId="28614" xr:uid="{6DB729D1-0DA1-445F-8CD5-F272FC26DC16}"/>
    <cellStyle name="Heading 3 4 4" xfId="28615" xr:uid="{049E962C-8BE7-4220-8513-7C4CC744BAAB}"/>
    <cellStyle name="Heading 3 4 5" xfId="28616" xr:uid="{A1F469B4-F728-41A8-888E-6AE4C0F0F191}"/>
    <cellStyle name="Heading 3 4 6" xfId="28617" xr:uid="{2651AAF7-1351-4B58-A91F-413FDA4C3986}"/>
    <cellStyle name="Heading 3 4 7" xfId="28618" xr:uid="{5561D003-BB9C-4A92-ACD6-FFA11300125F}"/>
    <cellStyle name="Heading 3 4 8" xfId="28619" xr:uid="{34D5C141-1DA3-4D5F-91A2-C3BE69425469}"/>
    <cellStyle name="Heading 3 4 9" xfId="28620" xr:uid="{63CB0133-E826-49B7-8FA3-33450EE9060A}"/>
    <cellStyle name="Heading 3 5 10" xfId="28621" xr:uid="{F888D223-9DB2-4E93-B15F-27342EB5891B}"/>
    <cellStyle name="Heading 3 5 2" xfId="28622" xr:uid="{97300871-F012-4ED8-A297-254F2787A388}"/>
    <cellStyle name="Heading 3 5 3" xfId="28623" xr:uid="{4C9DBC98-784B-41F7-9373-8B27F7F9E0B3}"/>
    <cellStyle name="Heading 3 5 4" xfId="28624" xr:uid="{BB3F6C1B-DCB3-4061-AB94-F0F0C42F2157}"/>
    <cellStyle name="Heading 3 5 5" xfId="28625" xr:uid="{8559BF87-B58B-48F1-BF0D-2B57D7DA07BA}"/>
    <cellStyle name="Heading 3 5 6" xfId="28626" xr:uid="{EDAA1AF9-60CA-495D-AC9D-46F448991CAC}"/>
    <cellStyle name="Heading 3 5 7" xfId="28627" xr:uid="{5E55CD50-3508-4895-B5FF-8082877D95DC}"/>
    <cellStyle name="Heading 3 5 8" xfId="28628" xr:uid="{55A77108-03CF-47C3-8902-8C72E07D0C4B}"/>
    <cellStyle name="Heading 3 5 9" xfId="28629" xr:uid="{276E0536-DB9B-42EB-BE4F-4705FEC0C2E1}"/>
    <cellStyle name="Heading 4" xfId="27" builtinId="19" customBuiltin="1"/>
    <cellStyle name="Heading 4 2" xfId="108" xr:uid="{00000000-0005-0000-0000-00006E100000}"/>
    <cellStyle name="Heading 4 2 10" xfId="28630" xr:uid="{59590222-B8F9-4844-AACB-0C7DE3F68464}"/>
    <cellStyle name="Heading 4 2 2" xfId="26230" xr:uid="{D026B0F9-8F3E-418D-A3A4-70B9DFD58766}"/>
    <cellStyle name="Heading 4 2 2 2" xfId="28631" xr:uid="{0DD33642-7FDF-41A4-8FBF-196E358B885A}"/>
    <cellStyle name="Heading 4 2 3" xfId="26136" xr:uid="{CF4216DE-272F-449E-926F-04AD4B7610F5}"/>
    <cellStyle name="Heading 4 2 3 2" xfId="28632" xr:uid="{98DC7144-9AA8-4298-A553-F9781A4C3AB6}"/>
    <cellStyle name="Heading 4 2 4" xfId="28633" xr:uid="{F177FB70-10FB-43F6-90C4-D9B5B7593A2D}"/>
    <cellStyle name="Heading 4 2 5" xfId="28634" xr:uid="{5EE2DB25-E27A-4F41-82EA-C31262E4D471}"/>
    <cellStyle name="Heading 4 2 6" xfId="28635" xr:uid="{4D72D2CE-58E6-4780-8C1A-06DA56186FF0}"/>
    <cellStyle name="Heading 4 2 7" xfId="28636" xr:uid="{EBE0EE9E-8818-496A-8CC3-3C9640CB1161}"/>
    <cellStyle name="Heading 4 2 8" xfId="28637" xr:uid="{B70EEE3E-2036-4831-ABAF-6BBD8369966A}"/>
    <cellStyle name="Heading 4 2 9" xfId="28638" xr:uid="{95A04698-CC52-4772-842A-B3012965BE0F}"/>
    <cellStyle name="Heading 4 2_WBS Creation" xfId="28639" xr:uid="{53E92831-34B8-47C1-9A1A-369AFB3AA950}"/>
    <cellStyle name="Heading 4 3 10" xfId="28640" xr:uid="{F2F992FC-CEA9-4447-84D9-AE5F36F5B178}"/>
    <cellStyle name="Heading 4 3 2" xfId="28641" xr:uid="{01642FC2-7405-486A-8534-623BD0CFFC76}"/>
    <cellStyle name="Heading 4 3 3" xfId="28642" xr:uid="{4EA263BC-7C8F-41A9-9758-CAC6B7E90798}"/>
    <cellStyle name="Heading 4 3 4" xfId="28643" xr:uid="{367AABA7-9A35-4031-B24A-32E487E15900}"/>
    <cellStyle name="Heading 4 3 5" xfId="28644" xr:uid="{48416F09-5F9B-4B87-B104-250DF033F4FA}"/>
    <cellStyle name="Heading 4 3 6" xfId="28645" xr:uid="{9F457CE2-4992-4FA8-AFEC-A290B210CA28}"/>
    <cellStyle name="Heading 4 3 7" xfId="28646" xr:uid="{2B8619D2-BB83-4DFC-84BC-69BF6CCB46E7}"/>
    <cellStyle name="Heading 4 3 8" xfId="28647" xr:uid="{720E32D7-9C08-4E2E-94E0-928443A0A6FA}"/>
    <cellStyle name="Heading 4 3 9" xfId="28648" xr:uid="{12C38F9E-7AEA-4770-893F-433915C9506E}"/>
    <cellStyle name="Heading 4 4 10" xfId="28649" xr:uid="{C4377547-8265-4A56-BF6E-B1AD6D6A4BF8}"/>
    <cellStyle name="Heading 4 4 2" xfId="28650" xr:uid="{95ED5304-CEB7-49F7-ABC9-54F173879C25}"/>
    <cellStyle name="Heading 4 4 3" xfId="28651" xr:uid="{96160C0C-9A8D-45B6-8031-2EDCF7356E45}"/>
    <cellStyle name="Heading 4 4 4" xfId="28652" xr:uid="{6B930319-5940-4180-8C95-99ECD5B814ED}"/>
    <cellStyle name="Heading 4 4 5" xfId="28653" xr:uid="{040675E2-904F-4B50-A132-D930093EA093}"/>
    <cellStyle name="Heading 4 4 6" xfId="28654" xr:uid="{2903ABCF-3ECF-4667-BA57-08B563C40B80}"/>
    <cellStyle name="Heading 4 4 7" xfId="28655" xr:uid="{0681EE6D-47D8-4B86-BCA5-1E4547E14135}"/>
    <cellStyle name="Heading 4 4 8" xfId="28656" xr:uid="{774B058D-03CD-4650-A4D9-582816FE4FB4}"/>
    <cellStyle name="Heading 4 4 9" xfId="28657" xr:uid="{A311098D-53B4-4556-87E7-53ACB5EAA339}"/>
    <cellStyle name="Heading 4 5 10" xfId="28658" xr:uid="{ADAAC716-0073-452D-BEB8-4CCD85BE71F2}"/>
    <cellStyle name="Heading 4 5 2" xfId="28659" xr:uid="{6206EF47-7349-4F77-A96B-39048F006428}"/>
    <cellStyle name="Heading 4 5 3" xfId="28660" xr:uid="{2A7860E2-9EE2-4D40-9A6E-D9901A2EF2A4}"/>
    <cellStyle name="Heading 4 5 4" xfId="28661" xr:uid="{1A1BFA27-BDC5-4BCD-AB17-D3A321C148D0}"/>
    <cellStyle name="Heading 4 5 5" xfId="28662" xr:uid="{D4DC3C68-93F3-44A4-8369-C93036E6A6B3}"/>
    <cellStyle name="Heading 4 5 6" xfId="28663" xr:uid="{6E464265-B932-45C8-865B-80B4FF321B60}"/>
    <cellStyle name="Heading 4 5 7" xfId="28664" xr:uid="{A034840B-F424-485F-A482-EF54B7761EAF}"/>
    <cellStyle name="Heading 4 5 8" xfId="28665" xr:uid="{791885C0-0F05-4BA1-A10D-B187FEDEA632}"/>
    <cellStyle name="Heading 4 5 9" xfId="28666" xr:uid="{0A4F865A-1AD4-47EB-AFA1-3547EC9FEB8B}"/>
    <cellStyle name="Hyperlink 10" xfId="25898" xr:uid="{75C8A0F8-CA8F-454C-A600-6919EDE3532D}"/>
    <cellStyle name="Hyperlink 2" xfId="68" xr:uid="{00000000-0005-0000-0000-000070100000}"/>
    <cellStyle name="Hyperlink 2 2" xfId="6887" xr:uid="{00000000-0005-0000-0000-000071100000}"/>
    <cellStyle name="Hyperlink 2 3" xfId="28667" xr:uid="{10A96C93-6880-4A29-A91C-B9C3B6EBBABF}"/>
    <cellStyle name="Hyperlink 2_Summary" xfId="20191" xr:uid="{00000000-0005-0000-0000-000072100000}"/>
    <cellStyle name="Hyperlink 3" xfId="25704" xr:uid="{3683D1E4-B4EE-4241-AECA-F7011374C626}"/>
    <cellStyle name="Hyperlink 3 2" xfId="26014" xr:uid="{CFFBC54A-2F8E-4DD1-A187-E1FDE9E1E041}"/>
    <cellStyle name="Input" xfId="31" builtinId="20" customBuiltin="1"/>
    <cellStyle name="Input [yellow]" xfId="26137" xr:uid="{E42DD2B2-4A54-4278-9D34-B04D1AD0CF3A}"/>
    <cellStyle name="Input [yellow] 2" xfId="26272" xr:uid="{1EF17F7A-28AD-424E-BCC9-AF0D8839E885}"/>
    <cellStyle name="Input [yellow] 2 2" xfId="26330" xr:uid="{AD07C53D-AA11-4885-B869-E42B26E95123}"/>
    <cellStyle name="Input [yellow] 2 2 2" xfId="26488" xr:uid="{33BE6882-100D-4107-AAE9-F29C2D18196A}"/>
    <cellStyle name="Input [yellow] 3" xfId="26412" xr:uid="{9CC4EA07-FD9C-4EE2-9175-C8802BFA03ED}"/>
    <cellStyle name="Input [yellow] 3 2" xfId="26508" xr:uid="{6D0B8865-1BBB-4A35-AAF0-CB84D078809B}"/>
    <cellStyle name="Input 2" xfId="109" xr:uid="{00000000-0005-0000-0000-000074100000}"/>
    <cellStyle name="Input 2 10" xfId="181" xr:uid="{00000000-0005-0000-0000-000075100000}"/>
    <cellStyle name="Input 2 10 10" xfId="2290" xr:uid="{00000000-0005-0000-0000-000076100000}"/>
    <cellStyle name="Input 2 10 10 2" xfId="4426" xr:uid="{00000000-0005-0000-0000-000077100000}"/>
    <cellStyle name="Input 2 10 10 2 2" xfId="11022" xr:uid="{00000000-0005-0000-0000-000078100000}"/>
    <cellStyle name="Input 2 10 10 2 3" xfId="17641" xr:uid="{00000000-0005-0000-0000-000079100000}"/>
    <cellStyle name="Input 2 10 10 2_Summary" xfId="20195" xr:uid="{00000000-0005-0000-0000-00007A100000}"/>
    <cellStyle name="Input 2 10 10 3" xfId="6461" xr:uid="{00000000-0005-0000-0000-00007B100000}"/>
    <cellStyle name="Input 2 10 10 3 2" xfId="13057" xr:uid="{00000000-0005-0000-0000-00007C100000}"/>
    <cellStyle name="Input 2 10 10 3 3" xfId="19676" xr:uid="{00000000-0005-0000-0000-00007D100000}"/>
    <cellStyle name="Input 2 10 10 3_Summary" xfId="20196" xr:uid="{00000000-0005-0000-0000-00007E100000}"/>
    <cellStyle name="Input 2 10 10 4" xfId="8886" xr:uid="{00000000-0005-0000-0000-00007F100000}"/>
    <cellStyle name="Input 2 10 10 5" xfId="15505" xr:uid="{00000000-0005-0000-0000-000080100000}"/>
    <cellStyle name="Input 2 10 10_Summary" xfId="20194" xr:uid="{00000000-0005-0000-0000-000081100000}"/>
    <cellStyle name="Input 2 10 11" xfId="2609" xr:uid="{00000000-0005-0000-0000-000082100000}"/>
    <cellStyle name="Input 2 10 11 2" xfId="9205" xr:uid="{00000000-0005-0000-0000-000083100000}"/>
    <cellStyle name="Input 2 10 11 3" xfId="15824" xr:uid="{00000000-0005-0000-0000-000084100000}"/>
    <cellStyle name="Input 2 10 11_Summary" xfId="20197" xr:uid="{00000000-0005-0000-0000-000085100000}"/>
    <cellStyle name="Input 2 10 12" xfId="2564" xr:uid="{00000000-0005-0000-0000-000086100000}"/>
    <cellStyle name="Input 2 10 12 2" xfId="9160" xr:uid="{00000000-0005-0000-0000-000087100000}"/>
    <cellStyle name="Input 2 10 12 3" xfId="15779" xr:uid="{00000000-0005-0000-0000-000088100000}"/>
    <cellStyle name="Input 2 10 12_Summary" xfId="20198" xr:uid="{00000000-0005-0000-0000-000089100000}"/>
    <cellStyle name="Input 2 10 13" xfId="498" xr:uid="{00000000-0005-0000-0000-00008A100000}"/>
    <cellStyle name="Input 2 10 13 2" xfId="13713" xr:uid="{00000000-0005-0000-0000-00008B100000}"/>
    <cellStyle name="Input 2 10 13_Summary" xfId="20199" xr:uid="{00000000-0005-0000-0000-00008C100000}"/>
    <cellStyle name="Input 2 10 14" xfId="7089" xr:uid="{00000000-0005-0000-0000-00008D100000}"/>
    <cellStyle name="Input 2 10 15" xfId="6967" xr:uid="{00000000-0005-0000-0000-00008E100000}"/>
    <cellStyle name="Input 2 10 16" xfId="28669" xr:uid="{02713500-187A-4301-AE51-D2C0ADE7A49A}"/>
    <cellStyle name="Input 2 10 17" xfId="30910" xr:uid="{B7116704-D62A-46E2-8844-85F3CFDBDCB2}"/>
    <cellStyle name="Input 2 10 2" xfId="313" xr:uid="{00000000-0005-0000-0000-00008F100000}"/>
    <cellStyle name="Input 2 10 2 10" xfId="4734" xr:uid="{00000000-0005-0000-0000-000090100000}"/>
    <cellStyle name="Input 2 10 2 10 2" xfId="11330" xr:uid="{00000000-0005-0000-0000-000091100000}"/>
    <cellStyle name="Input 2 10 2 10 3" xfId="17949" xr:uid="{00000000-0005-0000-0000-000092100000}"/>
    <cellStyle name="Input 2 10 2 10_Summary" xfId="20201" xr:uid="{00000000-0005-0000-0000-000093100000}"/>
    <cellStyle name="Input 2 10 2 11" xfId="563" xr:uid="{00000000-0005-0000-0000-000094100000}"/>
    <cellStyle name="Input 2 10 2 11 2" xfId="13778" xr:uid="{00000000-0005-0000-0000-000095100000}"/>
    <cellStyle name="Input 2 10 2 11_Summary" xfId="20202" xr:uid="{00000000-0005-0000-0000-000096100000}"/>
    <cellStyle name="Input 2 10 2 12" xfId="7207" xr:uid="{00000000-0005-0000-0000-000097100000}"/>
    <cellStyle name="Input 2 10 2 13" xfId="13529" xr:uid="{00000000-0005-0000-0000-000098100000}"/>
    <cellStyle name="Input 2 10 2 14" xfId="28670" xr:uid="{62DC126D-EF61-4F30-8FFA-02D64DB54818}"/>
    <cellStyle name="Input 2 10 2 15" xfId="30911" xr:uid="{0E8D864D-4227-415D-9A60-A9D303B4008D}"/>
    <cellStyle name="Input 2 10 2 2" xfId="442" xr:uid="{00000000-0005-0000-0000-000099100000}"/>
    <cellStyle name="Input 2 10 2 2 10" xfId="836" xr:uid="{00000000-0005-0000-0000-00009A100000}"/>
    <cellStyle name="Input 2 10 2 2 10 2" xfId="14051" xr:uid="{00000000-0005-0000-0000-00009B100000}"/>
    <cellStyle name="Input 2 10 2 2 10_Summary" xfId="20204" xr:uid="{00000000-0005-0000-0000-00009C100000}"/>
    <cellStyle name="Input 2 10 2 2 11" xfId="7335" xr:uid="{00000000-0005-0000-0000-00009D100000}"/>
    <cellStyle name="Input 2 10 2 2 12" xfId="13657" xr:uid="{00000000-0005-0000-0000-00009E100000}"/>
    <cellStyle name="Input 2 10 2 2 13" xfId="30193" xr:uid="{A9D4C35A-F44E-44C4-BB37-8B9C063695EA}"/>
    <cellStyle name="Input 2 10 2 2 14" xfId="31625" xr:uid="{694A2D06-4ECF-4497-B028-6F7BA7625DB0}"/>
    <cellStyle name="Input 2 10 2 2 2" xfId="1136" xr:uid="{00000000-0005-0000-0000-00009F100000}"/>
    <cellStyle name="Input 2 10 2 2 2 2" xfId="3272" xr:uid="{00000000-0005-0000-0000-0000A0100000}"/>
    <cellStyle name="Input 2 10 2 2 2 2 2" xfId="9868" xr:uid="{00000000-0005-0000-0000-0000A1100000}"/>
    <cellStyle name="Input 2 10 2 2 2 2 3" xfId="16487" xr:uid="{00000000-0005-0000-0000-0000A2100000}"/>
    <cellStyle name="Input 2 10 2 2 2 2_Summary" xfId="20206" xr:uid="{00000000-0005-0000-0000-0000A3100000}"/>
    <cellStyle name="Input 2 10 2 2 2 3" xfId="5307" xr:uid="{00000000-0005-0000-0000-0000A4100000}"/>
    <cellStyle name="Input 2 10 2 2 2 3 2" xfId="11903" xr:uid="{00000000-0005-0000-0000-0000A5100000}"/>
    <cellStyle name="Input 2 10 2 2 2 3 3" xfId="18522" xr:uid="{00000000-0005-0000-0000-0000A6100000}"/>
    <cellStyle name="Input 2 10 2 2 2 3_Summary" xfId="20207" xr:uid="{00000000-0005-0000-0000-0000A7100000}"/>
    <cellStyle name="Input 2 10 2 2 2 4" xfId="7732" xr:uid="{00000000-0005-0000-0000-0000A8100000}"/>
    <cellStyle name="Input 2 10 2 2 2 5" xfId="14351" xr:uid="{00000000-0005-0000-0000-0000A9100000}"/>
    <cellStyle name="Input 2 10 2 2 2_Summary" xfId="20205" xr:uid="{00000000-0005-0000-0000-0000AA100000}"/>
    <cellStyle name="Input 2 10 2 2 3" xfId="1418" xr:uid="{00000000-0005-0000-0000-0000AB100000}"/>
    <cellStyle name="Input 2 10 2 2 3 2" xfId="3554" xr:uid="{00000000-0005-0000-0000-0000AC100000}"/>
    <cellStyle name="Input 2 10 2 2 3 2 2" xfId="10150" xr:uid="{00000000-0005-0000-0000-0000AD100000}"/>
    <cellStyle name="Input 2 10 2 2 3 2 3" xfId="16769" xr:uid="{00000000-0005-0000-0000-0000AE100000}"/>
    <cellStyle name="Input 2 10 2 2 3 2_Summary" xfId="20209" xr:uid="{00000000-0005-0000-0000-0000AF100000}"/>
    <cellStyle name="Input 2 10 2 2 3 3" xfId="5589" xr:uid="{00000000-0005-0000-0000-0000B0100000}"/>
    <cellStyle name="Input 2 10 2 2 3 3 2" xfId="12185" xr:uid="{00000000-0005-0000-0000-0000B1100000}"/>
    <cellStyle name="Input 2 10 2 2 3 3 3" xfId="18804" xr:uid="{00000000-0005-0000-0000-0000B2100000}"/>
    <cellStyle name="Input 2 10 2 2 3 3_Summary" xfId="20210" xr:uid="{00000000-0005-0000-0000-0000B3100000}"/>
    <cellStyle name="Input 2 10 2 2 3 4" xfId="8014" xr:uid="{00000000-0005-0000-0000-0000B4100000}"/>
    <cellStyle name="Input 2 10 2 2 3 5" xfId="14633" xr:uid="{00000000-0005-0000-0000-0000B5100000}"/>
    <cellStyle name="Input 2 10 2 2 3_Summary" xfId="20208" xr:uid="{00000000-0005-0000-0000-0000B6100000}"/>
    <cellStyle name="Input 2 10 2 2 4" xfId="1699" xr:uid="{00000000-0005-0000-0000-0000B7100000}"/>
    <cellStyle name="Input 2 10 2 2 4 2" xfId="3835" xr:uid="{00000000-0005-0000-0000-0000B8100000}"/>
    <cellStyle name="Input 2 10 2 2 4 2 2" xfId="10431" xr:uid="{00000000-0005-0000-0000-0000B9100000}"/>
    <cellStyle name="Input 2 10 2 2 4 2 3" xfId="17050" xr:uid="{00000000-0005-0000-0000-0000BA100000}"/>
    <cellStyle name="Input 2 10 2 2 4 2_Summary" xfId="20212" xr:uid="{00000000-0005-0000-0000-0000BB100000}"/>
    <cellStyle name="Input 2 10 2 2 4 3" xfId="5870" xr:uid="{00000000-0005-0000-0000-0000BC100000}"/>
    <cellStyle name="Input 2 10 2 2 4 3 2" xfId="12466" xr:uid="{00000000-0005-0000-0000-0000BD100000}"/>
    <cellStyle name="Input 2 10 2 2 4 3 3" xfId="19085" xr:uid="{00000000-0005-0000-0000-0000BE100000}"/>
    <cellStyle name="Input 2 10 2 2 4 3_Summary" xfId="20213" xr:uid="{00000000-0005-0000-0000-0000BF100000}"/>
    <cellStyle name="Input 2 10 2 2 4 4" xfId="8295" xr:uid="{00000000-0005-0000-0000-0000C0100000}"/>
    <cellStyle name="Input 2 10 2 2 4 5" xfId="14914" xr:uid="{00000000-0005-0000-0000-0000C1100000}"/>
    <cellStyle name="Input 2 10 2 2 4_Summary" xfId="20211" xr:uid="{00000000-0005-0000-0000-0000C2100000}"/>
    <cellStyle name="Input 2 10 2 2 5" xfId="1978" xr:uid="{00000000-0005-0000-0000-0000C3100000}"/>
    <cellStyle name="Input 2 10 2 2 5 2" xfId="4114" xr:uid="{00000000-0005-0000-0000-0000C4100000}"/>
    <cellStyle name="Input 2 10 2 2 5 2 2" xfId="10710" xr:uid="{00000000-0005-0000-0000-0000C5100000}"/>
    <cellStyle name="Input 2 10 2 2 5 2 3" xfId="17329" xr:uid="{00000000-0005-0000-0000-0000C6100000}"/>
    <cellStyle name="Input 2 10 2 2 5 2_Summary" xfId="20215" xr:uid="{00000000-0005-0000-0000-0000C7100000}"/>
    <cellStyle name="Input 2 10 2 2 5 3" xfId="6149" xr:uid="{00000000-0005-0000-0000-0000C8100000}"/>
    <cellStyle name="Input 2 10 2 2 5 3 2" xfId="12745" xr:uid="{00000000-0005-0000-0000-0000C9100000}"/>
    <cellStyle name="Input 2 10 2 2 5 3 3" xfId="19364" xr:uid="{00000000-0005-0000-0000-0000CA100000}"/>
    <cellStyle name="Input 2 10 2 2 5 3_Summary" xfId="20216" xr:uid="{00000000-0005-0000-0000-0000CB100000}"/>
    <cellStyle name="Input 2 10 2 2 5 4" xfId="8574" xr:uid="{00000000-0005-0000-0000-0000CC100000}"/>
    <cellStyle name="Input 2 10 2 2 5 5" xfId="15193" xr:uid="{00000000-0005-0000-0000-0000CD100000}"/>
    <cellStyle name="Input 2 10 2 2 5_Summary" xfId="20214" xr:uid="{00000000-0005-0000-0000-0000CE100000}"/>
    <cellStyle name="Input 2 10 2 2 6" xfId="2253" xr:uid="{00000000-0005-0000-0000-0000CF100000}"/>
    <cellStyle name="Input 2 10 2 2 6 2" xfId="4389" xr:uid="{00000000-0005-0000-0000-0000D0100000}"/>
    <cellStyle name="Input 2 10 2 2 6 2 2" xfId="10985" xr:uid="{00000000-0005-0000-0000-0000D1100000}"/>
    <cellStyle name="Input 2 10 2 2 6 2 3" xfId="17604" xr:uid="{00000000-0005-0000-0000-0000D2100000}"/>
    <cellStyle name="Input 2 10 2 2 6 2_Summary" xfId="20218" xr:uid="{00000000-0005-0000-0000-0000D3100000}"/>
    <cellStyle name="Input 2 10 2 2 6 3" xfId="6424" xr:uid="{00000000-0005-0000-0000-0000D4100000}"/>
    <cellStyle name="Input 2 10 2 2 6 3 2" xfId="13020" xr:uid="{00000000-0005-0000-0000-0000D5100000}"/>
    <cellStyle name="Input 2 10 2 2 6 3 3" xfId="19639" xr:uid="{00000000-0005-0000-0000-0000D6100000}"/>
    <cellStyle name="Input 2 10 2 2 6 3_Summary" xfId="20219" xr:uid="{00000000-0005-0000-0000-0000D7100000}"/>
    <cellStyle name="Input 2 10 2 2 6 4" xfId="8849" xr:uid="{00000000-0005-0000-0000-0000D8100000}"/>
    <cellStyle name="Input 2 10 2 2 6 5" xfId="15468" xr:uid="{00000000-0005-0000-0000-0000D9100000}"/>
    <cellStyle name="Input 2 10 2 2 6_Summary" xfId="20217" xr:uid="{00000000-0005-0000-0000-0000DA100000}"/>
    <cellStyle name="Input 2 10 2 2 7" xfId="2526" xr:uid="{00000000-0005-0000-0000-0000DB100000}"/>
    <cellStyle name="Input 2 10 2 2 7 2" xfId="4662" xr:uid="{00000000-0005-0000-0000-0000DC100000}"/>
    <cellStyle name="Input 2 10 2 2 7 2 2" xfId="11258" xr:uid="{00000000-0005-0000-0000-0000DD100000}"/>
    <cellStyle name="Input 2 10 2 2 7 2 3" xfId="17877" xr:uid="{00000000-0005-0000-0000-0000DE100000}"/>
    <cellStyle name="Input 2 10 2 2 7 2_Summary" xfId="20221" xr:uid="{00000000-0005-0000-0000-0000DF100000}"/>
    <cellStyle name="Input 2 10 2 2 7 3" xfId="6697" xr:uid="{00000000-0005-0000-0000-0000E0100000}"/>
    <cellStyle name="Input 2 10 2 2 7 3 2" xfId="13293" xr:uid="{00000000-0005-0000-0000-0000E1100000}"/>
    <cellStyle name="Input 2 10 2 2 7 3 3" xfId="19912" xr:uid="{00000000-0005-0000-0000-0000E2100000}"/>
    <cellStyle name="Input 2 10 2 2 7 3_Summary" xfId="20222" xr:uid="{00000000-0005-0000-0000-0000E3100000}"/>
    <cellStyle name="Input 2 10 2 2 7 4" xfId="9122" xr:uid="{00000000-0005-0000-0000-0000E4100000}"/>
    <cellStyle name="Input 2 10 2 2 7 5" xfId="15741" xr:uid="{00000000-0005-0000-0000-0000E5100000}"/>
    <cellStyle name="Input 2 10 2 2 7_Summary" xfId="20220" xr:uid="{00000000-0005-0000-0000-0000E6100000}"/>
    <cellStyle name="Input 2 10 2 2 8" xfId="2972" xr:uid="{00000000-0005-0000-0000-0000E7100000}"/>
    <cellStyle name="Input 2 10 2 2 8 2" xfId="9568" xr:uid="{00000000-0005-0000-0000-0000E8100000}"/>
    <cellStyle name="Input 2 10 2 2 8 3" xfId="16187" xr:uid="{00000000-0005-0000-0000-0000E9100000}"/>
    <cellStyle name="Input 2 10 2 2 8_Summary" xfId="20223" xr:uid="{00000000-0005-0000-0000-0000EA100000}"/>
    <cellStyle name="Input 2 10 2 2 9" xfId="5007" xr:uid="{00000000-0005-0000-0000-0000EB100000}"/>
    <cellStyle name="Input 2 10 2 2 9 2" xfId="11603" xr:uid="{00000000-0005-0000-0000-0000EC100000}"/>
    <cellStyle name="Input 2 10 2 2 9 3" xfId="18222" xr:uid="{00000000-0005-0000-0000-0000ED100000}"/>
    <cellStyle name="Input 2 10 2 2 9_Summary" xfId="20224" xr:uid="{00000000-0005-0000-0000-0000EE100000}"/>
    <cellStyle name="Input 2 10 2 2_Summary" xfId="20203" xr:uid="{00000000-0005-0000-0000-0000EF100000}"/>
    <cellStyle name="Input 2 10 2 3" xfId="1008" xr:uid="{00000000-0005-0000-0000-0000F0100000}"/>
    <cellStyle name="Input 2 10 2 3 2" xfId="3144" xr:uid="{00000000-0005-0000-0000-0000F1100000}"/>
    <cellStyle name="Input 2 10 2 3 2 2" xfId="9740" xr:uid="{00000000-0005-0000-0000-0000F2100000}"/>
    <cellStyle name="Input 2 10 2 3 2 3" xfId="16359" xr:uid="{00000000-0005-0000-0000-0000F3100000}"/>
    <cellStyle name="Input 2 10 2 3 2_Summary" xfId="20226" xr:uid="{00000000-0005-0000-0000-0000F4100000}"/>
    <cellStyle name="Input 2 10 2 3 3" xfId="5179" xr:uid="{00000000-0005-0000-0000-0000F5100000}"/>
    <cellStyle name="Input 2 10 2 3 3 2" xfId="11775" xr:uid="{00000000-0005-0000-0000-0000F6100000}"/>
    <cellStyle name="Input 2 10 2 3 3 3" xfId="18394" xr:uid="{00000000-0005-0000-0000-0000F7100000}"/>
    <cellStyle name="Input 2 10 2 3 3_Summary" xfId="20227" xr:uid="{00000000-0005-0000-0000-0000F8100000}"/>
    <cellStyle name="Input 2 10 2 3 4" xfId="7605" xr:uid="{00000000-0005-0000-0000-0000F9100000}"/>
    <cellStyle name="Input 2 10 2 3 5" xfId="14223" xr:uid="{00000000-0005-0000-0000-0000FA100000}"/>
    <cellStyle name="Input 2 10 2 3_Summary" xfId="20225" xr:uid="{00000000-0005-0000-0000-0000FB100000}"/>
    <cellStyle name="Input 2 10 2 4" xfId="1290" xr:uid="{00000000-0005-0000-0000-0000FC100000}"/>
    <cellStyle name="Input 2 10 2 4 2" xfId="3426" xr:uid="{00000000-0005-0000-0000-0000FD100000}"/>
    <cellStyle name="Input 2 10 2 4 2 2" xfId="10022" xr:uid="{00000000-0005-0000-0000-0000FE100000}"/>
    <cellStyle name="Input 2 10 2 4 2 3" xfId="16641" xr:uid="{00000000-0005-0000-0000-0000FF100000}"/>
    <cellStyle name="Input 2 10 2 4 2_Summary" xfId="20229" xr:uid="{00000000-0005-0000-0000-000000110000}"/>
    <cellStyle name="Input 2 10 2 4 3" xfId="5461" xr:uid="{00000000-0005-0000-0000-000001110000}"/>
    <cellStyle name="Input 2 10 2 4 3 2" xfId="12057" xr:uid="{00000000-0005-0000-0000-000002110000}"/>
    <cellStyle name="Input 2 10 2 4 3 3" xfId="18676" xr:uid="{00000000-0005-0000-0000-000003110000}"/>
    <cellStyle name="Input 2 10 2 4 3_Summary" xfId="20230" xr:uid="{00000000-0005-0000-0000-000004110000}"/>
    <cellStyle name="Input 2 10 2 4 4" xfId="7886" xr:uid="{00000000-0005-0000-0000-000005110000}"/>
    <cellStyle name="Input 2 10 2 4 5" xfId="14505" xr:uid="{00000000-0005-0000-0000-000006110000}"/>
    <cellStyle name="Input 2 10 2 4_Summary" xfId="20228" xr:uid="{00000000-0005-0000-0000-000007110000}"/>
    <cellStyle name="Input 2 10 2 5" xfId="1571" xr:uid="{00000000-0005-0000-0000-000008110000}"/>
    <cellStyle name="Input 2 10 2 5 2" xfId="3707" xr:uid="{00000000-0005-0000-0000-000009110000}"/>
    <cellStyle name="Input 2 10 2 5 2 2" xfId="10303" xr:uid="{00000000-0005-0000-0000-00000A110000}"/>
    <cellStyle name="Input 2 10 2 5 2 3" xfId="16922" xr:uid="{00000000-0005-0000-0000-00000B110000}"/>
    <cellStyle name="Input 2 10 2 5 2_Summary" xfId="20232" xr:uid="{00000000-0005-0000-0000-00000C110000}"/>
    <cellStyle name="Input 2 10 2 5 3" xfId="5742" xr:uid="{00000000-0005-0000-0000-00000D110000}"/>
    <cellStyle name="Input 2 10 2 5 3 2" xfId="12338" xr:uid="{00000000-0005-0000-0000-00000E110000}"/>
    <cellStyle name="Input 2 10 2 5 3 3" xfId="18957" xr:uid="{00000000-0005-0000-0000-00000F110000}"/>
    <cellStyle name="Input 2 10 2 5 3_Summary" xfId="20233" xr:uid="{00000000-0005-0000-0000-000010110000}"/>
    <cellStyle name="Input 2 10 2 5 4" xfId="8167" xr:uid="{00000000-0005-0000-0000-000011110000}"/>
    <cellStyle name="Input 2 10 2 5 5" xfId="14786" xr:uid="{00000000-0005-0000-0000-000012110000}"/>
    <cellStyle name="Input 2 10 2 5_Summary" xfId="20231" xr:uid="{00000000-0005-0000-0000-000013110000}"/>
    <cellStyle name="Input 2 10 2 6" xfId="1850" xr:uid="{00000000-0005-0000-0000-000014110000}"/>
    <cellStyle name="Input 2 10 2 6 2" xfId="3986" xr:uid="{00000000-0005-0000-0000-000015110000}"/>
    <cellStyle name="Input 2 10 2 6 2 2" xfId="10582" xr:uid="{00000000-0005-0000-0000-000016110000}"/>
    <cellStyle name="Input 2 10 2 6 2 3" xfId="17201" xr:uid="{00000000-0005-0000-0000-000017110000}"/>
    <cellStyle name="Input 2 10 2 6 2_Summary" xfId="20235" xr:uid="{00000000-0005-0000-0000-000018110000}"/>
    <cellStyle name="Input 2 10 2 6 3" xfId="6021" xr:uid="{00000000-0005-0000-0000-000019110000}"/>
    <cellStyle name="Input 2 10 2 6 3 2" xfId="12617" xr:uid="{00000000-0005-0000-0000-00001A110000}"/>
    <cellStyle name="Input 2 10 2 6 3 3" xfId="19236" xr:uid="{00000000-0005-0000-0000-00001B110000}"/>
    <cellStyle name="Input 2 10 2 6 3_Summary" xfId="20236" xr:uid="{00000000-0005-0000-0000-00001C110000}"/>
    <cellStyle name="Input 2 10 2 6 4" xfId="8446" xr:uid="{00000000-0005-0000-0000-00001D110000}"/>
    <cellStyle name="Input 2 10 2 6 5" xfId="15065" xr:uid="{00000000-0005-0000-0000-00001E110000}"/>
    <cellStyle name="Input 2 10 2 6_Summary" xfId="20234" xr:uid="{00000000-0005-0000-0000-00001F110000}"/>
    <cellStyle name="Input 2 10 2 7" xfId="2125" xr:uid="{00000000-0005-0000-0000-000020110000}"/>
    <cellStyle name="Input 2 10 2 7 2" xfId="4261" xr:uid="{00000000-0005-0000-0000-000021110000}"/>
    <cellStyle name="Input 2 10 2 7 2 2" xfId="10857" xr:uid="{00000000-0005-0000-0000-000022110000}"/>
    <cellStyle name="Input 2 10 2 7 2 3" xfId="17476" xr:uid="{00000000-0005-0000-0000-000023110000}"/>
    <cellStyle name="Input 2 10 2 7 2_Summary" xfId="20238" xr:uid="{00000000-0005-0000-0000-000024110000}"/>
    <cellStyle name="Input 2 10 2 7 3" xfId="6296" xr:uid="{00000000-0005-0000-0000-000025110000}"/>
    <cellStyle name="Input 2 10 2 7 3 2" xfId="12892" xr:uid="{00000000-0005-0000-0000-000026110000}"/>
    <cellStyle name="Input 2 10 2 7 3 3" xfId="19511" xr:uid="{00000000-0005-0000-0000-000027110000}"/>
    <cellStyle name="Input 2 10 2 7 3_Summary" xfId="20239" xr:uid="{00000000-0005-0000-0000-000028110000}"/>
    <cellStyle name="Input 2 10 2 7 4" xfId="8721" xr:uid="{00000000-0005-0000-0000-000029110000}"/>
    <cellStyle name="Input 2 10 2 7 5" xfId="15340" xr:uid="{00000000-0005-0000-0000-00002A110000}"/>
    <cellStyle name="Input 2 10 2 7_Summary" xfId="20237" xr:uid="{00000000-0005-0000-0000-00002B110000}"/>
    <cellStyle name="Input 2 10 2 8" xfId="2398" xr:uid="{00000000-0005-0000-0000-00002C110000}"/>
    <cellStyle name="Input 2 10 2 8 2" xfId="4534" xr:uid="{00000000-0005-0000-0000-00002D110000}"/>
    <cellStyle name="Input 2 10 2 8 2 2" xfId="11130" xr:uid="{00000000-0005-0000-0000-00002E110000}"/>
    <cellStyle name="Input 2 10 2 8 2 3" xfId="17749" xr:uid="{00000000-0005-0000-0000-00002F110000}"/>
    <cellStyle name="Input 2 10 2 8 2_Summary" xfId="20241" xr:uid="{00000000-0005-0000-0000-000030110000}"/>
    <cellStyle name="Input 2 10 2 8 3" xfId="6569" xr:uid="{00000000-0005-0000-0000-000031110000}"/>
    <cellStyle name="Input 2 10 2 8 3 2" xfId="13165" xr:uid="{00000000-0005-0000-0000-000032110000}"/>
    <cellStyle name="Input 2 10 2 8 3 3" xfId="19784" xr:uid="{00000000-0005-0000-0000-000033110000}"/>
    <cellStyle name="Input 2 10 2 8 3_Summary" xfId="20242" xr:uid="{00000000-0005-0000-0000-000034110000}"/>
    <cellStyle name="Input 2 10 2 8 4" xfId="8994" xr:uid="{00000000-0005-0000-0000-000035110000}"/>
    <cellStyle name="Input 2 10 2 8 5" xfId="15613" xr:uid="{00000000-0005-0000-0000-000036110000}"/>
    <cellStyle name="Input 2 10 2 8_Summary" xfId="20240" xr:uid="{00000000-0005-0000-0000-000037110000}"/>
    <cellStyle name="Input 2 10 2 9" xfId="2699" xr:uid="{00000000-0005-0000-0000-000038110000}"/>
    <cellStyle name="Input 2 10 2 9 2" xfId="9295" xr:uid="{00000000-0005-0000-0000-000039110000}"/>
    <cellStyle name="Input 2 10 2 9 3" xfId="15914" xr:uid="{00000000-0005-0000-0000-00003A110000}"/>
    <cellStyle name="Input 2 10 2 9_Summary" xfId="20243" xr:uid="{00000000-0005-0000-0000-00003B110000}"/>
    <cellStyle name="Input 2 10 2_Summary" xfId="20200" xr:uid="{00000000-0005-0000-0000-00003C110000}"/>
    <cellStyle name="Input 2 10 3" xfId="227" xr:uid="{00000000-0005-0000-0000-00003D110000}"/>
    <cellStyle name="Input 2 10 3 10" xfId="764" xr:uid="{00000000-0005-0000-0000-00003E110000}"/>
    <cellStyle name="Input 2 10 3 10 2" xfId="13979" xr:uid="{00000000-0005-0000-0000-00003F110000}"/>
    <cellStyle name="Input 2 10 3 10_Summary" xfId="20245" xr:uid="{00000000-0005-0000-0000-000040110000}"/>
    <cellStyle name="Input 2 10 3 11" xfId="7134" xr:uid="{00000000-0005-0000-0000-000041110000}"/>
    <cellStyle name="Input 2 10 3 12" xfId="7013" xr:uid="{00000000-0005-0000-0000-000042110000}"/>
    <cellStyle name="Input 2 10 3 13" xfId="28671" xr:uid="{0A21DC13-F5B0-4FA9-8531-1CF9B32D6049}"/>
    <cellStyle name="Input 2 10 3 14" xfId="30912" xr:uid="{329A0575-142C-46A2-971D-C43ED761F058}"/>
    <cellStyle name="Input 2 10 3 2" xfId="932" xr:uid="{00000000-0005-0000-0000-000043110000}"/>
    <cellStyle name="Input 2 10 3 2 2" xfId="3068" xr:uid="{00000000-0005-0000-0000-000044110000}"/>
    <cellStyle name="Input 2 10 3 2 2 2" xfId="9664" xr:uid="{00000000-0005-0000-0000-000045110000}"/>
    <cellStyle name="Input 2 10 3 2 2 3" xfId="16283" xr:uid="{00000000-0005-0000-0000-000046110000}"/>
    <cellStyle name="Input 2 10 3 2 2_Summary" xfId="20247" xr:uid="{00000000-0005-0000-0000-000047110000}"/>
    <cellStyle name="Input 2 10 3 2 3" xfId="5103" xr:uid="{00000000-0005-0000-0000-000048110000}"/>
    <cellStyle name="Input 2 10 3 2 3 2" xfId="11699" xr:uid="{00000000-0005-0000-0000-000049110000}"/>
    <cellStyle name="Input 2 10 3 2 3 3" xfId="18318" xr:uid="{00000000-0005-0000-0000-00004A110000}"/>
    <cellStyle name="Input 2 10 3 2 3_Summary" xfId="20248" xr:uid="{00000000-0005-0000-0000-00004B110000}"/>
    <cellStyle name="Input 2 10 3 2 4" xfId="7529" xr:uid="{00000000-0005-0000-0000-00004C110000}"/>
    <cellStyle name="Input 2 10 3 2 5" xfId="14147" xr:uid="{00000000-0005-0000-0000-00004D110000}"/>
    <cellStyle name="Input 2 10 3 2 6" xfId="30194" xr:uid="{A672DB03-8AE9-4E9C-B8B3-BBE20B78CAD9}"/>
    <cellStyle name="Input 2 10 3 2 7" xfId="31626" xr:uid="{5B623757-7EB3-4F27-9764-00AD7D0AE1B8}"/>
    <cellStyle name="Input 2 10 3 2_Summary" xfId="20246" xr:uid="{00000000-0005-0000-0000-00004E110000}"/>
    <cellStyle name="Input 2 10 3 3" xfId="1217" xr:uid="{00000000-0005-0000-0000-00004F110000}"/>
    <cellStyle name="Input 2 10 3 3 2" xfId="3353" xr:uid="{00000000-0005-0000-0000-000050110000}"/>
    <cellStyle name="Input 2 10 3 3 2 2" xfId="9949" xr:uid="{00000000-0005-0000-0000-000051110000}"/>
    <cellStyle name="Input 2 10 3 3 2 3" xfId="16568" xr:uid="{00000000-0005-0000-0000-000052110000}"/>
    <cellStyle name="Input 2 10 3 3 2_Summary" xfId="20250" xr:uid="{00000000-0005-0000-0000-000053110000}"/>
    <cellStyle name="Input 2 10 3 3 3" xfId="5388" xr:uid="{00000000-0005-0000-0000-000054110000}"/>
    <cellStyle name="Input 2 10 3 3 3 2" xfId="11984" xr:uid="{00000000-0005-0000-0000-000055110000}"/>
    <cellStyle name="Input 2 10 3 3 3 3" xfId="18603" xr:uid="{00000000-0005-0000-0000-000056110000}"/>
    <cellStyle name="Input 2 10 3 3 3_Summary" xfId="20251" xr:uid="{00000000-0005-0000-0000-000057110000}"/>
    <cellStyle name="Input 2 10 3 3 4" xfId="7813" xr:uid="{00000000-0005-0000-0000-000058110000}"/>
    <cellStyle name="Input 2 10 3 3 5" xfId="14432" xr:uid="{00000000-0005-0000-0000-000059110000}"/>
    <cellStyle name="Input 2 10 3 3_Summary" xfId="20249" xr:uid="{00000000-0005-0000-0000-00005A110000}"/>
    <cellStyle name="Input 2 10 3 4" xfId="1499" xr:uid="{00000000-0005-0000-0000-00005B110000}"/>
    <cellStyle name="Input 2 10 3 4 2" xfId="3635" xr:uid="{00000000-0005-0000-0000-00005C110000}"/>
    <cellStyle name="Input 2 10 3 4 2 2" xfId="10231" xr:uid="{00000000-0005-0000-0000-00005D110000}"/>
    <cellStyle name="Input 2 10 3 4 2 3" xfId="16850" xr:uid="{00000000-0005-0000-0000-00005E110000}"/>
    <cellStyle name="Input 2 10 3 4 2_Summary" xfId="20253" xr:uid="{00000000-0005-0000-0000-00005F110000}"/>
    <cellStyle name="Input 2 10 3 4 3" xfId="5670" xr:uid="{00000000-0005-0000-0000-000060110000}"/>
    <cellStyle name="Input 2 10 3 4 3 2" xfId="12266" xr:uid="{00000000-0005-0000-0000-000061110000}"/>
    <cellStyle name="Input 2 10 3 4 3 3" xfId="18885" xr:uid="{00000000-0005-0000-0000-000062110000}"/>
    <cellStyle name="Input 2 10 3 4 3_Summary" xfId="20254" xr:uid="{00000000-0005-0000-0000-000063110000}"/>
    <cellStyle name="Input 2 10 3 4 4" xfId="8095" xr:uid="{00000000-0005-0000-0000-000064110000}"/>
    <cellStyle name="Input 2 10 3 4 5" xfId="14714" xr:uid="{00000000-0005-0000-0000-000065110000}"/>
    <cellStyle name="Input 2 10 3 4_Summary" xfId="20252" xr:uid="{00000000-0005-0000-0000-000066110000}"/>
    <cellStyle name="Input 2 10 3 5" xfId="1780" xr:uid="{00000000-0005-0000-0000-000067110000}"/>
    <cellStyle name="Input 2 10 3 5 2" xfId="3916" xr:uid="{00000000-0005-0000-0000-000068110000}"/>
    <cellStyle name="Input 2 10 3 5 2 2" xfId="10512" xr:uid="{00000000-0005-0000-0000-000069110000}"/>
    <cellStyle name="Input 2 10 3 5 2 3" xfId="17131" xr:uid="{00000000-0005-0000-0000-00006A110000}"/>
    <cellStyle name="Input 2 10 3 5 2_Summary" xfId="20256" xr:uid="{00000000-0005-0000-0000-00006B110000}"/>
    <cellStyle name="Input 2 10 3 5 3" xfId="5951" xr:uid="{00000000-0005-0000-0000-00006C110000}"/>
    <cellStyle name="Input 2 10 3 5 3 2" xfId="12547" xr:uid="{00000000-0005-0000-0000-00006D110000}"/>
    <cellStyle name="Input 2 10 3 5 3 3" xfId="19166" xr:uid="{00000000-0005-0000-0000-00006E110000}"/>
    <cellStyle name="Input 2 10 3 5 3_Summary" xfId="20257" xr:uid="{00000000-0005-0000-0000-00006F110000}"/>
    <cellStyle name="Input 2 10 3 5 4" xfId="8376" xr:uid="{00000000-0005-0000-0000-000070110000}"/>
    <cellStyle name="Input 2 10 3 5 5" xfId="14995" xr:uid="{00000000-0005-0000-0000-000071110000}"/>
    <cellStyle name="Input 2 10 3 5_Summary" xfId="20255" xr:uid="{00000000-0005-0000-0000-000072110000}"/>
    <cellStyle name="Input 2 10 3 6" xfId="2059" xr:uid="{00000000-0005-0000-0000-000073110000}"/>
    <cellStyle name="Input 2 10 3 6 2" xfId="4195" xr:uid="{00000000-0005-0000-0000-000074110000}"/>
    <cellStyle name="Input 2 10 3 6 2 2" xfId="10791" xr:uid="{00000000-0005-0000-0000-000075110000}"/>
    <cellStyle name="Input 2 10 3 6 2 3" xfId="17410" xr:uid="{00000000-0005-0000-0000-000076110000}"/>
    <cellStyle name="Input 2 10 3 6 2_Summary" xfId="20259" xr:uid="{00000000-0005-0000-0000-000077110000}"/>
    <cellStyle name="Input 2 10 3 6 3" xfId="6230" xr:uid="{00000000-0005-0000-0000-000078110000}"/>
    <cellStyle name="Input 2 10 3 6 3 2" xfId="12826" xr:uid="{00000000-0005-0000-0000-000079110000}"/>
    <cellStyle name="Input 2 10 3 6 3 3" xfId="19445" xr:uid="{00000000-0005-0000-0000-00007A110000}"/>
    <cellStyle name="Input 2 10 3 6 3_Summary" xfId="20260" xr:uid="{00000000-0005-0000-0000-00007B110000}"/>
    <cellStyle name="Input 2 10 3 6 4" xfId="8655" xr:uid="{00000000-0005-0000-0000-00007C110000}"/>
    <cellStyle name="Input 2 10 3 6 5" xfId="15274" xr:uid="{00000000-0005-0000-0000-00007D110000}"/>
    <cellStyle name="Input 2 10 3 6_Summary" xfId="20258" xr:uid="{00000000-0005-0000-0000-00007E110000}"/>
    <cellStyle name="Input 2 10 3 7" xfId="2334" xr:uid="{00000000-0005-0000-0000-00007F110000}"/>
    <cellStyle name="Input 2 10 3 7 2" xfId="4470" xr:uid="{00000000-0005-0000-0000-000080110000}"/>
    <cellStyle name="Input 2 10 3 7 2 2" xfId="11066" xr:uid="{00000000-0005-0000-0000-000081110000}"/>
    <cellStyle name="Input 2 10 3 7 2 3" xfId="17685" xr:uid="{00000000-0005-0000-0000-000082110000}"/>
    <cellStyle name="Input 2 10 3 7 2_Summary" xfId="20262" xr:uid="{00000000-0005-0000-0000-000083110000}"/>
    <cellStyle name="Input 2 10 3 7 3" xfId="6505" xr:uid="{00000000-0005-0000-0000-000084110000}"/>
    <cellStyle name="Input 2 10 3 7 3 2" xfId="13101" xr:uid="{00000000-0005-0000-0000-000085110000}"/>
    <cellStyle name="Input 2 10 3 7 3 3" xfId="19720" xr:uid="{00000000-0005-0000-0000-000086110000}"/>
    <cellStyle name="Input 2 10 3 7 3_Summary" xfId="20263" xr:uid="{00000000-0005-0000-0000-000087110000}"/>
    <cellStyle name="Input 2 10 3 7 4" xfId="8930" xr:uid="{00000000-0005-0000-0000-000088110000}"/>
    <cellStyle name="Input 2 10 3 7 5" xfId="15549" xr:uid="{00000000-0005-0000-0000-000089110000}"/>
    <cellStyle name="Input 2 10 3 7_Summary" xfId="20261" xr:uid="{00000000-0005-0000-0000-00008A110000}"/>
    <cellStyle name="Input 2 10 3 8" xfId="2900" xr:uid="{00000000-0005-0000-0000-00008B110000}"/>
    <cellStyle name="Input 2 10 3 8 2" xfId="9496" xr:uid="{00000000-0005-0000-0000-00008C110000}"/>
    <cellStyle name="Input 2 10 3 8 3" xfId="16115" xr:uid="{00000000-0005-0000-0000-00008D110000}"/>
    <cellStyle name="Input 2 10 3 8_Summary" xfId="20264" xr:uid="{00000000-0005-0000-0000-00008E110000}"/>
    <cellStyle name="Input 2 10 3 9" xfId="4935" xr:uid="{00000000-0005-0000-0000-00008F110000}"/>
    <cellStyle name="Input 2 10 3 9 2" xfId="11531" xr:uid="{00000000-0005-0000-0000-000090110000}"/>
    <cellStyle name="Input 2 10 3 9 3" xfId="18150" xr:uid="{00000000-0005-0000-0000-000091110000}"/>
    <cellStyle name="Input 2 10 3 9_Summary" xfId="20265" xr:uid="{00000000-0005-0000-0000-000092110000}"/>
    <cellStyle name="Input 2 10 3_Summary" xfId="20244" xr:uid="{00000000-0005-0000-0000-000093110000}"/>
    <cellStyle name="Input 2 10 4" xfId="381" xr:uid="{00000000-0005-0000-0000-000094110000}"/>
    <cellStyle name="Input 2 10 4 10" xfId="718" xr:uid="{00000000-0005-0000-0000-000095110000}"/>
    <cellStyle name="Input 2 10 4 10 2" xfId="13933" xr:uid="{00000000-0005-0000-0000-000096110000}"/>
    <cellStyle name="Input 2 10 4 10_Summary" xfId="20267" xr:uid="{00000000-0005-0000-0000-000097110000}"/>
    <cellStyle name="Input 2 10 4 11" xfId="7274" xr:uid="{00000000-0005-0000-0000-000098110000}"/>
    <cellStyle name="Input 2 10 4 12" xfId="13596" xr:uid="{00000000-0005-0000-0000-000099110000}"/>
    <cellStyle name="Input 2 10 4 13" xfId="30192" xr:uid="{3C3D266A-D93C-4E17-ADEE-79F1AAC1D092}"/>
    <cellStyle name="Input 2 10 4 14" xfId="31624" xr:uid="{89441414-1463-4328-A493-F6CED4AE82F8}"/>
    <cellStyle name="Input 2 10 4 2" xfId="1075" xr:uid="{00000000-0005-0000-0000-00009A110000}"/>
    <cellStyle name="Input 2 10 4 2 2" xfId="3211" xr:uid="{00000000-0005-0000-0000-00009B110000}"/>
    <cellStyle name="Input 2 10 4 2 2 2" xfId="9807" xr:uid="{00000000-0005-0000-0000-00009C110000}"/>
    <cellStyle name="Input 2 10 4 2 2 3" xfId="16426" xr:uid="{00000000-0005-0000-0000-00009D110000}"/>
    <cellStyle name="Input 2 10 4 2 2_Summary" xfId="20269" xr:uid="{00000000-0005-0000-0000-00009E110000}"/>
    <cellStyle name="Input 2 10 4 2 3" xfId="5246" xr:uid="{00000000-0005-0000-0000-00009F110000}"/>
    <cellStyle name="Input 2 10 4 2 3 2" xfId="11842" xr:uid="{00000000-0005-0000-0000-0000A0110000}"/>
    <cellStyle name="Input 2 10 4 2 3 3" xfId="18461" xr:uid="{00000000-0005-0000-0000-0000A1110000}"/>
    <cellStyle name="Input 2 10 4 2 3_Summary" xfId="20270" xr:uid="{00000000-0005-0000-0000-0000A2110000}"/>
    <cellStyle name="Input 2 10 4 2 4" xfId="7672" xr:uid="{00000000-0005-0000-0000-0000A3110000}"/>
    <cellStyle name="Input 2 10 4 2 5" xfId="14290" xr:uid="{00000000-0005-0000-0000-0000A4110000}"/>
    <cellStyle name="Input 2 10 4 2_Summary" xfId="20268" xr:uid="{00000000-0005-0000-0000-0000A5110000}"/>
    <cellStyle name="Input 2 10 4 3" xfId="1357" xr:uid="{00000000-0005-0000-0000-0000A6110000}"/>
    <cellStyle name="Input 2 10 4 3 2" xfId="3493" xr:uid="{00000000-0005-0000-0000-0000A7110000}"/>
    <cellStyle name="Input 2 10 4 3 2 2" xfId="10089" xr:uid="{00000000-0005-0000-0000-0000A8110000}"/>
    <cellStyle name="Input 2 10 4 3 2 3" xfId="16708" xr:uid="{00000000-0005-0000-0000-0000A9110000}"/>
    <cellStyle name="Input 2 10 4 3 2_Summary" xfId="20272" xr:uid="{00000000-0005-0000-0000-0000AA110000}"/>
    <cellStyle name="Input 2 10 4 3 3" xfId="5528" xr:uid="{00000000-0005-0000-0000-0000AB110000}"/>
    <cellStyle name="Input 2 10 4 3 3 2" xfId="12124" xr:uid="{00000000-0005-0000-0000-0000AC110000}"/>
    <cellStyle name="Input 2 10 4 3 3 3" xfId="18743" xr:uid="{00000000-0005-0000-0000-0000AD110000}"/>
    <cellStyle name="Input 2 10 4 3 3_Summary" xfId="20273" xr:uid="{00000000-0005-0000-0000-0000AE110000}"/>
    <cellStyle name="Input 2 10 4 3 4" xfId="7953" xr:uid="{00000000-0005-0000-0000-0000AF110000}"/>
    <cellStyle name="Input 2 10 4 3 5" xfId="14572" xr:uid="{00000000-0005-0000-0000-0000B0110000}"/>
    <cellStyle name="Input 2 10 4 3_Summary" xfId="20271" xr:uid="{00000000-0005-0000-0000-0000B1110000}"/>
    <cellStyle name="Input 2 10 4 4" xfId="1638" xr:uid="{00000000-0005-0000-0000-0000B2110000}"/>
    <cellStyle name="Input 2 10 4 4 2" xfId="3774" xr:uid="{00000000-0005-0000-0000-0000B3110000}"/>
    <cellStyle name="Input 2 10 4 4 2 2" xfId="10370" xr:uid="{00000000-0005-0000-0000-0000B4110000}"/>
    <cellStyle name="Input 2 10 4 4 2 3" xfId="16989" xr:uid="{00000000-0005-0000-0000-0000B5110000}"/>
    <cellStyle name="Input 2 10 4 4 2_Summary" xfId="20275" xr:uid="{00000000-0005-0000-0000-0000B6110000}"/>
    <cellStyle name="Input 2 10 4 4 3" xfId="5809" xr:uid="{00000000-0005-0000-0000-0000B7110000}"/>
    <cellStyle name="Input 2 10 4 4 3 2" xfId="12405" xr:uid="{00000000-0005-0000-0000-0000B8110000}"/>
    <cellStyle name="Input 2 10 4 4 3 3" xfId="19024" xr:uid="{00000000-0005-0000-0000-0000B9110000}"/>
    <cellStyle name="Input 2 10 4 4 3_Summary" xfId="20276" xr:uid="{00000000-0005-0000-0000-0000BA110000}"/>
    <cellStyle name="Input 2 10 4 4 4" xfId="8234" xr:uid="{00000000-0005-0000-0000-0000BB110000}"/>
    <cellStyle name="Input 2 10 4 4 5" xfId="14853" xr:uid="{00000000-0005-0000-0000-0000BC110000}"/>
    <cellStyle name="Input 2 10 4 4_Summary" xfId="20274" xr:uid="{00000000-0005-0000-0000-0000BD110000}"/>
    <cellStyle name="Input 2 10 4 5" xfId="1917" xr:uid="{00000000-0005-0000-0000-0000BE110000}"/>
    <cellStyle name="Input 2 10 4 5 2" xfId="4053" xr:uid="{00000000-0005-0000-0000-0000BF110000}"/>
    <cellStyle name="Input 2 10 4 5 2 2" xfId="10649" xr:uid="{00000000-0005-0000-0000-0000C0110000}"/>
    <cellStyle name="Input 2 10 4 5 2 3" xfId="17268" xr:uid="{00000000-0005-0000-0000-0000C1110000}"/>
    <cellStyle name="Input 2 10 4 5 2_Summary" xfId="20278" xr:uid="{00000000-0005-0000-0000-0000C2110000}"/>
    <cellStyle name="Input 2 10 4 5 3" xfId="6088" xr:uid="{00000000-0005-0000-0000-0000C3110000}"/>
    <cellStyle name="Input 2 10 4 5 3 2" xfId="12684" xr:uid="{00000000-0005-0000-0000-0000C4110000}"/>
    <cellStyle name="Input 2 10 4 5 3 3" xfId="19303" xr:uid="{00000000-0005-0000-0000-0000C5110000}"/>
    <cellStyle name="Input 2 10 4 5 3_Summary" xfId="20279" xr:uid="{00000000-0005-0000-0000-0000C6110000}"/>
    <cellStyle name="Input 2 10 4 5 4" xfId="8513" xr:uid="{00000000-0005-0000-0000-0000C7110000}"/>
    <cellStyle name="Input 2 10 4 5 5" xfId="15132" xr:uid="{00000000-0005-0000-0000-0000C8110000}"/>
    <cellStyle name="Input 2 10 4 5_Summary" xfId="20277" xr:uid="{00000000-0005-0000-0000-0000C9110000}"/>
    <cellStyle name="Input 2 10 4 6" xfId="2192" xr:uid="{00000000-0005-0000-0000-0000CA110000}"/>
    <cellStyle name="Input 2 10 4 6 2" xfId="4328" xr:uid="{00000000-0005-0000-0000-0000CB110000}"/>
    <cellStyle name="Input 2 10 4 6 2 2" xfId="10924" xr:uid="{00000000-0005-0000-0000-0000CC110000}"/>
    <cellStyle name="Input 2 10 4 6 2 3" xfId="17543" xr:uid="{00000000-0005-0000-0000-0000CD110000}"/>
    <cellStyle name="Input 2 10 4 6 2_Summary" xfId="20281" xr:uid="{00000000-0005-0000-0000-0000CE110000}"/>
    <cellStyle name="Input 2 10 4 6 3" xfId="6363" xr:uid="{00000000-0005-0000-0000-0000CF110000}"/>
    <cellStyle name="Input 2 10 4 6 3 2" xfId="12959" xr:uid="{00000000-0005-0000-0000-0000D0110000}"/>
    <cellStyle name="Input 2 10 4 6 3 3" xfId="19578" xr:uid="{00000000-0005-0000-0000-0000D1110000}"/>
    <cellStyle name="Input 2 10 4 6 3_Summary" xfId="20282" xr:uid="{00000000-0005-0000-0000-0000D2110000}"/>
    <cellStyle name="Input 2 10 4 6 4" xfId="8788" xr:uid="{00000000-0005-0000-0000-0000D3110000}"/>
    <cellStyle name="Input 2 10 4 6 5" xfId="15407" xr:uid="{00000000-0005-0000-0000-0000D4110000}"/>
    <cellStyle name="Input 2 10 4 6_Summary" xfId="20280" xr:uid="{00000000-0005-0000-0000-0000D5110000}"/>
    <cellStyle name="Input 2 10 4 7" xfId="2465" xr:uid="{00000000-0005-0000-0000-0000D6110000}"/>
    <cellStyle name="Input 2 10 4 7 2" xfId="4601" xr:uid="{00000000-0005-0000-0000-0000D7110000}"/>
    <cellStyle name="Input 2 10 4 7 2 2" xfId="11197" xr:uid="{00000000-0005-0000-0000-0000D8110000}"/>
    <cellStyle name="Input 2 10 4 7 2 3" xfId="17816" xr:uid="{00000000-0005-0000-0000-0000D9110000}"/>
    <cellStyle name="Input 2 10 4 7 2_Summary" xfId="20284" xr:uid="{00000000-0005-0000-0000-0000DA110000}"/>
    <cellStyle name="Input 2 10 4 7 3" xfId="6636" xr:uid="{00000000-0005-0000-0000-0000DB110000}"/>
    <cellStyle name="Input 2 10 4 7 3 2" xfId="13232" xr:uid="{00000000-0005-0000-0000-0000DC110000}"/>
    <cellStyle name="Input 2 10 4 7 3 3" xfId="19851" xr:uid="{00000000-0005-0000-0000-0000DD110000}"/>
    <cellStyle name="Input 2 10 4 7 3_Summary" xfId="20285" xr:uid="{00000000-0005-0000-0000-0000DE110000}"/>
    <cellStyle name="Input 2 10 4 7 4" xfId="9061" xr:uid="{00000000-0005-0000-0000-0000DF110000}"/>
    <cellStyle name="Input 2 10 4 7 5" xfId="15680" xr:uid="{00000000-0005-0000-0000-0000E0110000}"/>
    <cellStyle name="Input 2 10 4 7_Summary" xfId="20283" xr:uid="{00000000-0005-0000-0000-0000E1110000}"/>
    <cellStyle name="Input 2 10 4 8" xfId="2854" xr:uid="{00000000-0005-0000-0000-0000E2110000}"/>
    <cellStyle name="Input 2 10 4 8 2" xfId="9450" xr:uid="{00000000-0005-0000-0000-0000E3110000}"/>
    <cellStyle name="Input 2 10 4 8 3" xfId="16069" xr:uid="{00000000-0005-0000-0000-0000E4110000}"/>
    <cellStyle name="Input 2 10 4 8_Summary" xfId="20286" xr:uid="{00000000-0005-0000-0000-0000E5110000}"/>
    <cellStyle name="Input 2 10 4 9" xfId="4889" xr:uid="{00000000-0005-0000-0000-0000E6110000}"/>
    <cellStyle name="Input 2 10 4 9 2" xfId="11485" xr:uid="{00000000-0005-0000-0000-0000E7110000}"/>
    <cellStyle name="Input 2 10 4 9 3" xfId="18104" xr:uid="{00000000-0005-0000-0000-0000E8110000}"/>
    <cellStyle name="Input 2 10 4 9_Summary" xfId="20287" xr:uid="{00000000-0005-0000-0000-0000E9110000}"/>
    <cellStyle name="Input 2 10 4_Summary" xfId="20266" xr:uid="{00000000-0005-0000-0000-0000EA110000}"/>
    <cellStyle name="Input 2 10 5" xfId="888" xr:uid="{00000000-0005-0000-0000-0000EB110000}"/>
    <cellStyle name="Input 2 10 5 2" xfId="3024" xr:uid="{00000000-0005-0000-0000-0000EC110000}"/>
    <cellStyle name="Input 2 10 5 2 2" xfId="9620" xr:uid="{00000000-0005-0000-0000-0000ED110000}"/>
    <cellStyle name="Input 2 10 5 2 3" xfId="16239" xr:uid="{00000000-0005-0000-0000-0000EE110000}"/>
    <cellStyle name="Input 2 10 5 2_Summary" xfId="20289" xr:uid="{00000000-0005-0000-0000-0000EF110000}"/>
    <cellStyle name="Input 2 10 5 3" xfId="5059" xr:uid="{00000000-0005-0000-0000-0000F0110000}"/>
    <cellStyle name="Input 2 10 5 3 2" xfId="11655" xr:uid="{00000000-0005-0000-0000-0000F1110000}"/>
    <cellStyle name="Input 2 10 5 3 3" xfId="18274" xr:uid="{00000000-0005-0000-0000-0000F2110000}"/>
    <cellStyle name="Input 2 10 5 3_Summary" xfId="20290" xr:uid="{00000000-0005-0000-0000-0000F3110000}"/>
    <cellStyle name="Input 2 10 5 4" xfId="7485" xr:uid="{00000000-0005-0000-0000-0000F4110000}"/>
    <cellStyle name="Input 2 10 5 5" xfId="14103" xr:uid="{00000000-0005-0000-0000-0000F5110000}"/>
    <cellStyle name="Input 2 10 5_Summary" xfId="20288" xr:uid="{00000000-0005-0000-0000-0000F6110000}"/>
    <cellStyle name="Input 2 10 6" xfId="1173" xr:uid="{00000000-0005-0000-0000-0000F7110000}"/>
    <cellStyle name="Input 2 10 6 2" xfId="3309" xr:uid="{00000000-0005-0000-0000-0000F8110000}"/>
    <cellStyle name="Input 2 10 6 2 2" xfId="9905" xr:uid="{00000000-0005-0000-0000-0000F9110000}"/>
    <cellStyle name="Input 2 10 6 2 3" xfId="16524" xr:uid="{00000000-0005-0000-0000-0000FA110000}"/>
    <cellStyle name="Input 2 10 6 2_Summary" xfId="20292" xr:uid="{00000000-0005-0000-0000-0000FB110000}"/>
    <cellStyle name="Input 2 10 6 3" xfId="5344" xr:uid="{00000000-0005-0000-0000-0000FC110000}"/>
    <cellStyle name="Input 2 10 6 3 2" xfId="11940" xr:uid="{00000000-0005-0000-0000-0000FD110000}"/>
    <cellStyle name="Input 2 10 6 3 3" xfId="18559" xr:uid="{00000000-0005-0000-0000-0000FE110000}"/>
    <cellStyle name="Input 2 10 6 3_Summary" xfId="20293" xr:uid="{00000000-0005-0000-0000-0000FF110000}"/>
    <cellStyle name="Input 2 10 6 4" xfId="7769" xr:uid="{00000000-0005-0000-0000-000000120000}"/>
    <cellStyle name="Input 2 10 6 5" xfId="14388" xr:uid="{00000000-0005-0000-0000-000001120000}"/>
    <cellStyle name="Input 2 10 6_Summary" xfId="20291" xr:uid="{00000000-0005-0000-0000-000002120000}"/>
    <cellStyle name="Input 2 10 7" xfId="1455" xr:uid="{00000000-0005-0000-0000-000003120000}"/>
    <cellStyle name="Input 2 10 7 2" xfId="3591" xr:uid="{00000000-0005-0000-0000-000004120000}"/>
    <cellStyle name="Input 2 10 7 2 2" xfId="10187" xr:uid="{00000000-0005-0000-0000-000005120000}"/>
    <cellStyle name="Input 2 10 7 2 3" xfId="16806" xr:uid="{00000000-0005-0000-0000-000006120000}"/>
    <cellStyle name="Input 2 10 7 2_Summary" xfId="20295" xr:uid="{00000000-0005-0000-0000-000007120000}"/>
    <cellStyle name="Input 2 10 7 3" xfId="5626" xr:uid="{00000000-0005-0000-0000-000008120000}"/>
    <cellStyle name="Input 2 10 7 3 2" xfId="12222" xr:uid="{00000000-0005-0000-0000-000009120000}"/>
    <cellStyle name="Input 2 10 7 3 3" xfId="18841" xr:uid="{00000000-0005-0000-0000-00000A120000}"/>
    <cellStyle name="Input 2 10 7 3_Summary" xfId="20296" xr:uid="{00000000-0005-0000-0000-00000B120000}"/>
    <cellStyle name="Input 2 10 7 4" xfId="8051" xr:uid="{00000000-0005-0000-0000-00000C120000}"/>
    <cellStyle name="Input 2 10 7 5" xfId="14670" xr:uid="{00000000-0005-0000-0000-00000D120000}"/>
    <cellStyle name="Input 2 10 7_Summary" xfId="20294" xr:uid="{00000000-0005-0000-0000-00000E120000}"/>
    <cellStyle name="Input 2 10 8" xfId="1736" xr:uid="{00000000-0005-0000-0000-00000F120000}"/>
    <cellStyle name="Input 2 10 8 2" xfId="3872" xr:uid="{00000000-0005-0000-0000-000010120000}"/>
    <cellStyle name="Input 2 10 8 2 2" xfId="10468" xr:uid="{00000000-0005-0000-0000-000011120000}"/>
    <cellStyle name="Input 2 10 8 2 3" xfId="17087" xr:uid="{00000000-0005-0000-0000-000012120000}"/>
    <cellStyle name="Input 2 10 8 2_Summary" xfId="20298" xr:uid="{00000000-0005-0000-0000-000013120000}"/>
    <cellStyle name="Input 2 10 8 3" xfId="5907" xr:uid="{00000000-0005-0000-0000-000014120000}"/>
    <cellStyle name="Input 2 10 8 3 2" xfId="12503" xr:uid="{00000000-0005-0000-0000-000015120000}"/>
    <cellStyle name="Input 2 10 8 3 3" xfId="19122" xr:uid="{00000000-0005-0000-0000-000016120000}"/>
    <cellStyle name="Input 2 10 8 3_Summary" xfId="20299" xr:uid="{00000000-0005-0000-0000-000017120000}"/>
    <cellStyle name="Input 2 10 8 4" xfId="8332" xr:uid="{00000000-0005-0000-0000-000018120000}"/>
    <cellStyle name="Input 2 10 8 5" xfId="14951" xr:uid="{00000000-0005-0000-0000-000019120000}"/>
    <cellStyle name="Input 2 10 8_Summary" xfId="20297" xr:uid="{00000000-0005-0000-0000-00001A120000}"/>
    <cellStyle name="Input 2 10 9" xfId="2015" xr:uid="{00000000-0005-0000-0000-00001B120000}"/>
    <cellStyle name="Input 2 10 9 2" xfId="4151" xr:uid="{00000000-0005-0000-0000-00001C120000}"/>
    <cellStyle name="Input 2 10 9 2 2" xfId="10747" xr:uid="{00000000-0005-0000-0000-00001D120000}"/>
    <cellStyle name="Input 2 10 9 2 3" xfId="17366" xr:uid="{00000000-0005-0000-0000-00001E120000}"/>
    <cellStyle name="Input 2 10 9 2_Summary" xfId="20301" xr:uid="{00000000-0005-0000-0000-00001F120000}"/>
    <cellStyle name="Input 2 10 9 3" xfId="6186" xr:uid="{00000000-0005-0000-0000-000020120000}"/>
    <cellStyle name="Input 2 10 9 3 2" xfId="12782" xr:uid="{00000000-0005-0000-0000-000021120000}"/>
    <cellStyle name="Input 2 10 9 3 3" xfId="19401" xr:uid="{00000000-0005-0000-0000-000022120000}"/>
    <cellStyle name="Input 2 10 9 3_Summary" xfId="20302" xr:uid="{00000000-0005-0000-0000-000023120000}"/>
    <cellStyle name="Input 2 10 9 4" xfId="8611" xr:uid="{00000000-0005-0000-0000-000024120000}"/>
    <cellStyle name="Input 2 10 9 5" xfId="15230" xr:uid="{00000000-0005-0000-0000-000025120000}"/>
    <cellStyle name="Input 2 10 9_Summary" xfId="20300" xr:uid="{00000000-0005-0000-0000-000026120000}"/>
    <cellStyle name="Input 2 10_Summary" xfId="20193" xr:uid="{00000000-0005-0000-0000-000027120000}"/>
    <cellStyle name="Input 2 11" xfId="185" xr:uid="{00000000-0005-0000-0000-000028120000}"/>
    <cellStyle name="Input 2 11 10" xfId="2294" xr:uid="{00000000-0005-0000-0000-000029120000}"/>
    <cellStyle name="Input 2 11 10 2" xfId="4430" xr:uid="{00000000-0005-0000-0000-00002A120000}"/>
    <cellStyle name="Input 2 11 10 2 2" xfId="11026" xr:uid="{00000000-0005-0000-0000-00002B120000}"/>
    <cellStyle name="Input 2 11 10 2 3" xfId="17645" xr:uid="{00000000-0005-0000-0000-00002C120000}"/>
    <cellStyle name="Input 2 11 10 2_Summary" xfId="20305" xr:uid="{00000000-0005-0000-0000-00002D120000}"/>
    <cellStyle name="Input 2 11 10 3" xfId="6465" xr:uid="{00000000-0005-0000-0000-00002E120000}"/>
    <cellStyle name="Input 2 11 10 3 2" xfId="13061" xr:uid="{00000000-0005-0000-0000-00002F120000}"/>
    <cellStyle name="Input 2 11 10 3 3" xfId="19680" xr:uid="{00000000-0005-0000-0000-000030120000}"/>
    <cellStyle name="Input 2 11 10 3_Summary" xfId="20306" xr:uid="{00000000-0005-0000-0000-000031120000}"/>
    <cellStyle name="Input 2 11 10 4" xfId="8890" xr:uid="{00000000-0005-0000-0000-000032120000}"/>
    <cellStyle name="Input 2 11 10 5" xfId="15509" xr:uid="{00000000-0005-0000-0000-000033120000}"/>
    <cellStyle name="Input 2 11 10_Summary" xfId="20304" xr:uid="{00000000-0005-0000-0000-000034120000}"/>
    <cellStyle name="Input 2 11 11" xfId="2613" xr:uid="{00000000-0005-0000-0000-000035120000}"/>
    <cellStyle name="Input 2 11 11 2" xfId="9209" xr:uid="{00000000-0005-0000-0000-000036120000}"/>
    <cellStyle name="Input 2 11 11 3" xfId="15828" xr:uid="{00000000-0005-0000-0000-000037120000}"/>
    <cellStyle name="Input 2 11 11_Summary" xfId="20307" xr:uid="{00000000-0005-0000-0000-000038120000}"/>
    <cellStyle name="Input 2 11 12" xfId="2653" xr:uid="{00000000-0005-0000-0000-000039120000}"/>
    <cellStyle name="Input 2 11 12 2" xfId="9249" xr:uid="{00000000-0005-0000-0000-00003A120000}"/>
    <cellStyle name="Input 2 11 12 3" xfId="15868" xr:uid="{00000000-0005-0000-0000-00003B120000}"/>
    <cellStyle name="Input 2 11 12_Summary" xfId="20308" xr:uid="{00000000-0005-0000-0000-00003C120000}"/>
    <cellStyle name="Input 2 11 13" xfId="502" xr:uid="{00000000-0005-0000-0000-00003D120000}"/>
    <cellStyle name="Input 2 11 13 2" xfId="13717" xr:uid="{00000000-0005-0000-0000-00003E120000}"/>
    <cellStyle name="Input 2 11 13_Summary" xfId="20309" xr:uid="{00000000-0005-0000-0000-00003F120000}"/>
    <cellStyle name="Input 2 11 14" xfId="7093" xr:uid="{00000000-0005-0000-0000-000040120000}"/>
    <cellStyle name="Input 2 11 15" xfId="7028" xr:uid="{00000000-0005-0000-0000-000041120000}"/>
    <cellStyle name="Input 2 11 16" xfId="28672" xr:uid="{B560EBE5-925B-422F-B8A1-9FA4BE74BE5E}"/>
    <cellStyle name="Input 2 11 17" xfId="30913" xr:uid="{6CDC1045-F18D-4DB4-A0B8-03DF7F764798}"/>
    <cellStyle name="Input 2 11 2" xfId="317" xr:uid="{00000000-0005-0000-0000-000042120000}"/>
    <cellStyle name="Input 2 11 2 10" xfId="4738" xr:uid="{00000000-0005-0000-0000-000043120000}"/>
    <cellStyle name="Input 2 11 2 10 2" xfId="11334" xr:uid="{00000000-0005-0000-0000-000044120000}"/>
    <cellStyle name="Input 2 11 2 10 3" xfId="17953" xr:uid="{00000000-0005-0000-0000-000045120000}"/>
    <cellStyle name="Input 2 11 2 10_Summary" xfId="20311" xr:uid="{00000000-0005-0000-0000-000046120000}"/>
    <cellStyle name="Input 2 11 2 11" xfId="567" xr:uid="{00000000-0005-0000-0000-000047120000}"/>
    <cellStyle name="Input 2 11 2 11 2" xfId="13782" xr:uid="{00000000-0005-0000-0000-000048120000}"/>
    <cellStyle name="Input 2 11 2 11_Summary" xfId="20312" xr:uid="{00000000-0005-0000-0000-000049120000}"/>
    <cellStyle name="Input 2 11 2 12" xfId="7211" xr:uid="{00000000-0005-0000-0000-00004A120000}"/>
    <cellStyle name="Input 2 11 2 13" xfId="13533" xr:uid="{00000000-0005-0000-0000-00004B120000}"/>
    <cellStyle name="Input 2 11 2 14" xfId="30195" xr:uid="{0960023F-7C3C-4D02-A1AB-BD3CC3EDC6FE}"/>
    <cellStyle name="Input 2 11 2 15" xfId="31627" xr:uid="{31872716-E698-4FEB-8060-0BE4423710D3}"/>
    <cellStyle name="Input 2 11 2 2" xfId="446" xr:uid="{00000000-0005-0000-0000-00004C120000}"/>
    <cellStyle name="Input 2 11 2 2 10" xfId="840" xr:uid="{00000000-0005-0000-0000-00004D120000}"/>
    <cellStyle name="Input 2 11 2 2 10 2" xfId="14055" xr:uid="{00000000-0005-0000-0000-00004E120000}"/>
    <cellStyle name="Input 2 11 2 2 10_Summary" xfId="20314" xr:uid="{00000000-0005-0000-0000-00004F120000}"/>
    <cellStyle name="Input 2 11 2 2 11" xfId="7339" xr:uid="{00000000-0005-0000-0000-000050120000}"/>
    <cellStyle name="Input 2 11 2 2 12" xfId="13661" xr:uid="{00000000-0005-0000-0000-000051120000}"/>
    <cellStyle name="Input 2 11 2 2 2" xfId="1140" xr:uid="{00000000-0005-0000-0000-000052120000}"/>
    <cellStyle name="Input 2 11 2 2 2 2" xfId="3276" xr:uid="{00000000-0005-0000-0000-000053120000}"/>
    <cellStyle name="Input 2 11 2 2 2 2 2" xfId="9872" xr:uid="{00000000-0005-0000-0000-000054120000}"/>
    <cellStyle name="Input 2 11 2 2 2 2 3" xfId="16491" xr:uid="{00000000-0005-0000-0000-000055120000}"/>
    <cellStyle name="Input 2 11 2 2 2 2_Summary" xfId="20316" xr:uid="{00000000-0005-0000-0000-000056120000}"/>
    <cellStyle name="Input 2 11 2 2 2 3" xfId="5311" xr:uid="{00000000-0005-0000-0000-000057120000}"/>
    <cellStyle name="Input 2 11 2 2 2 3 2" xfId="11907" xr:uid="{00000000-0005-0000-0000-000058120000}"/>
    <cellStyle name="Input 2 11 2 2 2 3 3" xfId="18526" xr:uid="{00000000-0005-0000-0000-000059120000}"/>
    <cellStyle name="Input 2 11 2 2 2 3_Summary" xfId="20317" xr:uid="{00000000-0005-0000-0000-00005A120000}"/>
    <cellStyle name="Input 2 11 2 2 2 4" xfId="7736" xr:uid="{00000000-0005-0000-0000-00005B120000}"/>
    <cellStyle name="Input 2 11 2 2 2 5" xfId="14355" xr:uid="{00000000-0005-0000-0000-00005C120000}"/>
    <cellStyle name="Input 2 11 2 2 2_Summary" xfId="20315" xr:uid="{00000000-0005-0000-0000-00005D120000}"/>
    <cellStyle name="Input 2 11 2 2 3" xfId="1422" xr:uid="{00000000-0005-0000-0000-00005E120000}"/>
    <cellStyle name="Input 2 11 2 2 3 2" xfId="3558" xr:uid="{00000000-0005-0000-0000-00005F120000}"/>
    <cellStyle name="Input 2 11 2 2 3 2 2" xfId="10154" xr:uid="{00000000-0005-0000-0000-000060120000}"/>
    <cellStyle name="Input 2 11 2 2 3 2 3" xfId="16773" xr:uid="{00000000-0005-0000-0000-000061120000}"/>
    <cellStyle name="Input 2 11 2 2 3 2_Summary" xfId="20319" xr:uid="{00000000-0005-0000-0000-000062120000}"/>
    <cellStyle name="Input 2 11 2 2 3 3" xfId="5593" xr:uid="{00000000-0005-0000-0000-000063120000}"/>
    <cellStyle name="Input 2 11 2 2 3 3 2" xfId="12189" xr:uid="{00000000-0005-0000-0000-000064120000}"/>
    <cellStyle name="Input 2 11 2 2 3 3 3" xfId="18808" xr:uid="{00000000-0005-0000-0000-000065120000}"/>
    <cellStyle name="Input 2 11 2 2 3 3_Summary" xfId="20320" xr:uid="{00000000-0005-0000-0000-000066120000}"/>
    <cellStyle name="Input 2 11 2 2 3 4" xfId="8018" xr:uid="{00000000-0005-0000-0000-000067120000}"/>
    <cellStyle name="Input 2 11 2 2 3 5" xfId="14637" xr:uid="{00000000-0005-0000-0000-000068120000}"/>
    <cellStyle name="Input 2 11 2 2 3_Summary" xfId="20318" xr:uid="{00000000-0005-0000-0000-000069120000}"/>
    <cellStyle name="Input 2 11 2 2 4" xfId="1703" xr:uid="{00000000-0005-0000-0000-00006A120000}"/>
    <cellStyle name="Input 2 11 2 2 4 2" xfId="3839" xr:uid="{00000000-0005-0000-0000-00006B120000}"/>
    <cellStyle name="Input 2 11 2 2 4 2 2" xfId="10435" xr:uid="{00000000-0005-0000-0000-00006C120000}"/>
    <cellStyle name="Input 2 11 2 2 4 2 3" xfId="17054" xr:uid="{00000000-0005-0000-0000-00006D120000}"/>
    <cellStyle name="Input 2 11 2 2 4 2_Summary" xfId="20322" xr:uid="{00000000-0005-0000-0000-00006E120000}"/>
    <cellStyle name="Input 2 11 2 2 4 3" xfId="5874" xr:uid="{00000000-0005-0000-0000-00006F120000}"/>
    <cellStyle name="Input 2 11 2 2 4 3 2" xfId="12470" xr:uid="{00000000-0005-0000-0000-000070120000}"/>
    <cellStyle name="Input 2 11 2 2 4 3 3" xfId="19089" xr:uid="{00000000-0005-0000-0000-000071120000}"/>
    <cellStyle name="Input 2 11 2 2 4 3_Summary" xfId="20323" xr:uid="{00000000-0005-0000-0000-000072120000}"/>
    <cellStyle name="Input 2 11 2 2 4 4" xfId="8299" xr:uid="{00000000-0005-0000-0000-000073120000}"/>
    <cellStyle name="Input 2 11 2 2 4 5" xfId="14918" xr:uid="{00000000-0005-0000-0000-000074120000}"/>
    <cellStyle name="Input 2 11 2 2 4_Summary" xfId="20321" xr:uid="{00000000-0005-0000-0000-000075120000}"/>
    <cellStyle name="Input 2 11 2 2 5" xfId="1982" xr:uid="{00000000-0005-0000-0000-000076120000}"/>
    <cellStyle name="Input 2 11 2 2 5 2" xfId="4118" xr:uid="{00000000-0005-0000-0000-000077120000}"/>
    <cellStyle name="Input 2 11 2 2 5 2 2" xfId="10714" xr:uid="{00000000-0005-0000-0000-000078120000}"/>
    <cellStyle name="Input 2 11 2 2 5 2 3" xfId="17333" xr:uid="{00000000-0005-0000-0000-000079120000}"/>
    <cellStyle name="Input 2 11 2 2 5 2_Summary" xfId="20325" xr:uid="{00000000-0005-0000-0000-00007A120000}"/>
    <cellStyle name="Input 2 11 2 2 5 3" xfId="6153" xr:uid="{00000000-0005-0000-0000-00007B120000}"/>
    <cellStyle name="Input 2 11 2 2 5 3 2" xfId="12749" xr:uid="{00000000-0005-0000-0000-00007C120000}"/>
    <cellStyle name="Input 2 11 2 2 5 3 3" xfId="19368" xr:uid="{00000000-0005-0000-0000-00007D120000}"/>
    <cellStyle name="Input 2 11 2 2 5 3_Summary" xfId="20326" xr:uid="{00000000-0005-0000-0000-00007E120000}"/>
    <cellStyle name="Input 2 11 2 2 5 4" xfId="8578" xr:uid="{00000000-0005-0000-0000-00007F120000}"/>
    <cellStyle name="Input 2 11 2 2 5 5" xfId="15197" xr:uid="{00000000-0005-0000-0000-000080120000}"/>
    <cellStyle name="Input 2 11 2 2 5_Summary" xfId="20324" xr:uid="{00000000-0005-0000-0000-000081120000}"/>
    <cellStyle name="Input 2 11 2 2 6" xfId="2257" xr:uid="{00000000-0005-0000-0000-000082120000}"/>
    <cellStyle name="Input 2 11 2 2 6 2" xfId="4393" xr:uid="{00000000-0005-0000-0000-000083120000}"/>
    <cellStyle name="Input 2 11 2 2 6 2 2" xfId="10989" xr:uid="{00000000-0005-0000-0000-000084120000}"/>
    <cellStyle name="Input 2 11 2 2 6 2 3" xfId="17608" xr:uid="{00000000-0005-0000-0000-000085120000}"/>
    <cellStyle name="Input 2 11 2 2 6 2_Summary" xfId="20328" xr:uid="{00000000-0005-0000-0000-000086120000}"/>
    <cellStyle name="Input 2 11 2 2 6 3" xfId="6428" xr:uid="{00000000-0005-0000-0000-000087120000}"/>
    <cellStyle name="Input 2 11 2 2 6 3 2" xfId="13024" xr:uid="{00000000-0005-0000-0000-000088120000}"/>
    <cellStyle name="Input 2 11 2 2 6 3 3" xfId="19643" xr:uid="{00000000-0005-0000-0000-000089120000}"/>
    <cellStyle name="Input 2 11 2 2 6 3_Summary" xfId="20329" xr:uid="{00000000-0005-0000-0000-00008A120000}"/>
    <cellStyle name="Input 2 11 2 2 6 4" xfId="8853" xr:uid="{00000000-0005-0000-0000-00008B120000}"/>
    <cellStyle name="Input 2 11 2 2 6 5" xfId="15472" xr:uid="{00000000-0005-0000-0000-00008C120000}"/>
    <cellStyle name="Input 2 11 2 2 6_Summary" xfId="20327" xr:uid="{00000000-0005-0000-0000-00008D120000}"/>
    <cellStyle name="Input 2 11 2 2 7" xfId="2530" xr:uid="{00000000-0005-0000-0000-00008E120000}"/>
    <cellStyle name="Input 2 11 2 2 7 2" xfId="4666" xr:uid="{00000000-0005-0000-0000-00008F120000}"/>
    <cellStyle name="Input 2 11 2 2 7 2 2" xfId="11262" xr:uid="{00000000-0005-0000-0000-000090120000}"/>
    <cellStyle name="Input 2 11 2 2 7 2 3" xfId="17881" xr:uid="{00000000-0005-0000-0000-000091120000}"/>
    <cellStyle name="Input 2 11 2 2 7 2_Summary" xfId="20331" xr:uid="{00000000-0005-0000-0000-000092120000}"/>
    <cellStyle name="Input 2 11 2 2 7 3" xfId="6701" xr:uid="{00000000-0005-0000-0000-000093120000}"/>
    <cellStyle name="Input 2 11 2 2 7 3 2" xfId="13297" xr:uid="{00000000-0005-0000-0000-000094120000}"/>
    <cellStyle name="Input 2 11 2 2 7 3 3" xfId="19916" xr:uid="{00000000-0005-0000-0000-000095120000}"/>
    <cellStyle name="Input 2 11 2 2 7 3_Summary" xfId="20332" xr:uid="{00000000-0005-0000-0000-000096120000}"/>
    <cellStyle name="Input 2 11 2 2 7 4" xfId="9126" xr:uid="{00000000-0005-0000-0000-000097120000}"/>
    <cellStyle name="Input 2 11 2 2 7 5" xfId="15745" xr:uid="{00000000-0005-0000-0000-000098120000}"/>
    <cellStyle name="Input 2 11 2 2 7_Summary" xfId="20330" xr:uid="{00000000-0005-0000-0000-000099120000}"/>
    <cellStyle name="Input 2 11 2 2 8" xfId="2976" xr:uid="{00000000-0005-0000-0000-00009A120000}"/>
    <cellStyle name="Input 2 11 2 2 8 2" xfId="9572" xr:uid="{00000000-0005-0000-0000-00009B120000}"/>
    <cellStyle name="Input 2 11 2 2 8 3" xfId="16191" xr:uid="{00000000-0005-0000-0000-00009C120000}"/>
    <cellStyle name="Input 2 11 2 2 8_Summary" xfId="20333" xr:uid="{00000000-0005-0000-0000-00009D120000}"/>
    <cellStyle name="Input 2 11 2 2 9" xfId="5011" xr:uid="{00000000-0005-0000-0000-00009E120000}"/>
    <cellStyle name="Input 2 11 2 2 9 2" xfId="11607" xr:uid="{00000000-0005-0000-0000-00009F120000}"/>
    <cellStyle name="Input 2 11 2 2 9 3" xfId="18226" xr:uid="{00000000-0005-0000-0000-0000A0120000}"/>
    <cellStyle name="Input 2 11 2 2 9_Summary" xfId="20334" xr:uid="{00000000-0005-0000-0000-0000A1120000}"/>
    <cellStyle name="Input 2 11 2 2_Summary" xfId="20313" xr:uid="{00000000-0005-0000-0000-0000A2120000}"/>
    <cellStyle name="Input 2 11 2 3" xfId="1012" xr:uid="{00000000-0005-0000-0000-0000A3120000}"/>
    <cellStyle name="Input 2 11 2 3 2" xfId="3148" xr:uid="{00000000-0005-0000-0000-0000A4120000}"/>
    <cellStyle name="Input 2 11 2 3 2 2" xfId="9744" xr:uid="{00000000-0005-0000-0000-0000A5120000}"/>
    <cellStyle name="Input 2 11 2 3 2 3" xfId="16363" xr:uid="{00000000-0005-0000-0000-0000A6120000}"/>
    <cellStyle name="Input 2 11 2 3 2_Summary" xfId="20336" xr:uid="{00000000-0005-0000-0000-0000A7120000}"/>
    <cellStyle name="Input 2 11 2 3 3" xfId="5183" xr:uid="{00000000-0005-0000-0000-0000A8120000}"/>
    <cellStyle name="Input 2 11 2 3 3 2" xfId="11779" xr:uid="{00000000-0005-0000-0000-0000A9120000}"/>
    <cellStyle name="Input 2 11 2 3 3 3" xfId="18398" xr:uid="{00000000-0005-0000-0000-0000AA120000}"/>
    <cellStyle name="Input 2 11 2 3 3_Summary" xfId="20337" xr:uid="{00000000-0005-0000-0000-0000AB120000}"/>
    <cellStyle name="Input 2 11 2 3 4" xfId="7609" xr:uid="{00000000-0005-0000-0000-0000AC120000}"/>
    <cellStyle name="Input 2 11 2 3 5" xfId="14227" xr:uid="{00000000-0005-0000-0000-0000AD120000}"/>
    <cellStyle name="Input 2 11 2 3_Summary" xfId="20335" xr:uid="{00000000-0005-0000-0000-0000AE120000}"/>
    <cellStyle name="Input 2 11 2 4" xfId="1294" xr:uid="{00000000-0005-0000-0000-0000AF120000}"/>
    <cellStyle name="Input 2 11 2 4 2" xfId="3430" xr:uid="{00000000-0005-0000-0000-0000B0120000}"/>
    <cellStyle name="Input 2 11 2 4 2 2" xfId="10026" xr:uid="{00000000-0005-0000-0000-0000B1120000}"/>
    <cellStyle name="Input 2 11 2 4 2 3" xfId="16645" xr:uid="{00000000-0005-0000-0000-0000B2120000}"/>
    <cellStyle name="Input 2 11 2 4 2_Summary" xfId="20339" xr:uid="{00000000-0005-0000-0000-0000B3120000}"/>
    <cellStyle name="Input 2 11 2 4 3" xfId="5465" xr:uid="{00000000-0005-0000-0000-0000B4120000}"/>
    <cellStyle name="Input 2 11 2 4 3 2" xfId="12061" xr:uid="{00000000-0005-0000-0000-0000B5120000}"/>
    <cellStyle name="Input 2 11 2 4 3 3" xfId="18680" xr:uid="{00000000-0005-0000-0000-0000B6120000}"/>
    <cellStyle name="Input 2 11 2 4 3_Summary" xfId="20340" xr:uid="{00000000-0005-0000-0000-0000B7120000}"/>
    <cellStyle name="Input 2 11 2 4 4" xfId="7890" xr:uid="{00000000-0005-0000-0000-0000B8120000}"/>
    <cellStyle name="Input 2 11 2 4 5" xfId="14509" xr:uid="{00000000-0005-0000-0000-0000B9120000}"/>
    <cellStyle name="Input 2 11 2 4_Summary" xfId="20338" xr:uid="{00000000-0005-0000-0000-0000BA120000}"/>
    <cellStyle name="Input 2 11 2 5" xfId="1575" xr:uid="{00000000-0005-0000-0000-0000BB120000}"/>
    <cellStyle name="Input 2 11 2 5 2" xfId="3711" xr:uid="{00000000-0005-0000-0000-0000BC120000}"/>
    <cellStyle name="Input 2 11 2 5 2 2" xfId="10307" xr:uid="{00000000-0005-0000-0000-0000BD120000}"/>
    <cellStyle name="Input 2 11 2 5 2 3" xfId="16926" xr:uid="{00000000-0005-0000-0000-0000BE120000}"/>
    <cellStyle name="Input 2 11 2 5 2_Summary" xfId="20342" xr:uid="{00000000-0005-0000-0000-0000BF120000}"/>
    <cellStyle name="Input 2 11 2 5 3" xfId="5746" xr:uid="{00000000-0005-0000-0000-0000C0120000}"/>
    <cellStyle name="Input 2 11 2 5 3 2" xfId="12342" xr:uid="{00000000-0005-0000-0000-0000C1120000}"/>
    <cellStyle name="Input 2 11 2 5 3 3" xfId="18961" xr:uid="{00000000-0005-0000-0000-0000C2120000}"/>
    <cellStyle name="Input 2 11 2 5 3_Summary" xfId="20343" xr:uid="{00000000-0005-0000-0000-0000C3120000}"/>
    <cellStyle name="Input 2 11 2 5 4" xfId="8171" xr:uid="{00000000-0005-0000-0000-0000C4120000}"/>
    <cellStyle name="Input 2 11 2 5 5" xfId="14790" xr:uid="{00000000-0005-0000-0000-0000C5120000}"/>
    <cellStyle name="Input 2 11 2 5_Summary" xfId="20341" xr:uid="{00000000-0005-0000-0000-0000C6120000}"/>
    <cellStyle name="Input 2 11 2 6" xfId="1854" xr:uid="{00000000-0005-0000-0000-0000C7120000}"/>
    <cellStyle name="Input 2 11 2 6 2" xfId="3990" xr:uid="{00000000-0005-0000-0000-0000C8120000}"/>
    <cellStyle name="Input 2 11 2 6 2 2" xfId="10586" xr:uid="{00000000-0005-0000-0000-0000C9120000}"/>
    <cellStyle name="Input 2 11 2 6 2 3" xfId="17205" xr:uid="{00000000-0005-0000-0000-0000CA120000}"/>
    <cellStyle name="Input 2 11 2 6 2_Summary" xfId="20345" xr:uid="{00000000-0005-0000-0000-0000CB120000}"/>
    <cellStyle name="Input 2 11 2 6 3" xfId="6025" xr:uid="{00000000-0005-0000-0000-0000CC120000}"/>
    <cellStyle name="Input 2 11 2 6 3 2" xfId="12621" xr:uid="{00000000-0005-0000-0000-0000CD120000}"/>
    <cellStyle name="Input 2 11 2 6 3 3" xfId="19240" xr:uid="{00000000-0005-0000-0000-0000CE120000}"/>
    <cellStyle name="Input 2 11 2 6 3_Summary" xfId="20346" xr:uid="{00000000-0005-0000-0000-0000CF120000}"/>
    <cellStyle name="Input 2 11 2 6 4" xfId="8450" xr:uid="{00000000-0005-0000-0000-0000D0120000}"/>
    <cellStyle name="Input 2 11 2 6 5" xfId="15069" xr:uid="{00000000-0005-0000-0000-0000D1120000}"/>
    <cellStyle name="Input 2 11 2 6_Summary" xfId="20344" xr:uid="{00000000-0005-0000-0000-0000D2120000}"/>
    <cellStyle name="Input 2 11 2 7" xfId="2129" xr:uid="{00000000-0005-0000-0000-0000D3120000}"/>
    <cellStyle name="Input 2 11 2 7 2" xfId="4265" xr:uid="{00000000-0005-0000-0000-0000D4120000}"/>
    <cellStyle name="Input 2 11 2 7 2 2" xfId="10861" xr:uid="{00000000-0005-0000-0000-0000D5120000}"/>
    <cellStyle name="Input 2 11 2 7 2 3" xfId="17480" xr:uid="{00000000-0005-0000-0000-0000D6120000}"/>
    <cellStyle name="Input 2 11 2 7 2_Summary" xfId="20348" xr:uid="{00000000-0005-0000-0000-0000D7120000}"/>
    <cellStyle name="Input 2 11 2 7 3" xfId="6300" xr:uid="{00000000-0005-0000-0000-0000D8120000}"/>
    <cellStyle name="Input 2 11 2 7 3 2" xfId="12896" xr:uid="{00000000-0005-0000-0000-0000D9120000}"/>
    <cellStyle name="Input 2 11 2 7 3 3" xfId="19515" xr:uid="{00000000-0005-0000-0000-0000DA120000}"/>
    <cellStyle name="Input 2 11 2 7 3_Summary" xfId="20349" xr:uid="{00000000-0005-0000-0000-0000DB120000}"/>
    <cellStyle name="Input 2 11 2 7 4" xfId="8725" xr:uid="{00000000-0005-0000-0000-0000DC120000}"/>
    <cellStyle name="Input 2 11 2 7 5" xfId="15344" xr:uid="{00000000-0005-0000-0000-0000DD120000}"/>
    <cellStyle name="Input 2 11 2 7_Summary" xfId="20347" xr:uid="{00000000-0005-0000-0000-0000DE120000}"/>
    <cellStyle name="Input 2 11 2 8" xfId="2402" xr:uid="{00000000-0005-0000-0000-0000DF120000}"/>
    <cellStyle name="Input 2 11 2 8 2" xfId="4538" xr:uid="{00000000-0005-0000-0000-0000E0120000}"/>
    <cellStyle name="Input 2 11 2 8 2 2" xfId="11134" xr:uid="{00000000-0005-0000-0000-0000E1120000}"/>
    <cellStyle name="Input 2 11 2 8 2 3" xfId="17753" xr:uid="{00000000-0005-0000-0000-0000E2120000}"/>
    <cellStyle name="Input 2 11 2 8 2_Summary" xfId="20351" xr:uid="{00000000-0005-0000-0000-0000E3120000}"/>
    <cellStyle name="Input 2 11 2 8 3" xfId="6573" xr:uid="{00000000-0005-0000-0000-0000E4120000}"/>
    <cellStyle name="Input 2 11 2 8 3 2" xfId="13169" xr:uid="{00000000-0005-0000-0000-0000E5120000}"/>
    <cellStyle name="Input 2 11 2 8 3 3" xfId="19788" xr:uid="{00000000-0005-0000-0000-0000E6120000}"/>
    <cellStyle name="Input 2 11 2 8 3_Summary" xfId="20352" xr:uid="{00000000-0005-0000-0000-0000E7120000}"/>
    <cellStyle name="Input 2 11 2 8 4" xfId="8998" xr:uid="{00000000-0005-0000-0000-0000E8120000}"/>
    <cellStyle name="Input 2 11 2 8 5" xfId="15617" xr:uid="{00000000-0005-0000-0000-0000E9120000}"/>
    <cellStyle name="Input 2 11 2 8_Summary" xfId="20350" xr:uid="{00000000-0005-0000-0000-0000EA120000}"/>
    <cellStyle name="Input 2 11 2 9" xfId="2703" xr:uid="{00000000-0005-0000-0000-0000EB120000}"/>
    <cellStyle name="Input 2 11 2 9 2" xfId="9299" xr:uid="{00000000-0005-0000-0000-0000EC120000}"/>
    <cellStyle name="Input 2 11 2 9 3" xfId="15918" xr:uid="{00000000-0005-0000-0000-0000ED120000}"/>
    <cellStyle name="Input 2 11 2 9_Summary" xfId="20353" xr:uid="{00000000-0005-0000-0000-0000EE120000}"/>
    <cellStyle name="Input 2 11 2_Summary" xfId="20310" xr:uid="{00000000-0005-0000-0000-0000EF120000}"/>
    <cellStyle name="Input 2 11 3" xfId="231" xr:uid="{00000000-0005-0000-0000-0000F0120000}"/>
    <cellStyle name="Input 2 11 3 10" xfId="768" xr:uid="{00000000-0005-0000-0000-0000F1120000}"/>
    <cellStyle name="Input 2 11 3 10 2" xfId="13983" xr:uid="{00000000-0005-0000-0000-0000F2120000}"/>
    <cellStyle name="Input 2 11 3 10_Summary" xfId="20355" xr:uid="{00000000-0005-0000-0000-0000F3120000}"/>
    <cellStyle name="Input 2 11 3 11" xfId="7138" xr:uid="{00000000-0005-0000-0000-0000F4120000}"/>
    <cellStyle name="Input 2 11 3 12" xfId="6986" xr:uid="{00000000-0005-0000-0000-0000F5120000}"/>
    <cellStyle name="Input 2 11 3 2" xfId="936" xr:uid="{00000000-0005-0000-0000-0000F6120000}"/>
    <cellStyle name="Input 2 11 3 2 2" xfId="3072" xr:uid="{00000000-0005-0000-0000-0000F7120000}"/>
    <cellStyle name="Input 2 11 3 2 2 2" xfId="9668" xr:uid="{00000000-0005-0000-0000-0000F8120000}"/>
    <cellStyle name="Input 2 11 3 2 2 3" xfId="16287" xr:uid="{00000000-0005-0000-0000-0000F9120000}"/>
    <cellStyle name="Input 2 11 3 2 2_Summary" xfId="20357" xr:uid="{00000000-0005-0000-0000-0000FA120000}"/>
    <cellStyle name="Input 2 11 3 2 3" xfId="5107" xr:uid="{00000000-0005-0000-0000-0000FB120000}"/>
    <cellStyle name="Input 2 11 3 2 3 2" xfId="11703" xr:uid="{00000000-0005-0000-0000-0000FC120000}"/>
    <cellStyle name="Input 2 11 3 2 3 3" xfId="18322" xr:uid="{00000000-0005-0000-0000-0000FD120000}"/>
    <cellStyle name="Input 2 11 3 2 3_Summary" xfId="20358" xr:uid="{00000000-0005-0000-0000-0000FE120000}"/>
    <cellStyle name="Input 2 11 3 2 4" xfId="7533" xr:uid="{00000000-0005-0000-0000-0000FF120000}"/>
    <cellStyle name="Input 2 11 3 2 5" xfId="14151" xr:uid="{00000000-0005-0000-0000-000000130000}"/>
    <cellStyle name="Input 2 11 3 2_Summary" xfId="20356" xr:uid="{00000000-0005-0000-0000-000001130000}"/>
    <cellStyle name="Input 2 11 3 3" xfId="1221" xr:uid="{00000000-0005-0000-0000-000002130000}"/>
    <cellStyle name="Input 2 11 3 3 2" xfId="3357" xr:uid="{00000000-0005-0000-0000-000003130000}"/>
    <cellStyle name="Input 2 11 3 3 2 2" xfId="9953" xr:uid="{00000000-0005-0000-0000-000004130000}"/>
    <cellStyle name="Input 2 11 3 3 2 3" xfId="16572" xr:uid="{00000000-0005-0000-0000-000005130000}"/>
    <cellStyle name="Input 2 11 3 3 2_Summary" xfId="20360" xr:uid="{00000000-0005-0000-0000-000006130000}"/>
    <cellStyle name="Input 2 11 3 3 3" xfId="5392" xr:uid="{00000000-0005-0000-0000-000007130000}"/>
    <cellStyle name="Input 2 11 3 3 3 2" xfId="11988" xr:uid="{00000000-0005-0000-0000-000008130000}"/>
    <cellStyle name="Input 2 11 3 3 3 3" xfId="18607" xr:uid="{00000000-0005-0000-0000-000009130000}"/>
    <cellStyle name="Input 2 11 3 3 3_Summary" xfId="20361" xr:uid="{00000000-0005-0000-0000-00000A130000}"/>
    <cellStyle name="Input 2 11 3 3 4" xfId="7817" xr:uid="{00000000-0005-0000-0000-00000B130000}"/>
    <cellStyle name="Input 2 11 3 3 5" xfId="14436" xr:uid="{00000000-0005-0000-0000-00000C130000}"/>
    <cellStyle name="Input 2 11 3 3_Summary" xfId="20359" xr:uid="{00000000-0005-0000-0000-00000D130000}"/>
    <cellStyle name="Input 2 11 3 4" xfId="1503" xr:uid="{00000000-0005-0000-0000-00000E130000}"/>
    <cellStyle name="Input 2 11 3 4 2" xfId="3639" xr:uid="{00000000-0005-0000-0000-00000F130000}"/>
    <cellStyle name="Input 2 11 3 4 2 2" xfId="10235" xr:uid="{00000000-0005-0000-0000-000010130000}"/>
    <cellStyle name="Input 2 11 3 4 2 3" xfId="16854" xr:uid="{00000000-0005-0000-0000-000011130000}"/>
    <cellStyle name="Input 2 11 3 4 2_Summary" xfId="20363" xr:uid="{00000000-0005-0000-0000-000012130000}"/>
    <cellStyle name="Input 2 11 3 4 3" xfId="5674" xr:uid="{00000000-0005-0000-0000-000013130000}"/>
    <cellStyle name="Input 2 11 3 4 3 2" xfId="12270" xr:uid="{00000000-0005-0000-0000-000014130000}"/>
    <cellStyle name="Input 2 11 3 4 3 3" xfId="18889" xr:uid="{00000000-0005-0000-0000-000015130000}"/>
    <cellStyle name="Input 2 11 3 4 3_Summary" xfId="20364" xr:uid="{00000000-0005-0000-0000-000016130000}"/>
    <cellStyle name="Input 2 11 3 4 4" xfId="8099" xr:uid="{00000000-0005-0000-0000-000017130000}"/>
    <cellStyle name="Input 2 11 3 4 5" xfId="14718" xr:uid="{00000000-0005-0000-0000-000018130000}"/>
    <cellStyle name="Input 2 11 3 4_Summary" xfId="20362" xr:uid="{00000000-0005-0000-0000-000019130000}"/>
    <cellStyle name="Input 2 11 3 5" xfId="1784" xr:uid="{00000000-0005-0000-0000-00001A130000}"/>
    <cellStyle name="Input 2 11 3 5 2" xfId="3920" xr:uid="{00000000-0005-0000-0000-00001B130000}"/>
    <cellStyle name="Input 2 11 3 5 2 2" xfId="10516" xr:uid="{00000000-0005-0000-0000-00001C130000}"/>
    <cellStyle name="Input 2 11 3 5 2 3" xfId="17135" xr:uid="{00000000-0005-0000-0000-00001D130000}"/>
    <cellStyle name="Input 2 11 3 5 2_Summary" xfId="20366" xr:uid="{00000000-0005-0000-0000-00001E130000}"/>
    <cellStyle name="Input 2 11 3 5 3" xfId="5955" xr:uid="{00000000-0005-0000-0000-00001F130000}"/>
    <cellStyle name="Input 2 11 3 5 3 2" xfId="12551" xr:uid="{00000000-0005-0000-0000-000020130000}"/>
    <cellStyle name="Input 2 11 3 5 3 3" xfId="19170" xr:uid="{00000000-0005-0000-0000-000021130000}"/>
    <cellStyle name="Input 2 11 3 5 3_Summary" xfId="20367" xr:uid="{00000000-0005-0000-0000-000022130000}"/>
    <cellStyle name="Input 2 11 3 5 4" xfId="8380" xr:uid="{00000000-0005-0000-0000-000023130000}"/>
    <cellStyle name="Input 2 11 3 5 5" xfId="14999" xr:uid="{00000000-0005-0000-0000-000024130000}"/>
    <cellStyle name="Input 2 11 3 5_Summary" xfId="20365" xr:uid="{00000000-0005-0000-0000-000025130000}"/>
    <cellStyle name="Input 2 11 3 6" xfId="2063" xr:uid="{00000000-0005-0000-0000-000026130000}"/>
    <cellStyle name="Input 2 11 3 6 2" xfId="4199" xr:uid="{00000000-0005-0000-0000-000027130000}"/>
    <cellStyle name="Input 2 11 3 6 2 2" xfId="10795" xr:uid="{00000000-0005-0000-0000-000028130000}"/>
    <cellStyle name="Input 2 11 3 6 2 3" xfId="17414" xr:uid="{00000000-0005-0000-0000-000029130000}"/>
    <cellStyle name="Input 2 11 3 6 2_Summary" xfId="20369" xr:uid="{00000000-0005-0000-0000-00002A130000}"/>
    <cellStyle name="Input 2 11 3 6 3" xfId="6234" xr:uid="{00000000-0005-0000-0000-00002B130000}"/>
    <cellStyle name="Input 2 11 3 6 3 2" xfId="12830" xr:uid="{00000000-0005-0000-0000-00002C130000}"/>
    <cellStyle name="Input 2 11 3 6 3 3" xfId="19449" xr:uid="{00000000-0005-0000-0000-00002D130000}"/>
    <cellStyle name="Input 2 11 3 6 3_Summary" xfId="20370" xr:uid="{00000000-0005-0000-0000-00002E130000}"/>
    <cellStyle name="Input 2 11 3 6 4" xfId="8659" xr:uid="{00000000-0005-0000-0000-00002F130000}"/>
    <cellStyle name="Input 2 11 3 6 5" xfId="15278" xr:uid="{00000000-0005-0000-0000-000030130000}"/>
    <cellStyle name="Input 2 11 3 6_Summary" xfId="20368" xr:uid="{00000000-0005-0000-0000-000031130000}"/>
    <cellStyle name="Input 2 11 3 7" xfId="2338" xr:uid="{00000000-0005-0000-0000-000032130000}"/>
    <cellStyle name="Input 2 11 3 7 2" xfId="4474" xr:uid="{00000000-0005-0000-0000-000033130000}"/>
    <cellStyle name="Input 2 11 3 7 2 2" xfId="11070" xr:uid="{00000000-0005-0000-0000-000034130000}"/>
    <cellStyle name="Input 2 11 3 7 2 3" xfId="17689" xr:uid="{00000000-0005-0000-0000-000035130000}"/>
    <cellStyle name="Input 2 11 3 7 2_Summary" xfId="20372" xr:uid="{00000000-0005-0000-0000-000036130000}"/>
    <cellStyle name="Input 2 11 3 7 3" xfId="6509" xr:uid="{00000000-0005-0000-0000-000037130000}"/>
    <cellStyle name="Input 2 11 3 7 3 2" xfId="13105" xr:uid="{00000000-0005-0000-0000-000038130000}"/>
    <cellStyle name="Input 2 11 3 7 3 3" xfId="19724" xr:uid="{00000000-0005-0000-0000-000039130000}"/>
    <cellStyle name="Input 2 11 3 7 3_Summary" xfId="20373" xr:uid="{00000000-0005-0000-0000-00003A130000}"/>
    <cellStyle name="Input 2 11 3 7 4" xfId="8934" xr:uid="{00000000-0005-0000-0000-00003B130000}"/>
    <cellStyle name="Input 2 11 3 7 5" xfId="15553" xr:uid="{00000000-0005-0000-0000-00003C130000}"/>
    <cellStyle name="Input 2 11 3 7_Summary" xfId="20371" xr:uid="{00000000-0005-0000-0000-00003D130000}"/>
    <cellStyle name="Input 2 11 3 8" xfId="2904" xr:uid="{00000000-0005-0000-0000-00003E130000}"/>
    <cellStyle name="Input 2 11 3 8 2" xfId="9500" xr:uid="{00000000-0005-0000-0000-00003F130000}"/>
    <cellStyle name="Input 2 11 3 8 3" xfId="16119" xr:uid="{00000000-0005-0000-0000-000040130000}"/>
    <cellStyle name="Input 2 11 3 8_Summary" xfId="20374" xr:uid="{00000000-0005-0000-0000-000041130000}"/>
    <cellStyle name="Input 2 11 3 9" xfId="4939" xr:uid="{00000000-0005-0000-0000-000042130000}"/>
    <cellStyle name="Input 2 11 3 9 2" xfId="11535" xr:uid="{00000000-0005-0000-0000-000043130000}"/>
    <cellStyle name="Input 2 11 3 9 3" xfId="18154" xr:uid="{00000000-0005-0000-0000-000044130000}"/>
    <cellStyle name="Input 2 11 3 9_Summary" xfId="20375" xr:uid="{00000000-0005-0000-0000-000045130000}"/>
    <cellStyle name="Input 2 11 3_Summary" xfId="20354" xr:uid="{00000000-0005-0000-0000-000046130000}"/>
    <cellStyle name="Input 2 11 4" xfId="385" xr:uid="{00000000-0005-0000-0000-000047130000}"/>
    <cellStyle name="Input 2 11 4 10" xfId="722" xr:uid="{00000000-0005-0000-0000-000048130000}"/>
    <cellStyle name="Input 2 11 4 10 2" xfId="13937" xr:uid="{00000000-0005-0000-0000-000049130000}"/>
    <cellStyle name="Input 2 11 4 10_Summary" xfId="20377" xr:uid="{00000000-0005-0000-0000-00004A130000}"/>
    <cellStyle name="Input 2 11 4 11" xfId="7278" xr:uid="{00000000-0005-0000-0000-00004B130000}"/>
    <cellStyle name="Input 2 11 4 12" xfId="13600" xr:uid="{00000000-0005-0000-0000-00004C130000}"/>
    <cellStyle name="Input 2 11 4 2" xfId="1079" xr:uid="{00000000-0005-0000-0000-00004D130000}"/>
    <cellStyle name="Input 2 11 4 2 2" xfId="3215" xr:uid="{00000000-0005-0000-0000-00004E130000}"/>
    <cellStyle name="Input 2 11 4 2 2 2" xfId="9811" xr:uid="{00000000-0005-0000-0000-00004F130000}"/>
    <cellStyle name="Input 2 11 4 2 2 3" xfId="16430" xr:uid="{00000000-0005-0000-0000-000050130000}"/>
    <cellStyle name="Input 2 11 4 2 2_Summary" xfId="20379" xr:uid="{00000000-0005-0000-0000-000051130000}"/>
    <cellStyle name="Input 2 11 4 2 3" xfId="5250" xr:uid="{00000000-0005-0000-0000-000052130000}"/>
    <cellStyle name="Input 2 11 4 2 3 2" xfId="11846" xr:uid="{00000000-0005-0000-0000-000053130000}"/>
    <cellStyle name="Input 2 11 4 2 3 3" xfId="18465" xr:uid="{00000000-0005-0000-0000-000054130000}"/>
    <cellStyle name="Input 2 11 4 2 3_Summary" xfId="20380" xr:uid="{00000000-0005-0000-0000-000055130000}"/>
    <cellStyle name="Input 2 11 4 2 4" xfId="7676" xr:uid="{00000000-0005-0000-0000-000056130000}"/>
    <cellStyle name="Input 2 11 4 2 5" xfId="14294" xr:uid="{00000000-0005-0000-0000-000057130000}"/>
    <cellStyle name="Input 2 11 4 2_Summary" xfId="20378" xr:uid="{00000000-0005-0000-0000-000058130000}"/>
    <cellStyle name="Input 2 11 4 3" xfId="1361" xr:uid="{00000000-0005-0000-0000-000059130000}"/>
    <cellStyle name="Input 2 11 4 3 2" xfId="3497" xr:uid="{00000000-0005-0000-0000-00005A130000}"/>
    <cellStyle name="Input 2 11 4 3 2 2" xfId="10093" xr:uid="{00000000-0005-0000-0000-00005B130000}"/>
    <cellStyle name="Input 2 11 4 3 2 3" xfId="16712" xr:uid="{00000000-0005-0000-0000-00005C130000}"/>
    <cellStyle name="Input 2 11 4 3 2_Summary" xfId="20382" xr:uid="{00000000-0005-0000-0000-00005D130000}"/>
    <cellStyle name="Input 2 11 4 3 3" xfId="5532" xr:uid="{00000000-0005-0000-0000-00005E130000}"/>
    <cellStyle name="Input 2 11 4 3 3 2" xfId="12128" xr:uid="{00000000-0005-0000-0000-00005F130000}"/>
    <cellStyle name="Input 2 11 4 3 3 3" xfId="18747" xr:uid="{00000000-0005-0000-0000-000060130000}"/>
    <cellStyle name="Input 2 11 4 3 3_Summary" xfId="20383" xr:uid="{00000000-0005-0000-0000-000061130000}"/>
    <cellStyle name="Input 2 11 4 3 4" xfId="7957" xr:uid="{00000000-0005-0000-0000-000062130000}"/>
    <cellStyle name="Input 2 11 4 3 5" xfId="14576" xr:uid="{00000000-0005-0000-0000-000063130000}"/>
    <cellStyle name="Input 2 11 4 3_Summary" xfId="20381" xr:uid="{00000000-0005-0000-0000-000064130000}"/>
    <cellStyle name="Input 2 11 4 4" xfId="1642" xr:uid="{00000000-0005-0000-0000-000065130000}"/>
    <cellStyle name="Input 2 11 4 4 2" xfId="3778" xr:uid="{00000000-0005-0000-0000-000066130000}"/>
    <cellStyle name="Input 2 11 4 4 2 2" xfId="10374" xr:uid="{00000000-0005-0000-0000-000067130000}"/>
    <cellStyle name="Input 2 11 4 4 2 3" xfId="16993" xr:uid="{00000000-0005-0000-0000-000068130000}"/>
    <cellStyle name="Input 2 11 4 4 2_Summary" xfId="20385" xr:uid="{00000000-0005-0000-0000-000069130000}"/>
    <cellStyle name="Input 2 11 4 4 3" xfId="5813" xr:uid="{00000000-0005-0000-0000-00006A130000}"/>
    <cellStyle name="Input 2 11 4 4 3 2" xfId="12409" xr:uid="{00000000-0005-0000-0000-00006B130000}"/>
    <cellStyle name="Input 2 11 4 4 3 3" xfId="19028" xr:uid="{00000000-0005-0000-0000-00006C130000}"/>
    <cellStyle name="Input 2 11 4 4 3_Summary" xfId="20386" xr:uid="{00000000-0005-0000-0000-00006D130000}"/>
    <cellStyle name="Input 2 11 4 4 4" xfId="8238" xr:uid="{00000000-0005-0000-0000-00006E130000}"/>
    <cellStyle name="Input 2 11 4 4 5" xfId="14857" xr:uid="{00000000-0005-0000-0000-00006F130000}"/>
    <cellStyle name="Input 2 11 4 4_Summary" xfId="20384" xr:uid="{00000000-0005-0000-0000-000070130000}"/>
    <cellStyle name="Input 2 11 4 5" xfId="1921" xr:uid="{00000000-0005-0000-0000-000071130000}"/>
    <cellStyle name="Input 2 11 4 5 2" xfId="4057" xr:uid="{00000000-0005-0000-0000-000072130000}"/>
    <cellStyle name="Input 2 11 4 5 2 2" xfId="10653" xr:uid="{00000000-0005-0000-0000-000073130000}"/>
    <cellStyle name="Input 2 11 4 5 2 3" xfId="17272" xr:uid="{00000000-0005-0000-0000-000074130000}"/>
    <cellStyle name="Input 2 11 4 5 2_Summary" xfId="20388" xr:uid="{00000000-0005-0000-0000-000075130000}"/>
    <cellStyle name="Input 2 11 4 5 3" xfId="6092" xr:uid="{00000000-0005-0000-0000-000076130000}"/>
    <cellStyle name="Input 2 11 4 5 3 2" xfId="12688" xr:uid="{00000000-0005-0000-0000-000077130000}"/>
    <cellStyle name="Input 2 11 4 5 3 3" xfId="19307" xr:uid="{00000000-0005-0000-0000-000078130000}"/>
    <cellStyle name="Input 2 11 4 5 3_Summary" xfId="20389" xr:uid="{00000000-0005-0000-0000-000079130000}"/>
    <cellStyle name="Input 2 11 4 5 4" xfId="8517" xr:uid="{00000000-0005-0000-0000-00007A130000}"/>
    <cellStyle name="Input 2 11 4 5 5" xfId="15136" xr:uid="{00000000-0005-0000-0000-00007B130000}"/>
    <cellStyle name="Input 2 11 4 5_Summary" xfId="20387" xr:uid="{00000000-0005-0000-0000-00007C130000}"/>
    <cellStyle name="Input 2 11 4 6" xfId="2196" xr:uid="{00000000-0005-0000-0000-00007D130000}"/>
    <cellStyle name="Input 2 11 4 6 2" xfId="4332" xr:uid="{00000000-0005-0000-0000-00007E130000}"/>
    <cellStyle name="Input 2 11 4 6 2 2" xfId="10928" xr:uid="{00000000-0005-0000-0000-00007F130000}"/>
    <cellStyle name="Input 2 11 4 6 2 3" xfId="17547" xr:uid="{00000000-0005-0000-0000-000080130000}"/>
    <cellStyle name="Input 2 11 4 6 2_Summary" xfId="20391" xr:uid="{00000000-0005-0000-0000-000081130000}"/>
    <cellStyle name="Input 2 11 4 6 3" xfId="6367" xr:uid="{00000000-0005-0000-0000-000082130000}"/>
    <cellStyle name="Input 2 11 4 6 3 2" xfId="12963" xr:uid="{00000000-0005-0000-0000-000083130000}"/>
    <cellStyle name="Input 2 11 4 6 3 3" xfId="19582" xr:uid="{00000000-0005-0000-0000-000084130000}"/>
    <cellStyle name="Input 2 11 4 6 3_Summary" xfId="20392" xr:uid="{00000000-0005-0000-0000-000085130000}"/>
    <cellStyle name="Input 2 11 4 6 4" xfId="8792" xr:uid="{00000000-0005-0000-0000-000086130000}"/>
    <cellStyle name="Input 2 11 4 6 5" xfId="15411" xr:uid="{00000000-0005-0000-0000-000087130000}"/>
    <cellStyle name="Input 2 11 4 6_Summary" xfId="20390" xr:uid="{00000000-0005-0000-0000-000088130000}"/>
    <cellStyle name="Input 2 11 4 7" xfId="2469" xr:uid="{00000000-0005-0000-0000-000089130000}"/>
    <cellStyle name="Input 2 11 4 7 2" xfId="4605" xr:uid="{00000000-0005-0000-0000-00008A130000}"/>
    <cellStyle name="Input 2 11 4 7 2 2" xfId="11201" xr:uid="{00000000-0005-0000-0000-00008B130000}"/>
    <cellStyle name="Input 2 11 4 7 2 3" xfId="17820" xr:uid="{00000000-0005-0000-0000-00008C130000}"/>
    <cellStyle name="Input 2 11 4 7 2_Summary" xfId="20394" xr:uid="{00000000-0005-0000-0000-00008D130000}"/>
    <cellStyle name="Input 2 11 4 7 3" xfId="6640" xr:uid="{00000000-0005-0000-0000-00008E130000}"/>
    <cellStyle name="Input 2 11 4 7 3 2" xfId="13236" xr:uid="{00000000-0005-0000-0000-00008F130000}"/>
    <cellStyle name="Input 2 11 4 7 3 3" xfId="19855" xr:uid="{00000000-0005-0000-0000-000090130000}"/>
    <cellStyle name="Input 2 11 4 7 3_Summary" xfId="20395" xr:uid="{00000000-0005-0000-0000-000091130000}"/>
    <cellStyle name="Input 2 11 4 7 4" xfId="9065" xr:uid="{00000000-0005-0000-0000-000092130000}"/>
    <cellStyle name="Input 2 11 4 7 5" xfId="15684" xr:uid="{00000000-0005-0000-0000-000093130000}"/>
    <cellStyle name="Input 2 11 4 7_Summary" xfId="20393" xr:uid="{00000000-0005-0000-0000-000094130000}"/>
    <cellStyle name="Input 2 11 4 8" xfId="2858" xr:uid="{00000000-0005-0000-0000-000095130000}"/>
    <cellStyle name="Input 2 11 4 8 2" xfId="9454" xr:uid="{00000000-0005-0000-0000-000096130000}"/>
    <cellStyle name="Input 2 11 4 8 3" xfId="16073" xr:uid="{00000000-0005-0000-0000-000097130000}"/>
    <cellStyle name="Input 2 11 4 8_Summary" xfId="20396" xr:uid="{00000000-0005-0000-0000-000098130000}"/>
    <cellStyle name="Input 2 11 4 9" xfId="4893" xr:uid="{00000000-0005-0000-0000-000099130000}"/>
    <cellStyle name="Input 2 11 4 9 2" xfId="11489" xr:uid="{00000000-0005-0000-0000-00009A130000}"/>
    <cellStyle name="Input 2 11 4 9 3" xfId="18108" xr:uid="{00000000-0005-0000-0000-00009B130000}"/>
    <cellStyle name="Input 2 11 4 9_Summary" xfId="20397" xr:uid="{00000000-0005-0000-0000-00009C130000}"/>
    <cellStyle name="Input 2 11 4_Summary" xfId="20376" xr:uid="{00000000-0005-0000-0000-00009D130000}"/>
    <cellStyle name="Input 2 11 5" xfId="892" xr:uid="{00000000-0005-0000-0000-00009E130000}"/>
    <cellStyle name="Input 2 11 5 2" xfId="3028" xr:uid="{00000000-0005-0000-0000-00009F130000}"/>
    <cellStyle name="Input 2 11 5 2 2" xfId="9624" xr:uid="{00000000-0005-0000-0000-0000A0130000}"/>
    <cellStyle name="Input 2 11 5 2 3" xfId="16243" xr:uid="{00000000-0005-0000-0000-0000A1130000}"/>
    <cellStyle name="Input 2 11 5 2_Summary" xfId="20399" xr:uid="{00000000-0005-0000-0000-0000A2130000}"/>
    <cellStyle name="Input 2 11 5 3" xfId="5063" xr:uid="{00000000-0005-0000-0000-0000A3130000}"/>
    <cellStyle name="Input 2 11 5 3 2" xfId="11659" xr:uid="{00000000-0005-0000-0000-0000A4130000}"/>
    <cellStyle name="Input 2 11 5 3 3" xfId="18278" xr:uid="{00000000-0005-0000-0000-0000A5130000}"/>
    <cellStyle name="Input 2 11 5 3_Summary" xfId="20400" xr:uid="{00000000-0005-0000-0000-0000A6130000}"/>
    <cellStyle name="Input 2 11 5 4" xfId="7489" xr:uid="{00000000-0005-0000-0000-0000A7130000}"/>
    <cellStyle name="Input 2 11 5 5" xfId="14107" xr:uid="{00000000-0005-0000-0000-0000A8130000}"/>
    <cellStyle name="Input 2 11 5_Summary" xfId="20398" xr:uid="{00000000-0005-0000-0000-0000A9130000}"/>
    <cellStyle name="Input 2 11 6" xfId="1177" xr:uid="{00000000-0005-0000-0000-0000AA130000}"/>
    <cellStyle name="Input 2 11 6 2" xfId="3313" xr:uid="{00000000-0005-0000-0000-0000AB130000}"/>
    <cellStyle name="Input 2 11 6 2 2" xfId="9909" xr:uid="{00000000-0005-0000-0000-0000AC130000}"/>
    <cellStyle name="Input 2 11 6 2 3" xfId="16528" xr:uid="{00000000-0005-0000-0000-0000AD130000}"/>
    <cellStyle name="Input 2 11 6 2_Summary" xfId="20402" xr:uid="{00000000-0005-0000-0000-0000AE130000}"/>
    <cellStyle name="Input 2 11 6 3" xfId="5348" xr:uid="{00000000-0005-0000-0000-0000AF130000}"/>
    <cellStyle name="Input 2 11 6 3 2" xfId="11944" xr:uid="{00000000-0005-0000-0000-0000B0130000}"/>
    <cellStyle name="Input 2 11 6 3 3" xfId="18563" xr:uid="{00000000-0005-0000-0000-0000B1130000}"/>
    <cellStyle name="Input 2 11 6 3_Summary" xfId="20403" xr:uid="{00000000-0005-0000-0000-0000B2130000}"/>
    <cellStyle name="Input 2 11 6 4" xfId="7773" xr:uid="{00000000-0005-0000-0000-0000B3130000}"/>
    <cellStyle name="Input 2 11 6 5" xfId="14392" xr:uid="{00000000-0005-0000-0000-0000B4130000}"/>
    <cellStyle name="Input 2 11 6_Summary" xfId="20401" xr:uid="{00000000-0005-0000-0000-0000B5130000}"/>
    <cellStyle name="Input 2 11 7" xfId="1459" xr:uid="{00000000-0005-0000-0000-0000B6130000}"/>
    <cellStyle name="Input 2 11 7 2" xfId="3595" xr:uid="{00000000-0005-0000-0000-0000B7130000}"/>
    <cellStyle name="Input 2 11 7 2 2" xfId="10191" xr:uid="{00000000-0005-0000-0000-0000B8130000}"/>
    <cellStyle name="Input 2 11 7 2 3" xfId="16810" xr:uid="{00000000-0005-0000-0000-0000B9130000}"/>
    <cellStyle name="Input 2 11 7 2_Summary" xfId="20405" xr:uid="{00000000-0005-0000-0000-0000BA130000}"/>
    <cellStyle name="Input 2 11 7 3" xfId="5630" xr:uid="{00000000-0005-0000-0000-0000BB130000}"/>
    <cellStyle name="Input 2 11 7 3 2" xfId="12226" xr:uid="{00000000-0005-0000-0000-0000BC130000}"/>
    <cellStyle name="Input 2 11 7 3 3" xfId="18845" xr:uid="{00000000-0005-0000-0000-0000BD130000}"/>
    <cellStyle name="Input 2 11 7 3_Summary" xfId="20406" xr:uid="{00000000-0005-0000-0000-0000BE130000}"/>
    <cellStyle name="Input 2 11 7 4" xfId="8055" xr:uid="{00000000-0005-0000-0000-0000BF130000}"/>
    <cellStyle name="Input 2 11 7 5" xfId="14674" xr:uid="{00000000-0005-0000-0000-0000C0130000}"/>
    <cellStyle name="Input 2 11 7_Summary" xfId="20404" xr:uid="{00000000-0005-0000-0000-0000C1130000}"/>
    <cellStyle name="Input 2 11 8" xfId="1740" xr:uid="{00000000-0005-0000-0000-0000C2130000}"/>
    <cellStyle name="Input 2 11 8 2" xfId="3876" xr:uid="{00000000-0005-0000-0000-0000C3130000}"/>
    <cellStyle name="Input 2 11 8 2 2" xfId="10472" xr:uid="{00000000-0005-0000-0000-0000C4130000}"/>
    <cellStyle name="Input 2 11 8 2 3" xfId="17091" xr:uid="{00000000-0005-0000-0000-0000C5130000}"/>
    <cellStyle name="Input 2 11 8 2_Summary" xfId="20408" xr:uid="{00000000-0005-0000-0000-0000C6130000}"/>
    <cellStyle name="Input 2 11 8 3" xfId="5911" xr:uid="{00000000-0005-0000-0000-0000C7130000}"/>
    <cellStyle name="Input 2 11 8 3 2" xfId="12507" xr:uid="{00000000-0005-0000-0000-0000C8130000}"/>
    <cellStyle name="Input 2 11 8 3 3" xfId="19126" xr:uid="{00000000-0005-0000-0000-0000C9130000}"/>
    <cellStyle name="Input 2 11 8 3_Summary" xfId="20409" xr:uid="{00000000-0005-0000-0000-0000CA130000}"/>
    <cellStyle name="Input 2 11 8 4" xfId="8336" xr:uid="{00000000-0005-0000-0000-0000CB130000}"/>
    <cellStyle name="Input 2 11 8 5" xfId="14955" xr:uid="{00000000-0005-0000-0000-0000CC130000}"/>
    <cellStyle name="Input 2 11 8_Summary" xfId="20407" xr:uid="{00000000-0005-0000-0000-0000CD130000}"/>
    <cellStyle name="Input 2 11 9" xfId="2019" xr:uid="{00000000-0005-0000-0000-0000CE130000}"/>
    <cellStyle name="Input 2 11 9 2" xfId="4155" xr:uid="{00000000-0005-0000-0000-0000CF130000}"/>
    <cellStyle name="Input 2 11 9 2 2" xfId="10751" xr:uid="{00000000-0005-0000-0000-0000D0130000}"/>
    <cellStyle name="Input 2 11 9 2 3" xfId="17370" xr:uid="{00000000-0005-0000-0000-0000D1130000}"/>
    <cellStyle name="Input 2 11 9 2_Summary" xfId="20411" xr:uid="{00000000-0005-0000-0000-0000D2130000}"/>
    <cellStyle name="Input 2 11 9 3" xfId="6190" xr:uid="{00000000-0005-0000-0000-0000D3130000}"/>
    <cellStyle name="Input 2 11 9 3 2" xfId="12786" xr:uid="{00000000-0005-0000-0000-0000D4130000}"/>
    <cellStyle name="Input 2 11 9 3 3" xfId="19405" xr:uid="{00000000-0005-0000-0000-0000D5130000}"/>
    <cellStyle name="Input 2 11 9 3_Summary" xfId="20412" xr:uid="{00000000-0005-0000-0000-0000D6130000}"/>
    <cellStyle name="Input 2 11 9 4" xfId="8615" xr:uid="{00000000-0005-0000-0000-0000D7130000}"/>
    <cellStyle name="Input 2 11 9 5" xfId="15234" xr:uid="{00000000-0005-0000-0000-0000D8130000}"/>
    <cellStyle name="Input 2 11 9_Summary" xfId="20410" xr:uid="{00000000-0005-0000-0000-0000D9130000}"/>
    <cellStyle name="Input 2 11_Summary" xfId="20303" xr:uid="{00000000-0005-0000-0000-0000DA130000}"/>
    <cellStyle name="Input 2 12" xfId="126" xr:uid="{00000000-0005-0000-0000-0000DB130000}"/>
    <cellStyle name="Input 2 12 10" xfId="2666" xr:uid="{00000000-0005-0000-0000-0000DC130000}"/>
    <cellStyle name="Input 2 12 10 2" xfId="9262" xr:uid="{00000000-0005-0000-0000-0000DD130000}"/>
    <cellStyle name="Input 2 12 10 3" xfId="15881" xr:uid="{00000000-0005-0000-0000-0000DE130000}"/>
    <cellStyle name="Input 2 12 10_Summary" xfId="20414" xr:uid="{00000000-0005-0000-0000-0000DF130000}"/>
    <cellStyle name="Input 2 12 11" xfId="4701" xr:uid="{00000000-0005-0000-0000-0000E0130000}"/>
    <cellStyle name="Input 2 12 11 2" xfId="11297" xr:uid="{00000000-0005-0000-0000-0000E1130000}"/>
    <cellStyle name="Input 2 12 11 3" xfId="17916" xr:uid="{00000000-0005-0000-0000-0000E2130000}"/>
    <cellStyle name="Input 2 12 11_Summary" xfId="20415" xr:uid="{00000000-0005-0000-0000-0000E3130000}"/>
    <cellStyle name="Input 2 12 12" xfId="530" xr:uid="{00000000-0005-0000-0000-0000E4130000}"/>
    <cellStyle name="Input 2 12 12 2" xfId="13745" xr:uid="{00000000-0005-0000-0000-0000E5130000}"/>
    <cellStyle name="Input 2 12 12_Summary" xfId="20416" xr:uid="{00000000-0005-0000-0000-0000E6130000}"/>
    <cellStyle name="Input 2 12 13" xfId="7044" xr:uid="{00000000-0005-0000-0000-0000E7130000}"/>
    <cellStyle name="Input 2 12 14" xfId="13405" xr:uid="{00000000-0005-0000-0000-0000E8130000}"/>
    <cellStyle name="Input 2 12 15" xfId="28673" xr:uid="{B104C5F4-7BFD-4674-A278-25D5D94AABB8}"/>
    <cellStyle name="Input 2 12 16" xfId="30914" xr:uid="{B30C0428-C48D-4480-8EB4-2435E3962908}"/>
    <cellStyle name="Input 2 12 2" xfId="281" xr:uid="{00000000-0005-0000-0000-0000E9130000}"/>
    <cellStyle name="Input 2 12 2 10" xfId="804" xr:uid="{00000000-0005-0000-0000-0000EA130000}"/>
    <cellStyle name="Input 2 12 2 10 2" xfId="14019" xr:uid="{00000000-0005-0000-0000-0000EB130000}"/>
    <cellStyle name="Input 2 12 2 10_Summary" xfId="20418" xr:uid="{00000000-0005-0000-0000-0000EC130000}"/>
    <cellStyle name="Input 2 12 2 11" xfId="7175" xr:uid="{00000000-0005-0000-0000-0000ED130000}"/>
    <cellStyle name="Input 2 12 2 12" xfId="13497" xr:uid="{00000000-0005-0000-0000-0000EE130000}"/>
    <cellStyle name="Input 2 12 2 13" xfId="30196" xr:uid="{C7BB3780-7819-4DC2-B138-9F9CAFA19302}"/>
    <cellStyle name="Input 2 12 2 14" xfId="31628" xr:uid="{3F138766-F783-4184-AB38-2F2FA37DF0C0}"/>
    <cellStyle name="Input 2 12 2 2" xfId="976" xr:uid="{00000000-0005-0000-0000-0000EF130000}"/>
    <cellStyle name="Input 2 12 2 2 2" xfId="3112" xr:uid="{00000000-0005-0000-0000-0000F0130000}"/>
    <cellStyle name="Input 2 12 2 2 2 2" xfId="9708" xr:uid="{00000000-0005-0000-0000-0000F1130000}"/>
    <cellStyle name="Input 2 12 2 2 2 3" xfId="16327" xr:uid="{00000000-0005-0000-0000-0000F2130000}"/>
    <cellStyle name="Input 2 12 2 2 2_Summary" xfId="20420" xr:uid="{00000000-0005-0000-0000-0000F3130000}"/>
    <cellStyle name="Input 2 12 2 2 3" xfId="5147" xr:uid="{00000000-0005-0000-0000-0000F4130000}"/>
    <cellStyle name="Input 2 12 2 2 3 2" xfId="11743" xr:uid="{00000000-0005-0000-0000-0000F5130000}"/>
    <cellStyle name="Input 2 12 2 2 3 3" xfId="18362" xr:uid="{00000000-0005-0000-0000-0000F6130000}"/>
    <cellStyle name="Input 2 12 2 2 3_Summary" xfId="20421" xr:uid="{00000000-0005-0000-0000-0000F7130000}"/>
    <cellStyle name="Input 2 12 2 2 4" xfId="7573" xr:uid="{00000000-0005-0000-0000-0000F8130000}"/>
    <cellStyle name="Input 2 12 2 2 5" xfId="14191" xr:uid="{00000000-0005-0000-0000-0000F9130000}"/>
    <cellStyle name="Input 2 12 2 2_Summary" xfId="20419" xr:uid="{00000000-0005-0000-0000-0000FA130000}"/>
    <cellStyle name="Input 2 12 2 3" xfId="1258" xr:uid="{00000000-0005-0000-0000-0000FB130000}"/>
    <cellStyle name="Input 2 12 2 3 2" xfId="3394" xr:uid="{00000000-0005-0000-0000-0000FC130000}"/>
    <cellStyle name="Input 2 12 2 3 2 2" xfId="9990" xr:uid="{00000000-0005-0000-0000-0000FD130000}"/>
    <cellStyle name="Input 2 12 2 3 2 3" xfId="16609" xr:uid="{00000000-0005-0000-0000-0000FE130000}"/>
    <cellStyle name="Input 2 12 2 3 2_Summary" xfId="20423" xr:uid="{00000000-0005-0000-0000-0000FF130000}"/>
    <cellStyle name="Input 2 12 2 3 3" xfId="5429" xr:uid="{00000000-0005-0000-0000-000000140000}"/>
    <cellStyle name="Input 2 12 2 3 3 2" xfId="12025" xr:uid="{00000000-0005-0000-0000-000001140000}"/>
    <cellStyle name="Input 2 12 2 3 3 3" xfId="18644" xr:uid="{00000000-0005-0000-0000-000002140000}"/>
    <cellStyle name="Input 2 12 2 3 3_Summary" xfId="20424" xr:uid="{00000000-0005-0000-0000-000003140000}"/>
    <cellStyle name="Input 2 12 2 3 4" xfId="7854" xr:uid="{00000000-0005-0000-0000-000004140000}"/>
    <cellStyle name="Input 2 12 2 3 5" xfId="14473" xr:uid="{00000000-0005-0000-0000-000005140000}"/>
    <cellStyle name="Input 2 12 2 3_Summary" xfId="20422" xr:uid="{00000000-0005-0000-0000-000006140000}"/>
    <cellStyle name="Input 2 12 2 4" xfId="1539" xr:uid="{00000000-0005-0000-0000-000007140000}"/>
    <cellStyle name="Input 2 12 2 4 2" xfId="3675" xr:uid="{00000000-0005-0000-0000-000008140000}"/>
    <cellStyle name="Input 2 12 2 4 2 2" xfId="10271" xr:uid="{00000000-0005-0000-0000-000009140000}"/>
    <cellStyle name="Input 2 12 2 4 2 3" xfId="16890" xr:uid="{00000000-0005-0000-0000-00000A140000}"/>
    <cellStyle name="Input 2 12 2 4 2_Summary" xfId="20426" xr:uid="{00000000-0005-0000-0000-00000B140000}"/>
    <cellStyle name="Input 2 12 2 4 3" xfId="5710" xr:uid="{00000000-0005-0000-0000-00000C140000}"/>
    <cellStyle name="Input 2 12 2 4 3 2" xfId="12306" xr:uid="{00000000-0005-0000-0000-00000D140000}"/>
    <cellStyle name="Input 2 12 2 4 3 3" xfId="18925" xr:uid="{00000000-0005-0000-0000-00000E140000}"/>
    <cellStyle name="Input 2 12 2 4 3_Summary" xfId="20427" xr:uid="{00000000-0005-0000-0000-00000F140000}"/>
    <cellStyle name="Input 2 12 2 4 4" xfId="8135" xr:uid="{00000000-0005-0000-0000-000010140000}"/>
    <cellStyle name="Input 2 12 2 4 5" xfId="14754" xr:uid="{00000000-0005-0000-0000-000011140000}"/>
    <cellStyle name="Input 2 12 2 4_Summary" xfId="20425" xr:uid="{00000000-0005-0000-0000-000012140000}"/>
    <cellStyle name="Input 2 12 2 5" xfId="1818" xr:uid="{00000000-0005-0000-0000-000013140000}"/>
    <cellStyle name="Input 2 12 2 5 2" xfId="3954" xr:uid="{00000000-0005-0000-0000-000014140000}"/>
    <cellStyle name="Input 2 12 2 5 2 2" xfId="10550" xr:uid="{00000000-0005-0000-0000-000015140000}"/>
    <cellStyle name="Input 2 12 2 5 2 3" xfId="17169" xr:uid="{00000000-0005-0000-0000-000016140000}"/>
    <cellStyle name="Input 2 12 2 5 2_Summary" xfId="20429" xr:uid="{00000000-0005-0000-0000-000017140000}"/>
    <cellStyle name="Input 2 12 2 5 3" xfId="5989" xr:uid="{00000000-0005-0000-0000-000018140000}"/>
    <cellStyle name="Input 2 12 2 5 3 2" xfId="12585" xr:uid="{00000000-0005-0000-0000-000019140000}"/>
    <cellStyle name="Input 2 12 2 5 3 3" xfId="19204" xr:uid="{00000000-0005-0000-0000-00001A140000}"/>
    <cellStyle name="Input 2 12 2 5 3_Summary" xfId="20430" xr:uid="{00000000-0005-0000-0000-00001B140000}"/>
    <cellStyle name="Input 2 12 2 5 4" xfId="8414" xr:uid="{00000000-0005-0000-0000-00001C140000}"/>
    <cellStyle name="Input 2 12 2 5 5" xfId="15033" xr:uid="{00000000-0005-0000-0000-00001D140000}"/>
    <cellStyle name="Input 2 12 2 5_Summary" xfId="20428" xr:uid="{00000000-0005-0000-0000-00001E140000}"/>
    <cellStyle name="Input 2 12 2 6" xfId="2093" xr:uid="{00000000-0005-0000-0000-00001F140000}"/>
    <cellStyle name="Input 2 12 2 6 2" xfId="4229" xr:uid="{00000000-0005-0000-0000-000020140000}"/>
    <cellStyle name="Input 2 12 2 6 2 2" xfId="10825" xr:uid="{00000000-0005-0000-0000-000021140000}"/>
    <cellStyle name="Input 2 12 2 6 2 3" xfId="17444" xr:uid="{00000000-0005-0000-0000-000022140000}"/>
    <cellStyle name="Input 2 12 2 6 2_Summary" xfId="20432" xr:uid="{00000000-0005-0000-0000-000023140000}"/>
    <cellStyle name="Input 2 12 2 6 3" xfId="6264" xr:uid="{00000000-0005-0000-0000-000024140000}"/>
    <cellStyle name="Input 2 12 2 6 3 2" xfId="12860" xr:uid="{00000000-0005-0000-0000-000025140000}"/>
    <cellStyle name="Input 2 12 2 6 3 3" xfId="19479" xr:uid="{00000000-0005-0000-0000-000026140000}"/>
    <cellStyle name="Input 2 12 2 6 3_Summary" xfId="20433" xr:uid="{00000000-0005-0000-0000-000027140000}"/>
    <cellStyle name="Input 2 12 2 6 4" xfId="8689" xr:uid="{00000000-0005-0000-0000-000028140000}"/>
    <cellStyle name="Input 2 12 2 6 5" xfId="15308" xr:uid="{00000000-0005-0000-0000-000029140000}"/>
    <cellStyle name="Input 2 12 2 6_Summary" xfId="20431" xr:uid="{00000000-0005-0000-0000-00002A140000}"/>
    <cellStyle name="Input 2 12 2 7" xfId="2366" xr:uid="{00000000-0005-0000-0000-00002B140000}"/>
    <cellStyle name="Input 2 12 2 7 2" xfId="4502" xr:uid="{00000000-0005-0000-0000-00002C140000}"/>
    <cellStyle name="Input 2 12 2 7 2 2" xfId="11098" xr:uid="{00000000-0005-0000-0000-00002D140000}"/>
    <cellStyle name="Input 2 12 2 7 2 3" xfId="17717" xr:uid="{00000000-0005-0000-0000-00002E140000}"/>
    <cellStyle name="Input 2 12 2 7 2_Summary" xfId="20435" xr:uid="{00000000-0005-0000-0000-00002F140000}"/>
    <cellStyle name="Input 2 12 2 7 3" xfId="6537" xr:uid="{00000000-0005-0000-0000-000030140000}"/>
    <cellStyle name="Input 2 12 2 7 3 2" xfId="13133" xr:uid="{00000000-0005-0000-0000-000031140000}"/>
    <cellStyle name="Input 2 12 2 7 3 3" xfId="19752" xr:uid="{00000000-0005-0000-0000-000032140000}"/>
    <cellStyle name="Input 2 12 2 7 3_Summary" xfId="20436" xr:uid="{00000000-0005-0000-0000-000033140000}"/>
    <cellStyle name="Input 2 12 2 7 4" xfId="8962" xr:uid="{00000000-0005-0000-0000-000034140000}"/>
    <cellStyle name="Input 2 12 2 7 5" xfId="15581" xr:uid="{00000000-0005-0000-0000-000035140000}"/>
    <cellStyle name="Input 2 12 2 7_Summary" xfId="20434" xr:uid="{00000000-0005-0000-0000-000036140000}"/>
    <cellStyle name="Input 2 12 2 8" xfId="2940" xr:uid="{00000000-0005-0000-0000-000037140000}"/>
    <cellStyle name="Input 2 12 2 8 2" xfId="9536" xr:uid="{00000000-0005-0000-0000-000038140000}"/>
    <cellStyle name="Input 2 12 2 8 3" xfId="16155" xr:uid="{00000000-0005-0000-0000-000039140000}"/>
    <cellStyle name="Input 2 12 2 8_Summary" xfId="20437" xr:uid="{00000000-0005-0000-0000-00003A140000}"/>
    <cellStyle name="Input 2 12 2 9" xfId="4975" xr:uid="{00000000-0005-0000-0000-00003B140000}"/>
    <cellStyle name="Input 2 12 2 9 2" xfId="11571" xr:uid="{00000000-0005-0000-0000-00003C140000}"/>
    <cellStyle name="Input 2 12 2 9 3" xfId="18190" xr:uid="{00000000-0005-0000-0000-00003D140000}"/>
    <cellStyle name="Input 2 12 2 9_Summary" xfId="20438" xr:uid="{00000000-0005-0000-0000-00003E140000}"/>
    <cellStyle name="Input 2 12 2_Summary" xfId="20417" xr:uid="{00000000-0005-0000-0000-00003F140000}"/>
    <cellStyle name="Input 2 12 3" xfId="348" xr:uid="{00000000-0005-0000-0000-000040140000}"/>
    <cellStyle name="Input 2 12 3 10" xfId="672" xr:uid="{00000000-0005-0000-0000-000041140000}"/>
    <cellStyle name="Input 2 12 3 10 2" xfId="13887" xr:uid="{00000000-0005-0000-0000-000042140000}"/>
    <cellStyle name="Input 2 12 3 10_Summary" xfId="20440" xr:uid="{00000000-0005-0000-0000-000043140000}"/>
    <cellStyle name="Input 2 12 3 11" xfId="7241" xr:uid="{00000000-0005-0000-0000-000044140000}"/>
    <cellStyle name="Input 2 12 3 12" xfId="13563" xr:uid="{00000000-0005-0000-0000-000045140000}"/>
    <cellStyle name="Input 2 12 3 2" xfId="1042" xr:uid="{00000000-0005-0000-0000-000046140000}"/>
    <cellStyle name="Input 2 12 3 2 2" xfId="3178" xr:uid="{00000000-0005-0000-0000-000047140000}"/>
    <cellStyle name="Input 2 12 3 2 2 2" xfId="9774" xr:uid="{00000000-0005-0000-0000-000048140000}"/>
    <cellStyle name="Input 2 12 3 2 2 3" xfId="16393" xr:uid="{00000000-0005-0000-0000-000049140000}"/>
    <cellStyle name="Input 2 12 3 2 2_Summary" xfId="20442" xr:uid="{00000000-0005-0000-0000-00004A140000}"/>
    <cellStyle name="Input 2 12 3 2 3" xfId="5213" xr:uid="{00000000-0005-0000-0000-00004B140000}"/>
    <cellStyle name="Input 2 12 3 2 3 2" xfId="11809" xr:uid="{00000000-0005-0000-0000-00004C140000}"/>
    <cellStyle name="Input 2 12 3 2 3 3" xfId="18428" xr:uid="{00000000-0005-0000-0000-00004D140000}"/>
    <cellStyle name="Input 2 12 3 2 3_Summary" xfId="20443" xr:uid="{00000000-0005-0000-0000-00004E140000}"/>
    <cellStyle name="Input 2 12 3 2 4" xfId="7639" xr:uid="{00000000-0005-0000-0000-00004F140000}"/>
    <cellStyle name="Input 2 12 3 2 5" xfId="14257" xr:uid="{00000000-0005-0000-0000-000050140000}"/>
    <cellStyle name="Input 2 12 3 2_Summary" xfId="20441" xr:uid="{00000000-0005-0000-0000-000051140000}"/>
    <cellStyle name="Input 2 12 3 3" xfId="1324" xr:uid="{00000000-0005-0000-0000-000052140000}"/>
    <cellStyle name="Input 2 12 3 3 2" xfId="3460" xr:uid="{00000000-0005-0000-0000-000053140000}"/>
    <cellStyle name="Input 2 12 3 3 2 2" xfId="10056" xr:uid="{00000000-0005-0000-0000-000054140000}"/>
    <cellStyle name="Input 2 12 3 3 2 3" xfId="16675" xr:uid="{00000000-0005-0000-0000-000055140000}"/>
    <cellStyle name="Input 2 12 3 3 2_Summary" xfId="20445" xr:uid="{00000000-0005-0000-0000-000056140000}"/>
    <cellStyle name="Input 2 12 3 3 3" xfId="5495" xr:uid="{00000000-0005-0000-0000-000057140000}"/>
    <cellStyle name="Input 2 12 3 3 3 2" xfId="12091" xr:uid="{00000000-0005-0000-0000-000058140000}"/>
    <cellStyle name="Input 2 12 3 3 3 3" xfId="18710" xr:uid="{00000000-0005-0000-0000-000059140000}"/>
    <cellStyle name="Input 2 12 3 3 3_Summary" xfId="20446" xr:uid="{00000000-0005-0000-0000-00005A140000}"/>
    <cellStyle name="Input 2 12 3 3 4" xfId="7920" xr:uid="{00000000-0005-0000-0000-00005B140000}"/>
    <cellStyle name="Input 2 12 3 3 5" xfId="14539" xr:uid="{00000000-0005-0000-0000-00005C140000}"/>
    <cellStyle name="Input 2 12 3 3_Summary" xfId="20444" xr:uid="{00000000-0005-0000-0000-00005D140000}"/>
    <cellStyle name="Input 2 12 3 4" xfId="1605" xr:uid="{00000000-0005-0000-0000-00005E140000}"/>
    <cellStyle name="Input 2 12 3 4 2" xfId="3741" xr:uid="{00000000-0005-0000-0000-00005F140000}"/>
    <cellStyle name="Input 2 12 3 4 2 2" xfId="10337" xr:uid="{00000000-0005-0000-0000-000060140000}"/>
    <cellStyle name="Input 2 12 3 4 2 3" xfId="16956" xr:uid="{00000000-0005-0000-0000-000061140000}"/>
    <cellStyle name="Input 2 12 3 4 2_Summary" xfId="20448" xr:uid="{00000000-0005-0000-0000-000062140000}"/>
    <cellStyle name="Input 2 12 3 4 3" xfId="5776" xr:uid="{00000000-0005-0000-0000-000063140000}"/>
    <cellStyle name="Input 2 12 3 4 3 2" xfId="12372" xr:uid="{00000000-0005-0000-0000-000064140000}"/>
    <cellStyle name="Input 2 12 3 4 3 3" xfId="18991" xr:uid="{00000000-0005-0000-0000-000065140000}"/>
    <cellStyle name="Input 2 12 3 4 3_Summary" xfId="20449" xr:uid="{00000000-0005-0000-0000-000066140000}"/>
    <cellStyle name="Input 2 12 3 4 4" xfId="8201" xr:uid="{00000000-0005-0000-0000-000067140000}"/>
    <cellStyle name="Input 2 12 3 4 5" xfId="14820" xr:uid="{00000000-0005-0000-0000-000068140000}"/>
    <cellStyle name="Input 2 12 3 4_Summary" xfId="20447" xr:uid="{00000000-0005-0000-0000-000069140000}"/>
    <cellStyle name="Input 2 12 3 5" xfId="1884" xr:uid="{00000000-0005-0000-0000-00006A140000}"/>
    <cellStyle name="Input 2 12 3 5 2" xfId="4020" xr:uid="{00000000-0005-0000-0000-00006B140000}"/>
    <cellStyle name="Input 2 12 3 5 2 2" xfId="10616" xr:uid="{00000000-0005-0000-0000-00006C140000}"/>
    <cellStyle name="Input 2 12 3 5 2 3" xfId="17235" xr:uid="{00000000-0005-0000-0000-00006D140000}"/>
    <cellStyle name="Input 2 12 3 5 2_Summary" xfId="20451" xr:uid="{00000000-0005-0000-0000-00006E140000}"/>
    <cellStyle name="Input 2 12 3 5 3" xfId="6055" xr:uid="{00000000-0005-0000-0000-00006F140000}"/>
    <cellStyle name="Input 2 12 3 5 3 2" xfId="12651" xr:uid="{00000000-0005-0000-0000-000070140000}"/>
    <cellStyle name="Input 2 12 3 5 3 3" xfId="19270" xr:uid="{00000000-0005-0000-0000-000071140000}"/>
    <cellStyle name="Input 2 12 3 5 3_Summary" xfId="20452" xr:uid="{00000000-0005-0000-0000-000072140000}"/>
    <cellStyle name="Input 2 12 3 5 4" xfId="8480" xr:uid="{00000000-0005-0000-0000-000073140000}"/>
    <cellStyle name="Input 2 12 3 5 5" xfId="15099" xr:uid="{00000000-0005-0000-0000-000074140000}"/>
    <cellStyle name="Input 2 12 3 5_Summary" xfId="20450" xr:uid="{00000000-0005-0000-0000-000075140000}"/>
    <cellStyle name="Input 2 12 3 6" xfId="2159" xr:uid="{00000000-0005-0000-0000-000076140000}"/>
    <cellStyle name="Input 2 12 3 6 2" xfId="4295" xr:uid="{00000000-0005-0000-0000-000077140000}"/>
    <cellStyle name="Input 2 12 3 6 2 2" xfId="10891" xr:uid="{00000000-0005-0000-0000-000078140000}"/>
    <cellStyle name="Input 2 12 3 6 2 3" xfId="17510" xr:uid="{00000000-0005-0000-0000-000079140000}"/>
    <cellStyle name="Input 2 12 3 6 2_Summary" xfId="20454" xr:uid="{00000000-0005-0000-0000-00007A140000}"/>
    <cellStyle name="Input 2 12 3 6 3" xfId="6330" xr:uid="{00000000-0005-0000-0000-00007B140000}"/>
    <cellStyle name="Input 2 12 3 6 3 2" xfId="12926" xr:uid="{00000000-0005-0000-0000-00007C140000}"/>
    <cellStyle name="Input 2 12 3 6 3 3" xfId="19545" xr:uid="{00000000-0005-0000-0000-00007D140000}"/>
    <cellStyle name="Input 2 12 3 6 3_Summary" xfId="20455" xr:uid="{00000000-0005-0000-0000-00007E140000}"/>
    <cellStyle name="Input 2 12 3 6 4" xfId="8755" xr:uid="{00000000-0005-0000-0000-00007F140000}"/>
    <cellStyle name="Input 2 12 3 6 5" xfId="15374" xr:uid="{00000000-0005-0000-0000-000080140000}"/>
    <cellStyle name="Input 2 12 3 6_Summary" xfId="20453" xr:uid="{00000000-0005-0000-0000-000081140000}"/>
    <cellStyle name="Input 2 12 3 7" xfId="2432" xr:uid="{00000000-0005-0000-0000-000082140000}"/>
    <cellStyle name="Input 2 12 3 7 2" xfId="4568" xr:uid="{00000000-0005-0000-0000-000083140000}"/>
    <cellStyle name="Input 2 12 3 7 2 2" xfId="11164" xr:uid="{00000000-0005-0000-0000-000084140000}"/>
    <cellStyle name="Input 2 12 3 7 2 3" xfId="17783" xr:uid="{00000000-0005-0000-0000-000085140000}"/>
    <cellStyle name="Input 2 12 3 7 2_Summary" xfId="20457" xr:uid="{00000000-0005-0000-0000-000086140000}"/>
    <cellStyle name="Input 2 12 3 7 3" xfId="6603" xr:uid="{00000000-0005-0000-0000-000087140000}"/>
    <cellStyle name="Input 2 12 3 7 3 2" xfId="13199" xr:uid="{00000000-0005-0000-0000-000088140000}"/>
    <cellStyle name="Input 2 12 3 7 3 3" xfId="19818" xr:uid="{00000000-0005-0000-0000-000089140000}"/>
    <cellStyle name="Input 2 12 3 7 3_Summary" xfId="20458" xr:uid="{00000000-0005-0000-0000-00008A140000}"/>
    <cellStyle name="Input 2 12 3 7 4" xfId="9028" xr:uid="{00000000-0005-0000-0000-00008B140000}"/>
    <cellStyle name="Input 2 12 3 7 5" xfId="15647" xr:uid="{00000000-0005-0000-0000-00008C140000}"/>
    <cellStyle name="Input 2 12 3 7_Summary" xfId="20456" xr:uid="{00000000-0005-0000-0000-00008D140000}"/>
    <cellStyle name="Input 2 12 3 8" xfId="2808" xr:uid="{00000000-0005-0000-0000-00008E140000}"/>
    <cellStyle name="Input 2 12 3 8 2" xfId="9404" xr:uid="{00000000-0005-0000-0000-00008F140000}"/>
    <cellStyle name="Input 2 12 3 8 3" xfId="16023" xr:uid="{00000000-0005-0000-0000-000090140000}"/>
    <cellStyle name="Input 2 12 3 8_Summary" xfId="20459" xr:uid="{00000000-0005-0000-0000-000091140000}"/>
    <cellStyle name="Input 2 12 3 9" xfId="4843" xr:uid="{00000000-0005-0000-0000-000092140000}"/>
    <cellStyle name="Input 2 12 3 9 2" xfId="11439" xr:uid="{00000000-0005-0000-0000-000093140000}"/>
    <cellStyle name="Input 2 12 3 9 3" xfId="18058" xr:uid="{00000000-0005-0000-0000-000094140000}"/>
    <cellStyle name="Input 2 12 3 9_Summary" xfId="20460" xr:uid="{00000000-0005-0000-0000-000095140000}"/>
    <cellStyle name="Input 2 12 3_Summary" xfId="20439" xr:uid="{00000000-0005-0000-0000-000096140000}"/>
    <cellStyle name="Input 2 12 4" xfId="646" xr:uid="{00000000-0005-0000-0000-000097140000}"/>
    <cellStyle name="Input 2 12 4 2" xfId="2782" xr:uid="{00000000-0005-0000-0000-000098140000}"/>
    <cellStyle name="Input 2 12 4 2 2" xfId="9378" xr:uid="{00000000-0005-0000-0000-000099140000}"/>
    <cellStyle name="Input 2 12 4 2 3" xfId="15997" xr:uid="{00000000-0005-0000-0000-00009A140000}"/>
    <cellStyle name="Input 2 12 4 2_Summary" xfId="20462" xr:uid="{00000000-0005-0000-0000-00009B140000}"/>
    <cellStyle name="Input 2 12 4 3" xfId="4817" xr:uid="{00000000-0005-0000-0000-00009C140000}"/>
    <cellStyle name="Input 2 12 4 3 2" xfId="11413" xr:uid="{00000000-0005-0000-0000-00009D140000}"/>
    <cellStyle name="Input 2 12 4 3 3" xfId="18032" xr:uid="{00000000-0005-0000-0000-00009E140000}"/>
    <cellStyle name="Input 2 12 4 3_Summary" xfId="20463" xr:uid="{00000000-0005-0000-0000-00009F140000}"/>
    <cellStyle name="Input 2 12 4 4" xfId="7418" xr:uid="{00000000-0005-0000-0000-0000A0140000}"/>
    <cellStyle name="Input 2 12 4 5" xfId="13861" xr:uid="{00000000-0005-0000-0000-0000A1140000}"/>
    <cellStyle name="Input 2 12 4_Summary" xfId="20461" xr:uid="{00000000-0005-0000-0000-0000A2140000}"/>
    <cellStyle name="Input 2 12 5" xfId="653" xr:uid="{00000000-0005-0000-0000-0000A3140000}"/>
    <cellStyle name="Input 2 12 5 2" xfId="2789" xr:uid="{00000000-0005-0000-0000-0000A4140000}"/>
    <cellStyle name="Input 2 12 5 2 2" xfId="9385" xr:uid="{00000000-0005-0000-0000-0000A5140000}"/>
    <cellStyle name="Input 2 12 5 2 3" xfId="16004" xr:uid="{00000000-0005-0000-0000-0000A6140000}"/>
    <cellStyle name="Input 2 12 5 2_Summary" xfId="20465" xr:uid="{00000000-0005-0000-0000-0000A7140000}"/>
    <cellStyle name="Input 2 12 5 3" xfId="4824" xr:uid="{00000000-0005-0000-0000-0000A8140000}"/>
    <cellStyle name="Input 2 12 5 3 2" xfId="11420" xr:uid="{00000000-0005-0000-0000-0000A9140000}"/>
    <cellStyle name="Input 2 12 5 3 3" xfId="18039" xr:uid="{00000000-0005-0000-0000-0000AA140000}"/>
    <cellStyle name="Input 2 12 5 3_Summary" xfId="20466" xr:uid="{00000000-0005-0000-0000-0000AB140000}"/>
    <cellStyle name="Input 2 12 5 4" xfId="7425" xr:uid="{00000000-0005-0000-0000-0000AC140000}"/>
    <cellStyle name="Input 2 12 5 5" xfId="13868" xr:uid="{00000000-0005-0000-0000-0000AD140000}"/>
    <cellStyle name="Input 2 12 5_Summary" xfId="20464" xr:uid="{00000000-0005-0000-0000-0000AE140000}"/>
    <cellStyle name="Input 2 12 6" xfId="659" xr:uid="{00000000-0005-0000-0000-0000AF140000}"/>
    <cellStyle name="Input 2 12 6 2" xfId="2795" xr:uid="{00000000-0005-0000-0000-0000B0140000}"/>
    <cellStyle name="Input 2 12 6 2 2" xfId="9391" xr:uid="{00000000-0005-0000-0000-0000B1140000}"/>
    <cellStyle name="Input 2 12 6 2 3" xfId="16010" xr:uid="{00000000-0005-0000-0000-0000B2140000}"/>
    <cellStyle name="Input 2 12 6 2_Summary" xfId="20468" xr:uid="{00000000-0005-0000-0000-0000B3140000}"/>
    <cellStyle name="Input 2 12 6 3" xfId="4830" xr:uid="{00000000-0005-0000-0000-0000B4140000}"/>
    <cellStyle name="Input 2 12 6 3 2" xfId="11426" xr:uid="{00000000-0005-0000-0000-0000B5140000}"/>
    <cellStyle name="Input 2 12 6 3 3" xfId="18045" xr:uid="{00000000-0005-0000-0000-0000B6140000}"/>
    <cellStyle name="Input 2 12 6 3_Summary" xfId="20469" xr:uid="{00000000-0005-0000-0000-0000B7140000}"/>
    <cellStyle name="Input 2 12 6 4" xfId="7430" xr:uid="{00000000-0005-0000-0000-0000B8140000}"/>
    <cellStyle name="Input 2 12 6 5" xfId="13874" xr:uid="{00000000-0005-0000-0000-0000B9140000}"/>
    <cellStyle name="Input 2 12 6_Summary" xfId="20467" xr:uid="{00000000-0005-0000-0000-0000BA140000}"/>
    <cellStyle name="Input 2 12 7" xfId="791" xr:uid="{00000000-0005-0000-0000-0000BB140000}"/>
    <cellStyle name="Input 2 12 7 2" xfId="2927" xr:uid="{00000000-0005-0000-0000-0000BC140000}"/>
    <cellStyle name="Input 2 12 7 2 2" xfId="9523" xr:uid="{00000000-0005-0000-0000-0000BD140000}"/>
    <cellStyle name="Input 2 12 7 2 3" xfId="16142" xr:uid="{00000000-0005-0000-0000-0000BE140000}"/>
    <cellStyle name="Input 2 12 7 2_Summary" xfId="20471" xr:uid="{00000000-0005-0000-0000-0000BF140000}"/>
    <cellStyle name="Input 2 12 7 3" xfId="4962" xr:uid="{00000000-0005-0000-0000-0000C0140000}"/>
    <cellStyle name="Input 2 12 7 3 2" xfId="11558" xr:uid="{00000000-0005-0000-0000-0000C1140000}"/>
    <cellStyle name="Input 2 12 7 3 3" xfId="18177" xr:uid="{00000000-0005-0000-0000-0000C2140000}"/>
    <cellStyle name="Input 2 12 7 3_Summary" xfId="20472" xr:uid="{00000000-0005-0000-0000-0000C3140000}"/>
    <cellStyle name="Input 2 12 7 4" xfId="7458" xr:uid="{00000000-0005-0000-0000-0000C4140000}"/>
    <cellStyle name="Input 2 12 7 5" xfId="14006" xr:uid="{00000000-0005-0000-0000-0000C5140000}"/>
    <cellStyle name="Input 2 12 7_Summary" xfId="20470" xr:uid="{00000000-0005-0000-0000-0000C6140000}"/>
    <cellStyle name="Input 2 12 8" xfId="652" xr:uid="{00000000-0005-0000-0000-0000C7140000}"/>
    <cellStyle name="Input 2 12 8 2" xfId="2788" xr:uid="{00000000-0005-0000-0000-0000C8140000}"/>
    <cellStyle name="Input 2 12 8 2 2" xfId="9384" xr:uid="{00000000-0005-0000-0000-0000C9140000}"/>
    <cellStyle name="Input 2 12 8 2 3" xfId="16003" xr:uid="{00000000-0005-0000-0000-0000CA140000}"/>
    <cellStyle name="Input 2 12 8 2_Summary" xfId="20474" xr:uid="{00000000-0005-0000-0000-0000CB140000}"/>
    <cellStyle name="Input 2 12 8 3" xfId="4823" xr:uid="{00000000-0005-0000-0000-0000CC140000}"/>
    <cellStyle name="Input 2 12 8 3 2" xfId="11419" xr:uid="{00000000-0005-0000-0000-0000CD140000}"/>
    <cellStyle name="Input 2 12 8 3 3" xfId="18038" xr:uid="{00000000-0005-0000-0000-0000CE140000}"/>
    <cellStyle name="Input 2 12 8 3_Summary" xfId="20475" xr:uid="{00000000-0005-0000-0000-0000CF140000}"/>
    <cellStyle name="Input 2 12 8 4" xfId="7424" xr:uid="{00000000-0005-0000-0000-0000D0140000}"/>
    <cellStyle name="Input 2 12 8 5" xfId="13867" xr:uid="{00000000-0005-0000-0000-0000D1140000}"/>
    <cellStyle name="Input 2 12 8_Summary" xfId="20473" xr:uid="{00000000-0005-0000-0000-0000D2140000}"/>
    <cellStyle name="Input 2 12 9" xfId="598" xr:uid="{00000000-0005-0000-0000-0000D3140000}"/>
    <cellStyle name="Input 2 12 9 2" xfId="2734" xr:uid="{00000000-0005-0000-0000-0000D4140000}"/>
    <cellStyle name="Input 2 12 9 2 2" xfId="9330" xr:uid="{00000000-0005-0000-0000-0000D5140000}"/>
    <cellStyle name="Input 2 12 9 2 3" xfId="15949" xr:uid="{00000000-0005-0000-0000-0000D6140000}"/>
    <cellStyle name="Input 2 12 9 2_Summary" xfId="20477" xr:uid="{00000000-0005-0000-0000-0000D7140000}"/>
    <cellStyle name="Input 2 12 9 3" xfId="4769" xr:uid="{00000000-0005-0000-0000-0000D8140000}"/>
    <cellStyle name="Input 2 12 9 3 2" xfId="11365" xr:uid="{00000000-0005-0000-0000-0000D9140000}"/>
    <cellStyle name="Input 2 12 9 3 3" xfId="17984" xr:uid="{00000000-0005-0000-0000-0000DA140000}"/>
    <cellStyle name="Input 2 12 9 3_Summary" xfId="20478" xr:uid="{00000000-0005-0000-0000-0000DB140000}"/>
    <cellStyle name="Input 2 12 9 4" xfId="7370" xr:uid="{00000000-0005-0000-0000-0000DC140000}"/>
    <cellStyle name="Input 2 12 9 5" xfId="13813" xr:uid="{00000000-0005-0000-0000-0000DD140000}"/>
    <cellStyle name="Input 2 12 9_Summary" xfId="20476" xr:uid="{00000000-0005-0000-0000-0000DE140000}"/>
    <cellStyle name="Input 2 12_Summary" xfId="20413" xr:uid="{00000000-0005-0000-0000-0000DF140000}"/>
    <cellStyle name="Input 2 13" xfId="275" xr:uid="{00000000-0005-0000-0000-0000E0140000}"/>
    <cellStyle name="Input 2 13 10" xfId="4695" xr:uid="{00000000-0005-0000-0000-0000E1140000}"/>
    <cellStyle name="Input 2 13 10 2" xfId="11291" xr:uid="{00000000-0005-0000-0000-0000E2140000}"/>
    <cellStyle name="Input 2 13 10 3" xfId="17910" xr:uid="{00000000-0005-0000-0000-0000E3140000}"/>
    <cellStyle name="Input 2 13 10_Summary" xfId="20480" xr:uid="{00000000-0005-0000-0000-0000E4140000}"/>
    <cellStyle name="Input 2 13 11" xfId="525" xr:uid="{00000000-0005-0000-0000-0000E5140000}"/>
    <cellStyle name="Input 2 13 11 2" xfId="13740" xr:uid="{00000000-0005-0000-0000-0000E6140000}"/>
    <cellStyle name="Input 2 13 11_Summary" xfId="20481" xr:uid="{00000000-0005-0000-0000-0000E7140000}"/>
    <cellStyle name="Input 2 13 12" xfId="7169" xr:uid="{00000000-0005-0000-0000-0000E8140000}"/>
    <cellStyle name="Input 2 13 13" xfId="13492" xr:uid="{00000000-0005-0000-0000-0000E9140000}"/>
    <cellStyle name="Input 2 13 14" xfId="30191" xr:uid="{CCD6AD7D-F61A-4B13-9A73-4727ABA5E161}"/>
    <cellStyle name="Input 2 13 15" xfId="31623" xr:uid="{5F2A80CC-BF8D-49EC-849C-80AD575D83E0}"/>
    <cellStyle name="Input 2 13 2" xfId="409" xr:uid="{00000000-0005-0000-0000-0000EA140000}"/>
    <cellStyle name="Input 2 13 2 10" xfId="799" xr:uid="{00000000-0005-0000-0000-0000EB140000}"/>
    <cellStyle name="Input 2 13 2 10 2" xfId="14014" xr:uid="{00000000-0005-0000-0000-0000EC140000}"/>
    <cellStyle name="Input 2 13 2 10_Summary" xfId="20483" xr:uid="{00000000-0005-0000-0000-0000ED140000}"/>
    <cellStyle name="Input 2 13 2 11" xfId="7302" xr:uid="{00000000-0005-0000-0000-0000EE140000}"/>
    <cellStyle name="Input 2 13 2 12" xfId="13624" xr:uid="{00000000-0005-0000-0000-0000EF140000}"/>
    <cellStyle name="Input 2 13 2 2" xfId="1103" xr:uid="{00000000-0005-0000-0000-0000F0140000}"/>
    <cellStyle name="Input 2 13 2 2 2" xfId="3239" xr:uid="{00000000-0005-0000-0000-0000F1140000}"/>
    <cellStyle name="Input 2 13 2 2 2 2" xfId="9835" xr:uid="{00000000-0005-0000-0000-0000F2140000}"/>
    <cellStyle name="Input 2 13 2 2 2 3" xfId="16454" xr:uid="{00000000-0005-0000-0000-0000F3140000}"/>
    <cellStyle name="Input 2 13 2 2 2_Summary" xfId="20485" xr:uid="{00000000-0005-0000-0000-0000F4140000}"/>
    <cellStyle name="Input 2 13 2 2 3" xfId="5274" xr:uid="{00000000-0005-0000-0000-0000F5140000}"/>
    <cellStyle name="Input 2 13 2 2 3 2" xfId="11870" xr:uid="{00000000-0005-0000-0000-0000F6140000}"/>
    <cellStyle name="Input 2 13 2 2 3 3" xfId="18489" xr:uid="{00000000-0005-0000-0000-0000F7140000}"/>
    <cellStyle name="Input 2 13 2 2 3_Summary" xfId="20486" xr:uid="{00000000-0005-0000-0000-0000F8140000}"/>
    <cellStyle name="Input 2 13 2 2 4" xfId="7699" xr:uid="{00000000-0005-0000-0000-0000F9140000}"/>
    <cellStyle name="Input 2 13 2 2 5" xfId="14318" xr:uid="{00000000-0005-0000-0000-0000FA140000}"/>
    <cellStyle name="Input 2 13 2 2_Summary" xfId="20484" xr:uid="{00000000-0005-0000-0000-0000FB140000}"/>
    <cellStyle name="Input 2 13 2 3" xfId="1385" xr:uid="{00000000-0005-0000-0000-0000FC140000}"/>
    <cellStyle name="Input 2 13 2 3 2" xfId="3521" xr:uid="{00000000-0005-0000-0000-0000FD140000}"/>
    <cellStyle name="Input 2 13 2 3 2 2" xfId="10117" xr:uid="{00000000-0005-0000-0000-0000FE140000}"/>
    <cellStyle name="Input 2 13 2 3 2 3" xfId="16736" xr:uid="{00000000-0005-0000-0000-0000FF140000}"/>
    <cellStyle name="Input 2 13 2 3 2_Summary" xfId="20488" xr:uid="{00000000-0005-0000-0000-000000150000}"/>
    <cellStyle name="Input 2 13 2 3 3" xfId="5556" xr:uid="{00000000-0005-0000-0000-000001150000}"/>
    <cellStyle name="Input 2 13 2 3 3 2" xfId="12152" xr:uid="{00000000-0005-0000-0000-000002150000}"/>
    <cellStyle name="Input 2 13 2 3 3 3" xfId="18771" xr:uid="{00000000-0005-0000-0000-000003150000}"/>
    <cellStyle name="Input 2 13 2 3 3_Summary" xfId="20489" xr:uid="{00000000-0005-0000-0000-000004150000}"/>
    <cellStyle name="Input 2 13 2 3 4" xfId="7981" xr:uid="{00000000-0005-0000-0000-000005150000}"/>
    <cellStyle name="Input 2 13 2 3 5" xfId="14600" xr:uid="{00000000-0005-0000-0000-000006150000}"/>
    <cellStyle name="Input 2 13 2 3_Summary" xfId="20487" xr:uid="{00000000-0005-0000-0000-000007150000}"/>
    <cellStyle name="Input 2 13 2 4" xfId="1666" xr:uid="{00000000-0005-0000-0000-000008150000}"/>
    <cellStyle name="Input 2 13 2 4 2" xfId="3802" xr:uid="{00000000-0005-0000-0000-000009150000}"/>
    <cellStyle name="Input 2 13 2 4 2 2" xfId="10398" xr:uid="{00000000-0005-0000-0000-00000A150000}"/>
    <cellStyle name="Input 2 13 2 4 2 3" xfId="17017" xr:uid="{00000000-0005-0000-0000-00000B150000}"/>
    <cellStyle name="Input 2 13 2 4 2_Summary" xfId="20491" xr:uid="{00000000-0005-0000-0000-00000C150000}"/>
    <cellStyle name="Input 2 13 2 4 3" xfId="5837" xr:uid="{00000000-0005-0000-0000-00000D150000}"/>
    <cellStyle name="Input 2 13 2 4 3 2" xfId="12433" xr:uid="{00000000-0005-0000-0000-00000E150000}"/>
    <cellStyle name="Input 2 13 2 4 3 3" xfId="19052" xr:uid="{00000000-0005-0000-0000-00000F150000}"/>
    <cellStyle name="Input 2 13 2 4 3_Summary" xfId="20492" xr:uid="{00000000-0005-0000-0000-000010150000}"/>
    <cellStyle name="Input 2 13 2 4 4" xfId="8262" xr:uid="{00000000-0005-0000-0000-000011150000}"/>
    <cellStyle name="Input 2 13 2 4 5" xfId="14881" xr:uid="{00000000-0005-0000-0000-000012150000}"/>
    <cellStyle name="Input 2 13 2 4_Summary" xfId="20490" xr:uid="{00000000-0005-0000-0000-000013150000}"/>
    <cellStyle name="Input 2 13 2 5" xfId="1945" xr:uid="{00000000-0005-0000-0000-000014150000}"/>
    <cellStyle name="Input 2 13 2 5 2" xfId="4081" xr:uid="{00000000-0005-0000-0000-000015150000}"/>
    <cellStyle name="Input 2 13 2 5 2 2" xfId="10677" xr:uid="{00000000-0005-0000-0000-000016150000}"/>
    <cellStyle name="Input 2 13 2 5 2 3" xfId="17296" xr:uid="{00000000-0005-0000-0000-000017150000}"/>
    <cellStyle name="Input 2 13 2 5 2_Summary" xfId="20494" xr:uid="{00000000-0005-0000-0000-000018150000}"/>
    <cellStyle name="Input 2 13 2 5 3" xfId="6116" xr:uid="{00000000-0005-0000-0000-000019150000}"/>
    <cellStyle name="Input 2 13 2 5 3 2" xfId="12712" xr:uid="{00000000-0005-0000-0000-00001A150000}"/>
    <cellStyle name="Input 2 13 2 5 3 3" xfId="19331" xr:uid="{00000000-0005-0000-0000-00001B150000}"/>
    <cellStyle name="Input 2 13 2 5 3_Summary" xfId="20495" xr:uid="{00000000-0005-0000-0000-00001C150000}"/>
    <cellStyle name="Input 2 13 2 5 4" xfId="8541" xr:uid="{00000000-0005-0000-0000-00001D150000}"/>
    <cellStyle name="Input 2 13 2 5 5" xfId="15160" xr:uid="{00000000-0005-0000-0000-00001E150000}"/>
    <cellStyle name="Input 2 13 2 5_Summary" xfId="20493" xr:uid="{00000000-0005-0000-0000-00001F150000}"/>
    <cellStyle name="Input 2 13 2 6" xfId="2220" xr:uid="{00000000-0005-0000-0000-000020150000}"/>
    <cellStyle name="Input 2 13 2 6 2" xfId="4356" xr:uid="{00000000-0005-0000-0000-000021150000}"/>
    <cellStyle name="Input 2 13 2 6 2 2" xfId="10952" xr:uid="{00000000-0005-0000-0000-000022150000}"/>
    <cellStyle name="Input 2 13 2 6 2 3" xfId="17571" xr:uid="{00000000-0005-0000-0000-000023150000}"/>
    <cellStyle name="Input 2 13 2 6 2_Summary" xfId="20497" xr:uid="{00000000-0005-0000-0000-000024150000}"/>
    <cellStyle name="Input 2 13 2 6 3" xfId="6391" xr:uid="{00000000-0005-0000-0000-000025150000}"/>
    <cellStyle name="Input 2 13 2 6 3 2" xfId="12987" xr:uid="{00000000-0005-0000-0000-000026150000}"/>
    <cellStyle name="Input 2 13 2 6 3 3" xfId="19606" xr:uid="{00000000-0005-0000-0000-000027150000}"/>
    <cellStyle name="Input 2 13 2 6 3_Summary" xfId="20498" xr:uid="{00000000-0005-0000-0000-000028150000}"/>
    <cellStyle name="Input 2 13 2 6 4" xfId="8816" xr:uid="{00000000-0005-0000-0000-000029150000}"/>
    <cellStyle name="Input 2 13 2 6 5" xfId="15435" xr:uid="{00000000-0005-0000-0000-00002A150000}"/>
    <cellStyle name="Input 2 13 2 6_Summary" xfId="20496" xr:uid="{00000000-0005-0000-0000-00002B150000}"/>
    <cellStyle name="Input 2 13 2 7" xfId="2493" xr:uid="{00000000-0005-0000-0000-00002C150000}"/>
    <cellStyle name="Input 2 13 2 7 2" xfId="4629" xr:uid="{00000000-0005-0000-0000-00002D150000}"/>
    <cellStyle name="Input 2 13 2 7 2 2" xfId="11225" xr:uid="{00000000-0005-0000-0000-00002E150000}"/>
    <cellStyle name="Input 2 13 2 7 2 3" xfId="17844" xr:uid="{00000000-0005-0000-0000-00002F150000}"/>
    <cellStyle name="Input 2 13 2 7 2_Summary" xfId="20500" xr:uid="{00000000-0005-0000-0000-000030150000}"/>
    <cellStyle name="Input 2 13 2 7 3" xfId="6664" xr:uid="{00000000-0005-0000-0000-000031150000}"/>
    <cellStyle name="Input 2 13 2 7 3 2" xfId="13260" xr:uid="{00000000-0005-0000-0000-000032150000}"/>
    <cellStyle name="Input 2 13 2 7 3 3" xfId="19879" xr:uid="{00000000-0005-0000-0000-000033150000}"/>
    <cellStyle name="Input 2 13 2 7 3_Summary" xfId="20501" xr:uid="{00000000-0005-0000-0000-000034150000}"/>
    <cellStyle name="Input 2 13 2 7 4" xfId="9089" xr:uid="{00000000-0005-0000-0000-000035150000}"/>
    <cellStyle name="Input 2 13 2 7 5" xfId="15708" xr:uid="{00000000-0005-0000-0000-000036150000}"/>
    <cellStyle name="Input 2 13 2 7_Summary" xfId="20499" xr:uid="{00000000-0005-0000-0000-000037150000}"/>
    <cellStyle name="Input 2 13 2 8" xfId="2935" xr:uid="{00000000-0005-0000-0000-000038150000}"/>
    <cellStyle name="Input 2 13 2 8 2" xfId="9531" xr:uid="{00000000-0005-0000-0000-000039150000}"/>
    <cellStyle name="Input 2 13 2 8 3" xfId="16150" xr:uid="{00000000-0005-0000-0000-00003A150000}"/>
    <cellStyle name="Input 2 13 2 8_Summary" xfId="20502" xr:uid="{00000000-0005-0000-0000-00003B150000}"/>
    <cellStyle name="Input 2 13 2 9" xfId="4970" xr:uid="{00000000-0005-0000-0000-00003C150000}"/>
    <cellStyle name="Input 2 13 2 9 2" xfId="11566" xr:uid="{00000000-0005-0000-0000-00003D150000}"/>
    <cellStyle name="Input 2 13 2 9 3" xfId="18185" xr:uid="{00000000-0005-0000-0000-00003E150000}"/>
    <cellStyle name="Input 2 13 2 9_Summary" xfId="20503" xr:uid="{00000000-0005-0000-0000-00003F150000}"/>
    <cellStyle name="Input 2 13 2_Summary" xfId="20482" xr:uid="{00000000-0005-0000-0000-000040150000}"/>
    <cellStyle name="Input 2 13 3" xfId="970" xr:uid="{00000000-0005-0000-0000-000041150000}"/>
    <cellStyle name="Input 2 13 3 2" xfId="3106" xr:uid="{00000000-0005-0000-0000-000042150000}"/>
    <cellStyle name="Input 2 13 3 2 2" xfId="9702" xr:uid="{00000000-0005-0000-0000-000043150000}"/>
    <cellStyle name="Input 2 13 3 2 3" xfId="16321" xr:uid="{00000000-0005-0000-0000-000044150000}"/>
    <cellStyle name="Input 2 13 3 2_Summary" xfId="20505" xr:uid="{00000000-0005-0000-0000-000045150000}"/>
    <cellStyle name="Input 2 13 3 3" xfId="5141" xr:uid="{00000000-0005-0000-0000-000046150000}"/>
    <cellStyle name="Input 2 13 3 3 2" xfId="11737" xr:uid="{00000000-0005-0000-0000-000047150000}"/>
    <cellStyle name="Input 2 13 3 3 3" xfId="18356" xr:uid="{00000000-0005-0000-0000-000048150000}"/>
    <cellStyle name="Input 2 13 3 3_Summary" xfId="20506" xr:uid="{00000000-0005-0000-0000-000049150000}"/>
    <cellStyle name="Input 2 13 3 4" xfId="7567" xr:uid="{00000000-0005-0000-0000-00004A150000}"/>
    <cellStyle name="Input 2 13 3 5" xfId="14185" xr:uid="{00000000-0005-0000-0000-00004B150000}"/>
    <cellStyle name="Input 2 13 3_Summary" xfId="20504" xr:uid="{00000000-0005-0000-0000-00004C150000}"/>
    <cellStyle name="Input 2 13 4" xfId="1252" xr:uid="{00000000-0005-0000-0000-00004D150000}"/>
    <cellStyle name="Input 2 13 4 2" xfId="3388" xr:uid="{00000000-0005-0000-0000-00004E150000}"/>
    <cellStyle name="Input 2 13 4 2 2" xfId="9984" xr:uid="{00000000-0005-0000-0000-00004F150000}"/>
    <cellStyle name="Input 2 13 4 2 3" xfId="16603" xr:uid="{00000000-0005-0000-0000-000050150000}"/>
    <cellStyle name="Input 2 13 4 2_Summary" xfId="20508" xr:uid="{00000000-0005-0000-0000-000051150000}"/>
    <cellStyle name="Input 2 13 4 3" xfId="5423" xr:uid="{00000000-0005-0000-0000-000052150000}"/>
    <cellStyle name="Input 2 13 4 3 2" xfId="12019" xr:uid="{00000000-0005-0000-0000-000053150000}"/>
    <cellStyle name="Input 2 13 4 3 3" xfId="18638" xr:uid="{00000000-0005-0000-0000-000054150000}"/>
    <cellStyle name="Input 2 13 4 3_Summary" xfId="20509" xr:uid="{00000000-0005-0000-0000-000055150000}"/>
    <cellStyle name="Input 2 13 4 4" xfId="7848" xr:uid="{00000000-0005-0000-0000-000056150000}"/>
    <cellStyle name="Input 2 13 4 5" xfId="14467" xr:uid="{00000000-0005-0000-0000-000057150000}"/>
    <cellStyle name="Input 2 13 4_Summary" xfId="20507" xr:uid="{00000000-0005-0000-0000-000058150000}"/>
    <cellStyle name="Input 2 13 5" xfId="1533" xr:uid="{00000000-0005-0000-0000-000059150000}"/>
    <cellStyle name="Input 2 13 5 2" xfId="3669" xr:uid="{00000000-0005-0000-0000-00005A150000}"/>
    <cellStyle name="Input 2 13 5 2 2" xfId="10265" xr:uid="{00000000-0005-0000-0000-00005B150000}"/>
    <cellStyle name="Input 2 13 5 2 3" xfId="16884" xr:uid="{00000000-0005-0000-0000-00005C150000}"/>
    <cellStyle name="Input 2 13 5 2_Summary" xfId="20511" xr:uid="{00000000-0005-0000-0000-00005D150000}"/>
    <cellStyle name="Input 2 13 5 3" xfId="5704" xr:uid="{00000000-0005-0000-0000-00005E150000}"/>
    <cellStyle name="Input 2 13 5 3 2" xfId="12300" xr:uid="{00000000-0005-0000-0000-00005F150000}"/>
    <cellStyle name="Input 2 13 5 3 3" xfId="18919" xr:uid="{00000000-0005-0000-0000-000060150000}"/>
    <cellStyle name="Input 2 13 5 3_Summary" xfId="20512" xr:uid="{00000000-0005-0000-0000-000061150000}"/>
    <cellStyle name="Input 2 13 5 4" xfId="8129" xr:uid="{00000000-0005-0000-0000-000062150000}"/>
    <cellStyle name="Input 2 13 5 5" xfId="14748" xr:uid="{00000000-0005-0000-0000-000063150000}"/>
    <cellStyle name="Input 2 13 5_Summary" xfId="20510" xr:uid="{00000000-0005-0000-0000-000064150000}"/>
    <cellStyle name="Input 2 13 6" xfId="1812" xr:uid="{00000000-0005-0000-0000-000065150000}"/>
    <cellStyle name="Input 2 13 6 2" xfId="3948" xr:uid="{00000000-0005-0000-0000-000066150000}"/>
    <cellStyle name="Input 2 13 6 2 2" xfId="10544" xr:uid="{00000000-0005-0000-0000-000067150000}"/>
    <cellStyle name="Input 2 13 6 2 3" xfId="17163" xr:uid="{00000000-0005-0000-0000-000068150000}"/>
    <cellStyle name="Input 2 13 6 2_Summary" xfId="20514" xr:uid="{00000000-0005-0000-0000-000069150000}"/>
    <cellStyle name="Input 2 13 6 3" xfId="5983" xr:uid="{00000000-0005-0000-0000-00006A150000}"/>
    <cellStyle name="Input 2 13 6 3 2" xfId="12579" xr:uid="{00000000-0005-0000-0000-00006B150000}"/>
    <cellStyle name="Input 2 13 6 3 3" xfId="19198" xr:uid="{00000000-0005-0000-0000-00006C150000}"/>
    <cellStyle name="Input 2 13 6 3_Summary" xfId="20515" xr:uid="{00000000-0005-0000-0000-00006D150000}"/>
    <cellStyle name="Input 2 13 6 4" xfId="8408" xr:uid="{00000000-0005-0000-0000-00006E150000}"/>
    <cellStyle name="Input 2 13 6 5" xfId="15027" xr:uid="{00000000-0005-0000-0000-00006F150000}"/>
    <cellStyle name="Input 2 13 6_Summary" xfId="20513" xr:uid="{00000000-0005-0000-0000-000070150000}"/>
    <cellStyle name="Input 2 13 7" xfId="2088" xr:uid="{00000000-0005-0000-0000-000071150000}"/>
    <cellStyle name="Input 2 13 7 2" xfId="4224" xr:uid="{00000000-0005-0000-0000-000072150000}"/>
    <cellStyle name="Input 2 13 7 2 2" xfId="10820" xr:uid="{00000000-0005-0000-0000-000073150000}"/>
    <cellStyle name="Input 2 13 7 2 3" xfId="17439" xr:uid="{00000000-0005-0000-0000-000074150000}"/>
    <cellStyle name="Input 2 13 7 2_Summary" xfId="20517" xr:uid="{00000000-0005-0000-0000-000075150000}"/>
    <cellStyle name="Input 2 13 7 3" xfId="6259" xr:uid="{00000000-0005-0000-0000-000076150000}"/>
    <cellStyle name="Input 2 13 7 3 2" xfId="12855" xr:uid="{00000000-0005-0000-0000-000077150000}"/>
    <cellStyle name="Input 2 13 7 3 3" xfId="19474" xr:uid="{00000000-0005-0000-0000-000078150000}"/>
    <cellStyle name="Input 2 13 7 3_Summary" xfId="20518" xr:uid="{00000000-0005-0000-0000-000079150000}"/>
    <cellStyle name="Input 2 13 7 4" xfId="8684" xr:uid="{00000000-0005-0000-0000-00007A150000}"/>
    <cellStyle name="Input 2 13 7 5" xfId="15303" xr:uid="{00000000-0005-0000-0000-00007B150000}"/>
    <cellStyle name="Input 2 13 7_Summary" xfId="20516" xr:uid="{00000000-0005-0000-0000-00007C150000}"/>
    <cellStyle name="Input 2 13 8" xfId="2361" xr:uid="{00000000-0005-0000-0000-00007D150000}"/>
    <cellStyle name="Input 2 13 8 2" xfId="4497" xr:uid="{00000000-0005-0000-0000-00007E150000}"/>
    <cellStyle name="Input 2 13 8 2 2" xfId="11093" xr:uid="{00000000-0005-0000-0000-00007F150000}"/>
    <cellStyle name="Input 2 13 8 2 3" xfId="17712" xr:uid="{00000000-0005-0000-0000-000080150000}"/>
    <cellStyle name="Input 2 13 8 2_Summary" xfId="20520" xr:uid="{00000000-0005-0000-0000-000081150000}"/>
    <cellStyle name="Input 2 13 8 3" xfId="6532" xr:uid="{00000000-0005-0000-0000-000082150000}"/>
    <cellStyle name="Input 2 13 8 3 2" xfId="13128" xr:uid="{00000000-0005-0000-0000-000083150000}"/>
    <cellStyle name="Input 2 13 8 3 3" xfId="19747" xr:uid="{00000000-0005-0000-0000-000084150000}"/>
    <cellStyle name="Input 2 13 8 3_Summary" xfId="20521" xr:uid="{00000000-0005-0000-0000-000085150000}"/>
    <cellStyle name="Input 2 13 8 4" xfId="8957" xr:uid="{00000000-0005-0000-0000-000086150000}"/>
    <cellStyle name="Input 2 13 8 5" xfId="15576" xr:uid="{00000000-0005-0000-0000-000087150000}"/>
    <cellStyle name="Input 2 13 8_Summary" xfId="20519" xr:uid="{00000000-0005-0000-0000-000088150000}"/>
    <cellStyle name="Input 2 13 9" xfId="2661" xr:uid="{00000000-0005-0000-0000-000089150000}"/>
    <cellStyle name="Input 2 13 9 2" xfId="9257" xr:uid="{00000000-0005-0000-0000-00008A150000}"/>
    <cellStyle name="Input 2 13 9 3" xfId="15876" xr:uid="{00000000-0005-0000-0000-00008B150000}"/>
    <cellStyle name="Input 2 13 9_Summary" xfId="20522" xr:uid="{00000000-0005-0000-0000-00008C150000}"/>
    <cellStyle name="Input 2 13_Summary" xfId="20479" xr:uid="{00000000-0005-0000-0000-00008D150000}"/>
    <cellStyle name="Input 2 14" xfId="337" xr:uid="{00000000-0005-0000-0000-00008E150000}"/>
    <cellStyle name="Input 2 14 10" xfId="4757" xr:uid="{00000000-0005-0000-0000-00008F150000}"/>
    <cellStyle name="Input 2 14 10 2" xfId="11353" xr:uid="{00000000-0005-0000-0000-000090150000}"/>
    <cellStyle name="Input 2 14 10 3" xfId="17972" xr:uid="{00000000-0005-0000-0000-000091150000}"/>
    <cellStyle name="Input 2 14 10_Summary" xfId="20524" xr:uid="{00000000-0005-0000-0000-000092150000}"/>
    <cellStyle name="Input 2 14 11" xfId="586" xr:uid="{00000000-0005-0000-0000-000093150000}"/>
    <cellStyle name="Input 2 14 11 2" xfId="13801" xr:uid="{00000000-0005-0000-0000-000094150000}"/>
    <cellStyle name="Input 2 14 11_Summary" xfId="20525" xr:uid="{00000000-0005-0000-0000-000095150000}"/>
    <cellStyle name="Input 2 14 12" xfId="7230" xr:uid="{00000000-0005-0000-0000-000096150000}"/>
    <cellStyle name="Input 2 14 13" xfId="13552" xr:uid="{00000000-0005-0000-0000-000097150000}"/>
    <cellStyle name="Input 2 14 2" xfId="465" xr:uid="{00000000-0005-0000-0000-000098150000}"/>
    <cellStyle name="Input 2 14 2 10" xfId="859" xr:uid="{00000000-0005-0000-0000-000099150000}"/>
    <cellStyle name="Input 2 14 2 10 2" xfId="14074" xr:uid="{00000000-0005-0000-0000-00009A150000}"/>
    <cellStyle name="Input 2 14 2 10_Summary" xfId="20527" xr:uid="{00000000-0005-0000-0000-00009B150000}"/>
    <cellStyle name="Input 2 14 2 11" xfId="7358" xr:uid="{00000000-0005-0000-0000-00009C150000}"/>
    <cellStyle name="Input 2 14 2 12" xfId="13680" xr:uid="{00000000-0005-0000-0000-00009D150000}"/>
    <cellStyle name="Input 2 14 2 2" xfId="1159" xr:uid="{00000000-0005-0000-0000-00009E150000}"/>
    <cellStyle name="Input 2 14 2 2 2" xfId="3295" xr:uid="{00000000-0005-0000-0000-00009F150000}"/>
    <cellStyle name="Input 2 14 2 2 2 2" xfId="9891" xr:uid="{00000000-0005-0000-0000-0000A0150000}"/>
    <cellStyle name="Input 2 14 2 2 2 3" xfId="16510" xr:uid="{00000000-0005-0000-0000-0000A1150000}"/>
    <cellStyle name="Input 2 14 2 2 2_Summary" xfId="20529" xr:uid="{00000000-0005-0000-0000-0000A2150000}"/>
    <cellStyle name="Input 2 14 2 2 3" xfId="5330" xr:uid="{00000000-0005-0000-0000-0000A3150000}"/>
    <cellStyle name="Input 2 14 2 2 3 2" xfId="11926" xr:uid="{00000000-0005-0000-0000-0000A4150000}"/>
    <cellStyle name="Input 2 14 2 2 3 3" xfId="18545" xr:uid="{00000000-0005-0000-0000-0000A5150000}"/>
    <cellStyle name="Input 2 14 2 2 3_Summary" xfId="20530" xr:uid="{00000000-0005-0000-0000-0000A6150000}"/>
    <cellStyle name="Input 2 14 2 2 4" xfId="7755" xr:uid="{00000000-0005-0000-0000-0000A7150000}"/>
    <cellStyle name="Input 2 14 2 2 5" xfId="14374" xr:uid="{00000000-0005-0000-0000-0000A8150000}"/>
    <cellStyle name="Input 2 14 2 2_Summary" xfId="20528" xr:uid="{00000000-0005-0000-0000-0000A9150000}"/>
    <cellStyle name="Input 2 14 2 3" xfId="1441" xr:uid="{00000000-0005-0000-0000-0000AA150000}"/>
    <cellStyle name="Input 2 14 2 3 2" xfId="3577" xr:uid="{00000000-0005-0000-0000-0000AB150000}"/>
    <cellStyle name="Input 2 14 2 3 2 2" xfId="10173" xr:uid="{00000000-0005-0000-0000-0000AC150000}"/>
    <cellStyle name="Input 2 14 2 3 2 3" xfId="16792" xr:uid="{00000000-0005-0000-0000-0000AD150000}"/>
    <cellStyle name="Input 2 14 2 3 2_Summary" xfId="20532" xr:uid="{00000000-0005-0000-0000-0000AE150000}"/>
    <cellStyle name="Input 2 14 2 3 3" xfId="5612" xr:uid="{00000000-0005-0000-0000-0000AF150000}"/>
    <cellStyle name="Input 2 14 2 3 3 2" xfId="12208" xr:uid="{00000000-0005-0000-0000-0000B0150000}"/>
    <cellStyle name="Input 2 14 2 3 3 3" xfId="18827" xr:uid="{00000000-0005-0000-0000-0000B1150000}"/>
    <cellStyle name="Input 2 14 2 3 3_Summary" xfId="20533" xr:uid="{00000000-0005-0000-0000-0000B2150000}"/>
    <cellStyle name="Input 2 14 2 3 4" xfId="8037" xr:uid="{00000000-0005-0000-0000-0000B3150000}"/>
    <cellStyle name="Input 2 14 2 3 5" xfId="14656" xr:uid="{00000000-0005-0000-0000-0000B4150000}"/>
    <cellStyle name="Input 2 14 2 3_Summary" xfId="20531" xr:uid="{00000000-0005-0000-0000-0000B5150000}"/>
    <cellStyle name="Input 2 14 2 4" xfId="1722" xr:uid="{00000000-0005-0000-0000-0000B6150000}"/>
    <cellStyle name="Input 2 14 2 4 2" xfId="3858" xr:uid="{00000000-0005-0000-0000-0000B7150000}"/>
    <cellStyle name="Input 2 14 2 4 2 2" xfId="10454" xr:uid="{00000000-0005-0000-0000-0000B8150000}"/>
    <cellStyle name="Input 2 14 2 4 2 3" xfId="17073" xr:uid="{00000000-0005-0000-0000-0000B9150000}"/>
    <cellStyle name="Input 2 14 2 4 2_Summary" xfId="20535" xr:uid="{00000000-0005-0000-0000-0000BA150000}"/>
    <cellStyle name="Input 2 14 2 4 3" xfId="5893" xr:uid="{00000000-0005-0000-0000-0000BB150000}"/>
    <cellStyle name="Input 2 14 2 4 3 2" xfId="12489" xr:uid="{00000000-0005-0000-0000-0000BC150000}"/>
    <cellStyle name="Input 2 14 2 4 3 3" xfId="19108" xr:uid="{00000000-0005-0000-0000-0000BD150000}"/>
    <cellStyle name="Input 2 14 2 4 3_Summary" xfId="20536" xr:uid="{00000000-0005-0000-0000-0000BE150000}"/>
    <cellStyle name="Input 2 14 2 4 4" xfId="8318" xr:uid="{00000000-0005-0000-0000-0000BF150000}"/>
    <cellStyle name="Input 2 14 2 4 5" xfId="14937" xr:uid="{00000000-0005-0000-0000-0000C0150000}"/>
    <cellStyle name="Input 2 14 2 4_Summary" xfId="20534" xr:uid="{00000000-0005-0000-0000-0000C1150000}"/>
    <cellStyle name="Input 2 14 2 5" xfId="2001" xr:uid="{00000000-0005-0000-0000-0000C2150000}"/>
    <cellStyle name="Input 2 14 2 5 2" xfId="4137" xr:uid="{00000000-0005-0000-0000-0000C3150000}"/>
    <cellStyle name="Input 2 14 2 5 2 2" xfId="10733" xr:uid="{00000000-0005-0000-0000-0000C4150000}"/>
    <cellStyle name="Input 2 14 2 5 2 3" xfId="17352" xr:uid="{00000000-0005-0000-0000-0000C5150000}"/>
    <cellStyle name="Input 2 14 2 5 2_Summary" xfId="20538" xr:uid="{00000000-0005-0000-0000-0000C6150000}"/>
    <cellStyle name="Input 2 14 2 5 3" xfId="6172" xr:uid="{00000000-0005-0000-0000-0000C7150000}"/>
    <cellStyle name="Input 2 14 2 5 3 2" xfId="12768" xr:uid="{00000000-0005-0000-0000-0000C8150000}"/>
    <cellStyle name="Input 2 14 2 5 3 3" xfId="19387" xr:uid="{00000000-0005-0000-0000-0000C9150000}"/>
    <cellStyle name="Input 2 14 2 5 3_Summary" xfId="20539" xr:uid="{00000000-0005-0000-0000-0000CA150000}"/>
    <cellStyle name="Input 2 14 2 5 4" xfId="8597" xr:uid="{00000000-0005-0000-0000-0000CB150000}"/>
    <cellStyle name="Input 2 14 2 5 5" xfId="15216" xr:uid="{00000000-0005-0000-0000-0000CC150000}"/>
    <cellStyle name="Input 2 14 2 5_Summary" xfId="20537" xr:uid="{00000000-0005-0000-0000-0000CD150000}"/>
    <cellStyle name="Input 2 14 2 6" xfId="2276" xr:uid="{00000000-0005-0000-0000-0000CE150000}"/>
    <cellStyle name="Input 2 14 2 6 2" xfId="4412" xr:uid="{00000000-0005-0000-0000-0000CF150000}"/>
    <cellStyle name="Input 2 14 2 6 2 2" xfId="11008" xr:uid="{00000000-0005-0000-0000-0000D0150000}"/>
    <cellStyle name="Input 2 14 2 6 2 3" xfId="17627" xr:uid="{00000000-0005-0000-0000-0000D1150000}"/>
    <cellStyle name="Input 2 14 2 6 2_Summary" xfId="20541" xr:uid="{00000000-0005-0000-0000-0000D2150000}"/>
    <cellStyle name="Input 2 14 2 6 3" xfId="6447" xr:uid="{00000000-0005-0000-0000-0000D3150000}"/>
    <cellStyle name="Input 2 14 2 6 3 2" xfId="13043" xr:uid="{00000000-0005-0000-0000-0000D4150000}"/>
    <cellStyle name="Input 2 14 2 6 3 3" xfId="19662" xr:uid="{00000000-0005-0000-0000-0000D5150000}"/>
    <cellStyle name="Input 2 14 2 6 3_Summary" xfId="20542" xr:uid="{00000000-0005-0000-0000-0000D6150000}"/>
    <cellStyle name="Input 2 14 2 6 4" xfId="8872" xr:uid="{00000000-0005-0000-0000-0000D7150000}"/>
    <cellStyle name="Input 2 14 2 6 5" xfId="15491" xr:uid="{00000000-0005-0000-0000-0000D8150000}"/>
    <cellStyle name="Input 2 14 2 6_Summary" xfId="20540" xr:uid="{00000000-0005-0000-0000-0000D9150000}"/>
    <cellStyle name="Input 2 14 2 7" xfId="2549" xr:uid="{00000000-0005-0000-0000-0000DA150000}"/>
    <cellStyle name="Input 2 14 2 7 2" xfId="4685" xr:uid="{00000000-0005-0000-0000-0000DB150000}"/>
    <cellStyle name="Input 2 14 2 7 2 2" xfId="11281" xr:uid="{00000000-0005-0000-0000-0000DC150000}"/>
    <cellStyle name="Input 2 14 2 7 2 3" xfId="17900" xr:uid="{00000000-0005-0000-0000-0000DD150000}"/>
    <cellStyle name="Input 2 14 2 7 2_Summary" xfId="20544" xr:uid="{00000000-0005-0000-0000-0000DE150000}"/>
    <cellStyle name="Input 2 14 2 7 3" xfId="6720" xr:uid="{00000000-0005-0000-0000-0000DF150000}"/>
    <cellStyle name="Input 2 14 2 7 3 2" xfId="13316" xr:uid="{00000000-0005-0000-0000-0000E0150000}"/>
    <cellStyle name="Input 2 14 2 7 3 3" xfId="19935" xr:uid="{00000000-0005-0000-0000-0000E1150000}"/>
    <cellStyle name="Input 2 14 2 7 3_Summary" xfId="20545" xr:uid="{00000000-0005-0000-0000-0000E2150000}"/>
    <cellStyle name="Input 2 14 2 7 4" xfId="9145" xr:uid="{00000000-0005-0000-0000-0000E3150000}"/>
    <cellStyle name="Input 2 14 2 7 5" xfId="15764" xr:uid="{00000000-0005-0000-0000-0000E4150000}"/>
    <cellStyle name="Input 2 14 2 7_Summary" xfId="20543" xr:uid="{00000000-0005-0000-0000-0000E5150000}"/>
    <cellStyle name="Input 2 14 2 8" xfId="2995" xr:uid="{00000000-0005-0000-0000-0000E6150000}"/>
    <cellStyle name="Input 2 14 2 8 2" xfId="9591" xr:uid="{00000000-0005-0000-0000-0000E7150000}"/>
    <cellStyle name="Input 2 14 2 8 3" xfId="16210" xr:uid="{00000000-0005-0000-0000-0000E8150000}"/>
    <cellStyle name="Input 2 14 2 8_Summary" xfId="20546" xr:uid="{00000000-0005-0000-0000-0000E9150000}"/>
    <cellStyle name="Input 2 14 2 9" xfId="5030" xr:uid="{00000000-0005-0000-0000-0000EA150000}"/>
    <cellStyle name="Input 2 14 2 9 2" xfId="11626" xr:uid="{00000000-0005-0000-0000-0000EB150000}"/>
    <cellStyle name="Input 2 14 2 9 3" xfId="18245" xr:uid="{00000000-0005-0000-0000-0000EC150000}"/>
    <cellStyle name="Input 2 14 2 9_Summary" xfId="20547" xr:uid="{00000000-0005-0000-0000-0000ED150000}"/>
    <cellStyle name="Input 2 14 2_Summary" xfId="20526" xr:uid="{00000000-0005-0000-0000-0000EE150000}"/>
    <cellStyle name="Input 2 14 3" xfId="1031" xr:uid="{00000000-0005-0000-0000-0000EF150000}"/>
    <cellStyle name="Input 2 14 3 2" xfId="3167" xr:uid="{00000000-0005-0000-0000-0000F0150000}"/>
    <cellStyle name="Input 2 14 3 2 2" xfId="9763" xr:uid="{00000000-0005-0000-0000-0000F1150000}"/>
    <cellStyle name="Input 2 14 3 2 3" xfId="16382" xr:uid="{00000000-0005-0000-0000-0000F2150000}"/>
    <cellStyle name="Input 2 14 3 2_Summary" xfId="20549" xr:uid="{00000000-0005-0000-0000-0000F3150000}"/>
    <cellStyle name="Input 2 14 3 3" xfId="5202" xr:uid="{00000000-0005-0000-0000-0000F4150000}"/>
    <cellStyle name="Input 2 14 3 3 2" xfId="11798" xr:uid="{00000000-0005-0000-0000-0000F5150000}"/>
    <cellStyle name="Input 2 14 3 3 3" xfId="18417" xr:uid="{00000000-0005-0000-0000-0000F6150000}"/>
    <cellStyle name="Input 2 14 3 3_Summary" xfId="20550" xr:uid="{00000000-0005-0000-0000-0000F7150000}"/>
    <cellStyle name="Input 2 14 3 4" xfId="7628" xr:uid="{00000000-0005-0000-0000-0000F8150000}"/>
    <cellStyle name="Input 2 14 3 5" xfId="14246" xr:uid="{00000000-0005-0000-0000-0000F9150000}"/>
    <cellStyle name="Input 2 14 3_Summary" xfId="20548" xr:uid="{00000000-0005-0000-0000-0000FA150000}"/>
    <cellStyle name="Input 2 14 4" xfId="1313" xr:uid="{00000000-0005-0000-0000-0000FB150000}"/>
    <cellStyle name="Input 2 14 4 2" xfId="3449" xr:uid="{00000000-0005-0000-0000-0000FC150000}"/>
    <cellStyle name="Input 2 14 4 2 2" xfId="10045" xr:uid="{00000000-0005-0000-0000-0000FD150000}"/>
    <cellStyle name="Input 2 14 4 2 3" xfId="16664" xr:uid="{00000000-0005-0000-0000-0000FE150000}"/>
    <cellStyle name="Input 2 14 4 2_Summary" xfId="20552" xr:uid="{00000000-0005-0000-0000-0000FF150000}"/>
    <cellStyle name="Input 2 14 4 3" xfId="5484" xr:uid="{00000000-0005-0000-0000-000000160000}"/>
    <cellStyle name="Input 2 14 4 3 2" xfId="12080" xr:uid="{00000000-0005-0000-0000-000001160000}"/>
    <cellStyle name="Input 2 14 4 3 3" xfId="18699" xr:uid="{00000000-0005-0000-0000-000002160000}"/>
    <cellStyle name="Input 2 14 4 3_Summary" xfId="20553" xr:uid="{00000000-0005-0000-0000-000003160000}"/>
    <cellStyle name="Input 2 14 4 4" xfId="7909" xr:uid="{00000000-0005-0000-0000-000004160000}"/>
    <cellStyle name="Input 2 14 4 5" xfId="14528" xr:uid="{00000000-0005-0000-0000-000005160000}"/>
    <cellStyle name="Input 2 14 4_Summary" xfId="20551" xr:uid="{00000000-0005-0000-0000-000006160000}"/>
    <cellStyle name="Input 2 14 5" xfId="1594" xr:uid="{00000000-0005-0000-0000-000007160000}"/>
    <cellStyle name="Input 2 14 5 2" xfId="3730" xr:uid="{00000000-0005-0000-0000-000008160000}"/>
    <cellStyle name="Input 2 14 5 2 2" xfId="10326" xr:uid="{00000000-0005-0000-0000-000009160000}"/>
    <cellStyle name="Input 2 14 5 2 3" xfId="16945" xr:uid="{00000000-0005-0000-0000-00000A160000}"/>
    <cellStyle name="Input 2 14 5 2_Summary" xfId="20555" xr:uid="{00000000-0005-0000-0000-00000B160000}"/>
    <cellStyle name="Input 2 14 5 3" xfId="5765" xr:uid="{00000000-0005-0000-0000-00000C160000}"/>
    <cellStyle name="Input 2 14 5 3 2" xfId="12361" xr:uid="{00000000-0005-0000-0000-00000D160000}"/>
    <cellStyle name="Input 2 14 5 3 3" xfId="18980" xr:uid="{00000000-0005-0000-0000-00000E160000}"/>
    <cellStyle name="Input 2 14 5 3_Summary" xfId="20556" xr:uid="{00000000-0005-0000-0000-00000F160000}"/>
    <cellStyle name="Input 2 14 5 4" xfId="8190" xr:uid="{00000000-0005-0000-0000-000010160000}"/>
    <cellStyle name="Input 2 14 5 5" xfId="14809" xr:uid="{00000000-0005-0000-0000-000011160000}"/>
    <cellStyle name="Input 2 14 5_Summary" xfId="20554" xr:uid="{00000000-0005-0000-0000-000012160000}"/>
    <cellStyle name="Input 2 14 6" xfId="1873" xr:uid="{00000000-0005-0000-0000-000013160000}"/>
    <cellStyle name="Input 2 14 6 2" xfId="4009" xr:uid="{00000000-0005-0000-0000-000014160000}"/>
    <cellStyle name="Input 2 14 6 2 2" xfId="10605" xr:uid="{00000000-0005-0000-0000-000015160000}"/>
    <cellStyle name="Input 2 14 6 2 3" xfId="17224" xr:uid="{00000000-0005-0000-0000-000016160000}"/>
    <cellStyle name="Input 2 14 6 2_Summary" xfId="20558" xr:uid="{00000000-0005-0000-0000-000017160000}"/>
    <cellStyle name="Input 2 14 6 3" xfId="6044" xr:uid="{00000000-0005-0000-0000-000018160000}"/>
    <cellStyle name="Input 2 14 6 3 2" xfId="12640" xr:uid="{00000000-0005-0000-0000-000019160000}"/>
    <cellStyle name="Input 2 14 6 3 3" xfId="19259" xr:uid="{00000000-0005-0000-0000-00001A160000}"/>
    <cellStyle name="Input 2 14 6 3_Summary" xfId="20559" xr:uid="{00000000-0005-0000-0000-00001B160000}"/>
    <cellStyle name="Input 2 14 6 4" xfId="8469" xr:uid="{00000000-0005-0000-0000-00001C160000}"/>
    <cellStyle name="Input 2 14 6 5" xfId="15088" xr:uid="{00000000-0005-0000-0000-00001D160000}"/>
    <cellStyle name="Input 2 14 6_Summary" xfId="20557" xr:uid="{00000000-0005-0000-0000-00001E160000}"/>
    <cellStyle name="Input 2 14 7" xfId="2148" xr:uid="{00000000-0005-0000-0000-00001F160000}"/>
    <cellStyle name="Input 2 14 7 2" xfId="4284" xr:uid="{00000000-0005-0000-0000-000020160000}"/>
    <cellStyle name="Input 2 14 7 2 2" xfId="10880" xr:uid="{00000000-0005-0000-0000-000021160000}"/>
    <cellStyle name="Input 2 14 7 2 3" xfId="17499" xr:uid="{00000000-0005-0000-0000-000022160000}"/>
    <cellStyle name="Input 2 14 7 2_Summary" xfId="20561" xr:uid="{00000000-0005-0000-0000-000023160000}"/>
    <cellStyle name="Input 2 14 7 3" xfId="6319" xr:uid="{00000000-0005-0000-0000-000024160000}"/>
    <cellStyle name="Input 2 14 7 3 2" xfId="12915" xr:uid="{00000000-0005-0000-0000-000025160000}"/>
    <cellStyle name="Input 2 14 7 3 3" xfId="19534" xr:uid="{00000000-0005-0000-0000-000026160000}"/>
    <cellStyle name="Input 2 14 7 3_Summary" xfId="20562" xr:uid="{00000000-0005-0000-0000-000027160000}"/>
    <cellStyle name="Input 2 14 7 4" xfId="8744" xr:uid="{00000000-0005-0000-0000-000028160000}"/>
    <cellStyle name="Input 2 14 7 5" xfId="15363" xr:uid="{00000000-0005-0000-0000-000029160000}"/>
    <cellStyle name="Input 2 14 7_Summary" xfId="20560" xr:uid="{00000000-0005-0000-0000-00002A160000}"/>
    <cellStyle name="Input 2 14 8" xfId="2421" xr:uid="{00000000-0005-0000-0000-00002B160000}"/>
    <cellStyle name="Input 2 14 8 2" xfId="4557" xr:uid="{00000000-0005-0000-0000-00002C160000}"/>
    <cellStyle name="Input 2 14 8 2 2" xfId="11153" xr:uid="{00000000-0005-0000-0000-00002D160000}"/>
    <cellStyle name="Input 2 14 8 2 3" xfId="17772" xr:uid="{00000000-0005-0000-0000-00002E160000}"/>
    <cellStyle name="Input 2 14 8 2_Summary" xfId="20564" xr:uid="{00000000-0005-0000-0000-00002F160000}"/>
    <cellStyle name="Input 2 14 8 3" xfId="6592" xr:uid="{00000000-0005-0000-0000-000030160000}"/>
    <cellStyle name="Input 2 14 8 3 2" xfId="13188" xr:uid="{00000000-0005-0000-0000-000031160000}"/>
    <cellStyle name="Input 2 14 8 3 3" xfId="19807" xr:uid="{00000000-0005-0000-0000-000032160000}"/>
    <cellStyle name="Input 2 14 8 3_Summary" xfId="20565" xr:uid="{00000000-0005-0000-0000-000033160000}"/>
    <cellStyle name="Input 2 14 8 4" xfId="9017" xr:uid="{00000000-0005-0000-0000-000034160000}"/>
    <cellStyle name="Input 2 14 8 5" xfId="15636" xr:uid="{00000000-0005-0000-0000-000035160000}"/>
    <cellStyle name="Input 2 14 8_Summary" xfId="20563" xr:uid="{00000000-0005-0000-0000-000036160000}"/>
    <cellStyle name="Input 2 14 9" xfId="2722" xr:uid="{00000000-0005-0000-0000-000037160000}"/>
    <cellStyle name="Input 2 14 9 2" xfId="9318" xr:uid="{00000000-0005-0000-0000-000038160000}"/>
    <cellStyle name="Input 2 14 9 3" xfId="15937" xr:uid="{00000000-0005-0000-0000-000039160000}"/>
    <cellStyle name="Input 2 14 9_Summary" xfId="20566" xr:uid="{00000000-0005-0000-0000-00003A160000}"/>
    <cellStyle name="Input 2 14_Summary" xfId="20523" xr:uid="{00000000-0005-0000-0000-00003B160000}"/>
    <cellStyle name="Input 2 15" xfId="273" xr:uid="{00000000-0005-0000-0000-00003C160000}"/>
    <cellStyle name="Input 2 15 10" xfId="4693" xr:uid="{00000000-0005-0000-0000-00003D160000}"/>
    <cellStyle name="Input 2 15 10 2" xfId="11289" xr:uid="{00000000-0005-0000-0000-00003E160000}"/>
    <cellStyle name="Input 2 15 10 3" xfId="17908" xr:uid="{00000000-0005-0000-0000-00003F160000}"/>
    <cellStyle name="Input 2 15 10_Summary" xfId="20568" xr:uid="{00000000-0005-0000-0000-000040160000}"/>
    <cellStyle name="Input 2 15 11" xfId="523" xr:uid="{00000000-0005-0000-0000-000041160000}"/>
    <cellStyle name="Input 2 15 11 2" xfId="13738" xr:uid="{00000000-0005-0000-0000-000042160000}"/>
    <cellStyle name="Input 2 15 11_Summary" xfId="20569" xr:uid="{00000000-0005-0000-0000-000043160000}"/>
    <cellStyle name="Input 2 15 12" xfId="7167" xr:uid="{00000000-0005-0000-0000-000044160000}"/>
    <cellStyle name="Input 2 15 13" xfId="13490" xr:uid="{00000000-0005-0000-0000-000045160000}"/>
    <cellStyle name="Input 2 15 2" xfId="407" xr:uid="{00000000-0005-0000-0000-000046160000}"/>
    <cellStyle name="Input 2 15 2 10" xfId="797" xr:uid="{00000000-0005-0000-0000-000047160000}"/>
    <cellStyle name="Input 2 15 2 10 2" xfId="14012" xr:uid="{00000000-0005-0000-0000-000048160000}"/>
    <cellStyle name="Input 2 15 2 10_Summary" xfId="20571" xr:uid="{00000000-0005-0000-0000-000049160000}"/>
    <cellStyle name="Input 2 15 2 11" xfId="7300" xr:uid="{00000000-0005-0000-0000-00004A160000}"/>
    <cellStyle name="Input 2 15 2 12" xfId="13622" xr:uid="{00000000-0005-0000-0000-00004B160000}"/>
    <cellStyle name="Input 2 15 2 2" xfId="1101" xr:uid="{00000000-0005-0000-0000-00004C160000}"/>
    <cellStyle name="Input 2 15 2 2 2" xfId="3237" xr:uid="{00000000-0005-0000-0000-00004D160000}"/>
    <cellStyle name="Input 2 15 2 2 2 2" xfId="9833" xr:uid="{00000000-0005-0000-0000-00004E160000}"/>
    <cellStyle name="Input 2 15 2 2 2 3" xfId="16452" xr:uid="{00000000-0005-0000-0000-00004F160000}"/>
    <cellStyle name="Input 2 15 2 2 2_Summary" xfId="20573" xr:uid="{00000000-0005-0000-0000-000050160000}"/>
    <cellStyle name="Input 2 15 2 2 3" xfId="5272" xr:uid="{00000000-0005-0000-0000-000051160000}"/>
    <cellStyle name="Input 2 15 2 2 3 2" xfId="11868" xr:uid="{00000000-0005-0000-0000-000052160000}"/>
    <cellStyle name="Input 2 15 2 2 3 3" xfId="18487" xr:uid="{00000000-0005-0000-0000-000053160000}"/>
    <cellStyle name="Input 2 15 2 2 3_Summary" xfId="20574" xr:uid="{00000000-0005-0000-0000-000054160000}"/>
    <cellStyle name="Input 2 15 2 2 4" xfId="7697" xr:uid="{00000000-0005-0000-0000-000055160000}"/>
    <cellStyle name="Input 2 15 2 2 5" xfId="14316" xr:uid="{00000000-0005-0000-0000-000056160000}"/>
    <cellStyle name="Input 2 15 2 2_Summary" xfId="20572" xr:uid="{00000000-0005-0000-0000-000057160000}"/>
    <cellStyle name="Input 2 15 2 3" xfId="1383" xr:uid="{00000000-0005-0000-0000-000058160000}"/>
    <cellStyle name="Input 2 15 2 3 2" xfId="3519" xr:uid="{00000000-0005-0000-0000-000059160000}"/>
    <cellStyle name="Input 2 15 2 3 2 2" xfId="10115" xr:uid="{00000000-0005-0000-0000-00005A160000}"/>
    <cellStyle name="Input 2 15 2 3 2 3" xfId="16734" xr:uid="{00000000-0005-0000-0000-00005B160000}"/>
    <cellStyle name="Input 2 15 2 3 2_Summary" xfId="20576" xr:uid="{00000000-0005-0000-0000-00005C160000}"/>
    <cellStyle name="Input 2 15 2 3 3" xfId="5554" xr:uid="{00000000-0005-0000-0000-00005D160000}"/>
    <cellStyle name="Input 2 15 2 3 3 2" xfId="12150" xr:uid="{00000000-0005-0000-0000-00005E160000}"/>
    <cellStyle name="Input 2 15 2 3 3 3" xfId="18769" xr:uid="{00000000-0005-0000-0000-00005F160000}"/>
    <cellStyle name="Input 2 15 2 3 3_Summary" xfId="20577" xr:uid="{00000000-0005-0000-0000-000060160000}"/>
    <cellStyle name="Input 2 15 2 3 4" xfId="7979" xr:uid="{00000000-0005-0000-0000-000061160000}"/>
    <cellStyle name="Input 2 15 2 3 5" xfId="14598" xr:uid="{00000000-0005-0000-0000-000062160000}"/>
    <cellStyle name="Input 2 15 2 3_Summary" xfId="20575" xr:uid="{00000000-0005-0000-0000-000063160000}"/>
    <cellStyle name="Input 2 15 2 4" xfId="1664" xr:uid="{00000000-0005-0000-0000-000064160000}"/>
    <cellStyle name="Input 2 15 2 4 2" xfId="3800" xr:uid="{00000000-0005-0000-0000-000065160000}"/>
    <cellStyle name="Input 2 15 2 4 2 2" xfId="10396" xr:uid="{00000000-0005-0000-0000-000066160000}"/>
    <cellStyle name="Input 2 15 2 4 2 3" xfId="17015" xr:uid="{00000000-0005-0000-0000-000067160000}"/>
    <cellStyle name="Input 2 15 2 4 2_Summary" xfId="20579" xr:uid="{00000000-0005-0000-0000-000068160000}"/>
    <cellStyle name="Input 2 15 2 4 3" xfId="5835" xr:uid="{00000000-0005-0000-0000-000069160000}"/>
    <cellStyle name="Input 2 15 2 4 3 2" xfId="12431" xr:uid="{00000000-0005-0000-0000-00006A160000}"/>
    <cellStyle name="Input 2 15 2 4 3 3" xfId="19050" xr:uid="{00000000-0005-0000-0000-00006B160000}"/>
    <cellStyle name="Input 2 15 2 4 3_Summary" xfId="20580" xr:uid="{00000000-0005-0000-0000-00006C160000}"/>
    <cellStyle name="Input 2 15 2 4 4" xfId="8260" xr:uid="{00000000-0005-0000-0000-00006D160000}"/>
    <cellStyle name="Input 2 15 2 4 5" xfId="14879" xr:uid="{00000000-0005-0000-0000-00006E160000}"/>
    <cellStyle name="Input 2 15 2 4_Summary" xfId="20578" xr:uid="{00000000-0005-0000-0000-00006F160000}"/>
    <cellStyle name="Input 2 15 2 5" xfId="1943" xr:uid="{00000000-0005-0000-0000-000070160000}"/>
    <cellStyle name="Input 2 15 2 5 2" xfId="4079" xr:uid="{00000000-0005-0000-0000-000071160000}"/>
    <cellStyle name="Input 2 15 2 5 2 2" xfId="10675" xr:uid="{00000000-0005-0000-0000-000072160000}"/>
    <cellStyle name="Input 2 15 2 5 2 3" xfId="17294" xr:uid="{00000000-0005-0000-0000-000073160000}"/>
    <cellStyle name="Input 2 15 2 5 2_Summary" xfId="20582" xr:uid="{00000000-0005-0000-0000-000074160000}"/>
    <cellStyle name="Input 2 15 2 5 3" xfId="6114" xr:uid="{00000000-0005-0000-0000-000075160000}"/>
    <cellStyle name="Input 2 15 2 5 3 2" xfId="12710" xr:uid="{00000000-0005-0000-0000-000076160000}"/>
    <cellStyle name="Input 2 15 2 5 3 3" xfId="19329" xr:uid="{00000000-0005-0000-0000-000077160000}"/>
    <cellStyle name="Input 2 15 2 5 3_Summary" xfId="20583" xr:uid="{00000000-0005-0000-0000-000078160000}"/>
    <cellStyle name="Input 2 15 2 5 4" xfId="8539" xr:uid="{00000000-0005-0000-0000-000079160000}"/>
    <cellStyle name="Input 2 15 2 5 5" xfId="15158" xr:uid="{00000000-0005-0000-0000-00007A160000}"/>
    <cellStyle name="Input 2 15 2 5_Summary" xfId="20581" xr:uid="{00000000-0005-0000-0000-00007B160000}"/>
    <cellStyle name="Input 2 15 2 6" xfId="2218" xr:uid="{00000000-0005-0000-0000-00007C160000}"/>
    <cellStyle name="Input 2 15 2 6 2" xfId="4354" xr:uid="{00000000-0005-0000-0000-00007D160000}"/>
    <cellStyle name="Input 2 15 2 6 2 2" xfId="10950" xr:uid="{00000000-0005-0000-0000-00007E160000}"/>
    <cellStyle name="Input 2 15 2 6 2 3" xfId="17569" xr:uid="{00000000-0005-0000-0000-00007F160000}"/>
    <cellStyle name="Input 2 15 2 6 2_Summary" xfId="20585" xr:uid="{00000000-0005-0000-0000-000080160000}"/>
    <cellStyle name="Input 2 15 2 6 3" xfId="6389" xr:uid="{00000000-0005-0000-0000-000081160000}"/>
    <cellStyle name="Input 2 15 2 6 3 2" xfId="12985" xr:uid="{00000000-0005-0000-0000-000082160000}"/>
    <cellStyle name="Input 2 15 2 6 3 3" xfId="19604" xr:uid="{00000000-0005-0000-0000-000083160000}"/>
    <cellStyle name="Input 2 15 2 6 3_Summary" xfId="20586" xr:uid="{00000000-0005-0000-0000-000084160000}"/>
    <cellStyle name="Input 2 15 2 6 4" xfId="8814" xr:uid="{00000000-0005-0000-0000-000085160000}"/>
    <cellStyle name="Input 2 15 2 6 5" xfId="15433" xr:uid="{00000000-0005-0000-0000-000086160000}"/>
    <cellStyle name="Input 2 15 2 6_Summary" xfId="20584" xr:uid="{00000000-0005-0000-0000-000087160000}"/>
    <cellStyle name="Input 2 15 2 7" xfId="2491" xr:uid="{00000000-0005-0000-0000-000088160000}"/>
    <cellStyle name="Input 2 15 2 7 2" xfId="4627" xr:uid="{00000000-0005-0000-0000-000089160000}"/>
    <cellStyle name="Input 2 15 2 7 2 2" xfId="11223" xr:uid="{00000000-0005-0000-0000-00008A160000}"/>
    <cellStyle name="Input 2 15 2 7 2 3" xfId="17842" xr:uid="{00000000-0005-0000-0000-00008B160000}"/>
    <cellStyle name="Input 2 15 2 7 2_Summary" xfId="20588" xr:uid="{00000000-0005-0000-0000-00008C160000}"/>
    <cellStyle name="Input 2 15 2 7 3" xfId="6662" xr:uid="{00000000-0005-0000-0000-00008D160000}"/>
    <cellStyle name="Input 2 15 2 7 3 2" xfId="13258" xr:uid="{00000000-0005-0000-0000-00008E160000}"/>
    <cellStyle name="Input 2 15 2 7 3 3" xfId="19877" xr:uid="{00000000-0005-0000-0000-00008F160000}"/>
    <cellStyle name="Input 2 15 2 7 3_Summary" xfId="20589" xr:uid="{00000000-0005-0000-0000-000090160000}"/>
    <cellStyle name="Input 2 15 2 7 4" xfId="9087" xr:uid="{00000000-0005-0000-0000-000091160000}"/>
    <cellStyle name="Input 2 15 2 7 5" xfId="15706" xr:uid="{00000000-0005-0000-0000-000092160000}"/>
    <cellStyle name="Input 2 15 2 7_Summary" xfId="20587" xr:uid="{00000000-0005-0000-0000-000093160000}"/>
    <cellStyle name="Input 2 15 2 8" xfId="2933" xr:uid="{00000000-0005-0000-0000-000094160000}"/>
    <cellStyle name="Input 2 15 2 8 2" xfId="9529" xr:uid="{00000000-0005-0000-0000-000095160000}"/>
    <cellStyle name="Input 2 15 2 8 3" xfId="16148" xr:uid="{00000000-0005-0000-0000-000096160000}"/>
    <cellStyle name="Input 2 15 2 8_Summary" xfId="20590" xr:uid="{00000000-0005-0000-0000-000097160000}"/>
    <cellStyle name="Input 2 15 2 9" xfId="4968" xr:uid="{00000000-0005-0000-0000-000098160000}"/>
    <cellStyle name="Input 2 15 2 9 2" xfId="11564" xr:uid="{00000000-0005-0000-0000-000099160000}"/>
    <cellStyle name="Input 2 15 2 9 3" xfId="18183" xr:uid="{00000000-0005-0000-0000-00009A160000}"/>
    <cellStyle name="Input 2 15 2 9_Summary" xfId="20591" xr:uid="{00000000-0005-0000-0000-00009B160000}"/>
    <cellStyle name="Input 2 15 2_Summary" xfId="20570" xr:uid="{00000000-0005-0000-0000-00009C160000}"/>
    <cellStyle name="Input 2 15 3" xfId="968" xr:uid="{00000000-0005-0000-0000-00009D160000}"/>
    <cellStyle name="Input 2 15 3 2" xfId="3104" xr:uid="{00000000-0005-0000-0000-00009E160000}"/>
    <cellStyle name="Input 2 15 3 2 2" xfId="9700" xr:uid="{00000000-0005-0000-0000-00009F160000}"/>
    <cellStyle name="Input 2 15 3 2 3" xfId="16319" xr:uid="{00000000-0005-0000-0000-0000A0160000}"/>
    <cellStyle name="Input 2 15 3 2_Summary" xfId="20593" xr:uid="{00000000-0005-0000-0000-0000A1160000}"/>
    <cellStyle name="Input 2 15 3 3" xfId="5139" xr:uid="{00000000-0005-0000-0000-0000A2160000}"/>
    <cellStyle name="Input 2 15 3 3 2" xfId="11735" xr:uid="{00000000-0005-0000-0000-0000A3160000}"/>
    <cellStyle name="Input 2 15 3 3 3" xfId="18354" xr:uid="{00000000-0005-0000-0000-0000A4160000}"/>
    <cellStyle name="Input 2 15 3 3_Summary" xfId="20594" xr:uid="{00000000-0005-0000-0000-0000A5160000}"/>
    <cellStyle name="Input 2 15 3 4" xfId="7565" xr:uid="{00000000-0005-0000-0000-0000A6160000}"/>
    <cellStyle name="Input 2 15 3 5" xfId="14183" xr:uid="{00000000-0005-0000-0000-0000A7160000}"/>
    <cellStyle name="Input 2 15 3_Summary" xfId="20592" xr:uid="{00000000-0005-0000-0000-0000A8160000}"/>
    <cellStyle name="Input 2 15 4" xfId="1250" xr:uid="{00000000-0005-0000-0000-0000A9160000}"/>
    <cellStyle name="Input 2 15 4 2" xfId="3386" xr:uid="{00000000-0005-0000-0000-0000AA160000}"/>
    <cellStyle name="Input 2 15 4 2 2" xfId="9982" xr:uid="{00000000-0005-0000-0000-0000AB160000}"/>
    <cellStyle name="Input 2 15 4 2 3" xfId="16601" xr:uid="{00000000-0005-0000-0000-0000AC160000}"/>
    <cellStyle name="Input 2 15 4 2_Summary" xfId="20596" xr:uid="{00000000-0005-0000-0000-0000AD160000}"/>
    <cellStyle name="Input 2 15 4 3" xfId="5421" xr:uid="{00000000-0005-0000-0000-0000AE160000}"/>
    <cellStyle name="Input 2 15 4 3 2" xfId="12017" xr:uid="{00000000-0005-0000-0000-0000AF160000}"/>
    <cellStyle name="Input 2 15 4 3 3" xfId="18636" xr:uid="{00000000-0005-0000-0000-0000B0160000}"/>
    <cellStyle name="Input 2 15 4 3_Summary" xfId="20597" xr:uid="{00000000-0005-0000-0000-0000B1160000}"/>
    <cellStyle name="Input 2 15 4 4" xfId="7846" xr:uid="{00000000-0005-0000-0000-0000B2160000}"/>
    <cellStyle name="Input 2 15 4 5" xfId="14465" xr:uid="{00000000-0005-0000-0000-0000B3160000}"/>
    <cellStyle name="Input 2 15 4_Summary" xfId="20595" xr:uid="{00000000-0005-0000-0000-0000B4160000}"/>
    <cellStyle name="Input 2 15 5" xfId="1531" xr:uid="{00000000-0005-0000-0000-0000B5160000}"/>
    <cellStyle name="Input 2 15 5 2" xfId="3667" xr:uid="{00000000-0005-0000-0000-0000B6160000}"/>
    <cellStyle name="Input 2 15 5 2 2" xfId="10263" xr:uid="{00000000-0005-0000-0000-0000B7160000}"/>
    <cellStyle name="Input 2 15 5 2 3" xfId="16882" xr:uid="{00000000-0005-0000-0000-0000B8160000}"/>
    <cellStyle name="Input 2 15 5 2_Summary" xfId="20599" xr:uid="{00000000-0005-0000-0000-0000B9160000}"/>
    <cellStyle name="Input 2 15 5 3" xfId="5702" xr:uid="{00000000-0005-0000-0000-0000BA160000}"/>
    <cellStyle name="Input 2 15 5 3 2" xfId="12298" xr:uid="{00000000-0005-0000-0000-0000BB160000}"/>
    <cellStyle name="Input 2 15 5 3 3" xfId="18917" xr:uid="{00000000-0005-0000-0000-0000BC160000}"/>
    <cellStyle name="Input 2 15 5 3_Summary" xfId="20600" xr:uid="{00000000-0005-0000-0000-0000BD160000}"/>
    <cellStyle name="Input 2 15 5 4" xfId="8127" xr:uid="{00000000-0005-0000-0000-0000BE160000}"/>
    <cellStyle name="Input 2 15 5 5" xfId="14746" xr:uid="{00000000-0005-0000-0000-0000BF160000}"/>
    <cellStyle name="Input 2 15 5_Summary" xfId="20598" xr:uid="{00000000-0005-0000-0000-0000C0160000}"/>
    <cellStyle name="Input 2 15 6" xfId="1810" xr:uid="{00000000-0005-0000-0000-0000C1160000}"/>
    <cellStyle name="Input 2 15 6 2" xfId="3946" xr:uid="{00000000-0005-0000-0000-0000C2160000}"/>
    <cellStyle name="Input 2 15 6 2 2" xfId="10542" xr:uid="{00000000-0005-0000-0000-0000C3160000}"/>
    <cellStyle name="Input 2 15 6 2 3" xfId="17161" xr:uid="{00000000-0005-0000-0000-0000C4160000}"/>
    <cellStyle name="Input 2 15 6 2_Summary" xfId="20602" xr:uid="{00000000-0005-0000-0000-0000C5160000}"/>
    <cellStyle name="Input 2 15 6 3" xfId="5981" xr:uid="{00000000-0005-0000-0000-0000C6160000}"/>
    <cellStyle name="Input 2 15 6 3 2" xfId="12577" xr:uid="{00000000-0005-0000-0000-0000C7160000}"/>
    <cellStyle name="Input 2 15 6 3 3" xfId="19196" xr:uid="{00000000-0005-0000-0000-0000C8160000}"/>
    <cellStyle name="Input 2 15 6 3_Summary" xfId="20603" xr:uid="{00000000-0005-0000-0000-0000C9160000}"/>
    <cellStyle name="Input 2 15 6 4" xfId="8406" xr:uid="{00000000-0005-0000-0000-0000CA160000}"/>
    <cellStyle name="Input 2 15 6 5" xfId="15025" xr:uid="{00000000-0005-0000-0000-0000CB160000}"/>
    <cellStyle name="Input 2 15 6_Summary" xfId="20601" xr:uid="{00000000-0005-0000-0000-0000CC160000}"/>
    <cellStyle name="Input 2 15 7" xfId="2086" xr:uid="{00000000-0005-0000-0000-0000CD160000}"/>
    <cellStyle name="Input 2 15 7 2" xfId="4222" xr:uid="{00000000-0005-0000-0000-0000CE160000}"/>
    <cellStyle name="Input 2 15 7 2 2" xfId="10818" xr:uid="{00000000-0005-0000-0000-0000CF160000}"/>
    <cellStyle name="Input 2 15 7 2 3" xfId="17437" xr:uid="{00000000-0005-0000-0000-0000D0160000}"/>
    <cellStyle name="Input 2 15 7 2_Summary" xfId="20605" xr:uid="{00000000-0005-0000-0000-0000D1160000}"/>
    <cellStyle name="Input 2 15 7 3" xfId="6257" xr:uid="{00000000-0005-0000-0000-0000D2160000}"/>
    <cellStyle name="Input 2 15 7 3 2" xfId="12853" xr:uid="{00000000-0005-0000-0000-0000D3160000}"/>
    <cellStyle name="Input 2 15 7 3 3" xfId="19472" xr:uid="{00000000-0005-0000-0000-0000D4160000}"/>
    <cellStyle name="Input 2 15 7 3_Summary" xfId="20606" xr:uid="{00000000-0005-0000-0000-0000D5160000}"/>
    <cellStyle name="Input 2 15 7 4" xfId="8682" xr:uid="{00000000-0005-0000-0000-0000D6160000}"/>
    <cellStyle name="Input 2 15 7 5" xfId="15301" xr:uid="{00000000-0005-0000-0000-0000D7160000}"/>
    <cellStyle name="Input 2 15 7_Summary" xfId="20604" xr:uid="{00000000-0005-0000-0000-0000D8160000}"/>
    <cellStyle name="Input 2 15 8" xfId="2359" xr:uid="{00000000-0005-0000-0000-0000D9160000}"/>
    <cellStyle name="Input 2 15 8 2" xfId="4495" xr:uid="{00000000-0005-0000-0000-0000DA160000}"/>
    <cellStyle name="Input 2 15 8 2 2" xfId="11091" xr:uid="{00000000-0005-0000-0000-0000DB160000}"/>
    <cellStyle name="Input 2 15 8 2 3" xfId="17710" xr:uid="{00000000-0005-0000-0000-0000DC160000}"/>
    <cellStyle name="Input 2 15 8 2_Summary" xfId="20608" xr:uid="{00000000-0005-0000-0000-0000DD160000}"/>
    <cellStyle name="Input 2 15 8 3" xfId="6530" xr:uid="{00000000-0005-0000-0000-0000DE160000}"/>
    <cellStyle name="Input 2 15 8 3 2" xfId="13126" xr:uid="{00000000-0005-0000-0000-0000DF160000}"/>
    <cellStyle name="Input 2 15 8 3 3" xfId="19745" xr:uid="{00000000-0005-0000-0000-0000E0160000}"/>
    <cellStyle name="Input 2 15 8 3_Summary" xfId="20609" xr:uid="{00000000-0005-0000-0000-0000E1160000}"/>
    <cellStyle name="Input 2 15 8 4" xfId="8955" xr:uid="{00000000-0005-0000-0000-0000E2160000}"/>
    <cellStyle name="Input 2 15 8 5" xfId="15574" xr:uid="{00000000-0005-0000-0000-0000E3160000}"/>
    <cellStyle name="Input 2 15 8_Summary" xfId="20607" xr:uid="{00000000-0005-0000-0000-0000E4160000}"/>
    <cellStyle name="Input 2 15 9" xfId="2659" xr:uid="{00000000-0005-0000-0000-0000E5160000}"/>
    <cellStyle name="Input 2 15 9 2" xfId="9255" xr:uid="{00000000-0005-0000-0000-0000E6160000}"/>
    <cellStyle name="Input 2 15 9 3" xfId="15874" xr:uid="{00000000-0005-0000-0000-0000E7160000}"/>
    <cellStyle name="Input 2 15 9_Summary" xfId="20610" xr:uid="{00000000-0005-0000-0000-0000E8160000}"/>
    <cellStyle name="Input 2 15_Summary" xfId="20567" xr:uid="{00000000-0005-0000-0000-0000E9160000}"/>
    <cellStyle name="Input 2 16" xfId="343" xr:uid="{00000000-0005-0000-0000-0000EA160000}"/>
    <cellStyle name="Input 2 16 10" xfId="663" xr:uid="{00000000-0005-0000-0000-0000EB160000}"/>
    <cellStyle name="Input 2 16 10 2" xfId="13878" xr:uid="{00000000-0005-0000-0000-0000EC160000}"/>
    <cellStyle name="Input 2 16 10_Summary" xfId="20612" xr:uid="{00000000-0005-0000-0000-0000ED160000}"/>
    <cellStyle name="Input 2 16 11" xfId="7236" xr:uid="{00000000-0005-0000-0000-0000EE160000}"/>
    <cellStyle name="Input 2 16 12" xfId="13558" xr:uid="{00000000-0005-0000-0000-0000EF160000}"/>
    <cellStyle name="Input 2 16 2" xfId="1037" xr:uid="{00000000-0005-0000-0000-0000F0160000}"/>
    <cellStyle name="Input 2 16 2 2" xfId="3173" xr:uid="{00000000-0005-0000-0000-0000F1160000}"/>
    <cellStyle name="Input 2 16 2 2 2" xfId="9769" xr:uid="{00000000-0005-0000-0000-0000F2160000}"/>
    <cellStyle name="Input 2 16 2 2 3" xfId="16388" xr:uid="{00000000-0005-0000-0000-0000F3160000}"/>
    <cellStyle name="Input 2 16 2 2_Summary" xfId="20614" xr:uid="{00000000-0005-0000-0000-0000F4160000}"/>
    <cellStyle name="Input 2 16 2 3" xfId="5208" xr:uid="{00000000-0005-0000-0000-0000F5160000}"/>
    <cellStyle name="Input 2 16 2 3 2" xfId="11804" xr:uid="{00000000-0005-0000-0000-0000F6160000}"/>
    <cellStyle name="Input 2 16 2 3 3" xfId="18423" xr:uid="{00000000-0005-0000-0000-0000F7160000}"/>
    <cellStyle name="Input 2 16 2 3_Summary" xfId="20615" xr:uid="{00000000-0005-0000-0000-0000F8160000}"/>
    <cellStyle name="Input 2 16 2 4" xfId="7634" xr:uid="{00000000-0005-0000-0000-0000F9160000}"/>
    <cellStyle name="Input 2 16 2 5" xfId="14252" xr:uid="{00000000-0005-0000-0000-0000FA160000}"/>
    <cellStyle name="Input 2 16 2_Summary" xfId="20613" xr:uid="{00000000-0005-0000-0000-0000FB160000}"/>
    <cellStyle name="Input 2 16 3" xfId="1319" xr:uid="{00000000-0005-0000-0000-0000FC160000}"/>
    <cellStyle name="Input 2 16 3 2" xfId="3455" xr:uid="{00000000-0005-0000-0000-0000FD160000}"/>
    <cellStyle name="Input 2 16 3 2 2" xfId="10051" xr:uid="{00000000-0005-0000-0000-0000FE160000}"/>
    <cellStyle name="Input 2 16 3 2 3" xfId="16670" xr:uid="{00000000-0005-0000-0000-0000FF160000}"/>
    <cellStyle name="Input 2 16 3 2_Summary" xfId="20617" xr:uid="{00000000-0005-0000-0000-000000170000}"/>
    <cellStyle name="Input 2 16 3 3" xfId="5490" xr:uid="{00000000-0005-0000-0000-000001170000}"/>
    <cellStyle name="Input 2 16 3 3 2" xfId="12086" xr:uid="{00000000-0005-0000-0000-000002170000}"/>
    <cellStyle name="Input 2 16 3 3 3" xfId="18705" xr:uid="{00000000-0005-0000-0000-000003170000}"/>
    <cellStyle name="Input 2 16 3 3_Summary" xfId="20618" xr:uid="{00000000-0005-0000-0000-000004170000}"/>
    <cellStyle name="Input 2 16 3 4" xfId="7915" xr:uid="{00000000-0005-0000-0000-000005170000}"/>
    <cellStyle name="Input 2 16 3 5" xfId="14534" xr:uid="{00000000-0005-0000-0000-000006170000}"/>
    <cellStyle name="Input 2 16 3_Summary" xfId="20616" xr:uid="{00000000-0005-0000-0000-000007170000}"/>
    <cellStyle name="Input 2 16 4" xfId="1600" xr:uid="{00000000-0005-0000-0000-000008170000}"/>
    <cellStyle name="Input 2 16 4 2" xfId="3736" xr:uid="{00000000-0005-0000-0000-000009170000}"/>
    <cellStyle name="Input 2 16 4 2 2" xfId="10332" xr:uid="{00000000-0005-0000-0000-00000A170000}"/>
    <cellStyle name="Input 2 16 4 2 3" xfId="16951" xr:uid="{00000000-0005-0000-0000-00000B170000}"/>
    <cellStyle name="Input 2 16 4 2_Summary" xfId="20620" xr:uid="{00000000-0005-0000-0000-00000C170000}"/>
    <cellStyle name="Input 2 16 4 3" xfId="5771" xr:uid="{00000000-0005-0000-0000-00000D170000}"/>
    <cellStyle name="Input 2 16 4 3 2" xfId="12367" xr:uid="{00000000-0005-0000-0000-00000E170000}"/>
    <cellStyle name="Input 2 16 4 3 3" xfId="18986" xr:uid="{00000000-0005-0000-0000-00000F170000}"/>
    <cellStyle name="Input 2 16 4 3_Summary" xfId="20621" xr:uid="{00000000-0005-0000-0000-000010170000}"/>
    <cellStyle name="Input 2 16 4 4" xfId="8196" xr:uid="{00000000-0005-0000-0000-000011170000}"/>
    <cellStyle name="Input 2 16 4 5" xfId="14815" xr:uid="{00000000-0005-0000-0000-000012170000}"/>
    <cellStyle name="Input 2 16 4_Summary" xfId="20619" xr:uid="{00000000-0005-0000-0000-000013170000}"/>
    <cellStyle name="Input 2 16 5" xfId="1879" xr:uid="{00000000-0005-0000-0000-000014170000}"/>
    <cellStyle name="Input 2 16 5 2" xfId="4015" xr:uid="{00000000-0005-0000-0000-000015170000}"/>
    <cellStyle name="Input 2 16 5 2 2" xfId="10611" xr:uid="{00000000-0005-0000-0000-000016170000}"/>
    <cellStyle name="Input 2 16 5 2 3" xfId="17230" xr:uid="{00000000-0005-0000-0000-000017170000}"/>
    <cellStyle name="Input 2 16 5 2_Summary" xfId="20623" xr:uid="{00000000-0005-0000-0000-000018170000}"/>
    <cellStyle name="Input 2 16 5 3" xfId="6050" xr:uid="{00000000-0005-0000-0000-000019170000}"/>
    <cellStyle name="Input 2 16 5 3 2" xfId="12646" xr:uid="{00000000-0005-0000-0000-00001A170000}"/>
    <cellStyle name="Input 2 16 5 3 3" xfId="19265" xr:uid="{00000000-0005-0000-0000-00001B170000}"/>
    <cellStyle name="Input 2 16 5 3_Summary" xfId="20624" xr:uid="{00000000-0005-0000-0000-00001C170000}"/>
    <cellStyle name="Input 2 16 5 4" xfId="8475" xr:uid="{00000000-0005-0000-0000-00001D170000}"/>
    <cellStyle name="Input 2 16 5 5" xfId="15094" xr:uid="{00000000-0005-0000-0000-00001E170000}"/>
    <cellStyle name="Input 2 16 5_Summary" xfId="20622" xr:uid="{00000000-0005-0000-0000-00001F170000}"/>
    <cellStyle name="Input 2 16 6" xfId="2154" xr:uid="{00000000-0005-0000-0000-000020170000}"/>
    <cellStyle name="Input 2 16 6 2" xfId="4290" xr:uid="{00000000-0005-0000-0000-000021170000}"/>
    <cellStyle name="Input 2 16 6 2 2" xfId="10886" xr:uid="{00000000-0005-0000-0000-000022170000}"/>
    <cellStyle name="Input 2 16 6 2 3" xfId="17505" xr:uid="{00000000-0005-0000-0000-000023170000}"/>
    <cellStyle name="Input 2 16 6 2_Summary" xfId="20626" xr:uid="{00000000-0005-0000-0000-000024170000}"/>
    <cellStyle name="Input 2 16 6 3" xfId="6325" xr:uid="{00000000-0005-0000-0000-000025170000}"/>
    <cellStyle name="Input 2 16 6 3 2" xfId="12921" xr:uid="{00000000-0005-0000-0000-000026170000}"/>
    <cellStyle name="Input 2 16 6 3 3" xfId="19540" xr:uid="{00000000-0005-0000-0000-000027170000}"/>
    <cellStyle name="Input 2 16 6 3_Summary" xfId="20627" xr:uid="{00000000-0005-0000-0000-000028170000}"/>
    <cellStyle name="Input 2 16 6 4" xfId="8750" xr:uid="{00000000-0005-0000-0000-000029170000}"/>
    <cellStyle name="Input 2 16 6 5" xfId="15369" xr:uid="{00000000-0005-0000-0000-00002A170000}"/>
    <cellStyle name="Input 2 16 6_Summary" xfId="20625" xr:uid="{00000000-0005-0000-0000-00002B170000}"/>
    <cellStyle name="Input 2 16 7" xfId="2427" xr:uid="{00000000-0005-0000-0000-00002C170000}"/>
    <cellStyle name="Input 2 16 7 2" xfId="4563" xr:uid="{00000000-0005-0000-0000-00002D170000}"/>
    <cellStyle name="Input 2 16 7 2 2" xfId="11159" xr:uid="{00000000-0005-0000-0000-00002E170000}"/>
    <cellStyle name="Input 2 16 7 2 3" xfId="17778" xr:uid="{00000000-0005-0000-0000-00002F170000}"/>
    <cellStyle name="Input 2 16 7 2_Summary" xfId="20629" xr:uid="{00000000-0005-0000-0000-000030170000}"/>
    <cellStyle name="Input 2 16 7 3" xfId="6598" xr:uid="{00000000-0005-0000-0000-000031170000}"/>
    <cellStyle name="Input 2 16 7 3 2" xfId="13194" xr:uid="{00000000-0005-0000-0000-000032170000}"/>
    <cellStyle name="Input 2 16 7 3 3" xfId="19813" xr:uid="{00000000-0005-0000-0000-000033170000}"/>
    <cellStyle name="Input 2 16 7 3_Summary" xfId="20630" xr:uid="{00000000-0005-0000-0000-000034170000}"/>
    <cellStyle name="Input 2 16 7 4" xfId="9023" xr:uid="{00000000-0005-0000-0000-000035170000}"/>
    <cellStyle name="Input 2 16 7 5" xfId="15642" xr:uid="{00000000-0005-0000-0000-000036170000}"/>
    <cellStyle name="Input 2 16 7_Summary" xfId="20628" xr:uid="{00000000-0005-0000-0000-000037170000}"/>
    <cellStyle name="Input 2 16 8" xfId="2799" xr:uid="{00000000-0005-0000-0000-000038170000}"/>
    <cellStyle name="Input 2 16 8 2" xfId="9395" xr:uid="{00000000-0005-0000-0000-000039170000}"/>
    <cellStyle name="Input 2 16 8 3" xfId="16014" xr:uid="{00000000-0005-0000-0000-00003A170000}"/>
    <cellStyle name="Input 2 16 8_Summary" xfId="20631" xr:uid="{00000000-0005-0000-0000-00003B170000}"/>
    <cellStyle name="Input 2 16 9" xfId="4834" xr:uid="{00000000-0005-0000-0000-00003C170000}"/>
    <cellStyle name="Input 2 16 9 2" xfId="11430" xr:uid="{00000000-0005-0000-0000-00003D170000}"/>
    <cellStyle name="Input 2 16 9 3" xfId="18049" xr:uid="{00000000-0005-0000-0000-00003E170000}"/>
    <cellStyle name="Input 2 16 9_Summary" xfId="20632" xr:uid="{00000000-0005-0000-0000-00003F170000}"/>
    <cellStyle name="Input 2 16_Summary" xfId="20611" xr:uid="{00000000-0005-0000-0000-000040170000}"/>
    <cellStyle name="Input 2 17" xfId="6738" xr:uid="{00000000-0005-0000-0000-000041170000}"/>
    <cellStyle name="Input 2 17 2" xfId="13334" xr:uid="{00000000-0005-0000-0000-000042170000}"/>
    <cellStyle name="Input 2 17 3" xfId="19953" xr:uid="{00000000-0005-0000-0000-000043170000}"/>
    <cellStyle name="Input 2 17_Summary" xfId="20633" xr:uid="{00000000-0005-0000-0000-000044170000}"/>
    <cellStyle name="Input 2 18" xfId="6734" xr:uid="{00000000-0005-0000-0000-000045170000}"/>
    <cellStyle name="Input 2 18 2" xfId="13330" xr:uid="{00000000-0005-0000-0000-000046170000}"/>
    <cellStyle name="Input 2 18 3" xfId="19949" xr:uid="{00000000-0005-0000-0000-000047170000}"/>
    <cellStyle name="Input 2 18_Summary" xfId="20634" xr:uid="{00000000-0005-0000-0000-000048170000}"/>
    <cellStyle name="Input 2 19" xfId="6737" xr:uid="{00000000-0005-0000-0000-000049170000}"/>
    <cellStyle name="Input 2 19 2" xfId="13333" xr:uid="{00000000-0005-0000-0000-00004A170000}"/>
    <cellStyle name="Input 2 19 3" xfId="19952" xr:uid="{00000000-0005-0000-0000-00004B170000}"/>
    <cellStyle name="Input 2 19_Summary" xfId="20635" xr:uid="{00000000-0005-0000-0000-00004C170000}"/>
    <cellStyle name="Input 2 2" xfId="175" xr:uid="{00000000-0005-0000-0000-00004D170000}"/>
    <cellStyle name="Input 2 2 10" xfId="2284" xr:uid="{00000000-0005-0000-0000-00004E170000}"/>
    <cellStyle name="Input 2 2 10 2" xfId="4420" xr:uid="{00000000-0005-0000-0000-00004F170000}"/>
    <cellStyle name="Input 2 2 10 2 2" xfId="11016" xr:uid="{00000000-0005-0000-0000-000050170000}"/>
    <cellStyle name="Input 2 2 10 2 3" xfId="17635" xr:uid="{00000000-0005-0000-0000-000051170000}"/>
    <cellStyle name="Input 2 2 10 2_Summary" xfId="20638" xr:uid="{00000000-0005-0000-0000-000052170000}"/>
    <cellStyle name="Input 2 2 10 3" xfId="6455" xr:uid="{00000000-0005-0000-0000-000053170000}"/>
    <cellStyle name="Input 2 2 10 3 2" xfId="13051" xr:uid="{00000000-0005-0000-0000-000054170000}"/>
    <cellStyle name="Input 2 2 10 3 3" xfId="19670" xr:uid="{00000000-0005-0000-0000-000055170000}"/>
    <cellStyle name="Input 2 2 10 3_Summary" xfId="20639" xr:uid="{00000000-0005-0000-0000-000056170000}"/>
    <cellStyle name="Input 2 2 10 4" xfId="8880" xr:uid="{00000000-0005-0000-0000-000057170000}"/>
    <cellStyle name="Input 2 2 10 5" xfId="15499" xr:uid="{00000000-0005-0000-0000-000058170000}"/>
    <cellStyle name="Input 2 2 10_Summary" xfId="20637" xr:uid="{00000000-0005-0000-0000-000059170000}"/>
    <cellStyle name="Input 2 2 11" xfId="2603" xr:uid="{00000000-0005-0000-0000-00005A170000}"/>
    <cellStyle name="Input 2 2 11 2" xfId="9199" xr:uid="{00000000-0005-0000-0000-00005B170000}"/>
    <cellStyle name="Input 2 2 11 3" xfId="15818" xr:uid="{00000000-0005-0000-0000-00005C170000}"/>
    <cellStyle name="Input 2 2 11_Summary" xfId="20640" xr:uid="{00000000-0005-0000-0000-00005D170000}"/>
    <cellStyle name="Input 2 2 12" xfId="2567" xr:uid="{00000000-0005-0000-0000-00005E170000}"/>
    <cellStyle name="Input 2 2 12 2" xfId="9163" xr:uid="{00000000-0005-0000-0000-00005F170000}"/>
    <cellStyle name="Input 2 2 12 3" xfId="15782" xr:uid="{00000000-0005-0000-0000-000060170000}"/>
    <cellStyle name="Input 2 2 12_Summary" xfId="20641" xr:uid="{00000000-0005-0000-0000-000061170000}"/>
    <cellStyle name="Input 2 2 13" xfId="492" xr:uid="{00000000-0005-0000-0000-000062170000}"/>
    <cellStyle name="Input 2 2 13 2" xfId="13707" xr:uid="{00000000-0005-0000-0000-000063170000}"/>
    <cellStyle name="Input 2 2 13_Summary" xfId="20642" xr:uid="{00000000-0005-0000-0000-000064170000}"/>
    <cellStyle name="Input 2 2 14" xfId="7083" xr:uid="{00000000-0005-0000-0000-000065170000}"/>
    <cellStyle name="Input 2 2 15" xfId="6974" xr:uid="{00000000-0005-0000-0000-000066170000}"/>
    <cellStyle name="Input 2 2 16" xfId="25662" xr:uid="{00000000-0005-0000-0000-00003E030000}"/>
    <cellStyle name="Input 2 2 17" xfId="25687" xr:uid="{00000000-0005-0000-0000-00003E030000}"/>
    <cellStyle name="Input 2 2 18" xfId="25603" xr:uid="{00000000-0005-0000-0000-00003E030000}"/>
    <cellStyle name="Input 2 2 19" xfId="25700" xr:uid="{00000000-0005-0000-0000-00003E030000}"/>
    <cellStyle name="Input 2 2 2" xfId="307" xr:uid="{00000000-0005-0000-0000-000067170000}"/>
    <cellStyle name="Input 2 2 2 10" xfId="4728" xr:uid="{00000000-0005-0000-0000-000068170000}"/>
    <cellStyle name="Input 2 2 2 10 2" xfId="11324" xr:uid="{00000000-0005-0000-0000-000069170000}"/>
    <cellStyle name="Input 2 2 2 10 3" xfId="17943" xr:uid="{00000000-0005-0000-0000-00006A170000}"/>
    <cellStyle name="Input 2 2 2 10_Summary" xfId="20644" xr:uid="{00000000-0005-0000-0000-00006B170000}"/>
    <cellStyle name="Input 2 2 2 11" xfId="557" xr:uid="{00000000-0005-0000-0000-00006C170000}"/>
    <cellStyle name="Input 2 2 2 11 2" xfId="13772" xr:uid="{00000000-0005-0000-0000-00006D170000}"/>
    <cellStyle name="Input 2 2 2 11_Summary" xfId="20645" xr:uid="{00000000-0005-0000-0000-00006E170000}"/>
    <cellStyle name="Input 2 2 2 12" xfId="7201" xr:uid="{00000000-0005-0000-0000-00006F170000}"/>
    <cellStyle name="Input 2 2 2 13" xfId="13523" xr:uid="{00000000-0005-0000-0000-000070170000}"/>
    <cellStyle name="Input 2 2 2 14" xfId="26240" xr:uid="{97C13A93-8B42-4679-8F6E-B7FEA1AE750D}"/>
    <cellStyle name="Input 2 2 2 15" xfId="26678" xr:uid="{343CFCF7-27D3-43C3-ADCA-746F0F3CCABD}"/>
    <cellStyle name="Input 2 2 2 16" xfId="25861" xr:uid="{D55E4786-A6A8-47CB-9336-E47CEA762410}"/>
    <cellStyle name="Input 2 2 2 17" xfId="25811" xr:uid="{C0F12CDD-FD46-4E11-A6BF-77AA3A9B048F}"/>
    <cellStyle name="Input 2 2 2 18" xfId="26591" xr:uid="{F4825065-D0FA-4739-A447-B993BAD1924B}"/>
    <cellStyle name="Input 2 2 2 19" xfId="28675" xr:uid="{21DF0D03-8EE1-4F7F-80B1-CDD36296E5B3}"/>
    <cellStyle name="Input 2 2 2 2" xfId="436" xr:uid="{00000000-0005-0000-0000-000071170000}"/>
    <cellStyle name="Input 2 2 2 2 10" xfId="830" xr:uid="{00000000-0005-0000-0000-000072170000}"/>
    <cellStyle name="Input 2 2 2 2 10 2" xfId="14045" xr:uid="{00000000-0005-0000-0000-000073170000}"/>
    <cellStyle name="Input 2 2 2 2 10_Summary" xfId="20647" xr:uid="{00000000-0005-0000-0000-000074170000}"/>
    <cellStyle name="Input 2 2 2 2 11" xfId="7329" xr:uid="{00000000-0005-0000-0000-000075170000}"/>
    <cellStyle name="Input 2 2 2 2 12" xfId="13651" xr:uid="{00000000-0005-0000-0000-000076170000}"/>
    <cellStyle name="Input 2 2 2 2 13" xfId="30198" xr:uid="{DAC4638E-92DC-4828-8413-590C4108F689}"/>
    <cellStyle name="Input 2 2 2 2 14" xfId="31630" xr:uid="{FE7B8B36-0CAD-4793-90CD-3C585E1F717D}"/>
    <cellStyle name="Input 2 2 2 2 2" xfId="1130" xr:uid="{00000000-0005-0000-0000-000077170000}"/>
    <cellStyle name="Input 2 2 2 2 2 2" xfId="3266" xr:uid="{00000000-0005-0000-0000-000078170000}"/>
    <cellStyle name="Input 2 2 2 2 2 2 2" xfId="9862" xr:uid="{00000000-0005-0000-0000-000079170000}"/>
    <cellStyle name="Input 2 2 2 2 2 2 3" xfId="16481" xr:uid="{00000000-0005-0000-0000-00007A170000}"/>
    <cellStyle name="Input 2 2 2 2 2 2_Summary" xfId="20649" xr:uid="{00000000-0005-0000-0000-00007B170000}"/>
    <cellStyle name="Input 2 2 2 2 2 3" xfId="5301" xr:uid="{00000000-0005-0000-0000-00007C170000}"/>
    <cellStyle name="Input 2 2 2 2 2 3 2" xfId="11897" xr:uid="{00000000-0005-0000-0000-00007D170000}"/>
    <cellStyle name="Input 2 2 2 2 2 3 3" xfId="18516" xr:uid="{00000000-0005-0000-0000-00007E170000}"/>
    <cellStyle name="Input 2 2 2 2 2 3_Summary" xfId="20650" xr:uid="{00000000-0005-0000-0000-00007F170000}"/>
    <cellStyle name="Input 2 2 2 2 2 4" xfId="7726" xr:uid="{00000000-0005-0000-0000-000080170000}"/>
    <cellStyle name="Input 2 2 2 2 2 5" xfId="14345" xr:uid="{00000000-0005-0000-0000-000081170000}"/>
    <cellStyle name="Input 2 2 2 2 2_Summary" xfId="20648" xr:uid="{00000000-0005-0000-0000-000082170000}"/>
    <cellStyle name="Input 2 2 2 2 3" xfId="1412" xr:uid="{00000000-0005-0000-0000-000083170000}"/>
    <cellStyle name="Input 2 2 2 2 3 2" xfId="3548" xr:uid="{00000000-0005-0000-0000-000084170000}"/>
    <cellStyle name="Input 2 2 2 2 3 2 2" xfId="10144" xr:uid="{00000000-0005-0000-0000-000085170000}"/>
    <cellStyle name="Input 2 2 2 2 3 2 3" xfId="16763" xr:uid="{00000000-0005-0000-0000-000086170000}"/>
    <cellStyle name="Input 2 2 2 2 3 2_Summary" xfId="20652" xr:uid="{00000000-0005-0000-0000-000087170000}"/>
    <cellStyle name="Input 2 2 2 2 3 3" xfId="5583" xr:uid="{00000000-0005-0000-0000-000088170000}"/>
    <cellStyle name="Input 2 2 2 2 3 3 2" xfId="12179" xr:uid="{00000000-0005-0000-0000-000089170000}"/>
    <cellStyle name="Input 2 2 2 2 3 3 3" xfId="18798" xr:uid="{00000000-0005-0000-0000-00008A170000}"/>
    <cellStyle name="Input 2 2 2 2 3 3_Summary" xfId="20653" xr:uid="{00000000-0005-0000-0000-00008B170000}"/>
    <cellStyle name="Input 2 2 2 2 3 4" xfId="8008" xr:uid="{00000000-0005-0000-0000-00008C170000}"/>
    <cellStyle name="Input 2 2 2 2 3 5" xfId="14627" xr:uid="{00000000-0005-0000-0000-00008D170000}"/>
    <cellStyle name="Input 2 2 2 2 3_Summary" xfId="20651" xr:uid="{00000000-0005-0000-0000-00008E170000}"/>
    <cellStyle name="Input 2 2 2 2 4" xfId="1693" xr:uid="{00000000-0005-0000-0000-00008F170000}"/>
    <cellStyle name="Input 2 2 2 2 4 2" xfId="3829" xr:uid="{00000000-0005-0000-0000-000090170000}"/>
    <cellStyle name="Input 2 2 2 2 4 2 2" xfId="10425" xr:uid="{00000000-0005-0000-0000-000091170000}"/>
    <cellStyle name="Input 2 2 2 2 4 2 3" xfId="17044" xr:uid="{00000000-0005-0000-0000-000092170000}"/>
    <cellStyle name="Input 2 2 2 2 4 2_Summary" xfId="20655" xr:uid="{00000000-0005-0000-0000-000093170000}"/>
    <cellStyle name="Input 2 2 2 2 4 3" xfId="5864" xr:uid="{00000000-0005-0000-0000-000094170000}"/>
    <cellStyle name="Input 2 2 2 2 4 3 2" xfId="12460" xr:uid="{00000000-0005-0000-0000-000095170000}"/>
    <cellStyle name="Input 2 2 2 2 4 3 3" xfId="19079" xr:uid="{00000000-0005-0000-0000-000096170000}"/>
    <cellStyle name="Input 2 2 2 2 4 3_Summary" xfId="20656" xr:uid="{00000000-0005-0000-0000-000097170000}"/>
    <cellStyle name="Input 2 2 2 2 4 4" xfId="8289" xr:uid="{00000000-0005-0000-0000-000098170000}"/>
    <cellStyle name="Input 2 2 2 2 4 5" xfId="14908" xr:uid="{00000000-0005-0000-0000-000099170000}"/>
    <cellStyle name="Input 2 2 2 2 4_Summary" xfId="20654" xr:uid="{00000000-0005-0000-0000-00009A170000}"/>
    <cellStyle name="Input 2 2 2 2 5" xfId="1972" xr:uid="{00000000-0005-0000-0000-00009B170000}"/>
    <cellStyle name="Input 2 2 2 2 5 2" xfId="4108" xr:uid="{00000000-0005-0000-0000-00009C170000}"/>
    <cellStyle name="Input 2 2 2 2 5 2 2" xfId="10704" xr:uid="{00000000-0005-0000-0000-00009D170000}"/>
    <cellStyle name="Input 2 2 2 2 5 2 3" xfId="17323" xr:uid="{00000000-0005-0000-0000-00009E170000}"/>
    <cellStyle name="Input 2 2 2 2 5 2_Summary" xfId="20658" xr:uid="{00000000-0005-0000-0000-00009F170000}"/>
    <cellStyle name="Input 2 2 2 2 5 3" xfId="6143" xr:uid="{00000000-0005-0000-0000-0000A0170000}"/>
    <cellStyle name="Input 2 2 2 2 5 3 2" xfId="12739" xr:uid="{00000000-0005-0000-0000-0000A1170000}"/>
    <cellStyle name="Input 2 2 2 2 5 3 3" xfId="19358" xr:uid="{00000000-0005-0000-0000-0000A2170000}"/>
    <cellStyle name="Input 2 2 2 2 5 3_Summary" xfId="20659" xr:uid="{00000000-0005-0000-0000-0000A3170000}"/>
    <cellStyle name="Input 2 2 2 2 5 4" xfId="8568" xr:uid="{00000000-0005-0000-0000-0000A4170000}"/>
    <cellStyle name="Input 2 2 2 2 5 5" xfId="15187" xr:uid="{00000000-0005-0000-0000-0000A5170000}"/>
    <cellStyle name="Input 2 2 2 2 5_Summary" xfId="20657" xr:uid="{00000000-0005-0000-0000-0000A6170000}"/>
    <cellStyle name="Input 2 2 2 2 6" xfId="2247" xr:uid="{00000000-0005-0000-0000-0000A7170000}"/>
    <cellStyle name="Input 2 2 2 2 6 2" xfId="4383" xr:uid="{00000000-0005-0000-0000-0000A8170000}"/>
    <cellStyle name="Input 2 2 2 2 6 2 2" xfId="10979" xr:uid="{00000000-0005-0000-0000-0000A9170000}"/>
    <cellStyle name="Input 2 2 2 2 6 2 3" xfId="17598" xr:uid="{00000000-0005-0000-0000-0000AA170000}"/>
    <cellStyle name="Input 2 2 2 2 6 2_Summary" xfId="20661" xr:uid="{00000000-0005-0000-0000-0000AB170000}"/>
    <cellStyle name="Input 2 2 2 2 6 3" xfId="6418" xr:uid="{00000000-0005-0000-0000-0000AC170000}"/>
    <cellStyle name="Input 2 2 2 2 6 3 2" xfId="13014" xr:uid="{00000000-0005-0000-0000-0000AD170000}"/>
    <cellStyle name="Input 2 2 2 2 6 3 3" xfId="19633" xr:uid="{00000000-0005-0000-0000-0000AE170000}"/>
    <cellStyle name="Input 2 2 2 2 6 3_Summary" xfId="20662" xr:uid="{00000000-0005-0000-0000-0000AF170000}"/>
    <cellStyle name="Input 2 2 2 2 6 4" xfId="8843" xr:uid="{00000000-0005-0000-0000-0000B0170000}"/>
    <cellStyle name="Input 2 2 2 2 6 5" xfId="15462" xr:uid="{00000000-0005-0000-0000-0000B1170000}"/>
    <cellStyle name="Input 2 2 2 2 6_Summary" xfId="20660" xr:uid="{00000000-0005-0000-0000-0000B2170000}"/>
    <cellStyle name="Input 2 2 2 2 7" xfId="2520" xr:uid="{00000000-0005-0000-0000-0000B3170000}"/>
    <cellStyle name="Input 2 2 2 2 7 2" xfId="4656" xr:uid="{00000000-0005-0000-0000-0000B4170000}"/>
    <cellStyle name="Input 2 2 2 2 7 2 2" xfId="11252" xr:uid="{00000000-0005-0000-0000-0000B5170000}"/>
    <cellStyle name="Input 2 2 2 2 7 2 3" xfId="17871" xr:uid="{00000000-0005-0000-0000-0000B6170000}"/>
    <cellStyle name="Input 2 2 2 2 7 2_Summary" xfId="20664" xr:uid="{00000000-0005-0000-0000-0000B7170000}"/>
    <cellStyle name="Input 2 2 2 2 7 3" xfId="6691" xr:uid="{00000000-0005-0000-0000-0000B8170000}"/>
    <cellStyle name="Input 2 2 2 2 7 3 2" xfId="13287" xr:uid="{00000000-0005-0000-0000-0000B9170000}"/>
    <cellStyle name="Input 2 2 2 2 7 3 3" xfId="19906" xr:uid="{00000000-0005-0000-0000-0000BA170000}"/>
    <cellStyle name="Input 2 2 2 2 7 3_Summary" xfId="20665" xr:uid="{00000000-0005-0000-0000-0000BB170000}"/>
    <cellStyle name="Input 2 2 2 2 7 4" xfId="9116" xr:uid="{00000000-0005-0000-0000-0000BC170000}"/>
    <cellStyle name="Input 2 2 2 2 7 5" xfId="15735" xr:uid="{00000000-0005-0000-0000-0000BD170000}"/>
    <cellStyle name="Input 2 2 2 2 7_Summary" xfId="20663" xr:uid="{00000000-0005-0000-0000-0000BE170000}"/>
    <cellStyle name="Input 2 2 2 2 8" xfId="2966" xr:uid="{00000000-0005-0000-0000-0000BF170000}"/>
    <cellStyle name="Input 2 2 2 2 8 2" xfId="9562" xr:uid="{00000000-0005-0000-0000-0000C0170000}"/>
    <cellStyle name="Input 2 2 2 2 8 3" xfId="16181" xr:uid="{00000000-0005-0000-0000-0000C1170000}"/>
    <cellStyle name="Input 2 2 2 2 8_Summary" xfId="20666" xr:uid="{00000000-0005-0000-0000-0000C2170000}"/>
    <cellStyle name="Input 2 2 2 2 9" xfId="5001" xr:uid="{00000000-0005-0000-0000-0000C3170000}"/>
    <cellStyle name="Input 2 2 2 2 9 2" xfId="11597" xr:uid="{00000000-0005-0000-0000-0000C4170000}"/>
    <cellStyle name="Input 2 2 2 2 9 3" xfId="18216" xr:uid="{00000000-0005-0000-0000-0000C5170000}"/>
    <cellStyle name="Input 2 2 2 2 9_Summary" xfId="20667" xr:uid="{00000000-0005-0000-0000-0000C6170000}"/>
    <cellStyle name="Input 2 2 2 2_Summary" xfId="20646" xr:uid="{00000000-0005-0000-0000-0000C7170000}"/>
    <cellStyle name="Input 2 2 2 20" xfId="30916" xr:uid="{38A74E26-AD0D-439F-B72D-7AD5A730C8B0}"/>
    <cellStyle name="Input 2 2 2 3" xfId="1002" xr:uid="{00000000-0005-0000-0000-0000C8170000}"/>
    <cellStyle name="Input 2 2 2 3 2" xfId="3138" xr:uid="{00000000-0005-0000-0000-0000C9170000}"/>
    <cellStyle name="Input 2 2 2 3 2 2" xfId="9734" xr:uid="{00000000-0005-0000-0000-0000CA170000}"/>
    <cellStyle name="Input 2 2 2 3 2 3" xfId="16353" xr:uid="{00000000-0005-0000-0000-0000CB170000}"/>
    <cellStyle name="Input 2 2 2 3 2_Summary" xfId="20669" xr:uid="{00000000-0005-0000-0000-0000CC170000}"/>
    <cellStyle name="Input 2 2 2 3 3" xfId="5173" xr:uid="{00000000-0005-0000-0000-0000CD170000}"/>
    <cellStyle name="Input 2 2 2 3 3 2" xfId="11769" xr:uid="{00000000-0005-0000-0000-0000CE170000}"/>
    <cellStyle name="Input 2 2 2 3 3 3" xfId="18388" xr:uid="{00000000-0005-0000-0000-0000CF170000}"/>
    <cellStyle name="Input 2 2 2 3 3_Summary" xfId="20670" xr:uid="{00000000-0005-0000-0000-0000D0170000}"/>
    <cellStyle name="Input 2 2 2 3 4" xfId="7599" xr:uid="{00000000-0005-0000-0000-0000D1170000}"/>
    <cellStyle name="Input 2 2 2 3 5" xfId="14217" xr:uid="{00000000-0005-0000-0000-0000D2170000}"/>
    <cellStyle name="Input 2 2 2 3_Summary" xfId="20668" xr:uid="{00000000-0005-0000-0000-0000D3170000}"/>
    <cellStyle name="Input 2 2 2 4" xfId="1284" xr:uid="{00000000-0005-0000-0000-0000D4170000}"/>
    <cellStyle name="Input 2 2 2 4 2" xfId="3420" xr:uid="{00000000-0005-0000-0000-0000D5170000}"/>
    <cellStyle name="Input 2 2 2 4 2 2" xfId="10016" xr:uid="{00000000-0005-0000-0000-0000D6170000}"/>
    <cellStyle name="Input 2 2 2 4 2 3" xfId="16635" xr:uid="{00000000-0005-0000-0000-0000D7170000}"/>
    <cellStyle name="Input 2 2 2 4 2_Summary" xfId="20672" xr:uid="{00000000-0005-0000-0000-0000D8170000}"/>
    <cellStyle name="Input 2 2 2 4 3" xfId="5455" xr:uid="{00000000-0005-0000-0000-0000D9170000}"/>
    <cellStyle name="Input 2 2 2 4 3 2" xfId="12051" xr:uid="{00000000-0005-0000-0000-0000DA170000}"/>
    <cellStyle name="Input 2 2 2 4 3 3" xfId="18670" xr:uid="{00000000-0005-0000-0000-0000DB170000}"/>
    <cellStyle name="Input 2 2 2 4 3_Summary" xfId="20673" xr:uid="{00000000-0005-0000-0000-0000DC170000}"/>
    <cellStyle name="Input 2 2 2 4 4" xfId="7880" xr:uid="{00000000-0005-0000-0000-0000DD170000}"/>
    <cellStyle name="Input 2 2 2 4 5" xfId="14499" xr:uid="{00000000-0005-0000-0000-0000DE170000}"/>
    <cellStyle name="Input 2 2 2 4_Summary" xfId="20671" xr:uid="{00000000-0005-0000-0000-0000DF170000}"/>
    <cellStyle name="Input 2 2 2 5" xfId="1565" xr:uid="{00000000-0005-0000-0000-0000E0170000}"/>
    <cellStyle name="Input 2 2 2 5 2" xfId="3701" xr:uid="{00000000-0005-0000-0000-0000E1170000}"/>
    <cellStyle name="Input 2 2 2 5 2 2" xfId="10297" xr:uid="{00000000-0005-0000-0000-0000E2170000}"/>
    <cellStyle name="Input 2 2 2 5 2 3" xfId="16916" xr:uid="{00000000-0005-0000-0000-0000E3170000}"/>
    <cellStyle name="Input 2 2 2 5 2_Summary" xfId="20675" xr:uid="{00000000-0005-0000-0000-0000E4170000}"/>
    <cellStyle name="Input 2 2 2 5 3" xfId="5736" xr:uid="{00000000-0005-0000-0000-0000E5170000}"/>
    <cellStyle name="Input 2 2 2 5 3 2" xfId="12332" xr:uid="{00000000-0005-0000-0000-0000E6170000}"/>
    <cellStyle name="Input 2 2 2 5 3 3" xfId="18951" xr:uid="{00000000-0005-0000-0000-0000E7170000}"/>
    <cellStyle name="Input 2 2 2 5 3_Summary" xfId="20676" xr:uid="{00000000-0005-0000-0000-0000E8170000}"/>
    <cellStyle name="Input 2 2 2 5 4" xfId="8161" xr:uid="{00000000-0005-0000-0000-0000E9170000}"/>
    <cellStyle name="Input 2 2 2 5 5" xfId="14780" xr:uid="{00000000-0005-0000-0000-0000EA170000}"/>
    <cellStyle name="Input 2 2 2 5_Summary" xfId="20674" xr:uid="{00000000-0005-0000-0000-0000EB170000}"/>
    <cellStyle name="Input 2 2 2 6" xfId="1844" xr:uid="{00000000-0005-0000-0000-0000EC170000}"/>
    <cellStyle name="Input 2 2 2 6 2" xfId="3980" xr:uid="{00000000-0005-0000-0000-0000ED170000}"/>
    <cellStyle name="Input 2 2 2 6 2 2" xfId="10576" xr:uid="{00000000-0005-0000-0000-0000EE170000}"/>
    <cellStyle name="Input 2 2 2 6 2 3" xfId="17195" xr:uid="{00000000-0005-0000-0000-0000EF170000}"/>
    <cellStyle name="Input 2 2 2 6 2_Summary" xfId="20678" xr:uid="{00000000-0005-0000-0000-0000F0170000}"/>
    <cellStyle name="Input 2 2 2 6 3" xfId="6015" xr:uid="{00000000-0005-0000-0000-0000F1170000}"/>
    <cellStyle name="Input 2 2 2 6 3 2" xfId="12611" xr:uid="{00000000-0005-0000-0000-0000F2170000}"/>
    <cellStyle name="Input 2 2 2 6 3 3" xfId="19230" xr:uid="{00000000-0005-0000-0000-0000F3170000}"/>
    <cellStyle name="Input 2 2 2 6 3_Summary" xfId="20679" xr:uid="{00000000-0005-0000-0000-0000F4170000}"/>
    <cellStyle name="Input 2 2 2 6 4" xfId="8440" xr:uid="{00000000-0005-0000-0000-0000F5170000}"/>
    <cellStyle name="Input 2 2 2 6 5" xfId="15059" xr:uid="{00000000-0005-0000-0000-0000F6170000}"/>
    <cellStyle name="Input 2 2 2 6_Summary" xfId="20677" xr:uid="{00000000-0005-0000-0000-0000F7170000}"/>
    <cellStyle name="Input 2 2 2 7" xfId="2119" xr:uid="{00000000-0005-0000-0000-0000F8170000}"/>
    <cellStyle name="Input 2 2 2 7 2" xfId="4255" xr:uid="{00000000-0005-0000-0000-0000F9170000}"/>
    <cellStyle name="Input 2 2 2 7 2 2" xfId="10851" xr:uid="{00000000-0005-0000-0000-0000FA170000}"/>
    <cellStyle name="Input 2 2 2 7 2 3" xfId="17470" xr:uid="{00000000-0005-0000-0000-0000FB170000}"/>
    <cellStyle name="Input 2 2 2 7 2_Summary" xfId="20681" xr:uid="{00000000-0005-0000-0000-0000FC170000}"/>
    <cellStyle name="Input 2 2 2 7 3" xfId="6290" xr:uid="{00000000-0005-0000-0000-0000FD170000}"/>
    <cellStyle name="Input 2 2 2 7 3 2" xfId="12886" xr:uid="{00000000-0005-0000-0000-0000FE170000}"/>
    <cellStyle name="Input 2 2 2 7 3 3" xfId="19505" xr:uid="{00000000-0005-0000-0000-0000FF170000}"/>
    <cellStyle name="Input 2 2 2 7 3_Summary" xfId="20682" xr:uid="{00000000-0005-0000-0000-000000180000}"/>
    <cellStyle name="Input 2 2 2 7 4" xfId="8715" xr:uid="{00000000-0005-0000-0000-000001180000}"/>
    <cellStyle name="Input 2 2 2 7 5" xfId="15334" xr:uid="{00000000-0005-0000-0000-000002180000}"/>
    <cellStyle name="Input 2 2 2 7_Summary" xfId="20680" xr:uid="{00000000-0005-0000-0000-000003180000}"/>
    <cellStyle name="Input 2 2 2 8" xfId="2392" xr:uid="{00000000-0005-0000-0000-000004180000}"/>
    <cellStyle name="Input 2 2 2 8 2" xfId="4528" xr:uid="{00000000-0005-0000-0000-000005180000}"/>
    <cellStyle name="Input 2 2 2 8 2 2" xfId="11124" xr:uid="{00000000-0005-0000-0000-000006180000}"/>
    <cellStyle name="Input 2 2 2 8 2 3" xfId="17743" xr:uid="{00000000-0005-0000-0000-000007180000}"/>
    <cellStyle name="Input 2 2 2 8 2_Summary" xfId="20684" xr:uid="{00000000-0005-0000-0000-000008180000}"/>
    <cellStyle name="Input 2 2 2 8 3" xfId="6563" xr:uid="{00000000-0005-0000-0000-000009180000}"/>
    <cellStyle name="Input 2 2 2 8 3 2" xfId="13159" xr:uid="{00000000-0005-0000-0000-00000A180000}"/>
    <cellStyle name="Input 2 2 2 8 3 3" xfId="19778" xr:uid="{00000000-0005-0000-0000-00000B180000}"/>
    <cellStyle name="Input 2 2 2 8 3_Summary" xfId="20685" xr:uid="{00000000-0005-0000-0000-00000C180000}"/>
    <cellStyle name="Input 2 2 2 8 4" xfId="8988" xr:uid="{00000000-0005-0000-0000-00000D180000}"/>
    <cellStyle name="Input 2 2 2 8 5" xfId="15607" xr:uid="{00000000-0005-0000-0000-00000E180000}"/>
    <cellStyle name="Input 2 2 2 8_Summary" xfId="20683" xr:uid="{00000000-0005-0000-0000-00000F180000}"/>
    <cellStyle name="Input 2 2 2 9" xfId="2693" xr:uid="{00000000-0005-0000-0000-000010180000}"/>
    <cellStyle name="Input 2 2 2 9 2" xfId="9289" xr:uid="{00000000-0005-0000-0000-000011180000}"/>
    <cellStyle name="Input 2 2 2 9 3" xfId="15908" xr:uid="{00000000-0005-0000-0000-000012180000}"/>
    <cellStyle name="Input 2 2 2 9_Summary" xfId="20686" xr:uid="{00000000-0005-0000-0000-000013180000}"/>
    <cellStyle name="Input 2 2 2_Summary" xfId="20643" xr:uid="{00000000-0005-0000-0000-000014180000}"/>
    <cellStyle name="Input 2 2 20" xfId="25709" xr:uid="{00000000-0005-0000-0000-00003E030000}"/>
    <cellStyle name="Input 2 2 21" xfId="25878" xr:uid="{702E1F13-1343-406D-B9B4-A76C19A883CF}"/>
    <cellStyle name="Input 2 2 22" xfId="25850" xr:uid="{3A0F3924-C8DB-4E34-9109-BB292D303D33}"/>
    <cellStyle name="Input 2 2 23" xfId="26609" xr:uid="{D5A0C9B8-D5BF-458C-B151-AD4612B7293A}"/>
    <cellStyle name="Input 2 2 24" xfId="27039" xr:uid="{F47AEB59-1F70-4E2F-8EEB-9D594905F5B2}"/>
    <cellStyle name="Input 2 2 25" xfId="27063" xr:uid="{4467DD83-48CD-4AFD-B66A-035B8379C976}"/>
    <cellStyle name="Input 2 2 26" xfId="28674" xr:uid="{E29D27EA-DD6D-4CA6-A486-2EFD452C875E}"/>
    <cellStyle name="Input 2 2 27" xfId="30915" xr:uid="{352C7DD2-3868-48C4-94F5-7EB6CC28CCF4}"/>
    <cellStyle name="Input 2 2 3" xfId="222" xr:uid="{00000000-0005-0000-0000-000015180000}"/>
    <cellStyle name="Input 2 2 3 10" xfId="759" xr:uid="{00000000-0005-0000-0000-000016180000}"/>
    <cellStyle name="Input 2 2 3 10 2" xfId="13974" xr:uid="{00000000-0005-0000-0000-000017180000}"/>
    <cellStyle name="Input 2 2 3 10_Summary" xfId="20688" xr:uid="{00000000-0005-0000-0000-000018180000}"/>
    <cellStyle name="Input 2 2 3 11" xfId="7129" xr:uid="{00000000-0005-0000-0000-000019180000}"/>
    <cellStyle name="Input 2 2 3 12" xfId="6998" xr:uid="{00000000-0005-0000-0000-00001A180000}"/>
    <cellStyle name="Input 2 2 3 13" xfId="26285" xr:uid="{BE69E760-3F6E-4900-92F7-CB98F889851B}"/>
    <cellStyle name="Input 2 2 3 14" xfId="26701" xr:uid="{CE97E237-E496-43A2-8DFF-E4B3DA7C322A}"/>
    <cellStyle name="Input 2 2 3 15" xfId="26948" xr:uid="{A20FF841-B041-4048-830B-77E43EBEA642}"/>
    <cellStyle name="Input 2 2 3 16" xfId="25827" xr:uid="{23C6E0C5-BEE6-4554-BB65-AAF1E332C4E9}"/>
    <cellStyle name="Input 2 2 3 17" xfId="26583" xr:uid="{B8685D66-B14A-44D5-979D-34690938134C}"/>
    <cellStyle name="Input 2 2 3 18" xfId="28676" xr:uid="{28BC1381-D890-4388-AB31-34B505003253}"/>
    <cellStyle name="Input 2 2 3 19" xfId="30917" xr:uid="{701F5E90-9620-4C7B-9EC0-4178DC11EED8}"/>
    <cellStyle name="Input 2 2 3 2" xfId="927" xr:uid="{00000000-0005-0000-0000-00001B180000}"/>
    <cellStyle name="Input 2 2 3 2 2" xfId="3063" xr:uid="{00000000-0005-0000-0000-00001C180000}"/>
    <cellStyle name="Input 2 2 3 2 2 2" xfId="9659" xr:uid="{00000000-0005-0000-0000-00001D180000}"/>
    <cellStyle name="Input 2 2 3 2 2 3" xfId="16278" xr:uid="{00000000-0005-0000-0000-00001E180000}"/>
    <cellStyle name="Input 2 2 3 2 2 4" xfId="26533" xr:uid="{A4505DB7-0EBC-41D5-BF3A-C217E9546E6C}"/>
    <cellStyle name="Input 2 2 3 2 2 5" xfId="26915" xr:uid="{2EC210F7-1C27-40FF-AE8A-3C1B9C938B2C}"/>
    <cellStyle name="Input 2 2 3 2 2_Summary" xfId="20690" xr:uid="{00000000-0005-0000-0000-00001F180000}"/>
    <cellStyle name="Input 2 2 3 2 3" xfId="5098" xr:uid="{00000000-0005-0000-0000-000020180000}"/>
    <cellStyle name="Input 2 2 3 2 3 2" xfId="11694" xr:uid="{00000000-0005-0000-0000-000021180000}"/>
    <cellStyle name="Input 2 2 3 2 3 3" xfId="18313" xr:uid="{00000000-0005-0000-0000-000022180000}"/>
    <cellStyle name="Input 2 2 3 2 3_Summary" xfId="20691" xr:uid="{00000000-0005-0000-0000-000023180000}"/>
    <cellStyle name="Input 2 2 3 2 4" xfId="7524" xr:uid="{00000000-0005-0000-0000-000024180000}"/>
    <cellStyle name="Input 2 2 3 2 5" xfId="14142" xr:uid="{00000000-0005-0000-0000-000025180000}"/>
    <cellStyle name="Input 2 2 3 2 6" xfId="26430" xr:uid="{A9ADA0BB-21EC-44DA-A4D2-B151AAF10247}"/>
    <cellStyle name="Input 2 2 3 2 7" xfId="26827" xr:uid="{5490CE2C-DB84-4C73-93F8-5B0042DF1F72}"/>
    <cellStyle name="Input 2 2 3 2 8" xfId="30199" xr:uid="{E0CAAE58-A252-4781-A217-619091D55D3C}"/>
    <cellStyle name="Input 2 2 3 2 9" xfId="31631" xr:uid="{B8787734-D84E-4CEF-B9DB-F6382AAF89C5}"/>
    <cellStyle name="Input 2 2 3 2_Summary" xfId="20689" xr:uid="{00000000-0005-0000-0000-000026180000}"/>
    <cellStyle name="Input 2 2 3 3" xfId="1212" xr:uid="{00000000-0005-0000-0000-000027180000}"/>
    <cellStyle name="Input 2 2 3 3 2" xfId="3348" xr:uid="{00000000-0005-0000-0000-000028180000}"/>
    <cellStyle name="Input 2 2 3 3 2 2" xfId="9944" xr:uid="{00000000-0005-0000-0000-000029180000}"/>
    <cellStyle name="Input 2 2 3 3 2 3" xfId="16563" xr:uid="{00000000-0005-0000-0000-00002A180000}"/>
    <cellStyle name="Input 2 2 3 3 2_Summary" xfId="20693" xr:uid="{00000000-0005-0000-0000-00002B180000}"/>
    <cellStyle name="Input 2 2 3 3 3" xfId="5383" xr:uid="{00000000-0005-0000-0000-00002C180000}"/>
    <cellStyle name="Input 2 2 3 3 3 2" xfId="11979" xr:uid="{00000000-0005-0000-0000-00002D180000}"/>
    <cellStyle name="Input 2 2 3 3 3 3" xfId="18598" xr:uid="{00000000-0005-0000-0000-00002E180000}"/>
    <cellStyle name="Input 2 2 3 3 3_Summary" xfId="20694" xr:uid="{00000000-0005-0000-0000-00002F180000}"/>
    <cellStyle name="Input 2 2 3 3 4" xfId="7808" xr:uid="{00000000-0005-0000-0000-000030180000}"/>
    <cellStyle name="Input 2 2 3 3 5" xfId="14427" xr:uid="{00000000-0005-0000-0000-000031180000}"/>
    <cellStyle name="Input 2 2 3 3_Summary" xfId="20692" xr:uid="{00000000-0005-0000-0000-000032180000}"/>
    <cellStyle name="Input 2 2 3 4" xfId="1494" xr:uid="{00000000-0005-0000-0000-000033180000}"/>
    <cellStyle name="Input 2 2 3 4 2" xfId="3630" xr:uid="{00000000-0005-0000-0000-000034180000}"/>
    <cellStyle name="Input 2 2 3 4 2 2" xfId="10226" xr:uid="{00000000-0005-0000-0000-000035180000}"/>
    <cellStyle name="Input 2 2 3 4 2 3" xfId="16845" xr:uid="{00000000-0005-0000-0000-000036180000}"/>
    <cellStyle name="Input 2 2 3 4 2_Summary" xfId="20696" xr:uid="{00000000-0005-0000-0000-000037180000}"/>
    <cellStyle name="Input 2 2 3 4 3" xfId="5665" xr:uid="{00000000-0005-0000-0000-000038180000}"/>
    <cellStyle name="Input 2 2 3 4 3 2" xfId="12261" xr:uid="{00000000-0005-0000-0000-000039180000}"/>
    <cellStyle name="Input 2 2 3 4 3 3" xfId="18880" xr:uid="{00000000-0005-0000-0000-00003A180000}"/>
    <cellStyle name="Input 2 2 3 4 3_Summary" xfId="20697" xr:uid="{00000000-0005-0000-0000-00003B180000}"/>
    <cellStyle name="Input 2 2 3 4 4" xfId="8090" xr:uid="{00000000-0005-0000-0000-00003C180000}"/>
    <cellStyle name="Input 2 2 3 4 5" xfId="14709" xr:uid="{00000000-0005-0000-0000-00003D180000}"/>
    <cellStyle name="Input 2 2 3 4_Summary" xfId="20695" xr:uid="{00000000-0005-0000-0000-00003E180000}"/>
    <cellStyle name="Input 2 2 3 5" xfId="1775" xr:uid="{00000000-0005-0000-0000-00003F180000}"/>
    <cellStyle name="Input 2 2 3 5 2" xfId="3911" xr:uid="{00000000-0005-0000-0000-000040180000}"/>
    <cellStyle name="Input 2 2 3 5 2 2" xfId="10507" xr:uid="{00000000-0005-0000-0000-000041180000}"/>
    <cellStyle name="Input 2 2 3 5 2 3" xfId="17126" xr:uid="{00000000-0005-0000-0000-000042180000}"/>
    <cellStyle name="Input 2 2 3 5 2_Summary" xfId="20699" xr:uid="{00000000-0005-0000-0000-000043180000}"/>
    <cellStyle name="Input 2 2 3 5 3" xfId="5946" xr:uid="{00000000-0005-0000-0000-000044180000}"/>
    <cellStyle name="Input 2 2 3 5 3 2" xfId="12542" xr:uid="{00000000-0005-0000-0000-000045180000}"/>
    <cellStyle name="Input 2 2 3 5 3 3" xfId="19161" xr:uid="{00000000-0005-0000-0000-000046180000}"/>
    <cellStyle name="Input 2 2 3 5 3_Summary" xfId="20700" xr:uid="{00000000-0005-0000-0000-000047180000}"/>
    <cellStyle name="Input 2 2 3 5 4" xfId="8371" xr:uid="{00000000-0005-0000-0000-000048180000}"/>
    <cellStyle name="Input 2 2 3 5 5" xfId="14990" xr:uid="{00000000-0005-0000-0000-000049180000}"/>
    <cellStyle name="Input 2 2 3 5_Summary" xfId="20698" xr:uid="{00000000-0005-0000-0000-00004A180000}"/>
    <cellStyle name="Input 2 2 3 6" xfId="2054" xr:uid="{00000000-0005-0000-0000-00004B180000}"/>
    <cellStyle name="Input 2 2 3 6 2" xfId="4190" xr:uid="{00000000-0005-0000-0000-00004C180000}"/>
    <cellStyle name="Input 2 2 3 6 2 2" xfId="10786" xr:uid="{00000000-0005-0000-0000-00004D180000}"/>
    <cellStyle name="Input 2 2 3 6 2 3" xfId="17405" xr:uid="{00000000-0005-0000-0000-00004E180000}"/>
    <cellStyle name="Input 2 2 3 6 2_Summary" xfId="20702" xr:uid="{00000000-0005-0000-0000-00004F180000}"/>
    <cellStyle name="Input 2 2 3 6 3" xfId="6225" xr:uid="{00000000-0005-0000-0000-000050180000}"/>
    <cellStyle name="Input 2 2 3 6 3 2" xfId="12821" xr:uid="{00000000-0005-0000-0000-000051180000}"/>
    <cellStyle name="Input 2 2 3 6 3 3" xfId="19440" xr:uid="{00000000-0005-0000-0000-000052180000}"/>
    <cellStyle name="Input 2 2 3 6 3_Summary" xfId="20703" xr:uid="{00000000-0005-0000-0000-000053180000}"/>
    <cellStyle name="Input 2 2 3 6 4" xfId="8650" xr:uid="{00000000-0005-0000-0000-000054180000}"/>
    <cellStyle name="Input 2 2 3 6 5" xfId="15269" xr:uid="{00000000-0005-0000-0000-000055180000}"/>
    <cellStyle name="Input 2 2 3 6_Summary" xfId="20701" xr:uid="{00000000-0005-0000-0000-000056180000}"/>
    <cellStyle name="Input 2 2 3 7" xfId="2329" xr:uid="{00000000-0005-0000-0000-000057180000}"/>
    <cellStyle name="Input 2 2 3 7 2" xfId="4465" xr:uid="{00000000-0005-0000-0000-000058180000}"/>
    <cellStyle name="Input 2 2 3 7 2 2" xfId="11061" xr:uid="{00000000-0005-0000-0000-000059180000}"/>
    <cellStyle name="Input 2 2 3 7 2 3" xfId="17680" xr:uid="{00000000-0005-0000-0000-00005A180000}"/>
    <cellStyle name="Input 2 2 3 7 2_Summary" xfId="20705" xr:uid="{00000000-0005-0000-0000-00005B180000}"/>
    <cellStyle name="Input 2 2 3 7 3" xfId="6500" xr:uid="{00000000-0005-0000-0000-00005C180000}"/>
    <cellStyle name="Input 2 2 3 7 3 2" xfId="13096" xr:uid="{00000000-0005-0000-0000-00005D180000}"/>
    <cellStyle name="Input 2 2 3 7 3 3" xfId="19715" xr:uid="{00000000-0005-0000-0000-00005E180000}"/>
    <cellStyle name="Input 2 2 3 7 3_Summary" xfId="20706" xr:uid="{00000000-0005-0000-0000-00005F180000}"/>
    <cellStyle name="Input 2 2 3 7 4" xfId="8925" xr:uid="{00000000-0005-0000-0000-000060180000}"/>
    <cellStyle name="Input 2 2 3 7 5" xfId="15544" xr:uid="{00000000-0005-0000-0000-000061180000}"/>
    <cellStyle name="Input 2 2 3 7_Summary" xfId="20704" xr:uid="{00000000-0005-0000-0000-000062180000}"/>
    <cellStyle name="Input 2 2 3 8" xfId="2895" xr:uid="{00000000-0005-0000-0000-000063180000}"/>
    <cellStyle name="Input 2 2 3 8 2" xfId="9491" xr:uid="{00000000-0005-0000-0000-000064180000}"/>
    <cellStyle name="Input 2 2 3 8 3" xfId="16110" xr:uid="{00000000-0005-0000-0000-000065180000}"/>
    <cellStyle name="Input 2 2 3 8_Summary" xfId="20707" xr:uid="{00000000-0005-0000-0000-000066180000}"/>
    <cellStyle name="Input 2 2 3 9" xfId="4930" xr:uid="{00000000-0005-0000-0000-000067180000}"/>
    <cellStyle name="Input 2 2 3 9 2" xfId="11526" xr:uid="{00000000-0005-0000-0000-000068180000}"/>
    <cellStyle name="Input 2 2 3 9 3" xfId="18145" xr:uid="{00000000-0005-0000-0000-000069180000}"/>
    <cellStyle name="Input 2 2 3 9_Summary" xfId="20708" xr:uid="{00000000-0005-0000-0000-00006A180000}"/>
    <cellStyle name="Input 2 2 3_Summary" xfId="20687" xr:uid="{00000000-0005-0000-0000-00006B180000}"/>
    <cellStyle name="Input 2 2 4" xfId="375" xr:uid="{00000000-0005-0000-0000-00006C180000}"/>
    <cellStyle name="Input 2 2 4 10" xfId="712" xr:uid="{00000000-0005-0000-0000-00006D180000}"/>
    <cellStyle name="Input 2 2 4 10 2" xfId="13927" xr:uid="{00000000-0005-0000-0000-00006E180000}"/>
    <cellStyle name="Input 2 2 4 10_Summary" xfId="20710" xr:uid="{00000000-0005-0000-0000-00006F180000}"/>
    <cellStyle name="Input 2 2 4 11" xfId="7268" xr:uid="{00000000-0005-0000-0000-000070180000}"/>
    <cellStyle name="Input 2 2 4 12" xfId="13590" xr:uid="{00000000-0005-0000-0000-000071180000}"/>
    <cellStyle name="Input 2 2 4 13" xfId="26370" xr:uid="{CFE701EA-FB3F-4977-B5E5-F68548861A67}"/>
    <cellStyle name="Input 2 2 4 14" xfId="26771" xr:uid="{1ECE2528-0441-4377-A831-7F8F2C4E0385}"/>
    <cellStyle name="Input 2 2 4 15" xfId="26980" xr:uid="{E27F61A8-84B4-4BFA-93BD-E69A1F0A3E18}"/>
    <cellStyle name="Input 2 2 4 16" xfId="26566" xr:uid="{379B9E37-C768-4331-836C-5B18C5314066}"/>
    <cellStyle name="Input 2 2 4 17" xfId="26621" xr:uid="{1A3E3D82-DDE2-4A91-878A-B247283DFCFF}"/>
    <cellStyle name="Input 2 2 4 18" xfId="30197" xr:uid="{C8C4F928-0765-42DC-B2C4-EA7A3D4394B5}"/>
    <cellStyle name="Input 2 2 4 19" xfId="31629" xr:uid="{3AA785C7-163C-4318-B27A-F72C98B49D03}"/>
    <cellStyle name="Input 2 2 4 2" xfId="1069" xr:uid="{00000000-0005-0000-0000-000072180000}"/>
    <cellStyle name="Input 2 2 4 2 10" xfId="26690" xr:uid="{2E6E922F-9118-4462-B314-CE2B6165A8A8}"/>
    <cellStyle name="Input 2 2 4 2 2" xfId="3205" xr:uid="{00000000-0005-0000-0000-000073180000}"/>
    <cellStyle name="Input 2 2 4 2 2 2" xfId="9801" xr:uid="{00000000-0005-0000-0000-000074180000}"/>
    <cellStyle name="Input 2 2 4 2 2 3" xfId="16420" xr:uid="{00000000-0005-0000-0000-000075180000}"/>
    <cellStyle name="Input 2 2 4 2 2_Summary" xfId="20712" xr:uid="{00000000-0005-0000-0000-000076180000}"/>
    <cellStyle name="Input 2 2 4 2 3" xfId="5240" xr:uid="{00000000-0005-0000-0000-000077180000}"/>
    <cellStyle name="Input 2 2 4 2 3 2" xfId="11836" xr:uid="{00000000-0005-0000-0000-000078180000}"/>
    <cellStyle name="Input 2 2 4 2 3 3" xfId="18455" xr:uid="{00000000-0005-0000-0000-000079180000}"/>
    <cellStyle name="Input 2 2 4 2 3_Summary" xfId="20713" xr:uid="{00000000-0005-0000-0000-00007A180000}"/>
    <cellStyle name="Input 2 2 4 2 4" xfId="7666" xr:uid="{00000000-0005-0000-0000-00007B180000}"/>
    <cellStyle name="Input 2 2 4 2 5" xfId="14284" xr:uid="{00000000-0005-0000-0000-00007C180000}"/>
    <cellStyle name="Input 2 2 4 2 6" xfId="26340" xr:uid="{EFF4D6DE-BBF0-4EC5-874A-8309B435E6C5}"/>
    <cellStyle name="Input 2 2 4 2 7" xfId="26746" xr:uid="{A3395ACB-09CF-4D7A-93D5-D9CD75B3FF91}"/>
    <cellStyle name="Input 2 2 4 2 8" xfId="26967" xr:uid="{766D4D00-8304-4247-B1F8-01D0DB465FD1}"/>
    <cellStyle name="Input 2 2 4 2 9" xfId="26618" xr:uid="{B01BE26F-0237-42F0-8AC2-F706DEE49555}"/>
    <cellStyle name="Input 2 2 4 2_Summary" xfId="20711" xr:uid="{00000000-0005-0000-0000-00007D180000}"/>
    <cellStyle name="Input 2 2 4 3" xfId="1351" xr:uid="{00000000-0005-0000-0000-00007E180000}"/>
    <cellStyle name="Input 2 2 4 3 2" xfId="3487" xr:uid="{00000000-0005-0000-0000-00007F180000}"/>
    <cellStyle name="Input 2 2 4 3 2 2" xfId="10083" xr:uid="{00000000-0005-0000-0000-000080180000}"/>
    <cellStyle name="Input 2 2 4 3 2 3" xfId="16702" xr:uid="{00000000-0005-0000-0000-000081180000}"/>
    <cellStyle name="Input 2 2 4 3 2_Summary" xfId="20715" xr:uid="{00000000-0005-0000-0000-000082180000}"/>
    <cellStyle name="Input 2 2 4 3 3" xfId="5522" xr:uid="{00000000-0005-0000-0000-000083180000}"/>
    <cellStyle name="Input 2 2 4 3 3 2" xfId="12118" xr:uid="{00000000-0005-0000-0000-000084180000}"/>
    <cellStyle name="Input 2 2 4 3 3 3" xfId="18737" xr:uid="{00000000-0005-0000-0000-000085180000}"/>
    <cellStyle name="Input 2 2 4 3 3_Summary" xfId="20716" xr:uid="{00000000-0005-0000-0000-000086180000}"/>
    <cellStyle name="Input 2 2 4 3 4" xfId="7947" xr:uid="{00000000-0005-0000-0000-000087180000}"/>
    <cellStyle name="Input 2 2 4 3 5" xfId="14566" xr:uid="{00000000-0005-0000-0000-000088180000}"/>
    <cellStyle name="Input 2 2 4 3_Summary" xfId="20714" xr:uid="{00000000-0005-0000-0000-000089180000}"/>
    <cellStyle name="Input 2 2 4 4" xfId="1632" xr:uid="{00000000-0005-0000-0000-00008A180000}"/>
    <cellStyle name="Input 2 2 4 4 2" xfId="3768" xr:uid="{00000000-0005-0000-0000-00008B180000}"/>
    <cellStyle name="Input 2 2 4 4 2 2" xfId="10364" xr:uid="{00000000-0005-0000-0000-00008C180000}"/>
    <cellStyle name="Input 2 2 4 4 2 3" xfId="16983" xr:uid="{00000000-0005-0000-0000-00008D180000}"/>
    <cellStyle name="Input 2 2 4 4 2_Summary" xfId="20718" xr:uid="{00000000-0005-0000-0000-00008E180000}"/>
    <cellStyle name="Input 2 2 4 4 3" xfId="5803" xr:uid="{00000000-0005-0000-0000-00008F180000}"/>
    <cellStyle name="Input 2 2 4 4 3 2" xfId="12399" xr:uid="{00000000-0005-0000-0000-000090180000}"/>
    <cellStyle name="Input 2 2 4 4 3 3" xfId="19018" xr:uid="{00000000-0005-0000-0000-000091180000}"/>
    <cellStyle name="Input 2 2 4 4 3_Summary" xfId="20719" xr:uid="{00000000-0005-0000-0000-000092180000}"/>
    <cellStyle name="Input 2 2 4 4 4" xfId="8228" xr:uid="{00000000-0005-0000-0000-000093180000}"/>
    <cellStyle name="Input 2 2 4 4 5" xfId="14847" xr:uid="{00000000-0005-0000-0000-000094180000}"/>
    <cellStyle name="Input 2 2 4 4_Summary" xfId="20717" xr:uid="{00000000-0005-0000-0000-000095180000}"/>
    <cellStyle name="Input 2 2 4 5" xfId="1911" xr:uid="{00000000-0005-0000-0000-000096180000}"/>
    <cellStyle name="Input 2 2 4 5 2" xfId="4047" xr:uid="{00000000-0005-0000-0000-000097180000}"/>
    <cellStyle name="Input 2 2 4 5 2 2" xfId="10643" xr:uid="{00000000-0005-0000-0000-000098180000}"/>
    <cellStyle name="Input 2 2 4 5 2 3" xfId="17262" xr:uid="{00000000-0005-0000-0000-000099180000}"/>
    <cellStyle name="Input 2 2 4 5 2_Summary" xfId="20721" xr:uid="{00000000-0005-0000-0000-00009A180000}"/>
    <cellStyle name="Input 2 2 4 5 3" xfId="6082" xr:uid="{00000000-0005-0000-0000-00009B180000}"/>
    <cellStyle name="Input 2 2 4 5 3 2" xfId="12678" xr:uid="{00000000-0005-0000-0000-00009C180000}"/>
    <cellStyle name="Input 2 2 4 5 3 3" xfId="19297" xr:uid="{00000000-0005-0000-0000-00009D180000}"/>
    <cellStyle name="Input 2 2 4 5 3_Summary" xfId="20722" xr:uid="{00000000-0005-0000-0000-00009E180000}"/>
    <cellStyle name="Input 2 2 4 5 4" xfId="8507" xr:uid="{00000000-0005-0000-0000-00009F180000}"/>
    <cellStyle name="Input 2 2 4 5 5" xfId="15126" xr:uid="{00000000-0005-0000-0000-0000A0180000}"/>
    <cellStyle name="Input 2 2 4 5_Summary" xfId="20720" xr:uid="{00000000-0005-0000-0000-0000A1180000}"/>
    <cellStyle name="Input 2 2 4 6" xfId="2186" xr:uid="{00000000-0005-0000-0000-0000A2180000}"/>
    <cellStyle name="Input 2 2 4 6 2" xfId="4322" xr:uid="{00000000-0005-0000-0000-0000A3180000}"/>
    <cellStyle name="Input 2 2 4 6 2 2" xfId="10918" xr:uid="{00000000-0005-0000-0000-0000A4180000}"/>
    <cellStyle name="Input 2 2 4 6 2 3" xfId="17537" xr:uid="{00000000-0005-0000-0000-0000A5180000}"/>
    <cellStyle name="Input 2 2 4 6 2_Summary" xfId="20724" xr:uid="{00000000-0005-0000-0000-0000A6180000}"/>
    <cellStyle name="Input 2 2 4 6 3" xfId="6357" xr:uid="{00000000-0005-0000-0000-0000A7180000}"/>
    <cellStyle name="Input 2 2 4 6 3 2" xfId="12953" xr:uid="{00000000-0005-0000-0000-0000A8180000}"/>
    <cellStyle name="Input 2 2 4 6 3 3" xfId="19572" xr:uid="{00000000-0005-0000-0000-0000A9180000}"/>
    <cellStyle name="Input 2 2 4 6 3_Summary" xfId="20725" xr:uid="{00000000-0005-0000-0000-0000AA180000}"/>
    <cellStyle name="Input 2 2 4 6 4" xfId="8782" xr:uid="{00000000-0005-0000-0000-0000AB180000}"/>
    <cellStyle name="Input 2 2 4 6 5" xfId="15401" xr:uid="{00000000-0005-0000-0000-0000AC180000}"/>
    <cellStyle name="Input 2 2 4 6_Summary" xfId="20723" xr:uid="{00000000-0005-0000-0000-0000AD180000}"/>
    <cellStyle name="Input 2 2 4 7" xfId="2459" xr:uid="{00000000-0005-0000-0000-0000AE180000}"/>
    <cellStyle name="Input 2 2 4 7 2" xfId="4595" xr:uid="{00000000-0005-0000-0000-0000AF180000}"/>
    <cellStyle name="Input 2 2 4 7 2 2" xfId="11191" xr:uid="{00000000-0005-0000-0000-0000B0180000}"/>
    <cellStyle name="Input 2 2 4 7 2 3" xfId="17810" xr:uid="{00000000-0005-0000-0000-0000B1180000}"/>
    <cellStyle name="Input 2 2 4 7 2_Summary" xfId="20727" xr:uid="{00000000-0005-0000-0000-0000B2180000}"/>
    <cellStyle name="Input 2 2 4 7 3" xfId="6630" xr:uid="{00000000-0005-0000-0000-0000B3180000}"/>
    <cellStyle name="Input 2 2 4 7 3 2" xfId="13226" xr:uid="{00000000-0005-0000-0000-0000B4180000}"/>
    <cellStyle name="Input 2 2 4 7 3 3" xfId="19845" xr:uid="{00000000-0005-0000-0000-0000B5180000}"/>
    <cellStyle name="Input 2 2 4 7 3_Summary" xfId="20728" xr:uid="{00000000-0005-0000-0000-0000B6180000}"/>
    <cellStyle name="Input 2 2 4 7 4" xfId="9055" xr:uid="{00000000-0005-0000-0000-0000B7180000}"/>
    <cellStyle name="Input 2 2 4 7 5" xfId="15674" xr:uid="{00000000-0005-0000-0000-0000B8180000}"/>
    <cellStyle name="Input 2 2 4 7_Summary" xfId="20726" xr:uid="{00000000-0005-0000-0000-0000B9180000}"/>
    <cellStyle name="Input 2 2 4 8" xfId="2848" xr:uid="{00000000-0005-0000-0000-0000BA180000}"/>
    <cellStyle name="Input 2 2 4 8 2" xfId="9444" xr:uid="{00000000-0005-0000-0000-0000BB180000}"/>
    <cellStyle name="Input 2 2 4 8 3" xfId="16063" xr:uid="{00000000-0005-0000-0000-0000BC180000}"/>
    <cellStyle name="Input 2 2 4 8_Summary" xfId="20729" xr:uid="{00000000-0005-0000-0000-0000BD180000}"/>
    <cellStyle name="Input 2 2 4 9" xfId="4883" xr:uid="{00000000-0005-0000-0000-0000BE180000}"/>
    <cellStyle name="Input 2 2 4 9 2" xfId="11479" xr:uid="{00000000-0005-0000-0000-0000BF180000}"/>
    <cellStyle name="Input 2 2 4 9 3" xfId="18098" xr:uid="{00000000-0005-0000-0000-0000C0180000}"/>
    <cellStyle name="Input 2 2 4 9_Summary" xfId="20730" xr:uid="{00000000-0005-0000-0000-0000C1180000}"/>
    <cellStyle name="Input 2 2 4_Summary" xfId="20709" xr:uid="{00000000-0005-0000-0000-0000C2180000}"/>
    <cellStyle name="Input 2 2 5" xfId="882" xr:uid="{00000000-0005-0000-0000-0000C3180000}"/>
    <cellStyle name="Input 2 2 5 2" xfId="3018" xr:uid="{00000000-0005-0000-0000-0000C4180000}"/>
    <cellStyle name="Input 2 2 5 2 2" xfId="9614" xr:uid="{00000000-0005-0000-0000-0000C5180000}"/>
    <cellStyle name="Input 2 2 5 2 3" xfId="16233" xr:uid="{00000000-0005-0000-0000-0000C6180000}"/>
    <cellStyle name="Input 2 2 5 2_Summary" xfId="20732" xr:uid="{00000000-0005-0000-0000-0000C7180000}"/>
    <cellStyle name="Input 2 2 5 3" xfId="5053" xr:uid="{00000000-0005-0000-0000-0000C8180000}"/>
    <cellStyle name="Input 2 2 5 3 2" xfId="11649" xr:uid="{00000000-0005-0000-0000-0000C9180000}"/>
    <cellStyle name="Input 2 2 5 3 3" xfId="18268" xr:uid="{00000000-0005-0000-0000-0000CA180000}"/>
    <cellStyle name="Input 2 2 5 3_Summary" xfId="20733" xr:uid="{00000000-0005-0000-0000-0000CB180000}"/>
    <cellStyle name="Input 2 2 5 4" xfId="7479" xr:uid="{00000000-0005-0000-0000-0000CC180000}"/>
    <cellStyle name="Input 2 2 5 5" xfId="14097" xr:uid="{00000000-0005-0000-0000-0000CD180000}"/>
    <cellStyle name="Input 2 2 5_Summary" xfId="20731" xr:uid="{00000000-0005-0000-0000-0000CE180000}"/>
    <cellStyle name="Input 2 2 6" xfId="1167" xr:uid="{00000000-0005-0000-0000-0000CF180000}"/>
    <cellStyle name="Input 2 2 6 2" xfId="3303" xr:uid="{00000000-0005-0000-0000-0000D0180000}"/>
    <cellStyle name="Input 2 2 6 2 2" xfId="9899" xr:uid="{00000000-0005-0000-0000-0000D1180000}"/>
    <cellStyle name="Input 2 2 6 2 3" xfId="16518" xr:uid="{00000000-0005-0000-0000-0000D2180000}"/>
    <cellStyle name="Input 2 2 6 2_Summary" xfId="20735" xr:uid="{00000000-0005-0000-0000-0000D3180000}"/>
    <cellStyle name="Input 2 2 6 3" xfId="5338" xr:uid="{00000000-0005-0000-0000-0000D4180000}"/>
    <cellStyle name="Input 2 2 6 3 2" xfId="11934" xr:uid="{00000000-0005-0000-0000-0000D5180000}"/>
    <cellStyle name="Input 2 2 6 3 3" xfId="18553" xr:uid="{00000000-0005-0000-0000-0000D6180000}"/>
    <cellStyle name="Input 2 2 6 3_Summary" xfId="20736" xr:uid="{00000000-0005-0000-0000-0000D7180000}"/>
    <cellStyle name="Input 2 2 6 4" xfId="7763" xr:uid="{00000000-0005-0000-0000-0000D8180000}"/>
    <cellStyle name="Input 2 2 6 5" xfId="14382" xr:uid="{00000000-0005-0000-0000-0000D9180000}"/>
    <cellStyle name="Input 2 2 6_Summary" xfId="20734" xr:uid="{00000000-0005-0000-0000-0000DA180000}"/>
    <cellStyle name="Input 2 2 7" xfId="1449" xr:uid="{00000000-0005-0000-0000-0000DB180000}"/>
    <cellStyle name="Input 2 2 7 2" xfId="3585" xr:uid="{00000000-0005-0000-0000-0000DC180000}"/>
    <cellStyle name="Input 2 2 7 2 2" xfId="10181" xr:uid="{00000000-0005-0000-0000-0000DD180000}"/>
    <cellStyle name="Input 2 2 7 2 3" xfId="16800" xr:uid="{00000000-0005-0000-0000-0000DE180000}"/>
    <cellStyle name="Input 2 2 7 2_Summary" xfId="20738" xr:uid="{00000000-0005-0000-0000-0000DF180000}"/>
    <cellStyle name="Input 2 2 7 3" xfId="5620" xr:uid="{00000000-0005-0000-0000-0000E0180000}"/>
    <cellStyle name="Input 2 2 7 3 2" xfId="12216" xr:uid="{00000000-0005-0000-0000-0000E1180000}"/>
    <cellStyle name="Input 2 2 7 3 3" xfId="18835" xr:uid="{00000000-0005-0000-0000-0000E2180000}"/>
    <cellStyle name="Input 2 2 7 3_Summary" xfId="20739" xr:uid="{00000000-0005-0000-0000-0000E3180000}"/>
    <cellStyle name="Input 2 2 7 4" xfId="8045" xr:uid="{00000000-0005-0000-0000-0000E4180000}"/>
    <cellStyle name="Input 2 2 7 5" xfId="14664" xr:uid="{00000000-0005-0000-0000-0000E5180000}"/>
    <cellStyle name="Input 2 2 7_Summary" xfId="20737" xr:uid="{00000000-0005-0000-0000-0000E6180000}"/>
    <cellStyle name="Input 2 2 8" xfId="1730" xr:uid="{00000000-0005-0000-0000-0000E7180000}"/>
    <cellStyle name="Input 2 2 8 2" xfId="3866" xr:uid="{00000000-0005-0000-0000-0000E8180000}"/>
    <cellStyle name="Input 2 2 8 2 2" xfId="10462" xr:uid="{00000000-0005-0000-0000-0000E9180000}"/>
    <cellStyle name="Input 2 2 8 2 3" xfId="17081" xr:uid="{00000000-0005-0000-0000-0000EA180000}"/>
    <cellStyle name="Input 2 2 8 2_Summary" xfId="20741" xr:uid="{00000000-0005-0000-0000-0000EB180000}"/>
    <cellStyle name="Input 2 2 8 3" xfId="5901" xr:uid="{00000000-0005-0000-0000-0000EC180000}"/>
    <cellStyle name="Input 2 2 8 3 2" xfId="12497" xr:uid="{00000000-0005-0000-0000-0000ED180000}"/>
    <cellStyle name="Input 2 2 8 3 3" xfId="19116" xr:uid="{00000000-0005-0000-0000-0000EE180000}"/>
    <cellStyle name="Input 2 2 8 3_Summary" xfId="20742" xr:uid="{00000000-0005-0000-0000-0000EF180000}"/>
    <cellStyle name="Input 2 2 8 4" xfId="8326" xr:uid="{00000000-0005-0000-0000-0000F0180000}"/>
    <cellStyle name="Input 2 2 8 5" xfId="14945" xr:uid="{00000000-0005-0000-0000-0000F1180000}"/>
    <cellStyle name="Input 2 2 8_Summary" xfId="20740" xr:uid="{00000000-0005-0000-0000-0000F2180000}"/>
    <cellStyle name="Input 2 2 9" xfId="2009" xr:uid="{00000000-0005-0000-0000-0000F3180000}"/>
    <cellStyle name="Input 2 2 9 2" xfId="4145" xr:uid="{00000000-0005-0000-0000-0000F4180000}"/>
    <cellStyle name="Input 2 2 9 2 2" xfId="10741" xr:uid="{00000000-0005-0000-0000-0000F5180000}"/>
    <cellStyle name="Input 2 2 9 2 3" xfId="17360" xr:uid="{00000000-0005-0000-0000-0000F6180000}"/>
    <cellStyle name="Input 2 2 9 2_Summary" xfId="20744" xr:uid="{00000000-0005-0000-0000-0000F7180000}"/>
    <cellStyle name="Input 2 2 9 3" xfId="6180" xr:uid="{00000000-0005-0000-0000-0000F8180000}"/>
    <cellStyle name="Input 2 2 9 3 2" xfId="12776" xr:uid="{00000000-0005-0000-0000-0000F9180000}"/>
    <cellStyle name="Input 2 2 9 3 3" xfId="19395" xr:uid="{00000000-0005-0000-0000-0000FA180000}"/>
    <cellStyle name="Input 2 2 9 3_Summary" xfId="20745" xr:uid="{00000000-0005-0000-0000-0000FB180000}"/>
    <cellStyle name="Input 2 2 9 4" xfId="8605" xr:uid="{00000000-0005-0000-0000-0000FC180000}"/>
    <cellStyle name="Input 2 2 9 5" xfId="15224" xr:uid="{00000000-0005-0000-0000-0000FD180000}"/>
    <cellStyle name="Input 2 2 9_Summary" xfId="20743" xr:uid="{00000000-0005-0000-0000-0000FE180000}"/>
    <cellStyle name="Input 2 2_Summary" xfId="20636" xr:uid="{00000000-0005-0000-0000-0000FF180000}"/>
    <cellStyle name="Input 2 20" xfId="6733" xr:uid="{00000000-0005-0000-0000-000000190000}"/>
    <cellStyle name="Input 2 20 2" xfId="13329" xr:uid="{00000000-0005-0000-0000-000001190000}"/>
    <cellStyle name="Input 2 20 3" xfId="19948" xr:uid="{00000000-0005-0000-0000-000002190000}"/>
    <cellStyle name="Input 2 20_Summary" xfId="20746" xr:uid="{00000000-0005-0000-0000-000003190000}"/>
    <cellStyle name="Input 2 21" xfId="6739" xr:uid="{00000000-0005-0000-0000-000004190000}"/>
    <cellStyle name="Input 2 21 2" xfId="13335" xr:uid="{00000000-0005-0000-0000-000005190000}"/>
    <cellStyle name="Input 2 21 3" xfId="19954" xr:uid="{00000000-0005-0000-0000-000006190000}"/>
    <cellStyle name="Input 2 21_Summary" xfId="20747" xr:uid="{00000000-0005-0000-0000-000007190000}"/>
    <cellStyle name="Input 2 22" xfId="6732" xr:uid="{00000000-0005-0000-0000-000008190000}"/>
    <cellStyle name="Input 2 22 2" xfId="13328" xr:uid="{00000000-0005-0000-0000-000009190000}"/>
    <cellStyle name="Input 2 22 3" xfId="19947" xr:uid="{00000000-0005-0000-0000-00000A190000}"/>
    <cellStyle name="Input 2 22_Summary" xfId="20748" xr:uid="{00000000-0005-0000-0000-00000B190000}"/>
    <cellStyle name="Input 2 23" xfId="4696" xr:uid="{00000000-0005-0000-0000-00000C190000}"/>
    <cellStyle name="Input 2 23 2" xfId="11292" xr:uid="{00000000-0005-0000-0000-00000D190000}"/>
    <cellStyle name="Input 2 23 3" xfId="17911" xr:uid="{00000000-0005-0000-0000-00000E190000}"/>
    <cellStyle name="Input 2 23_Summary" xfId="20749" xr:uid="{00000000-0005-0000-0000-00000F190000}"/>
    <cellStyle name="Input 2 24" xfId="6727" xr:uid="{00000000-0005-0000-0000-000010190000}"/>
    <cellStyle name="Input 2 24 2" xfId="13323" xr:uid="{00000000-0005-0000-0000-000011190000}"/>
    <cellStyle name="Input 2 24 3" xfId="19942" xr:uid="{00000000-0005-0000-0000-000012190000}"/>
    <cellStyle name="Input 2 24_Summary" xfId="20750" xr:uid="{00000000-0005-0000-0000-000013190000}"/>
    <cellStyle name="Input 2 25" xfId="6776" xr:uid="{00000000-0005-0000-0000-000014190000}"/>
    <cellStyle name="Input 2 25 2" xfId="13372" xr:uid="{00000000-0005-0000-0000-000015190000}"/>
    <cellStyle name="Input 2 25 3" xfId="19991" xr:uid="{00000000-0005-0000-0000-000016190000}"/>
    <cellStyle name="Input 2 25_Summary" xfId="20751" xr:uid="{00000000-0005-0000-0000-000017190000}"/>
    <cellStyle name="Input 2 26" xfId="6762" xr:uid="{00000000-0005-0000-0000-000018190000}"/>
    <cellStyle name="Input 2 26 2" xfId="13358" xr:uid="{00000000-0005-0000-0000-000019190000}"/>
    <cellStyle name="Input 2 26 3" xfId="19977" xr:uid="{00000000-0005-0000-0000-00001A190000}"/>
    <cellStyle name="Input 2 26_Summary" xfId="20752" xr:uid="{00000000-0005-0000-0000-00001B190000}"/>
    <cellStyle name="Input 2 27" xfId="6778" xr:uid="{00000000-0005-0000-0000-00001C190000}"/>
    <cellStyle name="Input 2 27 2" xfId="13374" xr:uid="{00000000-0005-0000-0000-00001D190000}"/>
    <cellStyle name="Input 2 27 3" xfId="19993" xr:uid="{00000000-0005-0000-0000-00001E190000}"/>
    <cellStyle name="Input 2 27_Summary" xfId="20753" xr:uid="{00000000-0005-0000-0000-00001F190000}"/>
    <cellStyle name="Input 2 28" xfId="6763" xr:uid="{00000000-0005-0000-0000-000020190000}"/>
    <cellStyle name="Input 2 28 2" xfId="13359" xr:uid="{00000000-0005-0000-0000-000021190000}"/>
    <cellStyle name="Input 2 28 3" xfId="19978" xr:uid="{00000000-0005-0000-0000-000022190000}"/>
    <cellStyle name="Input 2 28_Summary" xfId="20754" xr:uid="{00000000-0005-0000-0000-000023190000}"/>
    <cellStyle name="Input 2 29" xfId="6777" xr:uid="{00000000-0005-0000-0000-000024190000}"/>
    <cellStyle name="Input 2 29 2" xfId="13373" xr:uid="{00000000-0005-0000-0000-000025190000}"/>
    <cellStyle name="Input 2 29 3" xfId="19992" xr:uid="{00000000-0005-0000-0000-000026190000}"/>
    <cellStyle name="Input 2 29_Summary" xfId="20755" xr:uid="{00000000-0005-0000-0000-000027190000}"/>
    <cellStyle name="Input 2 3" xfId="164" xr:uid="{00000000-0005-0000-0000-000028190000}"/>
    <cellStyle name="Input 2 3 10" xfId="676" xr:uid="{00000000-0005-0000-0000-000029190000}"/>
    <cellStyle name="Input 2 3 10 2" xfId="2812" xr:uid="{00000000-0005-0000-0000-00002A190000}"/>
    <cellStyle name="Input 2 3 10 2 2" xfId="9408" xr:uid="{00000000-0005-0000-0000-00002B190000}"/>
    <cellStyle name="Input 2 3 10 2 3" xfId="16027" xr:uid="{00000000-0005-0000-0000-00002C190000}"/>
    <cellStyle name="Input 2 3 10 2_Summary" xfId="20758" xr:uid="{00000000-0005-0000-0000-00002D190000}"/>
    <cellStyle name="Input 2 3 10 3" xfId="4847" xr:uid="{00000000-0005-0000-0000-00002E190000}"/>
    <cellStyle name="Input 2 3 10 3 2" xfId="11443" xr:uid="{00000000-0005-0000-0000-00002F190000}"/>
    <cellStyle name="Input 2 3 10 3 3" xfId="18062" xr:uid="{00000000-0005-0000-0000-000030190000}"/>
    <cellStyle name="Input 2 3 10 3_Summary" xfId="20759" xr:uid="{00000000-0005-0000-0000-000031190000}"/>
    <cellStyle name="Input 2 3 10 4" xfId="7438" xr:uid="{00000000-0005-0000-0000-000032190000}"/>
    <cellStyle name="Input 2 3 10 5" xfId="13891" xr:uid="{00000000-0005-0000-0000-000033190000}"/>
    <cellStyle name="Input 2 3 10_Summary" xfId="20757" xr:uid="{00000000-0005-0000-0000-000034190000}"/>
    <cellStyle name="Input 2 3 11" xfId="2597" xr:uid="{00000000-0005-0000-0000-000035190000}"/>
    <cellStyle name="Input 2 3 11 2" xfId="9193" xr:uid="{00000000-0005-0000-0000-000036190000}"/>
    <cellStyle name="Input 2 3 11 3" xfId="15812" xr:uid="{00000000-0005-0000-0000-000037190000}"/>
    <cellStyle name="Input 2 3 11_Summary" xfId="20760" xr:uid="{00000000-0005-0000-0000-000038190000}"/>
    <cellStyle name="Input 2 3 12" xfId="2554" xr:uid="{00000000-0005-0000-0000-000039190000}"/>
    <cellStyle name="Input 2 3 12 2" xfId="9150" xr:uid="{00000000-0005-0000-0000-00003A190000}"/>
    <cellStyle name="Input 2 3 12 3" xfId="15769" xr:uid="{00000000-0005-0000-0000-00003B190000}"/>
    <cellStyle name="Input 2 3 12_Summary" xfId="20761" xr:uid="{00000000-0005-0000-0000-00003C190000}"/>
    <cellStyle name="Input 2 3 13" xfId="486" xr:uid="{00000000-0005-0000-0000-00003D190000}"/>
    <cellStyle name="Input 2 3 13 2" xfId="13701" xr:uid="{00000000-0005-0000-0000-00003E190000}"/>
    <cellStyle name="Input 2 3 13_Summary" xfId="20762" xr:uid="{00000000-0005-0000-0000-00003F190000}"/>
    <cellStyle name="Input 2 3 14" xfId="7076" xr:uid="{00000000-0005-0000-0000-000040190000}"/>
    <cellStyle name="Input 2 3 15" xfId="13412" xr:uid="{00000000-0005-0000-0000-000041190000}"/>
    <cellStyle name="Input 2 3 16" xfId="26138" xr:uid="{300B6F1A-5A41-481D-BDEF-17506AB58F71}"/>
    <cellStyle name="Input 2 3 17" xfId="26652" xr:uid="{F2D75B84-9813-4BD3-9AD4-F5E642029824}"/>
    <cellStyle name="Input 2 3 18" xfId="26251" xr:uid="{E3BC12AC-8B16-4F4F-BF29-1F119F2C67BD}"/>
    <cellStyle name="Input 2 3 19" xfId="26568" xr:uid="{759E2557-8601-4BAC-9774-827AAB363117}"/>
    <cellStyle name="Input 2 3 2" xfId="300" xr:uid="{00000000-0005-0000-0000-000042190000}"/>
    <cellStyle name="Input 2 3 2 10" xfId="4721" xr:uid="{00000000-0005-0000-0000-000043190000}"/>
    <cellStyle name="Input 2 3 2 10 2" xfId="11317" xr:uid="{00000000-0005-0000-0000-000044190000}"/>
    <cellStyle name="Input 2 3 2 10 3" xfId="17936" xr:uid="{00000000-0005-0000-0000-000045190000}"/>
    <cellStyle name="Input 2 3 2 10_Summary" xfId="20764" xr:uid="{00000000-0005-0000-0000-000046190000}"/>
    <cellStyle name="Input 2 3 2 11" xfId="550" xr:uid="{00000000-0005-0000-0000-000047190000}"/>
    <cellStyle name="Input 2 3 2 11 2" xfId="13765" xr:uid="{00000000-0005-0000-0000-000048190000}"/>
    <cellStyle name="Input 2 3 2 11_Summary" xfId="20765" xr:uid="{00000000-0005-0000-0000-000049190000}"/>
    <cellStyle name="Input 2 3 2 12" xfId="7194" xr:uid="{00000000-0005-0000-0000-00004A190000}"/>
    <cellStyle name="Input 2 3 2 13" xfId="13516" xr:uid="{00000000-0005-0000-0000-00004B190000}"/>
    <cellStyle name="Input 2 3 2 14" xfId="26276" xr:uid="{C8A624F8-2C9C-4C40-90BB-D8F6A0067AE4}"/>
    <cellStyle name="Input 2 3 2 15" xfId="26692" xr:uid="{0F960EA0-FC14-47AD-9B47-46AF88130DF7}"/>
    <cellStyle name="Input 2 3 2 16" xfId="26941" xr:uid="{542A512E-0265-4D83-873F-8FC283129324}"/>
    <cellStyle name="Input 2 3 2 17" xfId="26663" xr:uid="{5F42F8BA-FED6-4D3E-ACD2-68D3A634FA1F}"/>
    <cellStyle name="Input 2 3 2 18" xfId="27026" xr:uid="{A66E88AD-2F0A-470F-9828-BFDE3528D944}"/>
    <cellStyle name="Input 2 3 2 19" xfId="28678" xr:uid="{F6B377ED-F138-4AA8-98EE-51A4DBEE42BC}"/>
    <cellStyle name="Input 2 3 2 2" xfId="429" xr:uid="{00000000-0005-0000-0000-00004C190000}"/>
    <cellStyle name="Input 2 3 2 2 10" xfId="823" xr:uid="{00000000-0005-0000-0000-00004D190000}"/>
    <cellStyle name="Input 2 3 2 2 10 2" xfId="14038" xr:uid="{00000000-0005-0000-0000-00004E190000}"/>
    <cellStyle name="Input 2 3 2 2 10_Summary" xfId="20767" xr:uid="{00000000-0005-0000-0000-00004F190000}"/>
    <cellStyle name="Input 2 3 2 2 11" xfId="7322" xr:uid="{00000000-0005-0000-0000-000050190000}"/>
    <cellStyle name="Input 2 3 2 2 12" xfId="13644" xr:uid="{00000000-0005-0000-0000-000051190000}"/>
    <cellStyle name="Input 2 3 2 2 13" xfId="26421" xr:uid="{072B55AD-BB76-4CC6-9968-CDD7D8A192E1}"/>
    <cellStyle name="Input 2 3 2 2 14" xfId="26819" xr:uid="{316175C0-79C2-41B2-AE4D-EAD6D1EAA65F}"/>
    <cellStyle name="Input 2 3 2 2 15" xfId="26998" xr:uid="{D2C7D19B-2DE4-4E53-A84A-D745EA700B93}"/>
    <cellStyle name="Input 2 3 2 2 16" xfId="25867" xr:uid="{9C26BD6C-B1AA-4D30-9DCE-CCB80CB5865E}"/>
    <cellStyle name="Input 2 3 2 2 17" xfId="27046" xr:uid="{57C1F1BA-9528-4BDE-AB0B-1ADE108E013B}"/>
    <cellStyle name="Input 2 3 2 2 18" xfId="30201" xr:uid="{F8FC1D0C-D2CC-4D06-A25E-8CB593E73415}"/>
    <cellStyle name="Input 2 3 2 2 19" xfId="31633" xr:uid="{391BBB9C-EBEB-47E5-A3B0-0CFAEBDC2EE6}"/>
    <cellStyle name="Input 2 3 2 2 2" xfId="1123" xr:uid="{00000000-0005-0000-0000-000052190000}"/>
    <cellStyle name="Input 2 3 2 2 2 10" xfId="26645" xr:uid="{485B5B01-EF68-4AAA-8661-E45591EDBB9C}"/>
    <cellStyle name="Input 2 3 2 2 2 2" xfId="3259" xr:uid="{00000000-0005-0000-0000-000053190000}"/>
    <cellStyle name="Input 2 3 2 2 2 2 2" xfId="9855" xr:uid="{00000000-0005-0000-0000-000054190000}"/>
    <cellStyle name="Input 2 3 2 2 2 2 3" xfId="16474" xr:uid="{00000000-0005-0000-0000-000055190000}"/>
    <cellStyle name="Input 2 3 2 2 2 2_Summary" xfId="20769" xr:uid="{00000000-0005-0000-0000-000056190000}"/>
    <cellStyle name="Input 2 3 2 2 2 3" xfId="5294" xr:uid="{00000000-0005-0000-0000-000057190000}"/>
    <cellStyle name="Input 2 3 2 2 2 3 2" xfId="11890" xr:uid="{00000000-0005-0000-0000-000058190000}"/>
    <cellStyle name="Input 2 3 2 2 2 3 3" xfId="18509" xr:uid="{00000000-0005-0000-0000-000059190000}"/>
    <cellStyle name="Input 2 3 2 2 2 3_Summary" xfId="20770" xr:uid="{00000000-0005-0000-0000-00005A190000}"/>
    <cellStyle name="Input 2 3 2 2 2 4" xfId="7719" xr:uid="{00000000-0005-0000-0000-00005B190000}"/>
    <cellStyle name="Input 2 3 2 2 2 5" xfId="14338" xr:uid="{00000000-0005-0000-0000-00005C190000}"/>
    <cellStyle name="Input 2 3 2 2 2 6" xfId="26332" xr:uid="{9161D2CD-A5A4-4EFC-90FE-D48194CC70FE}"/>
    <cellStyle name="Input 2 3 2 2 2 7" xfId="26741" xr:uid="{032FD3BB-CCEE-46CE-A97D-0B7F8D0BDD1D}"/>
    <cellStyle name="Input 2 3 2 2 2 8" xfId="26963" xr:uid="{2214DEB9-667F-4E5B-B4B8-BE018F02665B}"/>
    <cellStyle name="Input 2 3 2 2 2 9" xfId="26650" xr:uid="{C1861D26-CD31-4B7D-8297-2FF2D7C23BE9}"/>
    <cellStyle name="Input 2 3 2 2 2_Summary" xfId="20768" xr:uid="{00000000-0005-0000-0000-00005D190000}"/>
    <cellStyle name="Input 2 3 2 2 3" xfId="1405" xr:uid="{00000000-0005-0000-0000-00005E190000}"/>
    <cellStyle name="Input 2 3 2 2 3 2" xfId="3541" xr:uid="{00000000-0005-0000-0000-00005F190000}"/>
    <cellStyle name="Input 2 3 2 2 3 2 2" xfId="10137" xr:uid="{00000000-0005-0000-0000-000060190000}"/>
    <cellStyle name="Input 2 3 2 2 3 2 3" xfId="16756" xr:uid="{00000000-0005-0000-0000-000061190000}"/>
    <cellStyle name="Input 2 3 2 2 3 2_Summary" xfId="20772" xr:uid="{00000000-0005-0000-0000-000062190000}"/>
    <cellStyle name="Input 2 3 2 2 3 3" xfId="5576" xr:uid="{00000000-0005-0000-0000-000063190000}"/>
    <cellStyle name="Input 2 3 2 2 3 3 2" xfId="12172" xr:uid="{00000000-0005-0000-0000-000064190000}"/>
    <cellStyle name="Input 2 3 2 2 3 3 3" xfId="18791" xr:uid="{00000000-0005-0000-0000-000065190000}"/>
    <cellStyle name="Input 2 3 2 2 3 3_Summary" xfId="20773" xr:uid="{00000000-0005-0000-0000-000066190000}"/>
    <cellStyle name="Input 2 3 2 2 3 4" xfId="8001" xr:uid="{00000000-0005-0000-0000-000067190000}"/>
    <cellStyle name="Input 2 3 2 2 3 5" xfId="14620" xr:uid="{00000000-0005-0000-0000-000068190000}"/>
    <cellStyle name="Input 2 3 2 2 3_Summary" xfId="20771" xr:uid="{00000000-0005-0000-0000-000069190000}"/>
    <cellStyle name="Input 2 3 2 2 4" xfId="1686" xr:uid="{00000000-0005-0000-0000-00006A190000}"/>
    <cellStyle name="Input 2 3 2 2 4 2" xfId="3822" xr:uid="{00000000-0005-0000-0000-00006B190000}"/>
    <cellStyle name="Input 2 3 2 2 4 2 2" xfId="10418" xr:uid="{00000000-0005-0000-0000-00006C190000}"/>
    <cellStyle name="Input 2 3 2 2 4 2 3" xfId="17037" xr:uid="{00000000-0005-0000-0000-00006D190000}"/>
    <cellStyle name="Input 2 3 2 2 4 2_Summary" xfId="20775" xr:uid="{00000000-0005-0000-0000-00006E190000}"/>
    <cellStyle name="Input 2 3 2 2 4 3" xfId="5857" xr:uid="{00000000-0005-0000-0000-00006F190000}"/>
    <cellStyle name="Input 2 3 2 2 4 3 2" xfId="12453" xr:uid="{00000000-0005-0000-0000-000070190000}"/>
    <cellStyle name="Input 2 3 2 2 4 3 3" xfId="19072" xr:uid="{00000000-0005-0000-0000-000071190000}"/>
    <cellStyle name="Input 2 3 2 2 4 3_Summary" xfId="20776" xr:uid="{00000000-0005-0000-0000-000072190000}"/>
    <cellStyle name="Input 2 3 2 2 4 4" xfId="8282" xr:uid="{00000000-0005-0000-0000-000073190000}"/>
    <cellStyle name="Input 2 3 2 2 4 5" xfId="14901" xr:uid="{00000000-0005-0000-0000-000074190000}"/>
    <cellStyle name="Input 2 3 2 2 4_Summary" xfId="20774" xr:uid="{00000000-0005-0000-0000-000075190000}"/>
    <cellStyle name="Input 2 3 2 2 5" xfId="1965" xr:uid="{00000000-0005-0000-0000-000076190000}"/>
    <cellStyle name="Input 2 3 2 2 5 2" xfId="4101" xr:uid="{00000000-0005-0000-0000-000077190000}"/>
    <cellStyle name="Input 2 3 2 2 5 2 2" xfId="10697" xr:uid="{00000000-0005-0000-0000-000078190000}"/>
    <cellStyle name="Input 2 3 2 2 5 2 3" xfId="17316" xr:uid="{00000000-0005-0000-0000-000079190000}"/>
    <cellStyle name="Input 2 3 2 2 5 2_Summary" xfId="20778" xr:uid="{00000000-0005-0000-0000-00007A190000}"/>
    <cellStyle name="Input 2 3 2 2 5 3" xfId="6136" xr:uid="{00000000-0005-0000-0000-00007B190000}"/>
    <cellStyle name="Input 2 3 2 2 5 3 2" xfId="12732" xr:uid="{00000000-0005-0000-0000-00007C190000}"/>
    <cellStyle name="Input 2 3 2 2 5 3 3" xfId="19351" xr:uid="{00000000-0005-0000-0000-00007D190000}"/>
    <cellStyle name="Input 2 3 2 2 5 3_Summary" xfId="20779" xr:uid="{00000000-0005-0000-0000-00007E190000}"/>
    <cellStyle name="Input 2 3 2 2 5 4" xfId="8561" xr:uid="{00000000-0005-0000-0000-00007F190000}"/>
    <cellStyle name="Input 2 3 2 2 5 5" xfId="15180" xr:uid="{00000000-0005-0000-0000-000080190000}"/>
    <cellStyle name="Input 2 3 2 2 5_Summary" xfId="20777" xr:uid="{00000000-0005-0000-0000-000081190000}"/>
    <cellStyle name="Input 2 3 2 2 6" xfId="2240" xr:uid="{00000000-0005-0000-0000-000082190000}"/>
    <cellStyle name="Input 2 3 2 2 6 2" xfId="4376" xr:uid="{00000000-0005-0000-0000-000083190000}"/>
    <cellStyle name="Input 2 3 2 2 6 2 2" xfId="10972" xr:uid="{00000000-0005-0000-0000-000084190000}"/>
    <cellStyle name="Input 2 3 2 2 6 2 3" xfId="17591" xr:uid="{00000000-0005-0000-0000-000085190000}"/>
    <cellStyle name="Input 2 3 2 2 6 2_Summary" xfId="20781" xr:uid="{00000000-0005-0000-0000-000086190000}"/>
    <cellStyle name="Input 2 3 2 2 6 3" xfId="6411" xr:uid="{00000000-0005-0000-0000-000087190000}"/>
    <cellStyle name="Input 2 3 2 2 6 3 2" xfId="13007" xr:uid="{00000000-0005-0000-0000-000088190000}"/>
    <cellStyle name="Input 2 3 2 2 6 3 3" xfId="19626" xr:uid="{00000000-0005-0000-0000-000089190000}"/>
    <cellStyle name="Input 2 3 2 2 6 3_Summary" xfId="20782" xr:uid="{00000000-0005-0000-0000-00008A190000}"/>
    <cellStyle name="Input 2 3 2 2 6 4" xfId="8836" xr:uid="{00000000-0005-0000-0000-00008B190000}"/>
    <cellStyle name="Input 2 3 2 2 6 5" xfId="15455" xr:uid="{00000000-0005-0000-0000-00008C190000}"/>
    <cellStyle name="Input 2 3 2 2 6_Summary" xfId="20780" xr:uid="{00000000-0005-0000-0000-00008D190000}"/>
    <cellStyle name="Input 2 3 2 2 7" xfId="2513" xr:uid="{00000000-0005-0000-0000-00008E190000}"/>
    <cellStyle name="Input 2 3 2 2 7 2" xfId="4649" xr:uid="{00000000-0005-0000-0000-00008F190000}"/>
    <cellStyle name="Input 2 3 2 2 7 2 2" xfId="11245" xr:uid="{00000000-0005-0000-0000-000090190000}"/>
    <cellStyle name="Input 2 3 2 2 7 2 3" xfId="17864" xr:uid="{00000000-0005-0000-0000-000091190000}"/>
    <cellStyle name="Input 2 3 2 2 7 2_Summary" xfId="20784" xr:uid="{00000000-0005-0000-0000-000092190000}"/>
    <cellStyle name="Input 2 3 2 2 7 3" xfId="6684" xr:uid="{00000000-0005-0000-0000-000093190000}"/>
    <cellStyle name="Input 2 3 2 2 7 3 2" xfId="13280" xr:uid="{00000000-0005-0000-0000-000094190000}"/>
    <cellStyle name="Input 2 3 2 2 7 3 3" xfId="19899" xr:uid="{00000000-0005-0000-0000-000095190000}"/>
    <cellStyle name="Input 2 3 2 2 7 3_Summary" xfId="20785" xr:uid="{00000000-0005-0000-0000-000096190000}"/>
    <cellStyle name="Input 2 3 2 2 7 4" xfId="9109" xr:uid="{00000000-0005-0000-0000-000097190000}"/>
    <cellStyle name="Input 2 3 2 2 7 5" xfId="15728" xr:uid="{00000000-0005-0000-0000-000098190000}"/>
    <cellStyle name="Input 2 3 2 2 7_Summary" xfId="20783" xr:uid="{00000000-0005-0000-0000-000099190000}"/>
    <cellStyle name="Input 2 3 2 2 8" xfId="2959" xr:uid="{00000000-0005-0000-0000-00009A190000}"/>
    <cellStyle name="Input 2 3 2 2 8 2" xfId="9555" xr:uid="{00000000-0005-0000-0000-00009B190000}"/>
    <cellStyle name="Input 2 3 2 2 8 3" xfId="16174" xr:uid="{00000000-0005-0000-0000-00009C190000}"/>
    <cellStyle name="Input 2 3 2 2 8_Summary" xfId="20786" xr:uid="{00000000-0005-0000-0000-00009D190000}"/>
    <cellStyle name="Input 2 3 2 2 9" xfId="4994" xr:uid="{00000000-0005-0000-0000-00009E190000}"/>
    <cellStyle name="Input 2 3 2 2 9 2" xfId="11590" xr:uid="{00000000-0005-0000-0000-00009F190000}"/>
    <cellStyle name="Input 2 3 2 2 9 3" xfId="18209" xr:uid="{00000000-0005-0000-0000-0000A0190000}"/>
    <cellStyle name="Input 2 3 2 2 9_Summary" xfId="20787" xr:uid="{00000000-0005-0000-0000-0000A1190000}"/>
    <cellStyle name="Input 2 3 2 2_Summary" xfId="20766" xr:uid="{00000000-0005-0000-0000-0000A2190000}"/>
    <cellStyle name="Input 2 3 2 20" xfId="30919" xr:uid="{C18747F0-E8E2-480E-8FFC-52D3CA47F449}"/>
    <cellStyle name="Input 2 3 2 3" xfId="995" xr:uid="{00000000-0005-0000-0000-0000A3190000}"/>
    <cellStyle name="Input 2 3 2 3 2" xfId="3131" xr:uid="{00000000-0005-0000-0000-0000A4190000}"/>
    <cellStyle name="Input 2 3 2 3 2 2" xfId="9727" xr:uid="{00000000-0005-0000-0000-0000A5190000}"/>
    <cellStyle name="Input 2 3 2 3 2 3" xfId="16346" xr:uid="{00000000-0005-0000-0000-0000A6190000}"/>
    <cellStyle name="Input 2 3 2 3 2_Summary" xfId="20789" xr:uid="{00000000-0005-0000-0000-0000A7190000}"/>
    <cellStyle name="Input 2 3 2 3 3" xfId="5166" xr:uid="{00000000-0005-0000-0000-0000A8190000}"/>
    <cellStyle name="Input 2 3 2 3 3 2" xfId="11762" xr:uid="{00000000-0005-0000-0000-0000A9190000}"/>
    <cellStyle name="Input 2 3 2 3 3 3" xfId="18381" xr:uid="{00000000-0005-0000-0000-0000AA190000}"/>
    <cellStyle name="Input 2 3 2 3 3_Summary" xfId="20790" xr:uid="{00000000-0005-0000-0000-0000AB190000}"/>
    <cellStyle name="Input 2 3 2 3 4" xfId="7592" xr:uid="{00000000-0005-0000-0000-0000AC190000}"/>
    <cellStyle name="Input 2 3 2 3 5" xfId="14210" xr:uid="{00000000-0005-0000-0000-0000AD190000}"/>
    <cellStyle name="Input 2 3 2 3_Summary" xfId="20788" xr:uid="{00000000-0005-0000-0000-0000AE190000}"/>
    <cellStyle name="Input 2 3 2 4" xfId="1277" xr:uid="{00000000-0005-0000-0000-0000AF190000}"/>
    <cellStyle name="Input 2 3 2 4 2" xfId="3413" xr:uid="{00000000-0005-0000-0000-0000B0190000}"/>
    <cellStyle name="Input 2 3 2 4 2 2" xfId="10009" xr:uid="{00000000-0005-0000-0000-0000B1190000}"/>
    <cellStyle name="Input 2 3 2 4 2 3" xfId="16628" xr:uid="{00000000-0005-0000-0000-0000B2190000}"/>
    <cellStyle name="Input 2 3 2 4 2_Summary" xfId="20792" xr:uid="{00000000-0005-0000-0000-0000B3190000}"/>
    <cellStyle name="Input 2 3 2 4 3" xfId="5448" xr:uid="{00000000-0005-0000-0000-0000B4190000}"/>
    <cellStyle name="Input 2 3 2 4 3 2" xfId="12044" xr:uid="{00000000-0005-0000-0000-0000B5190000}"/>
    <cellStyle name="Input 2 3 2 4 3 3" xfId="18663" xr:uid="{00000000-0005-0000-0000-0000B6190000}"/>
    <cellStyle name="Input 2 3 2 4 3_Summary" xfId="20793" xr:uid="{00000000-0005-0000-0000-0000B7190000}"/>
    <cellStyle name="Input 2 3 2 4 4" xfId="7873" xr:uid="{00000000-0005-0000-0000-0000B8190000}"/>
    <cellStyle name="Input 2 3 2 4 5" xfId="14492" xr:uid="{00000000-0005-0000-0000-0000B9190000}"/>
    <cellStyle name="Input 2 3 2 4_Summary" xfId="20791" xr:uid="{00000000-0005-0000-0000-0000BA190000}"/>
    <cellStyle name="Input 2 3 2 5" xfId="1558" xr:uid="{00000000-0005-0000-0000-0000BB190000}"/>
    <cellStyle name="Input 2 3 2 5 2" xfId="3694" xr:uid="{00000000-0005-0000-0000-0000BC190000}"/>
    <cellStyle name="Input 2 3 2 5 2 2" xfId="10290" xr:uid="{00000000-0005-0000-0000-0000BD190000}"/>
    <cellStyle name="Input 2 3 2 5 2 3" xfId="16909" xr:uid="{00000000-0005-0000-0000-0000BE190000}"/>
    <cellStyle name="Input 2 3 2 5 2_Summary" xfId="20795" xr:uid="{00000000-0005-0000-0000-0000BF190000}"/>
    <cellStyle name="Input 2 3 2 5 3" xfId="5729" xr:uid="{00000000-0005-0000-0000-0000C0190000}"/>
    <cellStyle name="Input 2 3 2 5 3 2" xfId="12325" xr:uid="{00000000-0005-0000-0000-0000C1190000}"/>
    <cellStyle name="Input 2 3 2 5 3 3" xfId="18944" xr:uid="{00000000-0005-0000-0000-0000C2190000}"/>
    <cellStyle name="Input 2 3 2 5 3_Summary" xfId="20796" xr:uid="{00000000-0005-0000-0000-0000C3190000}"/>
    <cellStyle name="Input 2 3 2 5 4" xfId="8154" xr:uid="{00000000-0005-0000-0000-0000C4190000}"/>
    <cellStyle name="Input 2 3 2 5 5" xfId="14773" xr:uid="{00000000-0005-0000-0000-0000C5190000}"/>
    <cellStyle name="Input 2 3 2 5_Summary" xfId="20794" xr:uid="{00000000-0005-0000-0000-0000C6190000}"/>
    <cellStyle name="Input 2 3 2 6" xfId="1837" xr:uid="{00000000-0005-0000-0000-0000C7190000}"/>
    <cellStyle name="Input 2 3 2 6 2" xfId="3973" xr:uid="{00000000-0005-0000-0000-0000C8190000}"/>
    <cellStyle name="Input 2 3 2 6 2 2" xfId="10569" xr:uid="{00000000-0005-0000-0000-0000C9190000}"/>
    <cellStyle name="Input 2 3 2 6 2 3" xfId="17188" xr:uid="{00000000-0005-0000-0000-0000CA190000}"/>
    <cellStyle name="Input 2 3 2 6 2_Summary" xfId="20798" xr:uid="{00000000-0005-0000-0000-0000CB190000}"/>
    <cellStyle name="Input 2 3 2 6 3" xfId="6008" xr:uid="{00000000-0005-0000-0000-0000CC190000}"/>
    <cellStyle name="Input 2 3 2 6 3 2" xfId="12604" xr:uid="{00000000-0005-0000-0000-0000CD190000}"/>
    <cellStyle name="Input 2 3 2 6 3 3" xfId="19223" xr:uid="{00000000-0005-0000-0000-0000CE190000}"/>
    <cellStyle name="Input 2 3 2 6 3_Summary" xfId="20799" xr:uid="{00000000-0005-0000-0000-0000CF190000}"/>
    <cellStyle name="Input 2 3 2 6 4" xfId="8433" xr:uid="{00000000-0005-0000-0000-0000D0190000}"/>
    <cellStyle name="Input 2 3 2 6 5" xfId="15052" xr:uid="{00000000-0005-0000-0000-0000D1190000}"/>
    <cellStyle name="Input 2 3 2 6_Summary" xfId="20797" xr:uid="{00000000-0005-0000-0000-0000D2190000}"/>
    <cellStyle name="Input 2 3 2 7" xfId="2112" xr:uid="{00000000-0005-0000-0000-0000D3190000}"/>
    <cellStyle name="Input 2 3 2 7 2" xfId="4248" xr:uid="{00000000-0005-0000-0000-0000D4190000}"/>
    <cellStyle name="Input 2 3 2 7 2 2" xfId="10844" xr:uid="{00000000-0005-0000-0000-0000D5190000}"/>
    <cellStyle name="Input 2 3 2 7 2 3" xfId="17463" xr:uid="{00000000-0005-0000-0000-0000D6190000}"/>
    <cellStyle name="Input 2 3 2 7 2_Summary" xfId="20801" xr:uid="{00000000-0005-0000-0000-0000D7190000}"/>
    <cellStyle name="Input 2 3 2 7 3" xfId="6283" xr:uid="{00000000-0005-0000-0000-0000D8190000}"/>
    <cellStyle name="Input 2 3 2 7 3 2" xfId="12879" xr:uid="{00000000-0005-0000-0000-0000D9190000}"/>
    <cellStyle name="Input 2 3 2 7 3 3" xfId="19498" xr:uid="{00000000-0005-0000-0000-0000DA190000}"/>
    <cellStyle name="Input 2 3 2 7 3_Summary" xfId="20802" xr:uid="{00000000-0005-0000-0000-0000DB190000}"/>
    <cellStyle name="Input 2 3 2 7 4" xfId="8708" xr:uid="{00000000-0005-0000-0000-0000DC190000}"/>
    <cellStyle name="Input 2 3 2 7 5" xfId="15327" xr:uid="{00000000-0005-0000-0000-0000DD190000}"/>
    <cellStyle name="Input 2 3 2 7_Summary" xfId="20800" xr:uid="{00000000-0005-0000-0000-0000DE190000}"/>
    <cellStyle name="Input 2 3 2 8" xfId="2385" xr:uid="{00000000-0005-0000-0000-0000DF190000}"/>
    <cellStyle name="Input 2 3 2 8 2" xfId="4521" xr:uid="{00000000-0005-0000-0000-0000E0190000}"/>
    <cellStyle name="Input 2 3 2 8 2 2" xfId="11117" xr:uid="{00000000-0005-0000-0000-0000E1190000}"/>
    <cellStyle name="Input 2 3 2 8 2 3" xfId="17736" xr:uid="{00000000-0005-0000-0000-0000E2190000}"/>
    <cellStyle name="Input 2 3 2 8 2_Summary" xfId="20804" xr:uid="{00000000-0005-0000-0000-0000E3190000}"/>
    <cellStyle name="Input 2 3 2 8 3" xfId="6556" xr:uid="{00000000-0005-0000-0000-0000E4190000}"/>
    <cellStyle name="Input 2 3 2 8 3 2" xfId="13152" xr:uid="{00000000-0005-0000-0000-0000E5190000}"/>
    <cellStyle name="Input 2 3 2 8 3 3" xfId="19771" xr:uid="{00000000-0005-0000-0000-0000E6190000}"/>
    <cellStyle name="Input 2 3 2 8 3_Summary" xfId="20805" xr:uid="{00000000-0005-0000-0000-0000E7190000}"/>
    <cellStyle name="Input 2 3 2 8 4" xfId="8981" xr:uid="{00000000-0005-0000-0000-0000E8190000}"/>
    <cellStyle name="Input 2 3 2 8 5" xfId="15600" xr:uid="{00000000-0005-0000-0000-0000E9190000}"/>
    <cellStyle name="Input 2 3 2 8_Summary" xfId="20803" xr:uid="{00000000-0005-0000-0000-0000EA190000}"/>
    <cellStyle name="Input 2 3 2 9" xfId="2686" xr:uid="{00000000-0005-0000-0000-0000EB190000}"/>
    <cellStyle name="Input 2 3 2 9 2" xfId="9282" xr:uid="{00000000-0005-0000-0000-0000EC190000}"/>
    <cellStyle name="Input 2 3 2 9 3" xfId="15901" xr:uid="{00000000-0005-0000-0000-0000ED190000}"/>
    <cellStyle name="Input 2 3 2 9_Summary" xfId="20806" xr:uid="{00000000-0005-0000-0000-0000EE190000}"/>
    <cellStyle name="Input 2 3 2_Summary" xfId="20763" xr:uid="{00000000-0005-0000-0000-0000EF190000}"/>
    <cellStyle name="Input 2 3 20" xfId="27013" xr:uid="{C76FDF58-950A-4F62-9043-F638C1B76B78}"/>
    <cellStyle name="Input 2 3 21" xfId="28677" xr:uid="{2F174C8D-3E33-4FEA-98FE-0710266E7488}"/>
    <cellStyle name="Input 2 3 22" xfId="30918" xr:uid="{D140FC58-1540-4935-A770-F7D39DA2841A}"/>
    <cellStyle name="Input 2 3 3" xfId="216" xr:uid="{00000000-0005-0000-0000-0000F0190000}"/>
    <cellStyle name="Input 2 3 3 10" xfId="753" xr:uid="{00000000-0005-0000-0000-0000F1190000}"/>
    <cellStyle name="Input 2 3 3 10 2" xfId="13968" xr:uid="{00000000-0005-0000-0000-0000F2190000}"/>
    <cellStyle name="Input 2 3 3 10_Summary" xfId="20808" xr:uid="{00000000-0005-0000-0000-0000F3190000}"/>
    <cellStyle name="Input 2 3 3 11" xfId="7123" xr:uid="{00000000-0005-0000-0000-0000F4190000}"/>
    <cellStyle name="Input 2 3 3 12" xfId="6984" xr:uid="{00000000-0005-0000-0000-0000F5190000}"/>
    <cellStyle name="Input 2 3 3 13" xfId="26413" xr:uid="{AFB4FD20-1CBC-470B-AB9E-6C32832A39E0}"/>
    <cellStyle name="Input 2 3 3 14" xfId="26811" xr:uid="{CD460EF4-4F48-4F7E-8FEC-C5D9CBFC7E02}"/>
    <cellStyle name="Input 2 3 3 15" xfId="26993" xr:uid="{1CB39F99-F73B-41A9-8876-83D1B4FC00BB}"/>
    <cellStyle name="Input 2 3 3 16" xfId="26579" xr:uid="{998684C0-35D7-434B-AC3C-46B128E4D229}"/>
    <cellStyle name="Input 2 3 3 17" xfId="27048" xr:uid="{59ED5403-0929-4916-AB6C-C6A6E1ABCE96}"/>
    <cellStyle name="Input 2 3 3 18" xfId="28679" xr:uid="{32F12A6D-9FCA-466B-8E99-DB40699D481A}"/>
    <cellStyle name="Input 2 3 3 19" xfId="30920" xr:uid="{3AABD738-BA27-47E0-8840-2EF36F9636F3}"/>
    <cellStyle name="Input 2 3 3 2" xfId="921" xr:uid="{00000000-0005-0000-0000-0000F6190000}"/>
    <cellStyle name="Input 2 3 3 2 10" xfId="26985" xr:uid="{AAF82B1B-7766-4D3B-8C34-571D0148F56C}"/>
    <cellStyle name="Input 2 3 3 2 11" xfId="30202" xr:uid="{5E209EC0-6524-4152-833C-F4FA8A39BF6F}"/>
    <cellStyle name="Input 2 3 3 2 12" xfId="31634" xr:uid="{9F636E03-7741-467C-8A98-2E1EF15C2B0B}"/>
    <cellStyle name="Input 2 3 3 2 2" xfId="3057" xr:uid="{00000000-0005-0000-0000-0000F7190000}"/>
    <cellStyle name="Input 2 3 3 2 2 2" xfId="9653" xr:uid="{00000000-0005-0000-0000-0000F8190000}"/>
    <cellStyle name="Input 2 3 3 2 2 3" xfId="16272" xr:uid="{00000000-0005-0000-0000-0000F9190000}"/>
    <cellStyle name="Input 2 3 3 2 2_Summary" xfId="20810" xr:uid="{00000000-0005-0000-0000-0000FA190000}"/>
    <cellStyle name="Input 2 3 3 2 3" xfId="5092" xr:uid="{00000000-0005-0000-0000-0000FB190000}"/>
    <cellStyle name="Input 2 3 3 2 3 2" xfId="11688" xr:uid="{00000000-0005-0000-0000-0000FC190000}"/>
    <cellStyle name="Input 2 3 3 2 3 3" xfId="18307" xr:uid="{00000000-0005-0000-0000-0000FD190000}"/>
    <cellStyle name="Input 2 3 3 2 3_Summary" xfId="20811" xr:uid="{00000000-0005-0000-0000-0000FE190000}"/>
    <cellStyle name="Input 2 3 3 2 4" xfId="7518" xr:uid="{00000000-0005-0000-0000-0000FF190000}"/>
    <cellStyle name="Input 2 3 3 2 5" xfId="14136" xr:uid="{00000000-0005-0000-0000-0000001A0000}"/>
    <cellStyle name="Input 2 3 3 2 6" xfId="26334" xr:uid="{347840A5-28B2-490A-8F90-96869F53D732}"/>
    <cellStyle name="Input 2 3 3 2 7" xfId="26742" xr:uid="{44B9C2E0-1EBD-442E-9F9D-9E95E11D463A}"/>
    <cellStyle name="Input 2 3 3 2 8" xfId="26964" xr:uid="{24B613F5-41D9-406D-9814-1F8D5E97D9A7}"/>
    <cellStyle name="Input 2 3 3 2 9" xfId="26620" xr:uid="{CE29FEC9-36AE-4424-8382-BB87FE3A315A}"/>
    <cellStyle name="Input 2 3 3 2_Summary" xfId="20809" xr:uid="{00000000-0005-0000-0000-0000011A0000}"/>
    <cellStyle name="Input 2 3 3 3" xfId="1206" xr:uid="{00000000-0005-0000-0000-0000021A0000}"/>
    <cellStyle name="Input 2 3 3 3 2" xfId="3342" xr:uid="{00000000-0005-0000-0000-0000031A0000}"/>
    <cellStyle name="Input 2 3 3 3 2 2" xfId="9938" xr:uid="{00000000-0005-0000-0000-0000041A0000}"/>
    <cellStyle name="Input 2 3 3 3 2 3" xfId="16557" xr:uid="{00000000-0005-0000-0000-0000051A0000}"/>
    <cellStyle name="Input 2 3 3 3 2_Summary" xfId="20813" xr:uid="{00000000-0005-0000-0000-0000061A0000}"/>
    <cellStyle name="Input 2 3 3 3 3" xfId="5377" xr:uid="{00000000-0005-0000-0000-0000071A0000}"/>
    <cellStyle name="Input 2 3 3 3 3 2" xfId="11973" xr:uid="{00000000-0005-0000-0000-0000081A0000}"/>
    <cellStyle name="Input 2 3 3 3 3 3" xfId="18592" xr:uid="{00000000-0005-0000-0000-0000091A0000}"/>
    <cellStyle name="Input 2 3 3 3 3_Summary" xfId="20814" xr:uid="{00000000-0005-0000-0000-00000A1A0000}"/>
    <cellStyle name="Input 2 3 3 3 4" xfId="7802" xr:uid="{00000000-0005-0000-0000-00000B1A0000}"/>
    <cellStyle name="Input 2 3 3 3 5" xfId="14421" xr:uid="{00000000-0005-0000-0000-00000C1A0000}"/>
    <cellStyle name="Input 2 3 3 3_Summary" xfId="20812" xr:uid="{00000000-0005-0000-0000-00000D1A0000}"/>
    <cellStyle name="Input 2 3 3 4" xfId="1488" xr:uid="{00000000-0005-0000-0000-00000E1A0000}"/>
    <cellStyle name="Input 2 3 3 4 2" xfId="3624" xr:uid="{00000000-0005-0000-0000-00000F1A0000}"/>
    <cellStyle name="Input 2 3 3 4 2 2" xfId="10220" xr:uid="{00000000-0005-0000-0000-0000101A0000}"/>
    <cellStyle name="Input 2 3 3 4 2 3" xfId="16839" xr:uid="{00000000-0005-0000-0000-0000111A0000}"/>
    <cellStyle name="Input 2 3 3 4 2_Summary" xfId="20816" xr:uid="{00000000-0005-0000-0000-0000121A0000}"/>
    <cellStyle name="Input 2 3 3 4 3" xfId="5659" xr:uid="{00000000-0005-0000-0000-0000131A0000}"/>
    <cellStyle name="Input 2 3 3 4 3 2" xfId="12255" xr:uid="{00000000-0005-0000-0000-0000141A0000}"/>
    <cellStyle name="Input 2 3 3 4 3 3" xfId="18874" xr:uid="{00000000-0005-0000-0000-0000151A0000}"/>
    <cellStyle name="Input 2 3 3 4 3_Summary" xfId="20817" xr:uid="{00000000-0005-0000-0000-0000161A0000}"/>
    <cellStyle name="Input 2 3 3 4 4" xfId="8084" xr:uid="{00000000-0005-0000-0000-0000171A0000}"/>
    <cellStyle name="Input 2 3 3 4 5" xfId="14703" xr:uid="{00000000-0005-0000-0000-0000181A0000}"/>
    <cellStyle name="Input 2 3 3 4_Summary" xfId="20815" xr:uid="{00000000-0005-0000-0000-0000191A0000}"/>
    <cellStyle name="Input 2 3 3 5" xfId="1769" xr:uid="{00000000-0005-0000-0000-00001A1A0000}"/>
    <cellStyle name="Input 2 3 3 5 2" xfId="3905" xr:uid="{00000000-0005-0000-0000-00001B1A0000}"/>
    <cellStyle name="Input 2 3 3 5 2 2" xfId="10501" xr:uid="{00000000-0005-0000-0000-00001C1A0000}"/>
    <cellStyle name="Input 2 3 3 5 2 3" xfId="17120" xr:uid="{00000000-0005-0000-0000-00001D1A0000}"/>
    <cellStyle name="Input 2 3 3 5 2_Summary" xfId="20819" xr:uid="{00000000-0005-0000-0000-00001E1A0000}"/>
    <cellStyle name="Input 2 3 3 5 3" xfId="5940" xr:uid="{00000000-0005-0000-0000-00001F1A0000}"/>
    <cellStyle name="Input 2 3 3 5 3 2" xfId="12536" xr:uid="{00000000-0005-0000-0000-0000201A0000}"/>
    <cellStyle name="Input 2 3 3 5 3 3" xfId="19155" xr:uid="{00000000-0005-0000-0000-0000211A0000}"/>
    <cellStyle name="Input 2 3 3 5 3_Summary" xfId="20820" xr:uid="{00000000-0005-0000-0000-0000221A0000}"/>
    <cellStyle name="Input 2 3 3 5 4" xfId="8365" xr:uid="{00000000-0005-0000-0000-0000231A0000}"/>
    <cellStyle name="Input 2 3 3 5 5" xfId="14984" xr:uid="{00000000-0005-0000-0000-0000241A0000}"/>
    <cellStyle name="Input 2 3 3 5_Summary" xfId="20818" xr:uid="{00000000-0005-0000-0000-0000251A0000}"/>
    <cellStyle name="Input 2 3 3 6" xfId="2048" xr:uid="{00000000-0005-0000-0000-0000261A0000}"/>
    <cellStyle name="Input 2 3 3 6 2" xfId="4184" xr:uid="{00000000-0005-0000-0000-0000271A0000}"/>
    <cellStyle name="Input 2 3 3 6 2 2" xfId="10780" xr:uid="{00000000-0005-0000-0000-0000281A0000}"/>
    <cellStyle name="Input 2 3 3 6 2 3" xfId="17399" xr:uid="{00000000-0005-0000-0000-0000291A0000}"/>
    <cellStyle name="Input 2 3 3 6 2_Summary" xfId="20822" xr:uid="{00000000-0005-0000-0000-00002A1A0000}"/>
    <cellStyle name="Input 2 3 3 6 3" xfId="6219" xr:uid="{00000000-0005-0000-0000-00002B1A0000}"/>
    <cellStyle name="Input 2 3 3 6 3 2" xfId="12815" xr:uid="{00000000-0005-0000-0000-00002C1A0000}"/>
    <cellStyle name="Input 2 3 3 6 3 3" xfId="19434" xr:uid="{00000000-0005-0000-0000-00002D1A0000}"/>
    <cellStyle name="Input 2 3 3 6 3_Summary" xfId="20823" xr:uid="{00000000-0005-0000-0000-00002E1A0000}"/>
    <cellStyle name="Input 2 3 3 6 4" xfId="8644" xr:uid="{00000000-0005-0000-0000-00002F1A0000}"/>
    <cellStyle name="Input 2 3 3 6 5" xfId="15263" xr:uid="{00000000-0005-0000-0000-0000301A0000}"/>
    <cellStyle name="Input 2 3 3 6_Summary" xfId="20821" xr:uid="{00000000-0005-0000-0000-0000311A0000}"/>
    <cellStyle name="Input 2 3 3 7" xfId="2323" xr:uid="{00000000-0005-0000-0000-0000321A0000}"/>
    <cellStyle name="Input 2 3 3 7 2" xfId="4459" xr:uid="{00000000-0005-0000-0000-0000331A0000}"/>
    <cellStyle name="Input 2 3 3 7 2 2" xfId="11055" xr:uid="{00000000-0005-0000-0000-0000341A0000}"/>
    <cellStyle name="Input 2 3 3 7 2 3" xfId="17674" xr:uid="{00000000-0005-0000-0000-0000351A0000}"/>
    <cellStyle name="Input 2 3 3 7 2_Summary" xfId="20825" xr:uid="{00000000-0005-0000-0000-0000361A0000}"/>
    <cellStyle name="Input 2 3 3 7 3" xfId="6494" xr:uid="{00000000-0005-0000-0000-0000371A0000}"/>
    <cellStyle name="Input 2 3 3 7 3 2" xfId="13090" xr:uid="{00000000-0005-0000-0000-0000381A0000}"/>
    <cellStyle name="Input 2 3 3 7 3 3" xfId="19709" xr:uid="{00000000-0005-0000-0000-0000391A0000}"/>
    <cellStyle name="Input 2 3 3 7 3_Summary" xfId="20826" xr:uid="{00000000-0005-0000-0000-00003A1A0000}"/>
    <cellStyle name="Input 2 3 3 7 4" xfId="8919" xr:uid="{00000000-0005-0000-0000-00003B1A0000}"/>
    <cellStyle name="Input 2 3 3 7 5" xfId="15538" xr:uid="{00000000-0005-0000-0000-00003C1A0000}"/>
    <cellStyle name="Input 2 3 3 7_Summary" xfId="20824" xr:uid="{00000000-0005-0000-0000-00003D1A0000}"/>
    <cellStyle name="Input 2 3 3 8" xfId="2889" xr:uid="{00000000-0005-0000-0000-00003E1A0000}"/>
    <cellStyle name="Input 2 3 3 8 2" xfId="9485" xr:uid="{00000000-0005-0000-0000-00003F1A0000}"/>
    <cellStyle name="Input 2 3 3 8 3" xfId="16104" xr:uid="{00000000-0005-0000-0000-0000401A0000}"/>
    <cellStyle name="Input 2 3 3 8_Summary" xfId="20827" xr:uid="{00000000-0005-0000-0000-0000411A0000}"/>
    <cellStyle name="Input 2 3 3 9" xfId="4924" xr:uid="{00000000-0005-0000-0000-0000421A0000}"/>
    <cellStyle name="Input 2 3 3 9 2" xfId="11520" xr:uid="{00000000-0005-0000-0000-0000431A0000}"/>
    <cellStyle name="Input 2 3 3 9 3" xfId="18139" xr:uid="{00000000-0005-0000-0000-0000441A0000}"/>
    <cellStyle name="Input 2 3 3 9_Summary" xfId="20828" xr:uid="{00000000-0005-0000-0000-0000451A0000}"/>
    <cellStyle name="Input 2 3 3_Summary" xfId="20807" xr:uid="{00000000-0005-0000-0000-0000461A0000}"/>
    <cellStyle name="Input 2 3 4" xfId="368" xr:uid="{00000000-0005-0000-0000-0000471A0000}"/>
    <cellStyle name="Input 2 3 4 10" xfId="705" xr:uid="{00000000-0005-0000-0000-0000481A0000}"/>
    <cellStyle name="Input 2 3 4 10 2" xfId="13920" xr:uid="{00000000-0005-0000-0000-0000491A0000}"/>
    <cellStyle name="Input 2 3 4 10_Summary" xfId="20830" xr:uid="{00000000-0005-0000-0000-00004A1A0000}"/>
    <cellStyle name="Input 2 3 4 11" xfId="7261" xr:uid="{00000000-0005-0000-0000-00004B1A0000}"/>
    <cellStyle name="Input 2 3 4 12" xfId="13583" xr:uid="{00000000-0005-0000-0000-00004C1A0000}"/>
    <cellStyle name="Input 2 3 4 13" xfId="30200" xr:uid="{BE8251BF-0FBD-44EE-8658-120F792243D5}"/>
    <cellStyle name="Input 2 3 4 14" xfId="31632" xr:uid="{9E7697AF-27F8-4033-BD3B-4171F1AA4433}"/>
    <cellStyle name="Input 2 3 4 2" xfId="1062" xr:uid="{00000000-0005-0000-0000-00004D1A0000}"/>
    <cellStyle name="Input 2 3 4 2 2" xfId="3198" xr:uid="{00000000-0005-0000-0000-00004E1A0000}"/>
    <cellStyle name="Input 2 3 4 2 2 2" xfId="9794" xr:uid="{00000000-0005-0000-0000-00004F1A0000}"/>
    <cellStyle name="Input 2 3 4 2 2 3" xfId="16413" xr:uid="{00000000-0005-0000-0000-0000501A0000}"/>
    <cellStyle name="Input 2 3 4 2 2_Summary" xfId="20832" xr:uid="{00000000-0005-0000-0000-0000511A0000}"/>
    <cellStyle name="Input 2 3 4 2 3" xfId="5233" xr:uid="{00000000-0005-0000-0000-0000521A0000}"/>
    <cellStyle name="Input 2 3 4 2 3 2" xfId="11829" xr:uid="{00000000-0005-0000-0000-0000531A0000}"/>
    <cellStyle name="Input 2 3 4 2 3 3" xfId="18448" xr:uid="{00000000-0005-0000-0000-0000541A0000}"/>
    <cellStyle name="Input 2 3 4 2 3_Summary" xfId="20833" xr:uid="{00000000-0005-0000-0000-0000551A0000}"/>
    <cellStyle name="Input 2 3 4 2 4" xfId="7659" xr:uid="{00000000-0005-0000-0000-0000561A0000}"/>
    <cellStyle name="Input 2 3 4 2 5" xfId="14277" xr:uid="{00000000-0005-0000-0000-0000571A0000}"/>
    <cellStyle name="Input 2 3 4 2_Summary" xfId="20831" xr:uid="{00000000-0005-0000-0000-0000581A0000}"/>
    <cellStyle name="Input 2 3 4 3" xfId="1344" xr:uid="{00000000-0005-0000-0000-0000591A0000}"/>
    <cellStyle name="Input 2 3 4 3 2" xfId="3480" xr:uid="{00000000-0005-0000-0000-00005A1A0000}"/>
    <cellStyle name="Input 2 3 4 3 2 2" xfId="10076" xr:uid="{00000000-0005-0000-0000-00005B1A0000}"/>
    <cellStyle name="Input 2 3 4 3 2 3" xfId="16695" xr:uid="{00000000-0005-0000-0000-00005C1A0000}"/>
    <cellStyle name="Input 2 3 4 3 2_Summary" xfId="20835" xr:uid="{00000000-0005-0000-0000-00005D1A0000}"/>
    <cellStyle name="Input 2 3 4 3 3" xfId="5515" xr:uid="{00000000-0005-0000-0000-00005E1A0000}"/>
    <cellStyle name="Input 2 3 4 3 3 2" xfId="12111" xr:uid="{00000000-0005-0000-0000-00005F1A0000}"/>
    <cellStyle name="Input 2 3 4 3 3 3" xfId="18730" xr:uid="{00000000-0005-0000-0000-0000601A0000}"/>
    <cellStyle name="Input 2 3 4 3 3_Summary" xfId="20836" xr:uid="{00000000-0005-0000-0000-0000611A0000}"/>
    <cellStyle name="Input 2 3 4 3 4" xfId="7940" xr:uid="{00000000-0005-0000-0000-0000621A0000}"/>
    <cellStyle name="Input 2 3 4 3 5" xfId="14559" xr:uid="{00000000-0005-0000-0000-0000631A0000}"/>
    <cellStyle name="Input 2 3 4 3_Summary" xfId="20834" xr:uid="{00000000-0005-0000-0000-0000641A0000}"/>
    <cellStyle name="Input 2 3 4 4" xfId="1625" xr:uid="{00000000-0005-0000-0000-0000651A0000}"/>
    <cellStyle name="Input 2 3 4 4 2" xfId="3761" xr:uid="{00000000-0005-0000-0000-0000661A0000}"/>
    <cellStyle name="Input 2 3 4 4 2 2" xfId="10357" xr:uid="{00000000-0005-0000-0000-0000671A0000}"/>
    <cellStyle name="Input 2 3 4 4 2 3" xfId="16976" xr:uid="{00000000-0005-0000-0000-0000681A0000}"/>
    <cellStyle name="Input 2 3 4 4 2_Summary" xfId="20838" xr:uid="{00000000-0005-0000-0000-0000691A0000}"/>
    <cellStyle name="Input 2 3 4 4 3" xfId="5796" xr:uid="{00000000-0005-0000-0000-00006A1A0000}"/>
    <cellStyle name="Input 2 3 4 4 3 2" xfId="12392" xr:uid="{00000000-0005-0000-0000-00006B1A0000}"/>
    <cellStyle name="Input 2 3 4 4 3 3" xfId="19011" xr:uid="{00000000-0005-0000-0000-00006C1A0000}"/>
    <cellStyle name="Input 2 3 4 4 3_Summary" xfId="20839" xr:uid="{00000000-0005-0000-0000-00006D1A0000}"/>
    <cellStyle name="Input 2 3 4 4 4" xfId="8221" xr:uid="{00000000-0005-0000-0000-00006E1A0000}"/>
    <cellStyle name="Input 2 3 4 4 5" xfId="14840" xr:uid="{00000000-0005-0000-0000-00006F1A0000}"/>
    <cellStyle name="Input 2 3 4 4_Summary" xfId="20837" xr:uid="{00000000-0005-0000-0000-0000701A0000}"/>
    <cellStyle name="Input 2 3 4 5" xfId="1904" xr:uid="{00000000-0005-0000-0000-0000711A0000}"/>
    <cellStyle name="Input 2 3 4 5 2" xfId="4040" xr:uid="{00000000-0005-0000-0000-0000721A0000}"/>
    <cellStyle name="Input 2 3 4 5 2 2" xfId="10636" xr:uid="{00000000-0005-0000-0000-0000731A0000}"/>
    <cellStyle name="Input 2 3 4 5 2 3" xfId="17255" xr:uid="{00000000-0005-0000-0000-0000741A0000}"/>
    <cellStyle name="Input 2 3 4 5 2_Summary" xfId="20841" xr:uid="{00000000-0005-0000-0000-0000751A0000}"/>
    <cellStyle name="Input 2 3 4 5 3" xfId="6075" xr:uid="{00000000-0005-0000-0000-0000761A0000}"/>
    <cellStyle name="Input 2 3 4 5 3 2" xfId="12671" xr:uid="{00000000-0005-0000-0000-0000771A0000}"/>
    <cellStyle name="Input 2 3 4 5 3 3" xfId="19290" xr:uid="{00000000-0005-0000-0000-0000781A0000}"/>
    <cellStyle name="Input 2 3 4 5 3_Summary" xfId="20842" xr:uid="{00000000-0005-0000-0000-0000791A0000}"/>
    <cellStyle name="Input 2 3 4 5 4" xfId="8500" xr:uid="{00000000-0005-0000-0000-00007A1A0000}"/>
    <cellStyle name="Input 2 3 4 5 5" xfId="15119" xr:uid="{00000000-0005-0000-0000-00007B1A0000}"/>
    <cellStyle name="Input 2 3 4 5_Summary" xfId="20840" xr:uid="{00000000-0005-0000-0000-00007C1A0000}"/>
    <cellStyle name="Input 2 3 4 6" xfId="2179" xr:uid="{00000000-0005-0000-0000-00007D1A0000}"/>
    <cellStyle name="Input 2 3 4 6 2" xfId="4315" xr:uid="{00000000-0005-0000-0000-00007E1A0000}"/>
    <cellStyle name="Input 2 3 4 6 2 2" xfId="10911" xr:uid="{00000000-0005-0000-0000-00007F1A0000}"/>
    <cellStyle name="Input 2 3 4 6 2 3" xfId="17530" xr:uid="{00000000-0005-0000-0000-0000801A0000}"/>
    <cellStyle name="Input 2 3 4 6 2_Summary" xfId="20844" xr:uid="{00000000-0005-0000-0000-0000811A0000}"/>
    <cellStyle name="Input 2 3 4 6 3" xfId="6350" xr:uid="{00000000-0005-0000-0000-0000821A0000}"/>
    <cellStyle name="Input 2 3 4 6 3 2" xfId="12946" xr:uid="{00000000-0005-0000-0000-0000831A0000}"/>
    <cellStyle name="Input 2 3 4 6 3 3" xfId="19565" xr:uid="{00000000-0005-0000-0000-0000841A0000}"/>
    <cellStyle name="Input 2 3 4 6 3_Summary" xfId="20845" xr:uid="{00000000-0005-0000-0000-0000851A0000}"/>
    <cellStyle name="Input 2 3 4 6 4" xfId="8775" xr:uid="{00000000-0005-0000-0000-0000861A0000}"/>
    <cellStyle name="Input 2 3 4 6 5" xfId="15394" xr:uid="{00000000-0005-0000-0000-0000871A0000}"/>
    <cellStyle name="Input 2 3 4 6_Summary" xfId="20843" xr:uid="{00000000-0005-0000-0000-0000881A0000}"/>
    <cellStyle name="Input 2 3 4 7" xfId="2452" xr:uid="{00000000-0005-0000-0000-0000891A0000}"/>
    <cellStyle name="Input 2 3 4 7 2" xfId="4588" xr:uid="{00000000-0005-0000-0000-00008A1A0000}"/>
    <cellStyle name="Input 2 3 4 7 2 2" xfId="11184" xr:uid="{00000000-0005-0000-0000-00008B1A0000}"/>
    <cellStyle name="Input 2 3 4 7 2 3" xfId="17803" xr:uid="{00000000-0005-0000-0000-00008C1A0000}"/>
    <cellStyle name="Input 2 3 4 7 2_Summary" xfId="20847" xr:uid="{00000000-0005-0000-0000-00008D1A0000}"/>
    <cellStyle name="Input 2 3 4 7 3" xfId="6623" xr:uid="{00000000-0005-0000-0000-00008E1A0000}"/>
    <cellStyle name="Input 2 3 4 7 3 2" xfId="13219" xr:uid="{00000000-0005-0000-0000-00008F1A0000}"/>
    <cellStyle name="Input 2 3 4 7 3 3" xfId="19838" xr:uid="{00000000-0005-0000-0000-0000901A0000}"/>
    <cellStyle name="Input 2 3 4 7 3_Summary" xfId="20848" xr:uid="{00000000-0005-0000-0000-0000911A0000}"/>
    <cellStyle name="Input 2 3 4 7 4" xfId="9048" xr:uid="{00000000-0005-0000-0000-0000921A0000}"/>
    <cellStyle name="Input 2 3 4 7 5" xfId="15667" xr:uid="{00000000-0005-0000-0000-0000931A0000}"/>
    <cellStyle name="Input 2 3 4 7_Summary" xfId="20846" xr:uid="{00000000-0005-0000-0000-0000941A0000}"/>
    <cellStyle name="Input 2 3 4 8" xfId="2841" xr:uid="{00000000-0005-0000-0000-0000951A0000}"/>
    <cellStyle name="Input 2 3 4 8 2" xfId="9437" xr:uid="{00000000-0005-0000-0000-0000961A0000}"/>
    <cellStyle name="Input 2 3 4 8 3" xfId="16056" xr:uid="{00000000-0005-0000-0000-0000971A0000}"/>
    <cellStyle name="Input 2 3 4 8_Summary" xfId="20849" xr:uid="{00000000-0005-0000-0000-0000981A0000}"/>
    <cellStyle name="Input 2 3 4 9" xfId="4876" xr:uid="{00000000-0005-0000-0000-0000991A0000}"/>
    <cellStyle name="Input 2 3 4 9 2" xfId="11472" xr:uid="{00000000-0005-0000-0000-00009A1A0000}"/>
    <cellStyle name="Input 2 3 4 9 3" xfId="18091" xr:uid="{00000000-0005-0000-0000-00009B1A0000}"/>
    <cellStyle name="Input 2 3 4 9_Summary" xfId="20850" xr:uid="{00000000-0005-0000-0000-00009C1A0000}"/>
    <cellStyle name="Input 2 3 4_Summary" xfId="20829" xr:uid="{00000000-0005-0000-0000-00009D1A0000}"/>
    <cellStyle name="Input 2 3 5" xfId="873" xr:uid="{00000000-0005-0000-0000-00009E1A0000}"/>
    <cellStyle name="Input 2 3 5 2" xfId="3009" xr:uid="{00000000-0005-0000-0000-00009F1A0000}"/>
    <cellStyle name="Input 2 3 5 2 2" xfId="9605" xr:uid="{00000000-0005-0000-0000-0000A01A0000}"/>
    <cellStyle name="Input 2 3 5 2 3" xfId="16224" xr:uid="{00000000-0005-0000-0000-0000A11A0000}"/>
    <cellStyle name="Input 2 3 5 2_Summary" xfId="20852" xr:uid="{00000000-0005-0000-0000-0000A21A0000}"/>
    <cellStyle name="Input 2 3 5 3" xfId="5044" xr:uid="{00000000-0005-0000-0000-0000A31A0000}"/>
    <cellStyle name="Input 2 3 5 3 2" xfId="11640" xr:uid="{00000000-0005-0000-0000-0000A41A0000}"/>
    <cellStyle name="Input 2 3 5 3 3" xfId="18259" xr:uid="{00000000-0005-0000-0000-0000A51A0000}"/>
    <cellStyle name="Input 2 3 5 3_Summary" xfId="20853" xr:uid="{00000000-0005-0000-0000-0000A61A0000}"/>
    <cellStyle name="Input 2 3 5 4" xfId="7470" xr:uid="{00000000-0005-0000-0000-0000A71A0000}"/>
    <cellStyle name="Input 2 3 5 5" xfId="14088" xr:uid="{00000000-0005-0000-0000-0000A81A0000}"/>
    <cellStyle name="Input 2 3 5_Summary" xfId="20851" xr:uid="{00000000-0005-0000-0000-0000A91A0000}"/>
    <cellStyle name="Input 2 3 6" xfId="639" xr:uid="{00000000-0005-0000-0000-0000AA1A0000}"/>
    <cellStyle name="Input 2 3 6 2" xfId="2775" xr:uid="{00000000-0005-0000-0000-0000AB1A0000}"/>
    <cellStyle name="Input 2 3 6 2 2" xfId="9371" xr:uid="{00000000-0005-0000-0000-0000AC1A0000}"/>
    <cellStyle name="Input 2 3 6 2 3" xfId="15990" xr:uid="{00000000-0005-0000-0000-0000AD1A0000}"/>
    <cellStyle name="Input 2 3 6 2_Summary" xfId="20855" xr:uid="{00000000-0005-0000-0000-0000AE1A0000}"/>
    <cellStyle name="Input 2 3 6 3" xfId="4810" xr:uid="{00000000-0005-0000-0000-0000AF1A0000}"/>
    <cellStyle name="Input 2 3 6 3 2" xfId="11406" xr:uid="{00000000-0005-0000-0000-0000B01A0000}"/>
    <cellStyle name="Input 2 3 6 3 3" xfId="18025" xr:uid="{00000000-0005-0000-0000-0000B11A0000}"/>
    <cellStyle name="Input 2 3 6 3_Summary" xfId="20856" xr:uid="{00000000-0005-0000-0000-0000B21A0000}"/>
    <cellStyle name="Input 2 3 6 4" xfId="7411" xr:uid="{00000000-0005-0000-0000-0000B31A0000}"/>
    <cellStyle name="Input 2 3 6 5" xfId="13854" xr:uid="{00000000-0005-0000-0000-0000B41A0000}"/>
    <cellStyle name="Input 2 3 6_Summary" xfId="20854" xr:uid="{00000000-0005-0000-0000-0000B51A0000}"/>
    <cellStyle name="Input 2 3 7" xfId="613" xr:uid="{00000000-0005-0000-0000-0000B61A0000}"/>
    <cellStyle name="Input 2 3 7 2" xfId="2749" xr:uid="{00000000-0005-0000-0000-0000B71A0000}"/>
    <cellStyle name="Input 2 3 7 2 2" xfId="9345" xr:uid="{00000000-0005-0000-0000-0000B81A0000}"/>
    <cellStyle name="Input 2 3 7 2 3" xfId="15964" xr:uid="{00000000-0005-0000-0000-0000B91A0000}"/>
    <cellStyle name="Input 2 3 7 2_Summary" xfId="20858" xr:uid="{00000000-0005-0000-0000-0000BA1A0000}"/>
    <cellStyle name="Input 2 3 7 3" xfId="4784" xr:uid="{00000000-0005-0000-0000-0000BB1A0000}"/>
    <cellStyle name="Input 2 3 7 3 2" xfId="11380" xr:uid="{00000000-0005-0000-0000-0000BC1A0000}"/>
    <cellStyle name="Input 2 3 7 3 3" xfId="17999" xr:uid="{00000000-0005-0000-0000-0000BD1A0000}"/>
    <cellStyle name="Input 2 3 7 3_Summary" xfId="20859" xr:uid="{00000000-0005-0000-0000-0000BE1A0000}"/>
    <cellStyle name="Input 2 3 7 4" xfId="7385" xr:uid="{00000000-0005-0000-0000-0000BF1A0000}"/>
    <cellStyle name="Input 2 3 7 5" xfId="13828" xr:uid="{00000000-0005-0000-0000-0000C01A0000}"/>
    <cellStyle name="Input 2 3 7_Summary" xfId="20857" xr:uid="{00000000-0005-0000-0000-0000C11A0000}"/>
    <cellStyle name="Input 2 3 8" xfId="871" xr:uid="{00000000-0005-0000-0000-0000C21A0000}"/>
    <cellStyle name="Input 2 3 8 2" xfId="3007" xr:uid="{00000000-0005-0000-0000-0000C31A0000}"/>
    <cellStyle name="Input 2 3 8 2 2" xfId="9603" xr:uid="{00000000-0005-0000-0000-0000C41A0000}"/>
    <cellStyle name="Input 2 3 8 2 3" xfId="16222" xr:uid="{00000000-0005-0000-0000-0000C51A0000}"/>
    <cellStyle name="Input 2 3 8 2_Summary" xfId="20861" xr:uid="{00000000-0005-0000-0000-0000C61A0000}"/>
    <cellStyle name="Input 2 3 8 3" xfId="5042" xr:uid="{00000000-0005-0000-0000-0000C71A0000}"/>
    <cellStyle name="Input 2 3 8 3 2" xfId="11638" xr:uid="{00000000-0005-0000-0000-0000C81A0000}"/>
    <cellStyle name="Input 2 3 8 3 3" xfId="18257" xr:uid="{00000000-0005-0000-0000-0000C91A0000}"/>
    <cellStyle name="Input 2 3 8 3_Summary" xfId="20862" xr:uid="{00000000-0005-0000-0000-0000CA1A0000}"/>
    <cellStyle name="Input 2 3 8 4" xfId="7468" xr:uid="{00000000-0005-0000-0000-0000CB1A0000}"/>
    <cellStyle name="Input 2 3 8 5" xfId="14086" xr:uid="{00000000-0005-0000-0000-0000CC1A0000}"/>
    <cellStyle name="Input 2 3 8_Summary" xfId="20860" xr:uid="{00000000-0005-0000-0000-0000CD1A0000}"/>
    <cellStyle name="Input 2 3 9" xfId="597" xr:uid="{00000000-0005-0000-0000-0000CE1A0000}"/>
    <cellStyle name="Input 2 3 9 2" xfId="2733" xr:uid="{00000000-0005-0000-0000-0000CF1A0000}"/>
    <cellStyle name="Input 2 3 9 2 2" xfId="9329" xr:uid="{00000000-0005-0000-0000-0000D01A0000}"/>
    <cellStyle name="Input 2 3 9 2 3" xfId="15948" xr:uid="{00000000-0005-0000-0000-0000D11A0000}"/>
    <cellStyle name="Input 2 3 9 2_Summary" xfId="20864" xr:uid="{00000000-0005-0000-0000-0000D21A0000}"/>
    <cellStyle name="Input 2 3 9 3" xfId="4768" xr:uid="{00000000-0005-0000-0000-0000D31A0000}"/>
    <cellStyle name="Input 2 3 9 3 2" xfId="11364" xr:uid="{00000000-0005-0000-0000-0000D41A0000}"/>
    <cellStyle name="Input 2 3 9 3 3" xfId="17983" xr:uid="{00000000-0005-0000-0000-0000D51A0000}"/>
    <cellStyle name="Input 2 3 9 3_Summary" xfId="20865" xr:uid="{00000000-0005-0000-0000-0000D61A0000}"/>
    <cellStyle name="Input 2 3 9 4" xfId="7369" xr:uid="{00000000-0005-0000-0000-0000D71A0000}"/>
    <cellStyle name="Input 2 3 9 5" xfId="13812" xr:uid="{00000000-0005-0000-0000-0000D81A0000}"/>
    <cellStyle name="Input 2 3 9_Summary" xfId="20863" xr:uid="{00000000-0005-0000-0000-0000D91A0000}"/>
    <cellStyle name="Input 2 3_Summary" xfId="20756" xr:uid="{00000000-0005-0000-0000-0000DA1A0000}"/>
    <cellStyle name="Input 2 30" xfId="6779" xr:uid="{00000000-0005-0000-0000-0000DB1A0000}"/>
    <cellStyle name="Input 2 30 2" xfId="13375" xr:uid="{00000000-0005-0000-0000-0000DC1A0000}"/>
    <cellStyle name="Input 2 30 3" xfId="19994" xr:uid="{00000000-0005-0000-0000-0000DD1A0000}"/>
    <cellStyle name="Input 2 30_Summary" xfId="20866" xr:uid="{00000000-0005-0000-0000-0000DE1A0000}"/>
    <cellStyle name="Input 2 31" xfId="6768" xr:uid="{00000000-0005-0000-0000-0000DF1A0000}"/>
    <cellStyle name="Input 2 31 2" xfId="13364" xr:uid="{00000000-0005-0000-0000-0000E01A0000}"/>
    <cellStyle name="Input 2 31 3" xfId="19983" xr:uid="{00000000-0005-0000-0000-0000E11A0000}"/>
    <cellStyle name="Input 2 31_Summary" xfId="20867" xr:uid="{00000000-0005-0000-0000-0000E21A0000}"/>
    <cellStyle name="Input 2 32" xfId="6795" xr:uid="{00000000-0005-0000-0000-0000E31A0000}"/>
    <cellStyle name="Input 2 32 2" xfId="13391" xr:uid="{00000000-0005-0000-0000-0000E41A0000}"/>
    <cellStyle name="Input 2 32 3" xfId="20010" xr:uid="{00000000-0005-0000-0000-0000E51A0000}"/>
    <cellStyle name="Input 2 32_Summary" xfId="20868" xr:uid="{00000000-0005-0000-0000-0000E61A0000}"/>
    <cellStyle name="Input 2 33" xfId="6799" xr:uid="{00000000-0005-0000-0000-0000E71A0000}"/>
    <cellStyle name="Input 2 33 2" xfId="13395" xr:uid="{00000000-0005-0000-0000-0000E81A0000}"/>
    <cellStyle name="Input 2 33 3" xfId="20014" xr:uid="{00000000-0005-0000-0000-0000E91A0000}"/>
    <cellStyle name="Input 2 33_Summary" xfId="20869" xr:uid="{00000000-0005-0000-0000-0000EA1A0000}"/>
    <cellStyle name="Input 2 34" xfId="6923" xr:uid="{00000000-0005-0000-0000-0000EB1A0000}"/>
    <cellStyle name="Input 2 34 2" xfId="13443" xr:uid="{00000000-0005-0000-0000-0000EC1A0000}"/>
    <cellStyle name="Input 2 34 3" xfId="20050" xr:uid="{00000000-0005-0000-0000-0000ED1A0000}"/>
    <cellStyle name="Input 2 34_Summary" xfId="20870" xr:uid="{00000000-0005-0000-0000-0000EE1A0000}"/>
    <cellStyle name="Input 2 35" xfId="6913" xr:uid="{00000000-0005-0000-0000-0000EF1A0000}"/>
    <cellStyle name="Input 2 35 2" xfId="13433" xr:uid="{00000000-0005-0000-0000-0000F01A0000}"/>
    <cellStyle name="Input 2 35 3" xfId="20040" xr:uid="{00000000-0005-0000-0000-0000F11A0000}"/>
    <cellStyle name="Input 2 35_Summary" xfId="20871" xr:uid="{00000000-0005-0000-0000-0000F21A0000}"/>
    <cellStyle name="Input 2 36" xfId="6922" xr:uid="{00000000-0005-0000-0000-0000F31A0000}"/>
    <cellStyle name="Input 2 36 2" xfId="13442" xr:uid="{00000000-0005-0000-0000-0000F41A0000}"/>
    <cellStyle name="Input 2 36 3" xfId="20049" xr:uid="{00000000-0005-0000-0000-0000F51A0000}"/>
    <cellStyle name="Input 2 36_Summary" xfId="20872" xr:uid="{00000000-0005-0000-0000-0000F61A0000}"/>
    <cellStyle name="Input 2 37" xfId="6912" xr:uid="{00000000-0005-0000-0000-0000F71A0000}"/>
    <cellStyle name="Input 2 37 2" xfId="13432" xr:uid="{00000000-0005-0000-0000-0000F81A0000}"/>
    <cellStyle name="Input 2 37 3" xfId="20039" xr:uid="{00000000-0005-0000-0000-0000F91A0000}"/>
    <cellStyle name="Input 2 37_Summary" xfId="20873" xr:uid="{00000000-0005-0000-0000-0000FA1A0000}"/>
    <cellStyle name="Input 2 38" xfId="6915" xr:uid="{00000000-0005-0000-0000-0000FB1A0000}"/>
    <cellStyle name="Input 2 38 2" xfId="13435" xr:uid="{00000000-0005-0000-0000-0000FC1A0000}"/>
    <cellStyle name="Input 2 38 3" xfId="20042" xr:uid="{00000000-0005-0000-0000-0000FD1A0000}"/>
    <cellStyle name="Input 2 38_Summary" xfId="20874" xr:uid="{00000000-0005-0000-0000-0000FE1A0000}"/>
    <cellStyle name="Input 2 39" xfId="6935" xr:uid="{00000000-0005-0000-0000-0000FF1A0000}"/>
    <cellStyle name="Input 2 39 2" xfId="13455" xr:uid="{00000000-0005-0000-0000-0000001B0000}"/>
    <cellStyle name="Input 2 39 3" xfId="20062" xr:uid="{00000000-0005-0000-0000-0000011B0000}"/>
    <cellStyle name="Input 2 39_Summary" xfId="20875" xr:uid="{00000000-0005-0000-0000-0000021B0000}"/>
    <cellStyle name="Input 2 4" xfId="174" xr:uid="{00000000-0005-0000-0000-0000031B0000}"/>
    <cellStyle name="Input 2 4 10" xfId="2283" xr:uid="{00000000-0005-0000-0000-0000041B0000}"/>
    <cellStyle name="Input 2 4 10 2" xfId="4419" xr:uid="{00000000-0005-0000-0000-0000051B0000}"/>
    <cellStyle name="Input 2 4 10 2 2" xfId="11015" xr:uid="{00000000-0005-0000-0000-0000061B0000}"/>
    <cellStyle name="Input 2 4 10 2 3" xfId="17634" xr:uid="{00000000-0005-0000-0000-0000071B0000}"/>
    <cellStyle name="Input 2 4 10 2_Summary" xfId="20878" xr:uid="{00000000-0005-0000-0000-0000081B0000}"/>
    <cellStyle name="Input 2 4 10 3" xfId="6454" xr:uid="{00000000-0005-0000-0000-0000091B0000}"/>
    <cellStyle name="Input 2 4 10 3 2" xfId="13050" xr:uid="{00000000-0005-0000-0000-00000A1B0000}"/>
    <cellStyle name="Input 2 4 10 3 3" xfId="19669" xr:uid="{00000000-0005-0000-0000-00000B1B0000}"/>
    <cellStyle name="Input 2 4 10 3_Summary" xfId="20879" xr:uid="{00000000-0005-0000-0000-00000C1B0000}"/>
    <cellStyle name="Input 2 4 10 4" xfId="8879" xr:uid="{00000000-0005-0000-0000-00000D1B0000}"/>
    <cellStyle name="Input 2 4 10 5" xfId="15498" xr:uid="{00000000-0005-0000-0000-00000E1B0000}"/>
    <cellStyle name="Input 2 4 10_Summary" xfId="20877" xr:uid="{00000000-0005-0000-0000-00000F1B0000}"/>
    <cellStyle name="Input 2 4 11" xfId="2602" xr:uid="{00000000-0005-0000-0000-0000101B0000}"/>
    <cellStyle name="Input 2 4 11 2" xfId="9198" xr:uid="{00000000-0005-0000-0000-0000111B0000}"/>
    <cellStyle name="Input 2 4 11 3" xfId="15817" xr:uid="{00000000-0005-0000-0000-0000121B0000}"/>
    <cellStyle name="Input 2 4 11_Summary" xfId="20880" xr:uid="{00000000-0005-0000-0000-0000131B0000}"/>
    <cellStyle name="Input 2 4 12" xfId="2642" xr:uid="{00000000-0005-0000-0000-0000141B0000}"/>
    <cellStyle name="Input 2 4 12 2" xfId="9238" xr:uid="{00000000-0005-0000-0000-0000151B0000}"/>
    <cellStyle name="Input 2 4 12 3" xfId="15857" xr:uid="{00000000-0005-0000-0000-0000161B0000}"/>
    <cellStyle name="Input 2 4 12_Summary" xfId="20881" xr:uid="{00000000-0005-0000-0000-0000171B0000}"/>
    <cellStyle name="Input 2 4 13" xfId="491" xr:uid="{00000000-0005-0000-0000-0000181B0000}"/>
    <cellStyle name="Input 2 4 13 2" xfId="13706" xr:uid="{00000000-0005-0000-0000-0000191B0000}"/>
    <cellStyle name="Input 2 4 13_Summary" xfId="20882" xr:uid="{00000000-0005-0000-0000-00001A1B0000}"/>
    <cellStyle name="Input 2 4 14" xfId="7082" xr:uid="{00000000-0005-0000-0000-00001B1B0000}"/>
    <cellStyle name="Input 2 4 15" xfId="7111" xr:uid="{00000000-0005-0000-0000-00001C1B0000}"/>
    <cellStyle name="Input 2 4 16" xfId="26080" xr:uid="{DF540C53-9A18-4EC8-8B68-FA9F4CBCF41A}"/>
    <cellStyle name="Input 2 4 17" xfId="26636" xr:uid="{47975EED-BF21-4726-9EF3-E88EDCCD25BA}"/>
    <cellStyle name="Input 2 4 18" xfId="26249" xr:uid="{175FC536-6E3B-4CD7-BF1F-D0FFB55C8BCE}"/>
    <cellStyle name="Input 2 4 19" xfId="26666" xr:uid="{B9BE56F5-3BA1-413D-A029-F6192B7CBFE7}"/>
    <cellStyle name="Input 2 4 2" xfId="306" xr:uid="{00000000-0005-0000-0000-00001D1B0000}"/>
    <cellStyle name="Input 2 4 2 10" xfId="4727" xr:uid="{00000000-0005-0000-0000-00001E1B0000}"/>
    <cellStyle name="Input 2 4 2 10 2" xfId="11323" xr:uid="{00000000-0005-0000-0000-00001F1B0000}"/>
    <cellStyle name="Input 2 4 2 10 3" xfId="17942" xr:uid="{00000000-0005-0000-0000-0000201B0000}"/>
    <cellStyle name="Input 2 4 2 10_Summary" xfId="20884" xr:uid="{00000000-0005-0000-0000-0000211B0000}"/>
    <cellStyle name="Input 2 4 2 11" xfId="556" xr:uid="{00000000-0005-0000-0000-0000221B0000}"/>
    <cellStyle name="Input 2 4 2 11 2" xfId="13771" xr:uid="{00000000-0005-0000-0000-0000231B0000}"/>
    <cellStyle name="Input 2 4 2 11_Summary" xfId="20885" xr:uid="{00000000-0005-0000-0000-0000241B0000}"/>
    <cellStyle name="Input 2 4 2 12" xfId="7200" xr:uid="{00000000-0005-0000-0000-0000251B0000}"/>
    <cellStyle name="Input 2 4 2 13" xfId="13522" xr:uid="{00000000-0005-0000-0000-0000261B0000}"/>
    <cellStyle name="Input 2 4 2 14" xfId="26295" xr:uid="{62020B01-3943-4359-9A76-F4DC733A8B7E}"/>
    <cellStyle name="Input 2 4 2 15" xfId="26711" xr:uid="{984054DA-3CAA-4A9D-A8F0-2EBA4D5834CE}"/>
    <cellStyle name="Input 2 4 2 16" xfId="26955" xr:uid="{4C468EAC-FF8D-4109-91E1-8413F4B02A8C}"/>
    <cellStyle name="Input 2 4 2 17" xfId="26943" xr:uid="{D1E5C4E3-7327-40EF-A903-84CB78BCAD8D}"/>
    <cellStyle name="Input 2 4 2 18" xfId="26612" xr:uid="{76B542DD-5569-4635-8F93-EAF721114DAD}"/>
    <cellStyle name="Input 2 4 2 19" xfId="28681" xr:uid="{3ED6AAD6-9E63-424E-81FC-D06E40BAA489}"/>
    <cellStyle name="Input 2 4 2 2" xfId="435" xr:uid="{00000000-0005-0000-0000-0000271B0000}"/>
    <cellStyle name="Input 2 4 2 2 10" xfId="829" xr:uid="{00000000-0005-0000-0000-0000281B0000}"/>
    <cellStyle name="Input 2 4 2 2 10 2" xfId="14044" xr:uid="{00000000-0005-0000-0000-0000291B0000}"/>
    <cellStyle name="Input 2 4 2 2 10_Summary" xfId="20887" xr:uid="{00000000-0005-0000-0000-00002A1B0000}"/>
    <cellStyle name="Input 2 4 2 2 11" xfId="7328" xr:uid="{00000000-0005-0000-0000-00002B1B0000}"/>
    <cellStyle name="Input 2 4 2 2 12" xfId="13650" xr:uid="{00000000-0005-0000-0000-00002C1B0000}"/>
    <cellStyle name="Input 2 4 2 2 13" xfId="26440" xr:uid="{1E40D048-548F-44D9-AAC6-55C9F0D07CFC}"/>
    <cellStyle name="Input 2 4 2 2 14" xfId="26837" xr:uid="{4AB273BE-54E9-4324-99E0-520A2CE084D3}"/>
    <cellStyle name="Input 2 4 2 2 15" xfId="27009" xr:uid="{40804502-47BE-4B9E-AE87-A6F2BAE2D2BF}"/>
    <cellStyle name="Input 2 4 2 2 16" xfId="26641" xr:uid="{320D7BC4-B82F-4739-9E6D-19332BC7FF59}"/>
    <cellStyle name="Input 2 4 2 2 17" xfId="27018" xr:uid="{2A334986-EBC3-4646-A151-7F0780A0407E}"/>
    <cellStyle name="Input 2 4 2 2 18" xfId="30204" xr:uid="{60D9CFDF-E28E-4232-9508-AF4661D808CA}"/>
    <cellStyle name="Input 2 4 2 2 19" xfId="31636" xr:uid="{9A54A6E0-759C-420D-A64E-A03666CF7924}"/>
    <cellStyle name="Input 2 4 2 2 2" xfId="1129" xr:uid="{00000000-0005-0000-0000-00002D1B0000}"/>
    <cellStyle name="Input 2 4 2 2 2 10" xfId="27086" xr:uid="{B6F7D7FD-49B7-4EE5-827E-58E00B5D34BA}"/>
    <cellStyle name="Input 2 4 2 2 2 2" xfId="3265" xr:uid="{00000000-0005-0000-0000-00002E1B0000}"/>
    <cellStyle name="Input 2 4 2 2 2 2 2" xfId="9861" xr:uid="{00000000-0005-0000-0000-00002F1B0000}"/>
    <cellStyle name="Input 2 4 2 2 2 2 3" xfId="16480" xr:uid="{00000000-0005-0000-0000-0000301B0000}"/>
    <cellStyle name="Input 2 4 2 2 2 2_Summary" xfId="20889" xr:uid="{00000000-0005-0000-0000-0000311B0000}"/>
    <cellStyle name="Input 2 4 2 2 2 3" xfId="5300" xr:uid="{00000000-0005-0000-0000-0000321B0000}"/>
    <cellStyle name="Input 2 4 2 2 2 3 2" xfId="11896" xr:uid="{00000000-0005-0000-0000-0000331B0000}"/>
    <cellStyle name="Input 2 4 2 2 2 3 3" xfId="18515" xr:uid="{00000000-0005-0000-0000-0000341B0000}"/>
    <cellStyle name="Input 2 4 2 2 2 3_Summary" xfId="20890" xr:uid="{00000000-0005-0000-0000-0000351B0000}"/>
    <cellStyle name="Input 2 4 2 2 2 4" xfId="7725" xr:uid="{00000000-0005-0000-0000-0000361B0000}"/>
    <cellStyle name="Input 2 4 2 2 2 5" xfId="14344" xr:uid="{00000000-0005-0000-0000-0000371B0000}"/>
    <cellStyle name="Input 2 4 2 2 2 6" xfId="26537" xr:uid="{5541858D-090F-4597-A4DD-66A4FCA82ACC}"/>
    <cellStyle name="Input 2 4 2 2 2 7" xfId="26919" xr:uid="{5186A57D-C31D-4495-AED6-690AD6143951}"/>
    <cellStyle name="Input 2 4 2 2 2 8" xfId="27044" xr:uid="{A27377F8-27B1-4B67-9569-07A3961C2D4B}"/>
    <cellStyle name="Input 2 4 2 2 2 9" xfId="27068" xr:uid="{17776D64-9F0C-4DF6-9A2D-5CAACFFA64C3}"/>
    <cellStyle name="Input 2 4 2 2 2_Summary" xfId="20888" xr:uid="{00000000-0005-0000-0000-0000381B0000}"/>
    <cellStyle name="Input 2 4 2 2 3" xfId="1411" xr:uid="{00000000-0005-0000-0000-0000391B0000}"/>
    <cellStyle name="Input 2 4 2 2 3 2" xfId="3547" xr:uid="{00000000-0005-0000-0000-00003A1B0000}"/>
    <cellStyle name="Input 2 4 2 2 3 2 2" xfId="10143" xr:uid="{00000000-0005-0000-0000-00003B1B0000}"/>
    <cellStyle name="Input 2 4 2 2 3 2 3" xfId="16762" xr:uid="{00000000-0005-0000-0000-00003C1B0000}"/>
    <cellStyle name="Input 2 4 2 2 3 2_Summary" xfId="20892" xr:uid="{00000000-0005-0000-0000-00003D1B0000}"/>
    <cellStyle name="Input 2 4 2 2 3 3" xfId="5582" xr:uid="{00000000-0005-0000-0000-00003E1B0000}"/>
    <cellStyle name="Input 2 4 2 2 3 3 2" xfId="12178" xr:uid="{00000000-0005-0000-0000-00003F1B0000}"/>
    <cellStyle name="Input 2 4 2 2 3 3 3" xfId="18797" xr:uid="{00000000-0005-0000-0000-0000401B0000}"/>
    <cellStyle name="Input 2 4 2 2 3 3_Summary" xfId="20893" xr:uid="{00000000-0005-0000-0000-0000411B0000}"/>
    <cellStyle name="Input 2 4 2 2 3 4" xfId="8007" xr:uid="{00000000-0005-0000-0000-0000421B0000}"/>
    <cellStyle name="Input 2 4 2 2 3 5" xfId="14626" xr:uid="{00000000-0005-0000-0000-0000431B0000}"/>
    <cellStyle name="Input 2 4 2 2 3_Summary" xfId="20891" xr:uid="{00000000-0005-0000-0000-0000441B0000}"/>
    <cellStyle name="Input 2 4 2 2 4" xfId="1692" xr:uid="{00000000-0005-0000-0000-0000451B0000}"/>
    <cellStyle name="Input 2 4 2 2 4 2" xfId="3828" xr:uid="{00000000-0005-0000-0000-0000461B0000}"/>
    <cellStyle name="Input 2 4 2 2 4 2 2" xfId="10424" xr:uid="{00000000-0005-0000-0000-0000471B0000}"/>
    <cellStyle name="Input 2 4 2 2 4 2 3" xfId="17043" xr:uid="{00000000-0005-0000-0000-0000481B0000}"/>
    <cellStyle name="Input 2 4 2 2 4 2_Summary" xfId="20895" xr:uid="{00000000-0005-0000-0000-0000491B0000}"/>
    <cellStyle name="Input 2 4 2 2 4 3" xfId="5863" xr:uid="{00000000-0005-0000-0000-00004A1B0000}"/>
    <cellStyle name="Input 2 4 2 2 4 3 2" xfId="12459" xr:uid="{00000000-0005-0000-0000-00004B1B0000}"/>
    <cellStyle name="Input 2 4 2 2 4 3 3" xfId="19078" xr:uid="{00000000-0005-0000-0000-00004C1B0000}"/>
    <cellStyle name="Input 2 4 2 2 4 3_Summary" xfId="20896" xr:uid="{00000000-0005-0000-0000-00004D1B0000}"/>
    <cellStyle name="Input 2 4 2 2 4 4" xfId="8288" xr:uid="{00000000-0005-0000-0000-00004E1B0000}"/>
    <cellStyle name="Input 2 4 2 2 4 5" xfId="14907" xr:uid="{00000000-0005-0000-0000-00004F1B0000}"/>
    <cellStyle name="Input 2 4 2 2 4_Summary" xfId="20894" xr:uid="{00000000-0005-0000-0000-0000501B0000}"/>
    <cellStyle name="Input 2 4 2 2 5" xfId="1971" xr:uid="{00000000-0005-0000-0000-0000511B0000}"/>
    <cellStyle name="Input 2 4 2 2 5 2" xfId="4107" xr:uid="{00000000-0005-0000-0000-0000521B0000}"/>
    <cellStyle name="Input 2 4 2 2 5 2 2" xfId="10703" xr:uid="{00000000-0005-0000-0000-0000531B0000}"/>
    <cellStyle name="Input 2 4 2 2 5 2 3" xfId="17322" xr:uid="{00000000-0005-0000-0000-0000541B0000}"/>
    <cellStyle name="Input 2 4 2 2 5 2_Summary" xfId="20898" xr:uid="{00000000-0005-0000-0000-0000551B0000}"/>
    <cellStyle name="Input 2 4 2 2 5 3" xfId="6142" xr:uid="{00000000-0005-0000-0000-0000561B0000}"/>
    <cellStyle name="Input 2 4 2 2 5 3 2" xfId="12738" xr:uid="{00000000-0005-0000-0000-0000571B0000}"/>
    <cellStyle name="Input 2 4 2 2 5 3 3" xfId="19357" xr:uid="{00000000-0005-0000-0000-0000581B0000}"/>
    <cellStyle name="Input 2 4 2 2 5 3_Summary" xfId="20899" xr:uid="{00000000-0005-0000-0000-0000591B0000}"/>
    <cellStyle name="Input 2 4 2 2 5 4" xfId="8567" xr:uid="{00000000-0005-0000-0000-00005A1B0000}"/>
    <cellStyle name="Input 2 4 2 2 5 5" xfId="15186" xr:uid="{00000000-0005-0000-0000-00005B1B0000}"/>
    <cellStyle name="Input 2 4 2 2 5_Summary" xfId="20897" xr:uid="{00000000-0005-0000-0000-00005C1B0000}"/>
    <cellStyle name="Input 2 4 2 2 6" xfId="2246" xr:uid="{00000000-0005-0000-0000-00005D1B0000}"/>
    <cellStyle name="Input 2 4 2 2 6 2" xfId="4382" xr:uid="{00000000-0005-0000-0000-00005E1B0000}"/>
    <cellStyle name="Input 2 4 2 2 6 2 2" xfId="10978" xr:uid="{00000000-0005-0000-0000-00005F1B0000}"/>
    <cellStyle name="Input 2 4 2 2 6 2 3" xfId="17597" xr:uid="{00000000-0005-0000-0000-0000601B0000}"/>
    <cellStyle name="Input 2 4 2 2 6 2_Summary" xfId="20901" xr:uid="{00000000-0005-0000-0000-0000611B0000}"/>
    <cellStyle name="Input 2 4 2 2 6 3" xfId="6417" xr:uid="{00000000-0005-0000-0000-0000621B0000}"/>
    <cellStyle name="Input 2 4 2 2 6 3 2" xfId="13013" xr:uid="{00000000-0005-0000-0000-0000631B0000}"/>
    <cellStyle name="Input 2 4 2 2 6 3 3" xfId="19632" xr:uid="{00000000-0005-0000-0000-0000641B0000}"/>
    <cellStyle name="Input 2 4 2 2 6 3_Summary" xfId="20902" xr:uid="{00000000-0005-0000-0000-0000651B0000}"/>
    <cellStyle name="Input 2 4 2 2 6 4" xfId="8842" xr:uid="{00000000-0005-0000-0000-0000661B0000}"/>
    <cellStyle name="Input 2 4 2 2 6 5" xfId="15461" xr:uid="{00000000-0005-0000-0000-0000671B0000}"/>
    <cellStyle name="Input 2 4 2 2 6_Summary" xfId="20900" xr:uid="{00000000-0005-0000-0000-0000681B0000}"/>
    <cellStyle name="Input 2 4 2 2 7" xfId="2519" xr:uid="{00000000-0005-0000-0000-0000691B0000}"/>
    <cellStyle name="Input 2 4 2 2 7 2" xfId="4655" xr:uid="{00000000-0005-0000-0000-00006A1B0000}"/>
    <cellStyle name="Input 2 4 2 2 7 2 2" xfId="11251" xr:uid="{00000000-0005-0000-0000-00006B1B0000}"/>
    <cellStyle name="Input 2 4 2 2 7 2 3" xfId="17870" xr:uid="{00000000-0005-0000-0000-00006C1B0000}"/>
    <cellStyle name="Input 2 4 2 2 7 2_Summary" xfId="20904" xr:uid="{00000000-0005-0000-0000-00006D1B0000}"/>
    <cellStyle name="Input 2 4 2 2 7 3" xfId="6690" xr:uid="{00000000-0005-0000-0000-00006E1B0000}"/>
    <cellStyle name="Input 2 4 2 2 7 3 2" xfId="13286" xr:uid="{00000000-0005-0000-0000-00006F1B0000}"/>
    <cellStyle name="Input 2 4 2 2 7 3 3" xfId="19905" xr:uid="{00000000-0005-0000-0000-0000701B0000}"/>
    <cellStyle name="Input 2 4 2 2 7 3_Summary" xfId="20905" xr:uid="{00000000-0005-0000-0000-0000711B0000}"/>
    <cellStyle name="Input 2 4 2 2 7 4" xfId="9115" xr:uid="{00000000-0005-0000-0000-0000721B0000}"/>
    <cellStyle name="Input 2 4 2 2 7 5" xfId="15734" xr:uid="{00000000-0005-0000-0000-0000731B0000}"/>
    <cellStyle name="Input 2 4 2 2 7_Summary" xfId="20903" xr:uid="{00000000-0005-0000-0000-0000741B0000}"/>
    <cellStyle name="Input 2 4 2 2 8" xfId="2965" xr:uid="{00000000-0005-0000-0000-0000751B0000}"/>
    <cellStyle name="Input 2 4 2 2 8 2" xfId="9561" xr:uid="{00000000-0005-0000-0000-0000761B0000}"/>
    <cellStyle name="Input 2 4 2 2 8 3" xfId="16180" xr:uid="{00000000-0005-0000-0000-0000771B0000}"/>
    <cellStyle name="Input 2 4 2 2 8_Summary" xfId="20906" xr:uid="{00000000-0005-0000-0000-0000781B0000}"/>
    <cellStyle name="Input 2 4 2 2 9" xfId="5000" xr:uid="{00000000-0005-0000-0000-0000791B0000}"/>
    <cellStyle name="Input 2 4 2 2 9 2" xfId="11596" xr:uid="{00000000-0005-0000-0000-00007A1B0000}"/>
    <cellStyle name="Input 2 4 2 2 9 3" xfId="18215" xr:uid="{00000000-0005-0000-0000-00007B1B0000}"/>
    <cellStyle name="Input 2 4 2 2 9_Summary" xfId="20907" xr:uid="{00000000-0005-0000-0000-00007C1B0000}"/>
    <cellStyle name="Input 2 4 2 2_Summary" xfId="20886" xr:uid="{00000000-0005-0000-0000-00007D1B0000}"/>
    <cellStyle name="Input 2 4 2 20" xfId="30922" xr:uid="{70DE9FDC-E2A6-4520-A9B3-856DF0E572EE}"/>
    <cellStyle name="Input 2 4 2 3" xfId="1001" xr:uid="{00000000-0005-0000-0000-00007E1B0000}"/>
    <cellStyle name="Input 2 4 2 3 2" xfId="3137" xr:uid="{00000000-0005-0000-0000-00007F1B0000}"/>
    <cellStyle name="Input 2 4 2 3 2 2" xfId="9733" xr:uid="{00000000-0005-0000-0000-0000801B0000}"/>
    <cellStyle name="Input 2 4 2 3 2 3" xfId="16352" xr:uid="{00000000-0005-0000-0000-0000811B0000}"/>
    <cellStyle name="Input 2 4 2 3 2_Summary" xfId="20909" xr:uid="{00000000-0005-0000-0000-0000821B0000}"/>
    <cellStyle name="Input 2 4 2 3 3" xfId="5172" xr:uid="{00000000-0005-0000-0000-0000831B0000}"/>
    <cellStyle name="Input 2 4 2 3 3 2" xfId="11768" xr:uid="{00000000-0005-0000-0000-0000841B0000}"/>
    <cellStyle name="Input 2 4 2 3 3 3" xfId="18387" xr:uid="{00000000-0005-0000-0000-0000851B0000}"/>
    <cellStyle name="Input 2 4 2 3 3_Summary" xfId="20910" xr:uid="{00000000-0005-0000-0000-0000861B0000}"/>
    <cellStyle name="Input 2 4 2 3 4" xfId="7598" xr:uid="{00000000-0005-0000-0000-0000871B0000}"/>
    <cellStyle name="Input 2 4 2 3 5" xfId="14216" xr:uid="{00000000-0005-0000-0000-0000881B0000}"/>
    <cellStyle name="Input 2 4 2 3_Summary" xfId="20908" xr:uid="{00000000-0005-0000-0000-0000891B0000}"/>
    <cellStyle name="Input 2 4 2 4" xfId="1283" xr:uid="{00000000-0005-0000-0000-00008A1B0000}"/>
    <cellStyle name="Input 2 4 2 4 2" xfId="3419" xr:uid="{00000000-0005-0000-0000-00008B1B0000}"/>
    <cellStyle name="Input 2 4 2 4 2 2" xfId="10015" xr:uid="{00000000-0005-0000-0000-00008C1B0000}"/>
    <cellStyle name="Input 2 4 2 4 2 3" xfId="16634" xr:uid="{00000000-0005-0000-0000-00008D1B0000}"/>
    <cellStyle name="Input 2 4 2 4 2_Summary" xfId="20912" xr:uid="{00000000-0005-0000-0000-00008E1B0000}"/>
    <cellStyle name="Input 2 4 2 4 3" xfId="5454" xr:uid="{00000000-0005-0000-0000-00008F1B0000}"/>
    <cellStyle name="Input 2 4 2 4 3 2" xfId="12050" xr:uid="{00000000-0005-0000-0000-0000901B0000}"/>
    <cellStyle name="Input 2 4 2 4 3 3" xfId="18669" xr:uid="{00000000-0005-0000-0000-0000911B0000}"/>
    <cellStyle name="Input 2 4 2 4 3_Summary" xfId="20913" xr:uid="{00000000-0005-0000-0000-0000921B0000}"/>
    <cellStyle name="Input 2 4 2 4 4" xfId="7879" xr:uid="{00000000-0005-0000-0000-0000931B0000}"/>
    <cellStyle name="Input 2 4 2 4 5" xfId="14498" xr:uid="{00000000-0005-0000-0000-0000941B0000}"/>
    <cellStyle name="Input 2 4 2 4_Summary" xfId="20911" xr:uid="{00000000-0005-0000-0000-0000951B0000}"/>
    <cellStyle name="Input 2 4 2 5" xfId="1564" xr:uid="{00000000-0005-0000-0000-0000961B0000}"/>
    <cellStyle name="Input 2 4 2 5 2" xfId="3700" xr:uid="{00000000-0005-0000-0000-0000971B0000}"/>
    <cellStyle name="Input 2 4 2 5 2 2" xfId="10296" xr:uid="{00000000-0005-0000-0000-0000981B0000}"/>
    <cellStyle name="Input 2 4 2 5 2 3" xfId="16915" xr:uid="{00000000-0005-0000-0000-0000991B0000}"/>
    <cellStyle name="Input 2 4 2 5 2_Summary" xfId="20915" xr:uid="{00000000-0005-0000-0000-00009A1B0000}"/>
    <cellStyle name="Input 2 4 2 5 3" xfId="5735" xr:uid="{00000000-0005-0000-0000-00009B1B0000}"/>
    <cellStyle name="Input 2 4 2 5 3 2" xfId="12331" xr:uid="{00000000-0005-0000-0000-00009C1B0000}"/>
    <cellStyle name="Input 2 4 2 5 3 3" xfId="18950" xr:uid="{00000000-0005-0000-0000-00009D1B0000}"/>
    <cellStyle name="Input 2 4 2 5 3_Summary" xfId="20916" xr:uid="{00000000-0005-0000-0000-00009E1B0000}"/>
    <cellStyle name="Input 2 4 2 5 4" xfId="8160" xr:uid="{00000000-0005-0000-0000-00009F1B0000}"/>
    <cellStyle name="Input 2 4 2 5 5" xfId="14779" xr:uid="{00000000-0005-0000-0000-0000A01B0000}"/>
    <cellStyle name="Input 2 4 2 5_Summary" xfId="20914" xr:uid="{00000000-0005-0000-0000-0000A11B0000}"/>
    <cellStyle name="Input 2 4 2 6" xfId="1843" xr:uid="{00000000-0005-0000-0000-0000A21B0000}"/>
    <cellStyle name="Input 2 4 2 6 2" xfId="3979" xr:uid="{00000000-0005-0000-0000-0000A31B0000}"/>
    <cellStyle name="Input 2 4 2 6 2 2" xfId="10575" xr:uid="{00000000-0005-0000-0000-0000A41B0000}"/>
    <cellStyle name="Input 2 4 2 6 2 3" xfId="17194" xr:uid="{00000000-0005-0000-0000-0000A51B0000}"/>
    <cellStyle name="Input 2 4 2 6 2_Summary" xfId="20918" xr:uid="{00000000-0005-0000-0000-0000A61B0000}"/>
    <cellStyle name="Input 2 4 2 6 3" xfId="6014" xr:uid="{00000000-0005-0000-0000-0000A71B0000}"/>
    <cellStyle name="Input 2 4 2 6 3 2" xfId="12610" xr:uid="{00000000-0005-0000-0000-0000A81B0000}"/>
    <cellStyle name="Input 2 4 2 6 3 3" xfId="19229" xr:uid="{00000000-0005-0000-0000-0000A91B0000}"/>
    <cellStyle name="Input 2 4 2 6 3_Summary" xfId="20919" xr:uid="{00000000-0005-0000-0000-0000AA1B0000}"/>
    <cellStyle name="Input 2 4 2 6 4" xfId="8439" xr:uid="{00000000-0005-0000-0000-0000AB1B0000}"/>
    <cellStyle name="Input 2 4 2 6 5" xfId="15058" xr:uid="{00000000-0005-0000-0000-0000AC1B0000}"/>
    <cellStyle name="Input 2 4 2 6_Summary" xfId="20917" xr:uid="{00000000-0005-0000-0000-0000AD1B0000}"/>
    <cellStyle name="Input 2 4 2 7" xfId="2118" xr:uid="{00000000-0005-0000-0000-0000AE1B0000}"/>
    <cellStyle name="Input 2 4 2 7 2" xfId="4254" xr:uid="{00000000-0005-0000-0000-0000AF1B0000}"/>
    <cellStyle name="Input 2 4 2 7 2 2" xfId="10850" xr:uid="{00000000-0005-0000-0000-0000B01B0000}"/>
    <cellStyle name="Input 2 4 2 7 2 3" xfId="17469" xr:uid="{00000000-0005-0000-0000-0000B11B0000}"/>
    <cellStyle name="Input 2 4 2 7 2_Summary" xfId="20921" xr:uid="{00000000-0005-0000-0000-0000B21B0000}"/>
    <cellStyle name="Input 2 4 2 7 3" xfId="6289" xr:uid="{00000000-0005-0000-0000-0000B31B0000}"/>
    <cellStyle name="Input 2 4 2 7 3 2" xfId="12885" xr:uid="{00000000-0005-0000-0000-0000B41B0000}"/>
    <cellStyle name="Input 2 4 2 7 3 3" xfId="19504" xr:uid="{00000000-0005-0000-0000-0000B51B0000}"/>
    <cellStyle name="Input 2 4 2 7 3_Summary" xfId="20922" xr:uid="{00000000-0005-0000-0000-0000B61B0000}"/>
    <cellStyle name="Input 2 4 2 7 4" xfId="8714" xr:uid="{00000000-0005-0000-0000-0000B71B0000}"/>
    <cellStyle name="Input 2 4 2 7 5" xfId="15333" xr:uid="{00000000-0005-0000-0000-0000B81B0000}"/>
    <cellStyle name="Input 2 4 2 7_Summary" xfId="20920" xr:uid="{00000000-0005-0000-0000-0000B91B0000}"/>
    <cellStyle name="Input 2 4 2 8" xfId="2391" xr:uid="{00000000-0005-0000-0000-0000BA1B0000}"/>
    <cellStyle name="Input 2 4 2 8 2" xfId="4527" xr:uid="{00000000-0005-0000-0000-0000BB1B0000}"/>
    <cellStyle name="Input 2 4 2 8 2 2" xfId="11123" xr:uid="{00000000-0005-0000-0000-0000BC1B0000}"/>
    <cellStyle name="Input 2 4 2 8 2 3" xfId="17742" xr:uid="{00000000-0005-0000-0000-0000BD1B0000}"/>
    <cellStyle name="Input 2 4 2 8 2_Summary" xfId="20924" xr:uid="{00000000-0005-0000-0000-0000BE1B0000}"/>
    <cellStyle name="Input 2 4 2 8 3" xfId="6562" xr:uid="{00000000-0005-0000-0000-0000BF1B0000}"/>
    <cellStyle name="Input 2 4 2 8 3 2" xfId="13158" xr:uid="{00000000-0005-0000-0000-0000C01B0000}"/>
    <cellStyle name="Input 2 4 2 8 3 3" xfId="19777" xr:uid="{00000000-0005-0000-0000-0000C11B0000}"/>
    <cellStyle name="Input 2 4 2 8 3_Summary" xfId="20925" xr:uid="{00000000-0005-0000-0000-0000C21B0000}"/>
    <cellStyle name="Input 2 4 2 8 4" xfId="8987" xr:uid="{00000000-0005-0000-0000-0000C31B0000}"/>
    <cellStyle name="Input 2 4 2 8 5" xfId="15606" xr:uid="{00000000-0005-0000-0000-0000C41B0000}"/>
    <cellStyle name="Input 2 4 2 8_Summary" xfId="20923" xr:uid="{00000000-0005-0000-0000-0000C51B0000}"/>
    <cellStyle name="Input 2 4 2 9" xfId="2692" xr:uid="{00000000-0005-0000-0000-0000C61B0000}"/>
    <cellStyle name="Input 2 4 2 9 2" xfId="9288" xr:uid="{00000000-0005-0000-0000-0000C71B0000}"/>
    <cellStyle name="Input 2 4 2 9 3" xfId="15907" xr:uid="{00000000-0005-0000-0000-0000C81B0000}"/>
    <cellStyle name="Input 2 4 2 9_Summary" xfId="20926" xr:uid="{00000000-0005-0000-0000-0000C91B0000}"/>
    <cellStyle name="Input 2 4 2_Summary" xfId="20883" xr:uid="{00000000-0005-0000-0000-0000CA1B0000}"/>
    <cellStyle name="Input 2 4 20" xfId="27017" xr:uid="{0160BC14-E6C0-42AA-9DB5-2E20B990CC56}"/>
    <cellStyle name="Input 2 4 21" xfId="28680" xr:uid="{E11975F6-6010-4E9F-B0E0-67F2BAA89324}"/>
    <cellStyle name="Input 2 4 22" xfId="30921" xr:uid="{6C058445-31DD-4141-9588-54163A1CAB63}"/>
    <cellStyle name="Input 2 4 3" xfId="221" xr:uid="{00000000-0005-0000-0000-0000CB1B0000}"/>
    <cellStyle name="Input 2 4 3 10" xfId="758" xr:uid="{00000000-0005-0000-0000-0000CC1B0000}"/>
    <cellStyle name="Input 2 4 3 10 2" xfId="13973" xr:uid="{00000000-0005-0000-0000-0000CD1B0000}"/>
    <cellStyle name="Input 2 4 3 10_Summary" xfId="20928" xr:uid="{00000000-0005-0000-0000-0000CE1B0000}"/>
    <cellStyle name="Input 2 4 3 11" xfId="7128" xr:uid="{00000000-0005-0000-0000-0000CF1B0000}"/>
    <cellStyle name="Input 2 4 3 12" xfId="7015" xr:uid="{00000000-0005-0000-0000-0000D01B0000}"/>
    <cellStyle name="Input 2 4 3 13" xfId="26406" xr:uid="{3A2F6C49-D729-4BA9-A86B-8F62DD824A49}"/>
    <cellStyle name="Input 2 4 3 14" xfId="26804" xr:uid="{5A9901EC-E8B3-4FC6-A797-FF0CE0B413EA}"/>
    <cellStyle name="Input 2 4 3 15" xfId="26988" xr:uid="{9BE53D75-57D1-4C5E-A48D-345DBA9A3F47}"/>
    <cellStyle name="Input 2 4 3 16" xfId="26662" xr:uid="{1A462622-C8D0-4DEE-AABD-3BB9EF8CA340}"/>
    <cellStyle name="Input 2 4 3 17" xfId="26661" xr:uid="{871E1BE5-AF40-4323-9225-B18BDA0D08B6}"/>
    <cellStyle name="Input 2 4 3 18" xfId="28682" xr:uid="{5B088F44-C101-4577-AC82-CB54FCF1A9FA}"/>
    <cellStyle name="Input 2 4 3 19" xfId="30923" xr:uid="{6DD5768F-B24F-40D9-8DFB-017A97E40D82}"/>
    <cellStyle name="Input 2 4 3 2" xfId="926" xr:uid="{00000000-0005-0000-0000-0000D11B0000}"/>
    <cellStyle name="Input 2 4 3 2 10" xfId="27069" xr:uid="{D5B2180E-E2D8-494A-B686-0AAC1BCDDC0B}"/>
    <cellStyle name="Input 2 4 3 2 11" xfId="30205" xr:uid="{C67D8DB7-C315-4277-9DCC-E49106EAD923}"/>
    <cellStyle name="Input 2 4 3 2 12" xfId="31637" xr:uid="{61265CB2-9EC5-460D-96AC-27999A41B413}"/>
    <cellStyle name="Input 2 4 3 2 2" xfId="3062" xr:uid="{00000000-0005-0000-0000-0000D21B0000}"/>
    <cellStyle name="Input 2 4 3 2 2 2" xfId="9658" xr:uid="{00000000-0005-0000-0000-0000D31B0000}"/>
    <cellStyle name="Input 2 4 3 2 2 3" xfId="16277" xr:uid="{00000000-0005-0000-0000-0000D41B0000}"/>
    <cellStyle name="Input 2 4 3 2 2_Summary" xfId="20930" xr:uid="{00000000-0005-0000-0000-0000D51B0000}"/>
    <cellStyle name="Input 2 4 3 2 3" xfId="5097" xr:uid="{00000000-0005-0000-0000-0000D61B0000}"/>
    <cellStyle name="Input 2 4 3 2 3 2" xfId="11693" xr:uid="{00000000-0005-0000-0000-0000D71B0000}"/>
    <cellStyle name="Input 2 4 3 2 3 3" xfId="18312" xr:uid="{00000000-0005-0000-0000-0000D81B0000}"/>
    <cellStyle name="Input 2 4 3 2 3_Summary" xfId="20931" xr:uid="{00000000-0005-0000-0000-0000D91B0000}"/>
    <cellStyle name="Input 2 4 3 2 4" xfId="7523" xr:uid="{00000000-0005-0000-0000-0000DA1B0000}"/>
    <cellStyle name="Input 2 4 3 2 5" xfId="14141" xr:uid="{00000000-0005-0000-0000-0000DB1B0000}"/>
    <cellStyle name="Input 2 4 3 2 6" xfId="26481" xr:uid="{A2F2FA5F-8FD5-4974-B879-0EF44AB33884}"/>
    <cellStyle name="Input 2 4 3 2 7" xfId="26869" xr:uid="{2EC7AA04-14EA-493E-B408-9731E570AE0E}"/>
    <cellStyle name="Input 2 4 3 2 8" xfId="27020" xr:uid="{8CAD1A6B-0103-4945-9183-91EF6D57A7BA}"/>
    <cellStyle name="Input 2 4 3 2 9" xfId="27049" xr:uid="{F5ADA060-3DD6-4A66-BB64-172A64EEB6C2}"/>
    <cellStyle name="Input 2 4 3 2_Summary" xfId="20929" xr:uid="{00000000-0005-0000-0000-0000DC1B0000}"/>
    <cellStyle name="Input 2 4 3 3" xfId="1211" xr:uid="{00000000-0005-0000-0000-0000DD1B0000}"/>
    <cellStyle name="Input 2 4 3 3 2" xfId="3347" xr:uid="{00000000-0005-0000-0000-0000DE1B0000}"/>
    <cellStyle name="Input 2 4 3 3 2 2" xfId="9943" xr:uid="{00000000-0005-0000-0000-0000DF1B0000}"/>
    <cellStyle name="Input 2 4 3 3 2 3" xfId="16562" xr:uid="{00000000-0005-0000-0000-0000E01B0000}"/>
    <cellStyle name="Input 2 4 3 3 2_Summary" xfId="20933" xr:uid="{00000000-0005-0000-0000-0000E11B0000}"/>
    <cellStyle name="Input 2 4 3 3 3" xfId="5382" xr:uid="{00000000-0005-0000-0000-0000E21B0000}"/>
    <cellStyle name="Input 2 4 3 3 3 2" xfId="11978" xr:uid="{00000000-0005-0000-0000-0000E31B0000}"/>
    <cellStyle name="Input 2 4 3 3 3 3" xfId="18597" xr:uid="{00000000-0005-0000-0000-0000E41B0000}"/>
    <cellStyle name="Input 2 4 3 3 3_Summary" xfId="20934" xr:uid="{00000000-0005-0000-0000-0000E51B0000}"/>
    <cellStyle name="Input 2 4 3 3 4" xfId="7807" xr:uid="{00000000-0005-0000-0000-0000E61B0000}"/>
    <cellStyle name="Input 2 4 3 3 5" xfId="14426" xr:uid="{00000000-0005-0000-0000-0000E71B0000}"/>
    <cellStyle name="Input 2 4 3 3_Summary" xfId="20932" xr:uid="{00000000-0005-0000-0000-0000E81B0000}"/>
    <cellStyle name="Input 2 4 3 4" xfId="1493" xr:uid="{00000000-0005-0000-0000-0000E91B0000}"/>
    <cellStyle name="Input 2 4 3 4 2" xfId="3629" xr:uid="{00000000-0005-0000-0000-0000EA1B0000}"/>
    <cellStyle name="Input 2 4 3 4 2 2" xfId="10225" xr:uid="{00000000-0005-0000-0000-0000EB1B0000}"/>
    <cellStyle name="Input 2 4 3 4 2 3" xfId="16844" xr:uid="{00000000-0005-0000-0000-0000EC1B0000}"/>
    <cellStyle name="Input 2 4 3 4 2_Summary" xfId="20936" xr:uid="{00000000-0005-0000-0000-0000ED1B0000}"/>
    <cellStyle name="Input 2 4 3 4 3" xfId="5664" xr:uid="{00000000-0005-0000-0000-0000EE1B0000}"/>
    <cellStyle name="Input 2 4 3 4 3 2" xfId="12260" xr:uid="{00000000-0005-0000-0000-0000EF1B0000}"/>
    <cellStyle name="Input 2 4 3 4 3 3" xfId="18879" xr:uid="{00000000-0005-0000-0000-0000F01B0000}"/>
    <cellStyle name="Input 2 4 3 4 3_Summary" xfId="20937" xr:uid="{00000000-0005-0000-0000-0000F11B0000}"/>
    <cellStyle name="Input 2 4 3 4 4" xfId="8089" xr:uid="{00000000-0005-0000-0000-0000F21B0000}"/>
    <cellStyle name="Input 2 4 3 4 5" xfId="14708" xr:uid="{00000000-0005-0000-0000-0000F31B0000}"/>
    <cellStyle name="Input 2 4 3 4_Summary" xfId="20935" xr:uid="{00000000-0005-0000-0000-0000F41B0000}"/>
    <cellStyle name="Input 2 4 3 5" xfId="1774" xr:uid="{00000000-0005-0000-0000-0000F51B0000}"/>
    <cellStyle name="Input 2 4 3 5 2" xfId="3910" xr:uid="{00000000-0005-0000-0000-0000F61B0000}"/>
    <cellStyle name="Input 2 4 3 5 2 2" xfId="10506" xr:uid="{00000000-0005-0000-0000-0000F71B0000}"/>
    <cellStyle name="Input 2 4 3 5 2 3" xfId="17125" xr:uid="{00000000-0005-0000-0000-0000F81B0000}"/>
    <cellStyle name="Input 2 4 3 5 2_Summary" xfId="20939" xr:uid="{00000000-0005-0000-0000-0000F91B0000}"/>
    <cellStyle name="Input 2 4 3 5 3" xfId="5945" xr:uid="{00000000-0005-0000-0000-0000FA1B0000}"/>
    <cellStyle name="Input 2 4 3 5 3 2" xfId="12541" xr:uid="{00000000-0005-0000-0000-0000FB1B0000}"/>
    <cellStyle name="Input 2 4 3 5 3 3" xfId="19160" xr:uid="{00000000-0005-0000-0000-0000FC1B0000}"/>
    <cellStyle name="Input 2 4 3 5 3_Summary" xfId="20940" xr:uid="{00000000-0005-0000-0000-0000FD1B0000}"/>
    <cellStyle name="Input 2 4 3 5 4" xfId="8370" xr:uid="{00000000-0005-0000-0000-0000FE1B0000}"/>
    <cellStyle name="Input 2 4 3 5 5" xfId="14989" xr:uid="{00000000-0005-0000-0000-0000FF1B0000}"/>
    <cellStyle name="Input 2 4 3 5_Summary" xfId="20938" xr:uid="{00000000-0005-0000-0000-0000001C0000}"/>
    <cellStyle name="Input 2 4 3 6" xfId="2053" xr:uid="{00000000-0005-0000-0000-0000011C0000}"/>
    <cellStyle name="Input 2 4 3 6 2" xfId="4189" xr:uid="{00000000-0005-0000-0000-0000021C0000}"/>
    <cellStyle name="Input 2 4 3 6 2 2" xfId="10785" xr:uid="{00000000-0005-0000-0000-0000031C0000}"/>
    <cellStyle name="Input 2 4 3 6 2 3" xfId="17404" xr:uid="{00000000-0005-0000-0000-0000041C0000}"/>
    <cellStyle name="Input 2 4 3 6 2_Summary" xfId="20942" xr:uid="{00000000-0005-0000-0000-0000051C0000}"/>
    <cellStyle name="Input 2 4 3 6 3" xfId="6224" xr:uid="{00000000-0005-0000-0000-0000061C0000}"/>
    <cellStyle name="Input 2 4 3 6 3 2" xfId="12820" xr:uid="{00000000-0005-0000-0000-0000071C0000}"/>
    <cellStyle name="Input 2 4 3 6 3 3" xfId="19439" xr:uid="{00000000-0005-0000-0000-0000081C0000}"/>
    <cellStyle name="Input 2 4 3 6 3_Summary" xfId="20943" xr:uid="{00000000-0005-0000-0000-0000091C0000}"/>
    <cellStyle name="Input 2 4 3 6 4" xfId="8649" xr:uid="{00000000-0005-0000-0000-00000A1C0000}"/>
    <cellStyle name="Input 2 4 3 6 5" xfId="15268" xr:uid="{00000000-0005-0000-0000-00000B1C0000}"/>
    <cellStyle name="Input 2 4 3 6_Summary" xfId="20941" xr:uid="{00000000-0005-0000-0000-00000C1C0000}"/>
    <cellStyle name="Input 2 4 3 7" xfId="2328" xr:uid="{00000000-0005-0000-0000-00000D1C0000}"/>
    <cellStyle name="Input 2 4 3 7 2" xfId="4464" xr:uid="{00000000-0005-0000-0000-00000E1C0000}"/>
    <cellStyle name="Input 2 4 3 7 2 2" xfId="11060" xr:uid="{00000000-0005-0000-0000-00000F1C0000}"/>
    <cellStyle name="Input 2 4 3 7 2 3" xfId="17679" xr:uid="{00000000-0005-0000-0000-0000101C0000}"/>
    <cellStyle name="Input 2 4 3 7 2_Summary" xfId="20945" xr:uid="{00000000-0005-0000-0000-0000111C0000}"/>
    <cellStyle name="Input 2 4 3 7 3" xfId="6499" xr:uid="{00000000-0005-0000-0000-0000121C0000}"/>
    <cellStyle name="Input 2 4 3 7 3 2" xfId="13095" xr:uid="{00000000-0005-0000-0000-0000131C0000}"/>
    <cellStyle name="Input 2 4 3 7 3 3" xfId="19714" xr:uid="{00000000-0005-0000-0000-0000141C0000}"/>
    <cellStyle name="Input 2 4 3 7 3_Summary" xfId="20946" xr:uid="{00000000-0005-0000-0000-0000151C0000}"/>
    <cellStyle name="Input 2 4 3 7 4" xfId="8924" xr:uid="{00000000-0005-0000-0000-0000161C0000}"/>
    <cellStyle name="Input 2 4 3 7 5" xfId="15543" xr:uid="{00000000-0005-0000-0000-0000171C0000}"/>
    <cellStyle name="Input 2 4 3 7_Summary" xfId="20944" xr:uid="{00000000-0005-0000-0000-0000181C0000}"/>
    <cellStyle name="Input 2 4 3 8" xfId="2894" xr:uid="{00000000-0005-0000-0000-0000191C0000}"/>
    <cellStyle name="Input 2 4 3 8 2" xfId="9490" xr:uid="{00000000-0005-0000-0000-00001A1C0000}"/>
    <cellStyle name="Input 2 4 3 8 3" xfId="16109" xr:uid="{00000000-0005-0000-0000-00001B1C0000}"/>
    <cellStyle name="Input 2 4 3 8_Summary" xfId="20947" xr:uid="{00000000-0005-0000-0000-00001C1C0000}"/>
    <cellStyle name="Input 2 4 3 9" xfId="4929" xr:uid="{00000000-0005-0000-0000-00001D1C0000}"/>
    <cellStyle name="Input 2 4 3 9 2" xfId="11525" xr:uid="{00000000-0005-0000-0000-00001E1C0000}"/>
    <cellStyle name="Input 2 4 3 9 3" xfId="18144" xr:uid="{00000000-0005-0000-0000-00001F1C0000}"/>
    <cellStyle name="Input 2 4 3 9_Summary" xfId="20948" xr:uid="{00000000-0005-0000-0000-0000201C0000}"/>
    <cellStyle name="Input 2 4 3_Summary" xfId="20927" xr:uid="{00000000-0005-0000-0000-0000211C0000}"/>
    <cellStyle name="Input 2 4 4" xfId="374" xr:uid="{00000000-0005-0000-0000-0000221C0000}"/>
    <cellStyle name="Input 2 4 4 10" xfId="711" xr:uid="{00000000-0005-0000-0000-0000231C0000}"/>
    <cellStyle name="Input 2 4 4 10 2" xfId="13926" xr:uid="{00000000-0005-0000-0000-0000241C0000}"/>
    <cellStyle name="Input 2 4 4 10_Summary" xfId="20950" xr:uid="{00000000-0005-0000-0000-0000251C0000}"/>
    <cellStyle name="Input 2 4 4 11" xfId="7267" xr:uid="{00000000-0005-0000-0000-0000261C0000}"/>
    <cellStyle name="Input 2 4 4 12" xfId="13589" xr:uid="{00000000-0005-0000-0000-0000271C0000}"/>
    <cellStyle name="Input 2 4 4 13" xfId="30203" xr:uid="{5F4330FD-62BF-4043-B702-7E43A0BFD9CE}"/>
    <cellStyle name="Input 2 4 4 14" xfId="31635" xr:uid="{6630B779-C77D-43C3-A2BD-03FA6654DFAD}"/>
    <cellStyle name="Input 2 4 4 2" xfId="1068" xr:uid="{00000000-0005-0000-0000-0000281C0000}"/>
    <cellStyle name="Input 2 4 4 2 2" xfId="3204" xr:uid="{00000000-0005-0000-0000-0000291C0000}"/>
    <cellStyle name="Input 2 4 4 2 2 2" xfId="9800" xr:uid="{00000000-0005-0000-0000-00002A1C0000}"/>
    <cellStyle name="Input 2 4 4 2 2 3" xfId="16419" xr:uid="{00000000-0005-0000-0000-00002B1C0000}"/>
    <cellStyle name="Input 2 4 4 2 2_Summary" xfId="20952" xr:uid="{00000000-0005-0000-0000-00002C1C0000}"/>
    <cellStyle name="Input 2 4 4 2 3" xfId="5239" xr:uid="{00000000-0005-0000-0000-00002D1C0000}"/>
    <cellStyle name="Input 2 4 4 2 3 2" xfId="11835" xr:uid="{00000000-0005-0000-0000-00002E1C0000}"/>
    <cellStyle name="Input 2 4 4 2 3 3" xfId="18454" xr:uid="{00000000-0005-0000-0000-00002F1C0000}"/>
    <cellStyle name="Input 2 4 4 2 3_Summary" xfId="20953" xr:uid="{00000000-0005-0000-0000-0000301C0000}"/>
    <cellStyle name="Input 2 4 4 2 4" xfId="7665" xr:uid="{00000000-0005-0000-0000-0000311C0000}"/>
    <cellStyle name="Input 2 4 4 2 5" xfId="14283" xr:uid="{00000000-0005-0000-0000-0000321C0000}"/>
    <cellStyle name="Input 2 4 4 2_Summary" xfId="20951" xr:uid="{00000000-0005-0000-0000-0000331C0000}"/>
    <cellStyle name="Input 2 4 4 3" xfId="1350" xr:uid="{00000000-0005-0000-0000-0000341C0000}"/>
    <cellStyle name="Input 2 4 4 3 2" xfId="3486" xr:uid="{00000000-0005-0000-0000-0000351C0000}"/>
    <cellStyle name="Input 2 4 4 3 2 2" xfId="10082" xr:uid="{00000000-0005-0000-0000-0000361C0000}"/>
    <cellStyle name="Input 2 4 4 3 2 3" xfId="16701" xr:uid="{00000000-0005-0000-0000-0000371C0000}"/>
    <cellStyle name="Input 2 4 4 3 2_Summary" xfId="20955" xr:uid="{00000000-0005-0000-0000-0000381C0000}"/>
    <cellStyle name="Input 2 4 4 3 3" xfId="5521" xr:uid="{00000000-0005-0000-0000-0000391C0000}"/>
    <cellStyle name="Input 2 4 4 3 3 2" xfId="12117" xr:uid="{00000000-0005-0000-0000-00003A1C0000}"/>
    <cellStyle name="Input 2 4 4 3 3 3" xfId="18736" xr:uid="{00000000-0005-0000-0000-00003B1C0000}"/>
    <cellStyle name="Input 2 4 4 3 3_Summary" xfId="20956" xr:uid="{00000000-0005-0000-0000-00003C1C0000}"/>
    <cellStyle name="Input 2 4 4 3 4" xfId="7946" xr:uid="{00000000-0005-0000-0000-00003D1C0000}"/>
    <cellStyle name="Input 2 4 4 3 5" xfId="14565" xr:uid="{00000000-0005-0000-0000-00003E1C0000}"/>
    <cellStyle name="Input 2 4 4 3_Summary" xfId="20954" xr:uid="{00000000-0005-0000-0000-00003F1C0000}"/>
    <cellStyle name="Input 2 4 4 4" xfId="1631" xr:uid="{00000000-0005-0000-0000-0000401C0000}"/>
    <cellStyle name="Input 2 4 4 4 2" xfId="3767" xr:uid="{00000000-0005-0000-0000-0000411C0000}"/>
    <cellStyle name="Input 2 4 4 4 2 2" xfId="10363" xr:uid="{00000000-0005-0000-0000-0000421C0000}"/>
    <cellStyle name="Input 2 4 4 4 2 3" xfId="16982" xr:uid="{00000000-0005-0000-0000-0000431C0000}"/>
    <cellStyle name="Input 2 4 4 4 2_Summary" xfId="20958" xr:uid="{00000000-0005-0000-0000-0000441C0000}"/>
    <cellStyle name="Input 2 4 4 4 3" xfId="5802" xr:uid="{00000000-0005-0000-0000-0000451C0000}"/>
    <cellStyle name="Input 2 4 4 4 3 2" xfId="12398" xr:uid="{00000000-0005-0000-0000-0000461C0000}"/>
    <cellStyle name="Input 2 4 4 4 3 3" xfId="19017" xr:uid="{00000000-0005-0000-0000-0000471C0000}"/>
    <cellStyle name="Input 2 4 4 4 3_Summary" xfId="20959" xr:uid="{00000000-0005-0000-0000-0000481C0000}"/>
    <cellStyle name="Input 2 4 4 4 4" xfId="8227" xr:uid="{00000000-0005-0000-0000-0000491C0000}"/>
    <cellStyle name="Input 2 4 4 4 5" xfId="14846" xr:uid="{00000000-0005-0000-0000-00004A1C0000}"/>
    <cellStyle name="Input 2 4 4 4_Summary" xfId="20957" xr:uid="{00000000-0005-0000-0000-00004B1C0000}"/>
    <cellStyle name="Input 2 4 4 5" xfId="1910" xr:uid="{00000000-0005-0000-0000-00004C1C0000}"/>
    <cellStyle name="Input 2 4 4 5 2" xfId="4046" xr:uid="{00000000-0005-0000-0000-00004D1C0000}"/>
    <cellStyle name="Input 2 4 4 5 2 2" xfId="10642" xr:uid="{00000000-0005-0000-0000-00004E1C0000}"/>
    <cellStyle name="Input 2 4 4 5 2 3" xfId="17261" xr:uid="{00000000-0005-0000-0000-00004F1C0000}"/>
    <cellStyle name="Input 2 4 4 5 2_Summary" xfId="20961" xr:uid="{00000000-0005-0000-0000-0000501C0000}"/>
    <cellStyle name="Input 2 4 4 5 3" xfId="6081" xr:uid="{00000000-0005-0000-0000-0000511C0000}"/>
    <cellStyle name="Input 2 4 4 5 3 2" xfId="12677" xr:uid="{00000000-0005-0000-0000-0000521C0000}"/>
    <cellStyle name="Input 2 4 4 5 3 3" xfId="19296" xr:uid="{00000000-0005-0000-0000-0000531C0000}"/>
    <cellStyle name="Input 2 4 4 5 3_Summary" xfId="20962" xr:uid="{00000000-0005-0000-0000-0000541C0000}"/>
    <cellStyle name="Input 2 4 4 5 4" xfId="8506" xr:uid="{00000000-0005-0000-0000-0000551C0000}"/>
    <cellStyle name="Input 2 4 4 5 5" xfId="15125" xr:uid="{00000000-0005-0000-0000-0000561C0000}"/>
    <cellStyle name="Input 2 4 4 5_Summary" xfId="20960" xr:uid="{00000000-0005-0000-0000-0000571C0000}"/>
    <cellStyle name="Input 2 4 4 6" xfId="2185" xr:uid="{00000000-0005-0000-0000-0000581C0000}"/>
    <cellStyle name="Input 2 4 4 6 2" xfId="4321" xr:uid="{00000000-0005-0000-0000-0000591C0000}"/>
    <cellStyle name="Input 2 4 4 6 2 2" xfId="10917" xr:uid="{00000000-0005-0000-0000-00005A1C0000}"/>
    <cellStyle name="Input 2 4 4 6 2 3" xfId="17536" xr:uid="{00000000-0005-0000-0000-00005B1C0000}"/>
    <cellStyle name="Input 2 4 4 6 2_Summary" xfId="20964" xr:uid="{00000000-0005-0000-0000-00005C1C0000}"/>
    <cellStyle name="Input 2 4 4 6 3" xfId="6356" xr:uid="{00000000-0005-0000-0000-00005D1C0000}"/>
    <cellStyle name="Input 2 4 4 6 3 2" xfId="12952" xr:uid="{00000000-0005-0000-0000-00005E1C0000}"/>
    <cellStyle name="Input 2 4 4 6 3 3" xfId="19571" xr:uid="{00000000-0005-0000-0000-00005F1C0000}"/>
    <cellStyle name="Input 2 4 4 6 3_Summary" xfId="20965" xr:uid="{00000000-0005-0000-0000-0000601C0000}"/>
    <cellStyle name="Input 2 4 4 6 4" xfId="8781" xr:uid="{00000000-0005-0000-0000-0000611C0000}"/>
    <cellStyle name="Input 2 4 4 6 5" xfId="15400" xr:uid="{00000000-0005-0000-0000-0000621C0000}"/>
    <cellStyle name="Input 2 4 4 6_Summary" xfId="20963" xr:uid="{00000000-0005-0000-0000-0000631C0000}"/>
    <cellStyle name="Input 2 4 4 7" xfId="2458" xr:uid="{00000000-0005-0000-0000-0000641C0000}"/>
    <cellStyle name="Input 2 4 4 7 2" xfId="4594" xr:uid="{00000000-0005-0000-0000-0000651C0000}"/>
    <cellStyle name="Input 2 4 4 7 2 2" xfId="11190" xr:uid="{00000000-0005-0000-0000-0000661C0000}"/>
    <cellStyle name="Input 2 4 4 7 2 3" xfId="17809" xr:uid="{00000000-0005-0000-0000-0000671C0000}"/>
    <cellStyle name="Input 2 4 4 7 2_Summary" xfId="20967" xr:uid="{00000000-0005-0000-0000-0000681C0000}"/>
    <cellStyle name="Input 2 4 4 7 3" xfId="6629" xr:uid="{00000000-0005-0000-0000-0000691C0000}"/>
    <cellStyle name="Input 2 4 4 7 3 2" xfId="13225" xr:uid="{00000000-0005-0000-0000-00006A1C0000}"/>
    <cellStyle name="Input 2 4 4 7 3 3" xfId="19844" xr:uid="{00000000-0005-0000-0000-00006B1C0000}"/>
    <cellStyle name="Input 2 4 4 7 3_Summary" xfId="20968" xr:uid="{00000000-0005-0000-0000-00006C1C0000}"/>
    <cellStyle name="Input 2 4 4 7 4" xfId="9054" xr:uid="{00000000-0005-0000-0000-00006D1C0000}"/>
    <cellStyle name="Input 2 4 4 7 5" xfId="15673" xr:uid="{00000000-0005-0000-0000-00006E1C0000}"/>
    <cellStyle name="Input 2 4 4 7_Summary" xfId="20966" xr:uid="{00000000-0005-0000-0000-00006F1C0000}"/>
    <cellStyle name="Input 2 4 4 8" xfId="2847" xr:uid="{00000000-0005-0000-0000-0000701C0000}"/>
    <cellStyle name="Input 2 4 4 8 2" xfId="9443" xr:uid="{00000000-0005-0000-0000-0000711C0000}"/>
    <cellStyle name="Input 2 4 4 8 3" xfId="16062" xr:uid="{00000000-0005-0000-0000-0000721C0000}"/>
    <cellStyle name="Input 2 4 4 8_Summary" xfId="20969" xr:uid="{00000000-0005-0000-0000-0000731C0000}"/>
    <cellStyle name="Input 2 4 4 9" xfId="4882" xr:uid="{00000000-0005-0000-0000-0000741C0000}"/>
    <cellStyle name="Input 2 4 4 9 2" xfId="11478" xr:uid="{00000000-0005-0000-0000-0000751C0000}"/>
    <cellStyle name="Input 2 4 4 9 3" xfId="18097" xr:uid="{00000000-0005-0000-0000-0000761C0000}"/>
    <cellStyle name="Input 2 4 4 9_Summary" xfId="20970" xr:uid="{00000000-0005-0000-0000-0000771C0000}"/>
    <cellStyle name="Input 2 4 4_Summary" xfId="20949" xr:uid="{00000000-0005-0000-0000-0000781C0000}"/>
    <cellStyle name="Input 2 4 5" xfId="881" xr:uid="{00000000-0005-0000-0000-0000791C0000}"/>
    <cellStyle name="Input 2 4 5 2" xfId="3017" xr:uid="{00000000-0005-0000-0000-00007A1C0000}"/>
    <cellStyle name="Input 2 4 5 2 2" xfId="9613" xr:uid="{00000000-0005-0000-0000-00007B1C0000}"/>
    <cellStyle name="Input 2 4 5 2 3" xfId="16232" xr:uid="{00000000-0005-0000-0000-00007C1C0000}"/>
    <cellStyle name="Input 2 4 5 2_Summary" xfId="20972" xr:uid="{00000000-0005-0000-0000-00007D1C0000}"/>
    <cellStyle name="Input 2 4 5 3" xfId="5052" xr:uid="{00000000-0005-0000-0000-00007E1C0000}"/>
    <cellStyle name="Input 2 4 5 3 2" xfId="11648" xr:uid="{00000000-0005-0000-0000-00007F1C0000}"/>
    <cellStyle name="Input 2 4 5 3 3" xfId="18267" xr:uid="{00000000-0005-0000-0000-0000801C0000}"/>
    <cellStyle name="Input 2 4 5 3_Summary" xfId="20973" xr:uid="{00000000-0005-0000-0000-0000811C0000}"/>
    <cellStyle name="Input 2 4 5 4" xfId="7478" xr:uid="{00000000-0005-0000-0000-0000821C0000}"/>
    <cellStyle name="Input 2 4 5 5" xfId="14096" xr:uid="{00000000-0005-0000-0000-0000831C0000}"/>
    <cellStyle name="Input 2 4 5_Summary" xfId="20971" xr:uid="{00000000-0005-0000-0000-0000841C0000}"/>
    <cellStyle name="Input 2 4 6" xfId="1166" xr:uid="{00000000-0005-0000-0000-0000851C0000}"/>
    <cellStyle name="Input 2 4 6 2" xfId="3302" xr:uid="{00000000-0005-0000-0000-0000861C0000}"/>
    <cellStyle name="Input 2 4 6 2 2" xfId="9898" xr:uid="{00000000-0005-0000-0000-0000871C0000}"/>
    <cellStyle name="Input 2 4 6 2 3" xfId="16517" xr:uid="{00000000-0005-0000-0000-0000881C0000}"/>
    <cellStyle name="Input 2 4 6 2_Summary" xfId="20975" xr:uid="{00000000-0005-0000-0000-0000891C0000}"/>
    <cellStyle name="Input 2 4 6 3" xfId="5337" xr:uid="{00000000-0005-0000-0000-00008A1C0000}"/>
    <cellStyle name="Input 2 4 6 3 2" xfId="11933" xr:uid="{00000000-0005-0000-0000-00008B1C0000}"/>
    <cellStyle name="Input 2 4 6 3 3" xfId="18552" xr:uid="{00000000-0005-0000-0000-00008C1C0000}"/>
    <cellStyle name="Input 2 4 6 3_Summary" xfId="20976" xr:uid="{00000000-0005-0000-0000-00008D1C0000}"/>
    <cellStyle name="Input 2 4 6 4" xfId="7762" xr:uid="{00000000-0005-0000-0000-00008E1C0000}"/>
    <cellStyle name="Input 2 4 6 5" xfId="14381" xr:uid="{00000000-0005-0000-0000-00008F1C0000}"/>
    <cellStyle name="Input 2 4 6_Summary" xfId="20974" xr:uid="{00000000-0005-0000-0000-0000901C0000}"/>
    <cellStyle name="Input 2 4 7" xfId="1448" xr:uid="{00000000-0005-0000-0000-0000911C0000}"/>
    <cellStyle name="Input 2 4 7 2" xfId="3584" xr:uid="{00000000-0005-0000-0000-0000921C0000}"/>
    <cellStyle name="Input 2 4 7 2 2" xfId="10180" xr:uid="{00000000-0005-0000-0000-0000931C0000}"/>
    <cellStyle name="Input 2 4 7 2 3" xfId="16799" xr:uid="{00000000-0005-0000-0000-0000941C0000}"/>
    <cellStyle name="Input 2 4 7 2_Summary" xfId="20978" xr:uid="{00000000-0005-0000-0000-0000951C0000}"/>
    <cellStyle name="Input 2 4 7 3" xfId="5619" xr:uid="{00000000-0005-0000-0000-0000961C0000}"/>
    <cellStyle name="Input 2 4 7 3 2" xfId="12215" xr:uid="{00000000-0005-0000-0000-0000971C0000}"/>
    <cellStyle name="Input 2 4 7 3 3" xfId="18834" xr:uid="{00000000-0005-0000-0000-0000981C0000}"/>
    <cellStyle name="Input 2 4 7 3_Summary" xfId="20979" xr:uid="{00000000-0005-0000-0000-0000991C0000}"/>
    <cellStyle name="Input 2 4 7 4" xfId="8044" xr:uid="{00000000-0005-0000-0000-00009A1C0000}"/>
    <cellStyle name="Input 2 4 7 5" xfId="14663" xr:uid="{00000000-0005-0000-0000-00009B1C0000}"/>
    <cellStyle name="Input 2 4 7_Summary" xfId="20977" xr:uid="{00000000-0005-0000-0000-00009C1C0000}"/>
    <cellStyle name="Input 2 4 8" xfId="1729" xr:uid="{00000000-0005-0000-0000-00009D1C0000}"/>
    <cellStyle name="Input 2 4 8 2" xfId="3865" xr:uid="{00000000-0005-0000-0000-00009E1C0000}"/>
    <cellStyle name="Input 2 4 8 2 2" xfId="10461" xr:uid="{00000000-0005-0000-0000-00009F1C0000}"/>
    <cellStyle name="Input 2 4 8 2 3" xfId="17080" xr:uid="{00000000-0005-0000-0000-0000A01C0000}"/>
    <cellStyle name="Input 2 4 8 2_Summary" xfId="20981" xr:uid="{00000000-0005-0000-0000-0000A11C0000}"/>
    <cellStyle name="Input 2 4 8 3" xfId="5900" xr:uid="{00000000-0005-0000-0000-0000A21C0000}"/>
    <cellStyle name="Input 2 4 8 3 2" xfId="12496" xr:uid="{00000000-0005-0000-0000-0000A31C0000}"/>
    <cellStyle name="Input 2 4 8 3 3" xfId="19115" xr:uid="{00000000-0005-0000-0000-0000A41C0000}"/>
    <cellStyle name="Input 2 4 8 3_Summary" xfId="20982" xr:uid="{00000000-0005-0000-0000-0000A51C0000}"/>
    <cellStyle name="Input 2 4 8 4" xfId="8325" xr:uid="{00000000-0005-0000-0000-0000A61C0000}"/>
    <cellStyle name="Input 2 4 8 5" xfId="14944" xr:uid="{00000000-0005-0000-0000-0000A71C0000}"/>
    <cellStyle name="Input 2 4 8_Summary" xfId="20980" xr:uid="{00000000-0005-0000-0000-0000A81C0000}"/>
    <cellStyle name="Input 2 4 9" xfId="2008" xr:uid="{00000000-0005-0000-0000-0000A91C0000}"/>
    <cellStyle name="Input 2 4 9 2" xfId="4144" xr:uid="{00000000-0005-0000-0000-0000AA1C0000}"/>
    <cellStyle name="Input 2 4 9 2 2" xfId="10740" xr:uid="{00000000-0005-0000-0000-0000AB1C0000}"/>
    <cellStyle name="Input 2 4 9 2 3" xfId="17359" xr:uid="{00000000-0005-0000-0000-0000AC1C0000}"/>
    <cellStyle name="Input 2 4 9 2_Summary" xfId="20984" xr:uid="{00000000-0005-0000-0000-0000AD1C0000}"/>
    <cellStyle name="Input 2 4 9 3" xfId="6179" xr:uid="{00000000-0005-0000-0000-0000AE1C0000}"/>
    <cellStyle name="Input 2 4 9 3 2" xfId="12775" xr:uid="{00000000-0005-0000-0000-0000AF1C0000}"/>
    <cellStyle name="Input 2 4 9 3 3" xfId="19394" xr:uid="{00000000-0005-0000-0000-0000B01C0000}"/>
    <cellStyle name="Input 2 4 9 3_Summary" xfId="20985" xr:uid="{00000000-0005-0000-0000-0000B11C0000}"/>
    <cellStyle name="Input 2 4 9 4" xfId="8604" xr:uid="{00000000-0005-0000-0000-0000B21C0000}"/>
    <cellStyle name="Input 2 4 9 5" xfId="15223" xr:uid="{00000000-0005-0000-0000-0000B31C0000}"/>
    <cellStyle name="Input 2 4 9_Summary" xfId="20983" xr:uid="{00000000-0005-0000-0000-0000B41C0000}"/>
    <cellStyle name="Input 2 4_Summary" xfId="20876" xr:uid="{00000000-0005-0000-0000-0000B51C0000}"/>
    <cellStyle name="Input 2 40" xfId="6917" xr:uid="{00000000-0005-0000-0000-0000B61C0000}"/>
    <cellStyle name="Input 2 40 2" xfId="13437" xr:uid="{00000000-0005-0000-0000-0000B71C0000}"/>
    <cellStyle name="Input 2 40 3" xfId="20044" xr:uid="{00000000-0005-0000-0000-0000B81C0000}"/>
    <cellStyle name="Input 2 40_Summary" xfId="20986" xr:uid="{00000000-0005-0000-0000-0000B91C0000}"/>
    <cellStyle name="Input 2 41" xfId="6904" xr:uid="{00000000-0005-0000-0000-0000BA1C0000}"/>
    <cellStyle name="Input 2 41 2" xfId="13424" xr:uid="{00000000-0005-0000-0000-0000BB1C0000}"/>
    <cellStyle name="Input 2 41 3" xfId="20031" xr:uid="{00000000-0005-0000-0000-0000BC1C0000}"/>
    <cellStyle name="Input 2 41_Summary" xfId="20987" xr:uid="{00000000-0005-0000-0000-0000BD1C0000}"/>
    <cellStyle name="Input 2 42" xfId="6916" xr:uid="{00000000-0005-0000-0000-0000BE1C0000}"/>
    <cellStyle name="Input 2 42 2" xfId="13436" xr:uid="{00000000-0005-0000-0000-0000BF1C0000}"/>
    <cellStyle name="Input 2 42 3" xfId="20043" xr:uid="{00000000-0005-0000-0000-0000C01C0000}"/>
    <cellStyle name="Input 2 42_Summary" xfId="20988" xr:uid="{00000000-0005-0000-0000-0000C11C0000}"/>
    <cellStyle name="Input 2 43" xfId="6876" xr:uid="{00000000-0005-0000-0000-0000C21C0000}"/>
    <cellStyle name="Input 2 43 2" xfId="13409" xr:uid="{00000000-0005-0000-0000-0000C31C0000}"/>
    <cellStyle name="Input 2 43 3" xfId="20023" xr:uid="{00000000-0005-0000-0000-0000C41C0000}"/>
    <cellStyle name="Input 2 43_Summary" xfId="20989" xr:uid="{00000000-0005-0000-0000-0000C51C0000}"/>
    <cellStyle name="Input 2 44" xfId="6940" xr:uid="{00000000-0005-0000-0000-0000C61C0000}"/>
    <cellStyle name="Input 2 44 2" xfId="13460" xr:uid="{00000000-0005-0000-0000-0000C71C0000}"/>
    <cellStyle name="Input 2 44 3" xfId="20067" xr:uid="{00000000-0005-0000-0000-0000C81C0000}"/>
    <cellStyle name="Input 2 44_Summary" xfId="20990" xr:uid="{00000000-0005-0000-0000-0000C91C0000}"/>
    <cellStyle name="Input 2 45" xfId="6942" xr:uid="{00000000-0005-0000-0000-0000CA1C0000}"/>
    <cellStyle name="Input 2 45 2" xfId="13462" xr:uid="{00000000-0005-0000-0000-0000CB1C0000}"/>
    <cellStyle name="Input 2 45 3" xfId="20069" xr:uid="{00000000-0005-0000-0000-0000CC1C0000}"/>
    <cellStyle name="Input 2 45_Summary" xfId="20991" xr:uid="{00000000-0005-0000-0000-0000CD1C0000}"/>
    <cellStyle name="Input 2 46" xfId="6937" xr:uid="{00000000-0005-0000-0000-0000CE1C0000}"/>
    <cellStyle name="Input 2 46 2" xfId="13457" xr:uid="{00000000-0005-0000-0000-0000CF1C0000}"/>
    <cellStyle name="Input 2 46 3" xfId="20064" xr:uid="{00000000-0005-0000-0000-0000D01C0000}"/>
    <cellStyle name="Input 2 46_Summary" xfId="20992" xr:uid="{00000000-0005-0000-0000-0000D11C0000}"/>
    <cellStyle name="Input 2 47" xfId="6946" xr:uid="{00000000-0005-0000-0000-0000D21C0000}"/>
    <cellStyle name="Input 2 47 2" xfId="13466" xr:uid="{00000000-0005-0000-0000-0000D31C0000}"/>
    <cellStyle name="Input 2 47 3" xfId="20073" xr:uid="{00000000-0005-0000-0000-0000D41C0000}"/>
    <cellStyle name="Input 2 47_Summary" xfId="20993" xr:uid="{00000000-0005-0000-0000-0000D51C0000}"/>
    <cellStyle name="Input 2 48" xfId="7035" xr:uid="{00000000-0005-0000-0000-0000D61C0000}"/>
    <cellStyle name="Input 2 49" xfId="13407" xr:uid="{00000000-0005-0000-0000-0000D71C0000}"/>
    <cellStyle name="Input 2 5" xfId="163" xr:uid="{00000000-0005-0000-0000-0000D81C0000}"/>
    <cellStyle name="Input 2 5 10" xfId="1806" xr:uid="{00000000-0005-0000-0000-0000D91C0000}"/>
    <cellStyle name="Input 2 5 10 2" xfId="3942" xr:uid="{00000000-0005-0000-0000-0000DA1C0000}"/>
    <cellStyle name="Input 2 5 10 2 2" xfId="10538" xr:uid="{00000000-0005-0000-0000-0000DB1C0000}"/>
    <cellStyle name="Input 2 5 10 2 3" xfId="17157" xr:uid="{00000000-0005-0000-0000-0000DC1C0000}"/>
    <cellStyle name="Input 2 5 10 2_Summary" xfId="20996" xr:uid="{00000000-0005-0000-0000-0000DD1C0000}"/>
    <cellStyle name="Input 2 5 10 3" xfId="5977" xr:uid="{00000000-0005-0000-0000-0000DE1C0000}"/>
    <cellStyle name="Input 2 5 10 3 2" xfId="12573" xr:uid="{00000000-0005-0000-0000-0000DF1C0000}"/>
    <cellStyle name="Input 2 5 10 3 3" xfId="19192" xr:uid="{00000000-0005-0000-0000-0000E01C0000}"/>
    <cellStyle name="Input 2 5 10 3_Summary" xfId="20997" xr:uid="{00000000-0005-0000-0000-0000E11C0000}"/>
    <cellStyle name="Input 2 5 10 4" xfId="8402" xr:uid="{00000000-0005-0000-0000-0000E21C0000}"/>
    <cellStyle name="Input 2 5 10 5" xfId="15021" xr:uid="{00000000-0005-0000-0000-0000E31C0000}"/>
    <cellStyle name="Input 2 5 10_Summary" xfId="20995" xr:uid="{00000000-0005-0000-0000-0000E41C0000}"/>
    <cellStyle name="Input 2 5 11" xfId="2596" xr:uid="{00000000-0005-0000-0000-0000E51C0000}"/>
    <cellStyle name="Input 2 5 11 2" xfId="9192" xr:uid="{00000000-0005-0000-0000-0000E61C0000}"/>
    <cellStyle name="Input 2 5 11 3" xfId="15811" xr:uid="{00000000-0005-0000-0000-0000E71C0000}"/>
    <cellStyle name="Input 2 5 11_Summary" xfId="20998" xr:uid="{00000000-0005-0000-0000-0000E81C0000}"/>
    <cellStyle name="Input 2 5 12" xfId="2576" xr:uid="{00000000-0005-0000-0000-0000E91C0000}"/>
    <cellStyle name="Input 2 5 12 2" xfId="9172" xr:uid="{00000000-0005-0000-0000-0000EA1C0000}"/>
    <cellStyle name="Input 2 5 12 3" xfId="15791" xr:uid="{00000000-0005-0000-0000-0000EB1C0000}"/>
    <cellStyle name="Input 2 5 12_Summary" xfId="20999" xr:uid="{00000000-0005-0000-0000-0000EC1C0000}"/>
    <cellStyle name="Input 2 5 13" xfId="485" xr:uid="{00000000-0005-0000-0000-0000ED1C0000}"/>
    <cellStyle name="Input 2 5 13 2" xfId="13700" xr:uid="{00000000-0005-0000-0000-0000EE1C0000}"/>
    <cellStyle name="Input 2 5 13_Summary" xfId="21000" xr:uid="{00000000-0005-0000-0000-0000EF1C0000}"/>
    <cellStyle name="Input 2 5 14" xfId="7075" xr:uid="{00000000-0005-0000-0000-0000F01C0000}"/>
    <cellStyle name="Input 2 5 15" xfId="13413" xr:uid="{00000000-0005-0000-0000-0000F11C0000}"/>
    <cellStyle name="Input 2 5 16" xfId="26282" xr:uid="{A6CB7311-5EC8-48E7-8A17-3AE612E6A689}"/>
    <cellStyle name="Input 2 5 17" xfId="26698" xr:uid="{22E40BCE-CF4F-42FD-8AB9-0A922A401A0E}"/>
    <cellStyle name="Input 2 5 18" xfId="26945" xr:uid="{9FB2F4CB-E0A4-44C2-BA0C-4F37455C5C4E}"/>
    <cellStyle name="Input 2 5 19" xfId="26575" xr:uid="{B9D16446-06C3-4031-8363-0C2DF8BBD190}"/>
    <cellStyle name="Input 2 5 2" xfId="299" xr:uid="{00000000-0005-0000-0000-0000F21C0000}"/>
    <cellStyle name="Input 2 5 2 10" xfId="4720" xr:uid="{00000000-0005-0000-0000-0000F31C0000}"/>
    <cellStyle name="Input 2 5 2 10 2" xfId="11316" xr:uid="{00000000-0005-0000-0000-0000F41C0000}"/>
    <cellStyle name="Input 2 5 2 10 3" xfId="17935" xr:uid="{00000000-0005-0000-0000-0000F51C0000}"/>
    <cellStyle name="Input 2 5 2 10_Summary" xfId="21002" xr:uid="{00000000-0005-0000-0000-0000F61C0000}"/>
    <cellStyle name="Input 2 5 2 11" xfId="549" xr:uid="{00000000-0005-0000-0000-0000F71C0000}"/>
    <cellStyle name="Input 2 5 2 11 2" xfId="13764" xr:uid="{00000000-0005-0000-0000-0000F81C0000}"/>
    <cellStyle name="Input 2 5 2 11_Summary" xfId="21003" xr:uid="{00000000-0005-0000-0000-0000F91C0000}"/>
    <cellStyle name="Input 2 5 2 12" xfId="7193" xr:uid="{00000000-0005-0000-0000-0000FA1C0000}"/>
    <cellStyle name="Input 2 5 2 13" xfId="13515" xr:uid="{00000000-0005-0000-0000-0000FB1C0000}"/>
    <cellStyle name="Input 2 5 2 14" xfId="26427" xr:uid="{D3ACBD4E-B369-445A-ABA3-28C0ECE605A6}"/>
    <cellStyle name="Input 2 5 2 15" xfId="26825" xr:uid="{8A48FE3E-A0AD-4D41-AFC6-5ABECAFD58AC}"/>
    <cellStyle name="Input 2 5 2 16" xfId="27001" xr:uid="{5DC04CE7-47B2-46CC-B2AF-1AE962ABFCA4}"/>
    <cellStyle name="Input 2 5 2 17" xfId="26789" xr:uid="{B4941641-233E-4EC0-B1FF-1AEE6523F3F0}"/>
    <cellStyle name="Input 2 5 2 18" xfId="27011" xr:uid="{B52FD374-6CED-4B9B-9B34-2E31197031CC}"/>
    <cellStyle name="Input 2 5 2 19" xfId="28684" xr:uid="{F2468375-1FDD-4342-A5CB-B3349EE88A56}"/>
    <cellStyle name="Input 2 5 2 2" xfId="428" xr:uid="{00000000-0005-0000-0000-0000FC1C0000}"/>
    <cellStyle name="Input 2 5 2 2 10" xfId="822" xr:uid="{00000000-0005-0000-0000-0000FD1C0000}"/>
    <cellStyle name="Input 2 5 2 2 10 2" xfId="14037" xr:uid="{00000000-0005-0000-0000-0000FE1C0000}"/>
    <cellStyle name="Input 2 5 2 2 10_Summary" xfId="21005" xr:uid="{00000000-0005-0000-0000-0000FF1C0000}"/>
    <cellStyle name="Input 2 5 2 2 11" xfId="7321" xr:uid="{00000000-0005-0000-0000-0000001D0000}"/>
    <cellStyle name="Input 2 5 2 2 12" xfId="13643" xr:uid="{00000000-0005-0000-0000-0000011D0000}"/>
    <cellStyle name="Input 2 5 2 2 13" xfId="26357" xr:uid="{2991A951-5C1A-4AAE-AF49-BE8F4F4760F3}"/>
    <cellStyle name="Input 2 5 2 2 14" xfId="26761" xr:uid="{5A5FDFE6-D8CD-4286-B2A4-E03018AD799E}"/>
    <cellStyle name="Input 2 5 2 2 15" xfId="26972" xr:uid="{8B8DF60B-F62C-4301-A6FD-1A45C3D0377E}"/>
    <cellStyle name="Input 2 5 2 2 16" xfId="26646" xr:uid="{16D3EB51-D5D6-43AD-9B3C-C9FC016144D1}"/>
    <cellStyle name="Input 2 5 2 2 17" xfId="26640" xr:uid="{5DFA3DD5-6C92-4FDA-B837-3854DD506764}"/>
    <cellStyle name="Input 2 5 2 2 18" xfId="30207" xr:uid="{0077DEF7-7255-4DBB-A372-B31407E38560}"/>
    <cellStyle name="Input 2 5 2 2 19" xfId="31639" xr:uid="{CE0A82E2-846C-4586-8587-9860214F22C8}"/>
    <cellStyle name="Input 2 5 2 2 2" xfId="1122" xr:uid="{00000000-0005-0000-0000-0000021D0000}"/>
    <cellStyle name="Input 2 5 2 2 2 2" xfId="3258" xr:uid="{00000000-0005-0000-0000-0000031D0000}"/>
    <cellStyle name="Input 2 5 2 2 2 2 2" xfId="9854" xr:uid="{00000000-0005-0000-0000-0000041D0000}"/>
    <cellStyle name="Input 2 5 2 2 2 2 3" xfId="16473" xr:uid="{00000000-0005-0000-0000-0000051D0000}"/>
    <cellStyle name="Input 2 5 2 2 2 2_Summary" xfId="21007" xr:uid="{00000000-0005-0000-0000-0000061D0000}"/>
    <cellStyle name="Input 2 5 2 2 2 3" xfId="5293" xr:uid="{00000000-0005-0000-0000-0000071D0000}"/>
    <cellStyle name="Input 2 5 2 2 2 3 2" xfId="11889" xr:uid="{00000000-0005-0000-0000-0000081D0000}"/>
    <cellStyle name="Input 2 5 2 2 2 3 3" xfId="18508" xr:uid="{00000000-0005-0000-0000-0000091D0000}"/>
    <cellStyle name="Input 2 5 2 2 2 3_Summary" xfId="21008" xr:uid="{00000000-0005-0000-0000-00000A1D0000}"/>
    <cellStyle name="Input 2 5 2 2 2 4" xfId="7718" xr:uid="{00000000-0005-0000-0000-00000B1D0000}"/>
    <cellStyle name="Input 2 5 2 2 2 5" xfId="14337" xr:uid="{00000000-0005-0000-0000-00000C1D0000}"/>
    <cellStyle name="Input 2 5 2 2 2_Summary" xfId="21006" xr:uid="{00000000-0005-0000-0000-00000D1D0000}"/>
    <cellStyle name="Input 2 5 2 2 3" xfId="1404" xr:uid="{00000000-0005-0000-0000-00000E1D0000}"/>
    <cellStyle name="Input 2 5 2 2 3 2" xfId="3540" xr:uid="{00000000-0005-0000-0000-00000F1D0000}"/>
    <cellStyle name="Input 2 5 2 2 3 2 2" xfId="10136" xr:uid="{00000000-0005-0000-0000-0000101D0000}"/>
    <cellStyle name="Input 2 5 2 2 3 2 3" xfId="16755" xr:uid="{00000000-0005-0000-0000-0000111D0000}"/>
    <cellStyle name="Input 2 5 2 2 3 2_Summary" xfId="21010" xr:uid="{00000000-0005-0000-0000-0000121D0000}"/>
    <cellStyle name="Input 2 5 2 2 3 3" xfId="5575" xr:uid="{00000000-0005-0000-0000-0000131D0000}"/>
    <cellStyle name="Input 2 5 2 2 3 3 2" xfId="12171" xr:uid="{00000000-0005-0000-0000-0000141D0000}"/>
    <cellStyle name="Input 2 5 2 2 3 3 3" xfId="18790" xr:uid="{00000000-0005-0000-0000-0000151D0000}"/>
    <cellStyle name="Input 2 5 2 2 3 3_Summary" xfId="21011" xr:uid="{00000000-0005-0000-0000-0000161D0000}"/>
    <cellStyle name="Input 2 5 2 2 3 4" xfId="8000" xr:uid="{00000000-0005-0000-0000-0000171D0000}"/>
    <cellStyle name="Input 2 5 2 2 3 5" xfId="14619" xr:uid="{00000000-0005-0000-0000-0000181D0000}"/>
    <cellStyle name="Input 2 5 2 2 3_Summary" xfId="21009" xr:uid="{00000000-0005-0000-0000-0000191D0000}"/>
    <cellStyle name="Input 2 5 2 2 4" xfId="1685" xr:uid="{00000000-0005-0000-0000-00001A1D0000}"/>
    <cellStyle name="Input 2 5 2 2 4 2" xfId="3821" xr:uid="{00000000-0005-0000-0000-00001B1D0000}"/>
    <cellStyle name="Input 2 5 2 2 4 2 2" xfId="10417" xr:uid="{00000000-0005-0000-0000-00001C1D0000}"/>
    <cellStyle name="Input 2 5 2 2 4 2 3" xfId="17036" xr:uid="{00000000-0005-0000-0000-00001D1D0000}"/>
    <cellStyle name="Input 2 5 2 2 4 2_Summary" xfId="21013" xr:uid="{00000000-0005-0000-0000-00001E1D0000}"/>
    <cellStyle name="Input 2 5 2 2 4 3" xfId="5856" xr:uid="{00000000-0005-0000-0000-00001F1D0000}"/>
    <cellStyle name="Input 2 5 2 2 4 3 2" xfId="12452" xr:uid="{00000000-0005-0000-0000-0000201D0000}"/>
    <cellStyle name="Input 2 5 2 2 4 3 3" xfId="19071" xr:uid="{00000000-0005-0000-0000-0000211D0000}"/>
    <cellStyle name="Input 2 5 2 2 4 3_Summary" xfId="21014" xr:uid="{00000000-0005-0000-0000-0000221D0000}"/>
    <cellStyle name="Input 2 5 2 2 4 4" xfId="8281" xr:uid="{00000000-0005-0000-0000-0000231D0000}"/>
    <cellStyle name="Input 2 5 2 2 4 5" xfId="14900" xr:uid="{00000000-0005-0000-0000-0000241D0000}"/>
    <cellStyle name="Input 2 5 2 2 4_Summary" xfId="21012" xr:uid="{00000000-0005-0000-0000-0000251D0000}"/>
    <cellStyle name="Input 2 5 2 2 5" xfId="1964" xr:uid="{00000000-0005-0000-0000-0000261D0000}"/>
    <cellStyle name="Input 2 5 2 2 5 2" xfId="4100" xr:uid="{00000000-0005-0000-0000-0000271D0000}"/>
    <cellStyle name="Input 2 5 2 2 5 2 2" xfId="10696" xr:uid="{00000000-0005-0000-0000-0000281D0000}"/>
    <cellStyle name="Input 2 5 2 2 5 2 3" xfId="17315" xr:uid="{00000000-0005-0000-0000-0000291D0000}"/>
    <cellStyle name="Input 2 5 2 2 5 2_Summary" xfId="21016" xr:uid="{00000000-0005-0000-0000-00002A1D0000}"/>
    <cellStyle name="Input 2 5 2 2 5 3" xfId="6135" xr:uid="{00000000-0005-0000-0000-00002B1D0000}"/>
    <cellStyle name="Input 2 5 2 2 5 3 2" xfId="12731" xr:uid="{00000000-0005-0000-0000-00002C1D0000}"/>
    <cellStyle name="Input 2 5 2 2 5 3 3" xfId="19350" xr:uid="{00000000-0005-0000-0000-00002D1D0000}"/>
    <cellStyle name="Input 2 5 2 2 5 3_Summary" xfId="21017" xr:uid="{00000000-0005-0000-0000-00002E1D0000}"/>
    <cellStyle name="Input 2 5 2 2 5 4" xfId="8560" xr:uid="{00000000-0005-0000-0000-00002F1D0000}"/>
    <cellStyle name="Input 2 5 2 2 5 5" xfId="15179" xr:uid="{00000000-0005-0000-0000-0000301D0000}"/>
    <cellStyle name="Input 2 5 2 2 5_Summary" xfId="21015" xr:uid="{00000000-0005-0000-0000-0000311D0000}"/>
    <cellStyle name="Input 2 5 2 2 6" xfId="2239" xr:uid="{00000000-0005-0000-0000-0000321D0000}"/>
    <cellStyle name="Input 2 5 2 2 6 2" xfId="4375" xr:uid="{00000000-0005-0000-0000-0000331D0000}"/>
    <cellStyle name="Input 2 5 2 2 6 2 2" xfId="10971" xr:uid="{00000000-0005-0000-0000-0000341D0000}"/>
    <cellStyle name="Input 2 5 2 2 6 2 3" xfId="17590" xr:uid="{00000000-0005-0000-0000-0000351D0000}"/>
    <cellStyle name="Input 2 5 2 2 6 2_Summary" xfId="21019" xr:uid="{00000000-0005-0000-0000-0000361D0000}"/>
    <cellStyle name="Input 2 5 2 2 6 3" xfId="6410" xr:uid="{00000000-0005-0000-0000-0000371D0000}"/>
    <cellStyle name="Input 2 5 2 2 6 3 2" xfId="13006" xr:uid="{00000000-0005-0000-0000-0000381D0000}"/>
    <cellStyle name="Input 2 5 2 2 6 3 3" xfId="19625" xr:uid="{00000000-0005-0000-0000-0000391D0000}"/>
    <cellStyle name="Input 2 5 2 2 6 3_Summary" xfId="21020" xr:uid="{00000000-0005-0000-0000-00003A1D0000}"/>
    <cellStyle name="Input 2 5 2 2 6 4" xfId="8835" xr:uid="{00000000-0005-0000-0000-00003B1D0000}"/>
    <cellStyle name="Input 2 5 2 2 6 5" xfId="15454" xr:uid="{00000000-0005-0000-0000-00003C1D0000}"/>
    <cellStyle name="Input 2 5 2 2 6_Summary" xfId="21018" xr:uid="{00000000-0005-0000-0000-00003D1D0000}"/>
    <cellStyle name="Input 2 5 2 2 7" xfId="2512" xr:uid="{00000000-0005-0000-0000-00003E1D0000}"/>
    <cellStyle name="Input 2 5 2 2 7 2" xfId="4648" xr:uid="{00000000-0005-0000-0000-00003F1D0000}"/>
    <cellStyle name="Input 2 5 2 2 7 2 2" xfId="11244" xr:uid="{00000000-0005-0000-0000-0000401D0000}"/>
    <cellStyle name="Input 2 5 2 2 7 2 3" xfId="17863" xr:uid="{00000000-0005-0000-0000-0000411D0000}"/>
    <cellStyle name="Input 2 5 2 2 7 2_Summary" xfId="21022" xr:uid="{00000000-0005-0000-0000-0000421D0000}"/>
    <cellStyle name="Input 2 5 2 2 7 3" xfId="6683" xr:uid="{00000000-0005-0000-0000-0000431D0000}"/>
    <cellStyle name="Input 2 5 2 2 7 3 2" xfId="13279" xr:uid="{00000000-0005-0000-0000-0000441D0000}"/>
    <cellStyle name="Input 2 5 2 2 7 3 3" xfId="19898" xr:uid="{00000000-0005-0000-0000-0000451D0000}"/>
    <cellStyle name="Input 2 5 2 2 7 3_Summary" xfId="21023" xr:uid="{00000000-0005-0000-0000-0000461D0000}"/>
    <cellStyle name="Input 2 5 2 2 7 4" xfId="9108" xr:uid="{00000000-0005-0000-0000-0000471D0000}"/>
    <cellStyle name="Input 2 5 2 2 7 5" xfId="15727" xr:uid="{00000000-0005-0000-0000-0000481D0000}"/>
    <cellStyle name="Input 2 5 2 2 7_Summary" xfId="21021" xr:uid="{00000000-0005-0000-0000-0000491D0000}"/>
    <cellStyle name="Input 2 5 2 2 8" xfId="2958" xr:uid="{00000000-0005-0000-0000-00004A1D0000}"/>
    <cellStyle name="Input 2 5 2 2 8 2" xfId="9554" xr:uid="{00000000-0005-0000-0000-00004B1D0000}"/>
    <cellStyle name="Input 2 5 2 2 8 3" xfId="16173" xr:uid="{00000000-0005-0000-0000-00004C1D0000}"/>
    <cellStyle name="Input 2 5 2 2 8_Summary" xfId="21024" xr:uid="{00000000-0005-0000-0000-00004D1D0000}"/>
    <cellStyle name="Input 2 5 2 2 9" xfId="4993" xr:uid="{00000000-0005-0000-0000-00004E1D0000}"/>
    <cellStyle name="Input 2 5 2 2 9 2" xfId="11589" xr:uid="{00000000-0005-0000-0000-00004F1D0000}"/>
    <cellStyle name="Input 2 5 2 2 9 3" xfId="18208" xr:uid="{00000000-0005-0000-0000-0000501D0000}"/>
    <cellStyle name="Input 2 5 2 2 9_Summary" xfId="21025" xr:uid="{00000000-0005-0000-0000-0000511D0000}"/>
    <cellStyle name="Input 2 5 2 2_Summary" xfId="21004" xr:uid="{00000000-0005-0000-0000-0000521D0000}"/>
    <cellStyle name="Input 2 5 2 20" xfId="30925" xr:uid="{DE7A6BE1-5335-4069-8D88-38EAEBC909D8}"/>
    <cellStyle name="Input 2 5 2 3" xfId="994" xr:uid="{00000000-0005-0000-0000-0000531D0000}"/>
    <cellStyle name="Input 2 5 2 3 2" xfId="3130" xr:uid="{00000000-0005-0000-0000-0000541D0000}"/>
    <cellStyle name="Input 2 5 2 3 2 2" xfId="9726" xr:uid="{00000000-0005-0000-0000-0000551D0000}"/>
    <cellStyle name="Input 2 5 2 3 2 3" xfId="16345" xr:uid="{00000000-0005-0000-0000-0000561D0000}"/>
    <cellStyle name="Input 2 5 2 3 2_Summary" xfId="21027" xr:uid="{00000000-0005-0000-0000-0000571D0000}"/>
    <cellStyle name="Input 2 5 2 3 3" xfId="5165" xr:uid="{00000000-0005-0000-0000-0000581D0000}"/>
    <cellStyle name="Input 2 5 2 3 3 2" xfId="11761" xr:uid="{00000000-0005-0000-0000-0000591D0000}"/>
    <cellStyle name="Input 2 5 2 3 3 3" xfId="18380" xr:uid="{00000000-0005-0000-0000-00005A1D0000}"/>
    <cellStyle name="Input 2 5 2 3 3_Summary" xfId="21028" xr:uid="{00000000-0005-0000-0000-00005B1D0000}"/>
    <cellStyle name="Input 2 5 2 3 4" xfId="7591" xr:uid="{00000000-0005-0000-0000-00005C1D0000}"/>
    <cellStyle name="Input 2 5 2 3 5" xfId="14209" xr:uid="{00000000-0005-0000-0000-00005D1D0000}"/>
    <cellStyle name="Input 2 5 2 3_Summary" xfId="21026" xr:uid="{00000000-0005-0000-0000-00005E1D0000}"/>
    <cellStyle name="Input 2 5 2 4" xfId="1276" xr:uid="{00000000-0005-0000-0000-00005F1D0000}"/>
    <cellStyle name="Input 2 5 2 4 2" xfId="3412" xr:uid="{00000000-0005-0000-0000-0000601D0000}"/>
    <cellStyle name="Input 2 5 2 4 2 2" xfId="10008" xr:uid="{00000000-0005-0000-0000-0000611D0000}"/>
    <cellStyle name="Input 2 5 2 4 2 3" xfId="16627" xr:uid="{00000000-0005-0000-0000-0000621D0000}"/>
    <cellStyle name="Input 2 5 2 4 2_Summary" xfId="21030" xr:uid="{00000000-0005-0000-0000-0000631D0000}"/>
    <cellStyle name="Input 2 5 2 4 3" xfId="5447" xr:uid="{00000000-0005-0000-0000-0000641D0000}"/>
    <cellStyle name="Input 2 5 2 4 3 2" xfId="12043" xr:uid="{00000000-0005-0000-0000-0000651D0000}"/>
    <cellStyle name="Input 2 5 2 4 3 3" xfId="18662" xr:uid="{00000000-0005-0000-0000-0000661D0000}"/>
    <cellStyle name="Input 2 5 2 4 3_Summary" xfId="21031" xr:uid="{00000000-0005-0000-0000-0000671D0000}"/>
    <cellStyle name="Input 2 5 2 4 4" xfId="7872" xr:uid="{00000000-0005-0000-0000-0000681D0000}"/>
    <cellStyle name="Input 2 5 2 4 5" xfId="14491" xr:uid="{00000000-0005-0000-0000-0000691D0000}"/>
    <cellStyle name="Input 2 5 2 4_Summary" xfId="21029" xr:uid="{00000000-0005-0000-0000-00006A1D0000}"/>
    <cellStyle name="Input 2 5 2 5" xfId="1557" xr:uid="{00000000-0005-0000-0000-00006B1D0000}"/>
    <cellStyle name="Input 2 5 2 5 2" xfId="3693" xr:uid="{00000000-0005-0000-0000-00006C1D0000}"/>
    <cellStyle name="Input 2 5 2 5 2 2" xfId="10289" xr:uid="{00000000-0005-0000-0000-00006D1D0000}"/>
    <cellStyle name="Input 2 5 2 5 2 3" xfId="16908" xr:uid="{00000000-0005-0000-0000-00006E1D0000}"/>
    <cellStyle name="Input 2 5 2 5 2_Summary" xfId="21033" xr:uid="{00000000-0005-0000-0000-00006F1D0000}"/>
    <cellStyle name="Input 2 5 2 5 3" xfId="5728" xr:uid="{00000000-0005-0000-0000-0000701D0000}"/>
    <cellStyle name="Input 2 5 2 5 3 2" xfId="12324" xr:uid="{00000000-0005-0000-0000-0000711D0000}"/>
    <cellStyle name="Input 2 5 2 5 3 3" xfId="18943" xr:uid="{00000000-0005-0000-0000-0000721D0000}"/>
    <cellStyle name="Input 2 5 2 5 3_Summary" xfId="21034" xr:uid="{00000000-0005-0000-0000-0000731D0000}"/>
    <cellStyle name="Input 2 5 2 5 4" xfId="8153" xr:uid="{00000000-0005-0000-0000-0000741D0000}"/>
    <cellStyle name="Input 2 5 2 5 5" xfId="14772" xr:uid="{00000000-0005-0000-0000-0000751D0000}"/>
    <cellStyle name="Input 2 5 2 5_Summary" xfId="21032" xr:uid="{00000000-0005-0000-0000-0000761D0000}"/>
    <cellStyle name="Input 2 5 2 6" xfId="1836" xr:uid="{00000000-0005-0000-0000-0000771D0000}"/>
    <cellStyle name="Input 2 5 2 6 2" xfId="3972" xr:uid="{00000000-0005-0000-0000-0000781D0000}"/>
    <cellStyle name="Input 2 5 2 6 2 2" xfId="10568" xr:uid="{00000000-0005-0000-0000-0000791D0000}"/>
    <cellStyle name="Input 2 5 2 6 2 3" xfId="17187" xr:uid="{00000000-0005-0000-0000-00007A1D0000}"/>
    <cellStyle name="Input 2 5 2 6 2_Summary" xfId="21036" xr:uid="{00000000-0005-0000-0000-00007B1D0000}"/>
    <cellStyle name="Input 2 5 2 6 3" xfId="6007" xr:uid="{00000000-0005-0000-0000-00007C1D0000}"/>
    <cellStyle name="Input 2 5 2 6 3 2" xfId="12603" xr:uid="{00000000-0005-0000-0000-00007D1D0000}"/>
    <cellStyle name="Input 2 5 2 6 3 3" xfId="19222" xr:uid="{00000000-0005-0000-0000-00007E1D0000}"/>
    <cellStyle name="Input 2 5 2 6 3_Summary" xfId="21037" xr:uid="{00000000-0005-0000-0000-00007F1D0000}"/>
    <cellStyle name="Input 2 5 2 6 4" xfId="8432" xr:uid="{00000000-0005-0000-0000-0000801D0000}"/>
    <cellStyle name="Input 2 5 2 6 5" xfId="15051" xr:uid="{00000000-0005-0000-0000-0000811D0000}"/>
    <cellStyle name="Input 2 5 2 6_Summary" xfId="21035" xr:uid="{00000000-0005-0000-0000-0000821D0000}"/>
    <cellStyle name="Input 2 5 2 7" xfId="2111" xr:uid="{00000000-0005-0000-0000-0000831D0000}"/>
    <cellStyle name="Input 2 5 2 7 2" xfId="4247" xr:uid="{00000000-0005-0000-0000-0000841D0000}"/>
    <cellStyle name="Input 2 5 2 7 2 2" xfId="10843" xr:uid="{00000000-0005-0000-0000-0000851D0000}"/>
    <cellStyle name="Input 2 5 2 7 2 3" xfId="17462" xr:uid="{00000000-0005-0000-0000-0000861D0000}"/>
    <cellStyle name="Input 2 5 2 7 2_Summary" xfId="21039" xr:uid="{00000000-0005-0000-0000-0000871D0000}"/>
    <cellStyle name="Input 2 5 2 7 3" xfId="6282" xr:uid="{00000000-0005-0000-0000-0000881D0000}"/>
    <cellStyle name="Input 2 5 2 7 3 2" xfId="12878" xr:uid="{00000000-0005-0000-0000-0000891D0000}"/>
    <cellStyle name="Input 2 5 2 7 3 3" xfId="19497" xr:uid="{00000000-0005-0000-0000-00008A1D0000}"/>
    <cellStyle name="Input 2 5 2 7 3_Summary" xfId="21040" xr:uid="{00000000-0005-0000-0000-00008B1D0000}"/>
    <cellStyle name="Input 2 5 2 7 4" xfId="8707" xr:uid="{00000000-0005-0000-0000-00008C1D0000}"/>
    <cellStyle name="Input 2 5 2 7 5" xfId="15326" xr:uid="{00000000-0005-0000-0000-00008D1D0000}"/>
    <cellStyle name="Input 2 5 2 7_Summary" xfId="21038" xr:uid="{00000000-0005-0000-0000-00008E1D0000}"/>
    <cellStyle name="Input 2 5 2 8" xfId="2384" xr:uid="{00000000-0005-0000-0000-00008F1D0000}"/>
    <cellStyle name="Input 2 5 2 8 2" xfId="4520" xr:uid="{00000000-0005-0000-0000-0000901D0000}"/>
    <cellStyle name="Input 2 5 2 8 2 2" xfId="11116" xr:uid="{00000000-0005-0000-0000-0000911D0000}"/>
    <cellStyle name="Input 2 5 2 8 2 3" xfId="17735" xr:uid="{00000000-0005-0000-0000-0000921D0000}"/>
    <cellStyle name="Input 2 5 2 8 2_Summary" xfId="21042" xr:uid="{00000000-0005-0000-0000-0000931D0000}"/>
    <cellStyle name="Input 2 5 2 8 3" xfId="6555" xr:uid="{00000000-0005-0000-0000-0000941D0000}"/>
    <cellStyle name="Input 2 5 2 8 3 2" xfId="13151" xr:uid="{00000000-0005-0000-0000-0000951D0000}"/>
    <cellStyle name="Input 2 5 2 8 3 3" xfId="19770" xr:uid="{00000000-0005-0000-0000-0000961D0000}"/>
    <cellStyle name="Input 2 5 2 8 3_Summary" xfId="21043" xr:uid="{00000000-0005-0000-0000-0000971D0000}"/>
    <cellStyle name="Input 2 5 2 8 4" xfId="8980" xr:uid="{00000000-0005-0000-0000-0000981D0000}"/>
    <cellStyle name="Input 2 5 2 8 5" xfId="15599" xr:uid="{00000000-0005-0000-0000-0000991D0000}"/>
    <cellStyle name="Input 2 5 2 8_Summary" xfId="21041" xr:uid="{00000000-0005-0000-0000-00009A1D0000}"/>
    <cellStyle name="Input 2 5 2 9" xfId="2685" xr:uid="{00000000-0005-0000-0000-00009B1D0000}"/>
    <cellStyle name="Input 2 5 2 9 2" xfId="9281" xr:uid="{00000000-0005-0000-0000-00009C1D0000}"/>
    <cellStyle name="Input 2 5 2 9 3" xfId="15900" xr:uid="{00000000-0005-0000-0000-00009D1D0000}"/>
    <cellStyle name="Input 2 5 2 9_Summary" xfId="21044" xr:uid="{00000000-0005-0000-0000-00009E1D0000}"/>
    <cellStyle name="Input 2 5 2_Summary" xfId="21001" xr:uid="{00000000-0005-0000-0000-00009F1D0000}"/>
    <cellStyle name="Input 2 5 20" xfId="26797" xr:uid="{13E75463-1BEC-4E5D-A9D4-6545162D2ED9}"/>
    <cellStyle name="Input 2 5 21" xfId="28683" xr:uid="{38ECB52F-9309-461D-B56E-AEBC5D1DA501}"/>
    <cellStyle name="Input 2 5 22" xfId="30924" xr:uid="{32F32133-B262-42DB-9F00-216648794214}"/>
    <cellStyle name="Input 2 5 3" xfId="215" xr:uid="{00000000-0005-0000-0000-0000A01D0000}"/>
    <cellStyle name="Input 2 5 3 10" xfId="752" xr:uid="{00000000-0005-0000-0000-0000A11D0000}"/>
    <cellStyle name="Input 2 5 3 10 2" xfId="13967" xr:uid="{00000000-0005-0000-0000-0000A21D0000}"/>
    <cellStyle name="Input 2 5 3 10_Summary" xfId="21046" xr:uid="{00000000-0005-0000-0000-0000A31D0000}"/>
    <cellStyle name="Input 2 5 3 11" xfId="7122" xr:uid="{00000000-0005-0000-0000-0000A41D0000}"/>
    <cellStyle name="Input 2 5 3 12" xfId="7017" xr:uid="{00000000-0005-0000-0000-0000A51D0000}"/>
    <cellStyle name="Input 2 5 3 13" xfId="28685" xr:uid="{E418F668-AEEA-4E81-A4C2-683EA6894699}"/>
    <cellStyle name="Input 2 5 3 14" xfId="30926" xr:uid="{85FCC92B-1A21-4AFD-AE64-F1140EFA3057}"/>
    <cellStyle name="Input 2 5 3 2" xfId="920" xr:uid="{00000000-0005-0000-0000-0000A61D0000}"/>
    <cellStyle name="Input 2 5 3 2 2" xfId="3056" xr:uid="{00000000-0005-0000-0000-0000A71D0000}"/>
    <cellStyle name="Input 2 5 3 2 2 2" xfId="9652" xr:uid="{00000000-0005-0000-0000-0000A81D0000}"/>
    <cellStyle name="Input 2 5 3 2 2 3" xfId="16271" xr:uid="{00000000-0005-0000-0000-0000A91D0000}"/>
    <cellStyle name="Input 2 5 3 2 2_Summary" xfId="21048" xr:uid="{00000000-0005-0000-0000-0000AA1D0000}"/>
    <cellStyle name="Input 2 5 3 2 3" xfId="5091" xr:uid="{00000000-0005-0000-0000-0000AB1D0000}"/>
    <cellStyle name="Input 2 5 3 2 3 2" xfId="11687" xr:uid="{00000000-0005-0000-0000-0000AC1D0000}"/>
    <cellStyle name="Input 2 5 3 2 3 3" xfId="18306" xr:uid="{00000000-0005-0000-0000-0000AD1D0000}"/>
    <cellStyle name="Input 2 5 3 2 3_Summary" xfId="21049" xr:uid="{00000000-0005-0000-0000-0000AE1D0000}"/>
    <cellStyle name="Input 2 5 3 2 4" xfId="7517" xr:uid="{00000000-0005-0000-0000-0000AF1D0000}"/>
    <cellStyle name="Input 2 5 3 2 5" xfId="14135" xr:uid="{00000000-0005-0000-0000-0000B01D0000}"/>
    <cellStyle name="Input 2 5 3 2 6" xfId="30208" xr:uid="{E0BD84AF-DAE5-4663-A187-F882F9E343EF}"/>
    <cellStyle name="Input 2 5 3 2 7" xfId="31640" xr:uid="{48C993BD-2779-48ED-AA58-E9A3A36E14A4}"/>
    <cellStyle name="Input 2 5 3 2_Summary" xfId="21047" xr:uid="{00000000-0005-0000-0000-0000B11D0000}"/>
    <cellStyle name="Input 2 5 3 3" xfId="1205" xr:uid="{00000000-0005-0000-0000-0000B21D0000}"/>
    <cellStyle name="Input 2 5 3 3 2" xfId="3341" xr:uid="{00000000-0005-0000-0000-0000B31D0000}"/>
    <cellStyle name="Input 2 5 3 3 2 2" xfId="9937" xr:uid="{00000000-0005-0000-0000-0000B41D0000}"/>
    <cellStyle name="Input 2 5 3 3 2 3" xfId="16556" xr:uid="{00000000-0005-0000-0000-0000B51D0000}"/>
    <cellStyle name="Input 2 5 3 3 2_Summary" xfId="21051" xr:uid="{00000000-0005-0000-0000-0000B61D0000}"/>
    <cellStyle name="Input 2 5 3 3 3" xfId="5376" xr:uid="{00000000-0005-0000-0000-0000B71D0000}"/>
    <cellStyle name="Input 2 5 3 3 3 2" xfId="11972" xr:uid="{00000000-0005-0000-0000-0000B81D0000}"/>
    <cellStyle name="Input 2 5 3 3 3 3" xfId="18591" xr:uid="{00000000-0005-0000-0000-0000B91D0000}"/>
    <cellStyle name="Input 2 5 3 3 3_Summary" xfId="21052" xr:uid="{00000000-0005-0000-0000-0000BA1D0000}"/>
    <cellStyle name="Input 2 5 3 3 4" xfId="7801" xr:uid="{00000000-0005-0000-0000-0000BB1D0000}"/>
    <cellStyle name="Input 2 5 3 3 5" xfId="14420" xr:uid="{00000000-0005-0000-0000-0000BC1D0000}"/>
    <cellStyle name="Input 2 5 3 3_Summary" xfId="21050" xr:uid="{00000000-0005-0000-0000-0000BD1D0000}"/>
    <cellStyle name="Input 2 5 3 4" xfId="1487" xr:uid="{00000000-0005-0000-0000-0000BE1D0000}"/>
    <cellStyle name="Input 2 5 3 4 2" xfId="3623" xr:uid="{00000000-0005-0000-0000-0000BF1D0000}"/>
    <cellStyle name="Input 2 5 3 4 2 2" xfId="10219" xr:uid="{00000000-0005-0000-0000-0000C01D0000}"/>
    <cellStyle name="Input 2 5 3 4 2 3" xfId="16838" xr:uid="{00000000-0005-0000-0000-0000C11D0000}"/>
    <cellStyle name="Input 2 5 3 4 2_Summary" xfId="21054" xr:uid="{00000000-0005-0000-0000-0000C21D0000}"/>
    <cellStyle name="Input 2 5 3 4 3" xfId="5658" xr:uid="{00000000-0005-0000-0000-0000C31D0000}"/>
    <cellStyle name="Input 2 5 3 4 3 2" xfId="12254" xr:uid="{00000000-0005-0000-0000-0000C41D0000}"/>
    <cellStyle name="Input 2 5 3 4 3 3" xfId="18873" xr:uid="{00000000-0005-0000-0000-0000C51D0000}"/>
    <cellStyle name="Input 2 5 3 4 3_Summary" xfId="21055" xr:uid="{00000000-0005-0000-0000-0000C61D0000}"/>
    <cellStyle name="Input 2 5 3 4 4" xfId="8083" xr:uid="{00000000-0005-0000-0000-0000C71D0000}"/>
    <cellStyle name="Input 2 5 3 4 5" xfId="14702" xr:uid="{00000000-0005-0000-0000-0000C81D0000}"/>
    <cellStyle name="Input 2 5 3 4_Summary" xfId="21053" xr:uid="{00000000-0005-0000-0000-0000C91D0000}"/>
    <cellStyle name="Input 2 5 3 5" xfId="1768" xr:uid="{00000000-0005-0000-0000-0000CA1D0000}"/>
    <cellStyle name="Input 2 5 3 5 2" xfId="3904" xr:uid="{00000000-0005-0000-0000-0000CB1D0000}"/>
    <cellStyle name="Input 2 5 3 5 2 2" xfId="10500" xr:uid="{00000000-0005-0000-0000-0000CC1D0000}"/>
    <cellStyle name="Input 2 5 3 5 2 3" xfId="17119" xr:uid="{00000000-0005-0000-0000-0000CD1D0000}"/>
    <cellStyle name="Input 2 5 3 5 2_Summary" xfId="21057" xr:uid="{00000000-0005-0000-0000-0000CE1D0000}"/>
    <cellStyle name="Input 2 5 3 5 3" xfId="5939" xr:uid="{00000000-0005-0000-0000-0000CF1D0000}"/>
    <cellStyle name="Input 2 5 3 5 3 2" xfId="12535" xr:uid="{00000000-0005-0000-0000-0000D01D0000}"/>
    <cellStyle name="Input 2 5 3 5 3 3" xfId="19154" xr:uid="{00000000-0005-0000-0000-0000D11D0000}"/>
    <cellStyle name="Input 2 5 3 5 3_Summary" xfId="21058" xr:uid="{00000000-0005-0000-0000-0000D21D0000}"/>
    <cellStyle name="Input 2 5 3 5 4" xfId="8364" xr:uid="{00000000-0005-0000-0000-0000D31D0000}"/>
    <cellStyle name="Input 2 5 3 5 5" xfId="14983" xr:uid="{00000000-0005-0000-0000-0000D41D0000}"/>
    <cellStyle name="Input 2 5 3 5_Summary" xfId="21056" xr:uid="{00000000-0005-0000-0000-0000D51D0000}"/>
    <cellStyle name="Input 2 5 3 6" xfId="2047" xr:uid="{00000000-0005-0000-0000-0000D61D0000}"/>
    <cellStyle name="Input 2 5 3 6 2" xfId="4183" xr:uid="{00000000-0005-0000-0000-0000D71D0000}"/>
    <cellStyle name="Input 2 5 3 6 2 2" xfId="10779" xr:uid="{00000000-0005-0000-0000-0000D81D0000}"/>
    <cellStyle name="Input 2 5 3 6 2 3" xfId="17398" xr:uid="{00000000-0005-0000-0000-0000D91D0000}"/>
    <cellStyle name="Input 2 5 3 6 2_Summary" xfId="21060" xr:uid="{00000000-0005-0000-0000-0000DA1D0000}"/>
    <cellStyle name="Input 2 5 3 6 3" xfId="6218" xr:uid="{00000000-0005-0000-0000-0000DB1D0000}"/>
    <cellStyle name="Input 2 5 3 6 3 2" xfId="12814" xr:uid="{00000000-0005-0000-0000-0000DC1D0000}"/>
    <cellStyle name="Input 2 5 3 6 3 3" xfId="19433" xr:uid="{00000000-0005-0000-0000-0000DD1D0000}"/>
    <cellStyle name="Input 2 5 3 6 3_Summary" xfId="21061" xr:uid="{00000000-0005-0000-0000-0000DE1D0000}"/>
    <cellStyle name="Input 2 5 3 6 4" xfId="8643" xr:uid="{00000000-0005-0000-0000-0000DF1D0000}"/>
    <cellStyle name="Input 2 5 3 6 5" xfId="15262" xr:uid="{00000000-0005-0000-0000-0000E01D0000}"/>
    <cellStyle name="Input 2 5 3 6_Summary" xfId="21059" xr:uid="{00000000-0005-0000-0000-0000E11D0000}"/>
    <cellStyle name="Input 2 5 3 7" xfId="2322" xr:uid="{00000000-0005-0000-0000-0000E21D0000}"/>
    <cellStyle name="Input 2 5 3 7 2" xfId="4458" xr:uid="{00000000-0005-0000-0000-0000E31D0000}"/>
    <cellStyle name="Input 2 5 3 7 2 2" xfId="11054" xr:uid="{00000000-0005-0000-0000-0000E41D0000}"/>
    <cellStyle name="Input 2 5 3 7 2 3" xfId="17673" xr:uid="{00000000-0005-0000-0000-0000E51D0000}"/>
    <cellStyle name="Input 2 5 3 7 2_Summary" xfId="21063" xr:uid="{00000000-0005-0000-0000-0000E61D0000}"/>
    <cellStyle name="Input 2 5 3 7 3" xfId="6493" xr:uid="{00000000-0005-0000-0000-0000E71D0000}"/>
    <cellStyle name="Input 2 5 3 7 3 2" xfId="13089" xr:uid="{00000000-0005-0000-0000-0000E81D0000}"/>
    <cellStyle name="Input 2 5 3 7 3 3" xfId="19708" xr:uid="{00000000-0005-0000-0000-0000E91D0000}"/>
    <cellStyle name="Input 2 5 3 7 3_Summary" xfId="21064" xr:uid="{00000000-0005-0000-0000-0000EA1D0000}"/>
    <cellStyle name="Input 2 5 3 7 4" xfId="8918" xr:uid="{00000000-0005-0000-0000-0000EB1D0000}"/>
    <cellStyle name="Input 2 5 3 7 5" xfId="15537" xr:uid="{00000000-0005-0000-0000-0000EC1D0000}"/>
    <cellStyle name="Input 2 5 3 7_Summary" xfId="21062" xr:uid="{00000000-0005-0000-0000-0000ED1D0000}"/>
    <cellStyle name="Input 2 5 3 8" xfId="2888" xr:uid="{00000000-0005-0000-0000-0000EE1D0000}"/>
    <cellStyle name="Input 2 5 3 8 2" xfId="9484" xr:uid="{00000000-0005-0000-0000-0000EF1D0000}"/>
    <cellStyle name="Input 2 5 3 8 3" xfId="16103" xr:uid="{00000000-0005-0000-0000-0000F01D0000}"/>
    <cellStyle name="Input 2 5 3 8_Summary" xfId="21065" xr:uid="{00000000-0005-0000-0000-0000F11D0000}"/>
    <cellStyle name="Input 2 5 3 9" xfId="4923" xr:uid="{00000000-0005-0000-0000-0000F21D0000}"/>
    <cellStyle name="Input 2 5 3 9 2" xfId="11519" xr:uid="{00000000-0005-0000-0000-0000F31D0000}"/>
    <cellStyle name="Input 2 5 3 9 3" xfId="18138" xr:uid="{00000000-0005-0000-0000-0000F41D0000}"/>
    <cellStyle name="Input 2 5 3 9_Summary" xfId="21066" xr:uid="{00000000-0005-0000-0000-0000F51D0000}"/>
    <cellStyle name="Input 2 5 3_Summary" xfId="21045" xr:uid="{00000000-0005-0000-0000-0000F61D0000}"/>
    <cellStyle name="Input 2 5 4" xfId="367" xr:uid="{00000000-0005-0000-0000-0000F71D0000}"/>
    <cellStyle name="Input 2 5 4 10" xfId="704" xr:uid="{00000000-0005-0000-0000-0000F81D0000}"/>
    <cellStyle name="Input 2 5 4 10 2" xfId="13919" xr:uid="{00000000-0005-0000-0000-0000F91D0000}"/>
    <cellStyle name="Input 2 5 4 10_Summary" xfId="21068" xr:uid="{00000000-0005-0000-0000-0000FA1D0000}"/>
    <cellStyle name="Input 2 5 4 11" xfId="7260" xr:uid="{00000000-0005-0000-0000-0000FB1D0000}"/>
    <cellStyle name="Input 2 5 4 12" xfId="13582" xr:uid="{00000000-0005-0000-0000-0000FC1D0000}"/>
    <cellStyle name="Input 2 5 4 13" xfId="30206" xr:uid="{0E6B8C64-2EA1-495A-B60D-47FB3D559A38}"/>
    <cellStyle name="Input 2 5 4 14" xfId="31638" xr:uid="{6403B2F2-679C-4FB4-A46D-0BB000191062}"/>
    <cellStyle name="Input 2 5 4 2" xfId="1061" xr:uid="{00000000-0005-0000-0000-0000FD1D0000}"/>
    <cellStyle name="Input 2 5 4 2 2" xfId="3197" xr:uid="{00000000-0005-0000-0000-0000FE1D0000}"/>
    <cellStyle name="Input 2 5 4 2 2 2" xfId="9793" xr:uid="{00000000-0005-0000-0000-0000FF1D0000}"/>
    <cellStyle name="Input 2 5 4 2 2 3" xfId="16412" xr:uid="{00000000-0005-0000-0000-0000001E0000}"/>
    <cellStyle name="Input 2 5 4 2 2_Summary" xfId="21070" xr:uid="{00000000-0005-0000-0000-0000011E0000}"/>
    <cellStyle name="Input 2 5 4 2 3" xfId="5232" xr:uid="{00000000-0005-0000-0000-0000021E0000}"/>
    <cellStyle name="Input 2 5 4 2 3 2" xfId="11828" xr:uid="{00000000-0005-0000-0000-0000031E0000}"/>
    <cellStyle name="Input 2 5 4 2 3 3" xfId="18447" xr:uid="{00000000-0005-0000-0000-0000041E0000}"/>
    <cellStyle name="Input 2 5 4 2 3_Summary" xfId="21071" xr:uid="{00000000-0005-0000-0000-0000051E0000}"/>
    <cellStyle name="Input 2 5 4 2 4" xfId="7658" xr:uid="{00000000-0005-0000-0000-0000061E0000}"/>
    <cellStyle name="Input 2 5 4 2 5" xfId="14276" xr:uid="{00000000-0005-0000-0000-0000071E0000}"/>
    <cellStyle name="Input 2 5 4 2_Summary" xfId="21069" xr:uid="{00000000-0005-0000-0000-0000081E0000}"/>
    <cellStyle name="Input 2 5 4 3" xfId="1343" xr:uid="{00000000-0005-0000-0000-0000091E0000}"/>
    <cellStyle name="Input 2 5 4 3 2" xfId="3479" xr:uid="{00000000-0005-0000-0000-00000A1E0000}"/>
    <cellStyle name="Input 2 5 4 3 2 2" xfId="10075" xr:uid="{00000000-0005-0000-0000-00000B1E0000}"/>
    <cellStyle name="Input 2 5 4 3 2 3" xfId="16694" xr:uid="{00000000-0005-0000-0000-00000C1E0000}"/>
    <cellStyle name="Input 2 5 4 3 2_Summary" xfId="21073" xr:uid="{00000000-0005-0000-0000-00000D1E0000}"/>
    <cellStyle name="Input 2 5 4 3 3" xfId="5514" xr:uid="{00000000-0005-0000-0000-00000E1E0000}"/>
    <cellStyle name="Input 2 5 4 3 3 2" xfId="12110" xr:uid="{00000000-0005-0000-0000-00000F1E0000}"/>
    <cellStyle name="Input 2 5 4 3 3 3" xfId="18729" xr:uid="{00000000-0005-0000-0000-0000101E0000}"/>
    <cellStyle name="Input 2 5 4 3 3_Summary" xfId="21074" xr:uid="{00000000-0005-0000-0000-0000111E0000}"/>
    <cellStyle name="Input 2 5 4 3 4" xfId="7939" xr:uid="{00000000-0005-0000-0000-0000121E0000}"/>
    <cellStyle name="Input 2 5 4 3 5" xfId="14558" xr:uid="{00000000-0005-0000-0000-0000131E0000}"/>
    <cellStyle name="Input 2 5 4 3_Summary" xfId="21072" xr:uid="{00000000-0005-0000-0000-0000141E0000}"/>
    <cellStyle name="Input 2 5 4 4" xfId="1624" xr:uid="{00000000-0005-0000-0000-0000151E0000}"/>
    <cellStyle name="Input 2 5 4 4 2" xfId="3760" xr:uid="{00000000-0005-0000-0000-0000161E0000}"/>
    <cellStyle name="Input 2 5 4 4 2 2" xfId="10356" xr:uid="{00000000-0005-0000-0000-0000171E0000}"/>
    <cellStyle name="Input 2 5 4 4 2 3" xfId="16975" xr:uid="{00000000-0005-0000-0000-0000181E0000}"/>
    <cellStyle name="Input 2 5 4 4 2_Summary" xfId="21076" xr:uid="{00000000-0005-0000-0000-0000191E0000}"/>
    <cellStyle name="Input 2 5 4 4 3" xfId="5795" xr:uid="{00000000-0005-0000-0000-00001A1E0000}"/>
    <cellStyle name="Input 2 5 4 4 3 2" xfId="12391" xr:uid="{00000000-0005-0000-0000-00001B1E0000}"/>
    <cellStyle name="Input 2 5 4 4 3 3" xfId="19010" xr:uid="{00000000-0005-0000-0000-00001C1E0000}"/>
    <cellStyle name="Input 2 5 4 4 3_Summary" xfId="21077" xr:uid="{00000000-0005-0000-0000-00001D1E0000}"/>
    <cellStyle name="Input 2 5 4 4 4" xfId="8220" xr:uid="{00000000-0005-0000-0000-00001E1E0000}"/>
    <cellStyle name="Input 2 5 4 4 5" xfId="14839" xr:uid="{00000000-0005-0000-0000-00001F1E0000}"/>
    <cellStyle name="Input 2 5 4 4_Summary" xfId="21075" xr:uid="{00000000-0005-0000-0000-0000201E0000}"/>
    <cellStyle name="Input 2 5 4 5" xfId="1903" xr:uid="{00000000-0005-0000-0000-0000211E0000}"/>
    <cellStyle name="Input 2 5 4 5 2" xfId="4039" xr:uid="{00000000-0005-0000-0000-0000221E0000}"/>
    <cellStyle name="Input 2 5 4 5 2 2" xfId="10635" xr:uid="{00000000-0005-0000-0000-0000231E0000}"/>
    <cellStyle name="Input 2 5 4 5 2 3" xfId="17254" xr:uid="{00000000-0005-0000-0000-0000241E0000}"/>
    <cellStyle name="Input 2 5 4 5 2_Summary" xfId="21079" xr:uid="{00000000-0005-0000-0000-0000251E0000}"/>
    <cellStyle name="Input 2 5 4 5 3" xfId="6074" xr:uid="{00000000-0005-0000-0000-0000261E0000}"/>
    <cellStyle name="Input 2 5 4 5 3 2" xfId="12670" xr:uid="{00000000-0005-0000-0000-0000271E0000}"/>
    <cellStyle name="Input 2 5 4 5 3 3" xfId="19289" xr:uid="{00000000-0005-0000-0000-0000281E0000}"/>
    <cellStyle name="Input 2 5 4 5 3_Summary" xfId="21080" xr:uid="{00000000-0005-0000-0000-0000291E0000}"/>
    <cellStyle name="Input 2 5 4 5 4" xfId="8499" xr:uid="{00000000-0005-0000-0000-00002A1E0000}"/>
    <cellStyle name="Input 2 5 4 5 5" xfId="15118" xr:uid="{00000000-0005-0000-0000-00002B1E0000}"/>
    <cellStyle name="Input 2 5 4 5_Summary" xfId="21078" xr:uid="{00000000-0005-0000-0000-00002C1E0000}"/>
    <cellStyle name="Input 2 5 4 6" xfId="2178" xr:uid="{00000000-0005-0000-0000-00002D1E0000}"/>
    <cellStyle name="Input 2 5 4 6 2" xfId="4314" xr:uid="{00000000-0005-0000-0000-00002E1E0000}"/>
    <cellStyle name="Input 2 5 4 6 2 2" xfId="10910" xr:uid="{00000000-0005-0000-0000-00002F1E0000}"/>
    <cellStyle name="Input 2 5 4 6 2 3" xfId="17529" xr:uid="{00000000-0005-0000-0000-0000301E0000}"/>
    <cellStyle name="Input 2 5 4 6 2_Summary" xfId="21082" xr:uid="{00000000-0005-0000-0000-0000311E0000}"/>
    <cellStyle name="Input 2 5 4 6 3" xfId="6349" xr:uid="{00000000-0005-0000-0000-0000321E0000}"/>
    <cellStyle name="Input 2 5 4 6 3 2" xfId="12945" xr:uid="{00000000-0005-0000-0000-0000331E0000}"/>
    <cellStyle name="Input 2 5 4 6 3 3" xfId="19564" xr:uid="{00000000-0005-0000-0000-0000341E0000}"/>
    <cellStyle name="Input 2 5 4 6 3_Summary" xfId="21083" xr:uid="{00000000-0005-0000-0000-0000351E0000}"/>
    <cellStyle name="Input 2 5 4 6 4" xfId="8774" xr:uid="{00000000-0005-0000-0000-0000361E0000}"/>
    <cellStyle name="Input 2 5 4 6 5" xfId="15393" xr:uid="{00000000-0005-0000-0000-0000371E0000}"/>
    <cellStyle name="Input 2 5 4 6_Summary" xfId="21081" xr:uid="{00000000-0005-0000-0000-0000381E0000}"/>
    <cellStyle name="Input 2 5 4 7" xfId="2451" xr:uid="{00000000-0005-0000-0000-0000391E0000}"/>
    <cellStyle name="Input 2 5 4 7 2" xfId="4587" xr:uid="{00000000-0005-0000-0000-00003A1E0000}"/>
    <cellStyle name="Input 2 5 4 7 2 2" xfId="11183" xr:uid="{00000000-0005-0000-0000-00003B1E0000}"/>
    <cellStyle name="Input 2 5 4 7 2 3" xfId="17802" xr:uid="{00000000-0005-0000-0000-00003C1E0000}"/>
    <cellStyle name="Input 2 5 4 7 2_Summary" xfId="21085" xr:uid="{00000000-0005-0000-0000-00003D1E0000}"/>
    <cellStyle name="Input 2 5 4 7 3" xfId="6622" xr:uid="{00000000-0005-0000-0000-00003E1E0000}"/>
    <cellStyle name="Input 2 5 4 7 3 2" xfId="13218" xr:uid="{00000000-0005-0000-0000-00003F1E0000}"/>
    <cellStyle name="Input 2 5 4 7 3 3" xfId="19837" xr:uid="{00000000-0005-0000-0000-0000401E0000}"/>
    <cellStyle name="Input 2 5 4 7 3_Summary" xfId="21086" xr:uid="{00000000-0005-0000-0000-0000411E0000}"/>
    <cellStyle name="Input 2 5 4 7 4" xfId="9047" xr:uid="{00000000-0005-0000-0000-0000421E0000}"/>
    <cellStyle name="Input 2 5 4 7 5" xfId="15666" xr:uid="{00000000-0005-0000-0000-0000431E0000}"/>
    <cellStyle name="Input 2 5 4 7_Summary" xfId="21084" xr:uid="{00000000-0005-0000-0000-0000441E0000}"/>
    <cellStyle name="Input 2 5 4 8" xfId="2840" xr:uid="{00000000-0005-0000-0000-0000451E0000}"/>
    <cellStyle name="Input 2 5 4 8 2" xfId="9436" xr:uid="{00000000-0005-0000-0000-0000461E0000}"/>
    <cellStyle name="Input 2 5 4 8 3" xfId="16055" xr:uid="{00000000-0005-0000-0000-0000471E0000}"/>
    <cellStyle name="Input 2 5 4 8_Summary" xfId="21087" xr:uid="{00000000-0005-0000-0000-0000481E0000}"/>
    <cellStyle name="Input 2 5 4 9" xfId="4875" xr:uid="{00000000-0005-0000-0000-0000491E0000}"/>
    <cellStyle name="Input 2 5 4 9 2" xfId="11471" xr:uid="{00000000-0005-0000-0000-00004A1E0000}"/>
    <cellStyle name="Input 2 5 4 9 3" xfId="18090" xr:uid="{00000000-0005-0000-0000-00004B1E0000}"/>
    <cellStyle name="Input 2 5 4 9_Summary" xfId="21088" xr:uid="{00000000-0005-0000-0000-00004C1E0000}"/>
    <cellStyle name="Input 2 5 4_Summary" xfId="21067" xr:uid="{00000000-0005-0000-0000-00004D1E0000}"/>
    <cellStyle name="Input 2 5 5" xfId="872" xr:uid="{00000000-0005-0000-0000-00004E1E0000}"/>
    <cellStyle name="Input 2 5 5 2" xfId="3008" xr:uid="{00000000-0005-0000-0000-00004F1E0000}"/>
    <cellStyle name="Input 2 5 5 2 2" xfId="9604" xr:uid="{00000000-0005-0000-0000-0000501E0000}"/>
    <cellStyle name="Input 2 5 5 2 3" xfId="16223" xr:uid="{00000000-0005-0000-0000-0000511E0000}"/>
    <cellStyle name="Input 2 5 5 2_Summary" xfId="21090" xr:uid="{00000000-0005-0000-0000-0000521E0000}"/>
    <cellStyle name="Input 2 5 5 3" xfId="5043" xr:uid="{00000000-0005-0000-0000-0000531E0000}"/>
    <cellStyle name="Input 2 5 5 3 2" xfId="11639" xr:uid="{00000000-0005-0000-0000-0000541E0000}"/>
    <cellStyle name="Input 2 5 5 3 3" xfId="18258" xr:uid="{00000000-0005-0000-0000-0000551E0000}"/>
    <cellStyle name="Input 2 5 5 3_Summary" xfId="21091" xr:uid="{00000000-0005-0000-0000-0000561E0000}"/>
    <cellStyle name="Input 2 5 5 4" xfId="7469" xr:uid="{00000000-0005-0000-0000-0000571E0000}"/>
    <cellStyle name="Input 2 5 5 5" xfId="14087" xr:uid="{00000000-0005-0000-0000-0000581E0000}"/>
    <cellStyle name="Input 2 5 5_Summary" xfId="21089" xr:uid="{00000000-0005-0000-0000-0000591E0000}"/>
    <cellStyle name="Input 2 5 6" xfId="610" xr:uid="{00000000-0005-0000-0000-00005A1E0000}"/>
    <cellStyle name="Input 2 5 6 2" xfId="2746" xr:uid="{00000000-0005-0000-0000-00005B1E0000}"/>
    <cellStyle name="Input 2 5 6 2 2" xfId="9342" xr:uid="{00000000-0005-0000-0000-00005C1E0000}"/>
    <cellStyle name="Input 2 5 6 2 3" xfId="15961" xr:uid="{00000000-0005-0000-0000-00005D1E0000}"/>
    <cellStyle name="Input 2 5 6 2_Summary" xfId="21093" xr:uid="{00000000-0005-0000-0000-00005E1E0000}"/>
    <cellStyle name="Input 2 5 6 3" xfId="4781" xr:uid="{00000000-0005-0000-0000-00005F1E0000}"/>
    <cellStyle name="Input 2 5 6 3 2" xfId="11377" xr:uid="{00000000-0005-0000-0000-0000601E0000}"/>
    <cellStyle name="Input 2 5 6 3 3" xfId="17996" xr:uid="{00000000-0005-0000-0000-0000611E0000}"/>
    <cellStyle name="Input 2 5 6 3_Summary" xfId="21094" xr:uid="{00000000-0005-0000-0000-0000621E0000}"/>
    <cellStyle name="Input 2 5 6 4" xfId="7382" xr:uid="{00000000-0005-0000-0000-0000631E0000}"/>
    <cellStyle name="Input 2 5 6 5" xfId="13825" xr:uid="{00000000-0005-0000-0000-0000641E0000}"/>
    <cellStyle name="Input 2 5 6_Summary" xfId="21092" xr:uid="{00000000-0005-0000-0000-0000651E0000}"/>
    <cellStyle name="Input 2 5 7" xfId="963" xr:uid="{00000000-0005-0000-0000-0000661E0000}"/>
    <cellStyle name="Input 2 5 7 2" xfId="3099" xr:uid="{00000000-0005-0000-0000-0000671E0000}"/>
    <cellStyle name="Input 2 5 7 2 2" xfId="9695" xr:uid="{00000000-0005-0000-0000-0000681E0000}"/>
    <cellStyle name="Input 2 5 7 2 3" xfId="16314" xr:uid="{00000000-0005-0000-0000-0000691E0000}"/>
    <cellStyle name="Input 2 5 7 2_Summary" xfId="21096" xr:uid="{00000000-0005-0000-0000-00006A1E0000}"/>
    <cellStyle name="Input 2 5 7 3" xfId="5134" xr:uid="{00000000-0005-0000-0000-00006B1E0000}"/>
    <cellStyle name="Input 2 5 7 3 2" xfId="11730" xr:uid="{00000000-0005-0000-0000-00006C1E0000}"/>
    <cellStyle name="Input 2 5 7 3 3" xfId="18349" xr:uid="{00000000-0005-0000-0000-00006D1E0000}"/>
    <cellStyle name="Input 2 5 7 3_Summary" xfId="21097" xr:uid="{00000000-0005-0000-0000-00006E1E0000}"/>
    <cellStyle name="Input 2 5 7 4" xfId="7560" xr:uid="{00000000-0005-0000-0000-00006F1E0000}"/>
    <cellStyle name="Input 2 5 7 5" xfId="14178" xr:uid="{00000000-0005-0000-0000-0000701E0000}"/>
    <cellStyle name="Input 2 5 7_Summary" xfId="21095" xr:uid="{00000000-0005-0000-0000-0000711E0000}"/>
    <cellStyle name="Input 2 5 8" xfId="1245" xr:uid="{00000000-0005-0000-0000-0000721E0000}"/>
    <cellStyle name="Input 2 5 8 2" xfId="3381" xr:uid="{00000000-0005-0000-0000-0000731E0000}"/>
    <cellStyle name="Input 2 5 8 2 2" xfId="9977" xr:uid="{00000000-0005-0000-0000-0000741E0000}"/>
    <cellStyle name="Input 2 5 8 2 3" xfId="16596" xr:uid="{00000000-0005-0000-0000-0000751E0000}"/>
    <cellStyle name="Input 2 5 8 2_Summary" xfId="21099" xr:uid="{00000000-0005-0000-0000-0000761E0000}"/>
    <cellStyle name="Input 2 5 8 3" xfId="5416" xr:uid="{00000000-0005-0000-0000-0000771E0000}"/>
    <cellStyle name="Input 2 5 8 3 2" xfId="12012" xr:uid="{00000000-0005-0000-0000-0000781E0000}"/>
    <cellStyle name="Input 2 5 8 3 3" xfId="18631" xr:uid="{00000000-0005-0000-0000-0000791E0000}"/>
    <cellStyle name="Input 2 5 8 3_Summary" xfId="21100" xr:uid="{00000000-0005-0000-0000-00007A1E0000}"/>
    <cellStyle name="Input 2 5 8 4" xfId="7841" xr:uid="{00000000-0005-0000-0000-00007B1E0000}"/>
    <cellStyle name="Input 2 5 8 5" xfId="14460" xr:uid="{00000000-0005-0000-0000-00007C1E0000}"/>
    <cellStyle name="Input 2 5 8_Summary" xfId="21098" xr:uid="{00000000-0005-0000-0000-00007D1E0000}"/>
    <cellStyle name="Input 2 5 9" xfId="1526" xr:uid="{00000000-0005-0000-0000-00007E1E0000}"/>
    <cellStyle name="Input 2 5 9 2" xfId="3662" xr:uid="{00000000-0005-0000-0000-00007F1E0000}"/>
    <cellStyle name="Input 2 5 9 2 2" xfId="10258" xr:uid="{00000000-0005-0000-0000-0000801E0000}"/>
    <cellStyle name="Input 2 5 9 2 3" xfId="16877" xr:uid="{00000000-0005-0000-0000-0000811E0000}"/>
    <cellStyle name="Input 2 5 9 2_Summary" xfId="21102" xr:uid="{00000000-0005-0000-0000-0000821E0000}"/>
    <cellStyle name="Input 2 5 9 3" xfId="5697" xr:uid="{00000000-0005-0000-0000-0000831E0000}"/>
    <cellStyle name="Input 2 5 9 3 2" xfId="12293" xr:uid="{00000000-0005-0000-0000-0000841E0000}"/>
    <cellStyle name="Input 2 5 9 3 3" xfId="18912" xr:uid="{00000000-0005-0000-0000-0000851E0000}"/>
    <cellStyle name="Input 2 5 9 3_Summary" xfId="21103" xr:uid="{00000000-0005-0000-0000-0000861E0000}"/>
    <cellStyle name="Input 2 5 9 4" xfId="8122" xr:uid="{00000000-0005-0000-0000-0000871E0000}"/>
    <cellStyle name="Input 2 5 9 5" xfId="14741" xr:uid="{00000000-0005-0000-0000-0000881E0000}"/>
    <cellStyle name="Input 2 5 9_Summary" xfId="21101" xr:uid="{00000000-0005-0000-0000-0000891E0000}"/>
    <cellStyle name="Input 2 5_Summary" xfId="20994" xr:uid="{00000000-0005-0000-0000-00008A1E0000}"/>
    <cellStyle name="Input 2 50" xfId="25584" xr:uid="{00000000-0005-0000-0000-000055000000}"/>
    <cellStyle name="Input 2 51" xfId="25602" xr:uid="{00000000-0005-0000-0000-000055000000}"/>
    <cellStyle name="Input 2 52" xfId="25579" xr:uid="{00000000-0005-0000-0000-000055000000}"/>
    <cellStyle name="Input 2 53" xfId="25694" xr:uid="{00000000-0005-0000-0000-000055000000}"/>
    <cellStyle name="Input 2 54" xfId="25714" xr:uid="{00000000-0005-0000-0000-000055000000}"/>
    <cellStyle name="Input 2 55" xfId="25790" xr:uid="{318CAF9E-B55F-42CC-847A-09706ACF46CB}"/>
    <cellStyle name="Input 2 56" xfId="25865" xr:uid="{2618EC84-0FBD-448C-A817-18BF8B96F0DE}"/>
    <cellStyle name="Input 2 57" xfId="26247" xr:uid="{F17CD12B-1843-41F8-9FD4-381924700EB7}"/>
    <cellStyle name="Input 2 58" xfId="26611" xr:uid="{2B3C1B50-BD2B-4B87-9A1D-4FE12FCE60A3}"/>
    <cellStyle name="Input 2 59" xfId="26986" xr:uid="{21D55643-0A7B-470F-A681-B765976F6347}"/>
    <cellStyle name="Input 2 6" xfId="173" xr:uid="{00000000-0005-0000-0000-00008B1E0000}"/>
    <cellStyle name="Input 2 6 10" xfId="2282" xr:uid="{00000000-0005-0000-0000-00008C1E0000}"/>
    <cellStyle name="Input 2 6 10 2" xfId="4418" xr:uid="{00000000-0005-0000-0000-00008D1E0000}"/>
    <cellStyle name="Input 2 6 10 2 2" xfId="11014" xr:uid="{00000000-0005-0000-0000-00008E1E0000}"/>
    <cellStyle name="Input 2 6 10 2 3" xfId="17633" xr:uid="{00000000-0005-0000-0000-00008F1E0000}"/>
    <cellStyle name="Input 2 6 10 2_Summary" xfId="21106" xr:uid="{00000000-0005-0000-0000-0000901E0000}"/>
    <cellStyle name="Input 2 6 10 3" xfId="6453" xr:uid="{00000000-0005-0000-0000-0000911E0000}"/>
    <cellStyle name="Input 2 6 10 3 2" xfId="13049" xr:uid="{00000000-0005-0000-0000-0000921E0000}"/>
    <cellStyle name="Input 2 6 10 3 3" xfId="19668" xr:uid="{00000000-0005-0000-0000-0000931E0000}"/>
    <cellStyle name="Input 2 6 10 3_Summary" xfId="21107" xr:uid="{00000000-0005-0000-0000-0000941E0000}"/>
    <cellStyle name="Input 2 6 10 4" xfId="8878" xr:uid="{00000000-0005-0000-0000-0000951E0000}"/>
    <cellStyle name="Input 2 6 10 5" xfId="15497" xr:uid="{00000000-0005-0000-0000-0000961E0000}"/>
    <cellStyle name="Input 2 6 10_Summary" xfId="21105" xr:uid="{00000000-0005-0000-0000-0000971E0000}"/>
    <cellStyle name="Input 2 6 11" xfId="2601" xr:uid="{00000000-0005-0000-0000-0000981E0000}"/>
    <cellStyle name="Input 2 6 11 2" xfId="9197" xr:uid="{00000000-0005-0000-0000-0000991E0000}"/>
    <cellStyle name="Input 2 6 11 3" xfId="15816" xr:uid="{00000000-0005-0000-0000-00009A1E0000}"/>
    <cellStyle name="Input 2 6 11_Summary" xfId="21108" xr:uid="{00000000-0005-0000-0000-00009B1E0000}"/>
    <cellStyle name="Input 2 6 12" xfId="2568" xr:uid="{00000000-0005-0000-0000-00009C1E0000}"/>
    <cellStyle name="Input 2 6 12 2" xfId="9164" xr:uid="{00000000-0005-0000-0000-00009D1E0000}"/>
    <cellStyle name="Input 2 6 12 3" xfId="15783" xr:uid="{00000000-0005-0000-0000-00009E1E0000}"/>
    <cellStyle name="Input 2 6 12_Summary" xfId="21109" xr:uid="{00000000-0005-0000-0000-00009F1E0000}"/>
    <cellStyle name="Input 2 6 13" xfId="490" xr:uid="{00000000-0005-0000-0000-0000A01E0000}"/>
    <cellStyle name="Input 2 6 13 2" xfId="13705" xr:uid="{00000000-0005-0000-0000-0000A11E0000}"/>
    <cellStyle name="Input 2 6 13_Summary" xfId="21110" xr:uid="{00000000-0005-0000-0000-0000A21E0000}"/>
    <cellStyle name="Input 2 6 14" xfId="7081" xr:uid="{00000000-0005-0000-0000-0000A31E0000}"/>
    <cellStyle name="Input 2 6 15" xfId="7156" xr:uid="{00000000-0005-0000-0000-0000A41E0000}"/>
    <cellStyle name="Input 2 6 16" xfId="26366" xr:uid="{DA6FE021-5DAA-49CB-9F69-64961BA5C351}"/>
    <cellStyle name="Input 2 6 17" xfId="26767" xr:uid="{EBBB809F-86C8-4530-9BC3-FA9396F1FCCC}"/>
    <cellStyle name="Input 2 6 18" xfId="26976" xr:uid="{7BF1FAC0-97C3-46FD-A478-D499463E5431}"/>
    <cellStyle name="Input 2 6 19" xfId="26260" xr:uid="{AFAB64B2-8A4C-4166-A7B4-6D41162560F0}"/>
    <cellStyle name="Input 2 6 2" xfId="305" xr:uid="{00000000-0005-0000-0000-0000A51E0000}"/>
    <cellStyle name="Input 2 6 2 10" xfId="4726" xr:uid="{00000000-0005-0000-0000-0000A61E0000}"/>
    <cellStyle name="Input 2 6 2 10 2" xfId="11322" xr:uid="{00000000-0005-0000-0000-0000A71E0000}"/>
    <cellStyle name="Input 2 6 2 10 3" xfId="17941" xr:uid="{00000000-0005-0000-0000-0000A81E0000}"/>
    <cellStyle name="Input 2 6 2 10_Summary" xfId="21112" xr:uid="{00000000-0005-0000-0000-0000A91E0000}"/>
    <cellStyle name="Input 2 6 2 11" xfId="555" xr:uid="{00000000-0005-0000-0000-0000AA1E0000}"/>
    <cellStyle name="Input 2 6 2 11 2" xfId="13770" xr:uid="{00000000-0005-0000-0000-0000AB1E0000}"/>
    <cellStyle name="Input 2 6 2 11_Summary" xfId="21113" xr:uid="{00000000-0005-0000-0000-0000AC1E0000}"/>
    <cellStyle name="Input 2 6 2 12" xfId="7199" xr:uid="{00000000-0005-0000-0000-0000AD1E0000}"/>
    <cellStyle name="Input 2 6 2 13" xfId="13521" xr:uid="{00000000-0005-0000-0000-0000AE1E0000}"/>
    <cellStyle name="Input 2 6 2 14" xfId="26338" xr:uid="{383726C1-B9D1-4458-9B2C-E5E97EDB4A8E}"/>
    <cellStyle name="Input 2 6 2 15" xfId="26744" xr:uid="{917CC56A-B2EB-4AF2-BF85-52E2181F526F}"/>
    <cellStyle name="Input 2 6 2 16" xfId="26966" xr:uid="{68E5B533-789D-4B8E-9861-0B8006FA5BA7}"/>
    <cellStyle name="Input 2 6 2 17" xfId="25863" xr:uid="{2DB488C7-B18A-4F9E-B18A-44E87A6FAC22}"/>
    <cellStyle name="Input 2 6 2 18" xfId="25854" xr:uid="{8F12625C-BD0B-4C68-B85E-3F251E24E542}"/>
    <cellStyle name="Input 2 6 2 19" xfId="28687" xr:uid="{85F2E414-00D9-4964-A79B-3476F900D870}"/>
    <cellStyle name="Input 2 6 2 2" xfId="434" xr:uid="{00000000-0005-0000-0000-0000AF1E0000}"/>
    <cellStyle name="Input 2 6 2 2 10" xfId="828" xr:uid="{00000000-0005-0000-0000-0000B01E0000}"/>
    <cellStyle name="Input 2 6 2 2 10 2" xfId="14043" xr:uid="{00000000-0005-0000-0000-0000B11E0000}"/>
    <cellStyle name="Input 2 6 2 2 10_Summary" xfId="21115" xr:uid="{00000000-0005-0000-0000-0000B21E0000}"/>
    <cellStyle name="Input 2 6 2 2 11" xfId="7327" xr:uid="{00000000-0005-0000-0000-0000B31E0000}"/>
    <cellStyle name="Input 2 6 2 2 12" xfId="13649" xr:uid="{00000000-0005-0000-0000-0000B41E0000}"/>
    <cellStyle name="Input 2 6 2 2 13" xfId="30210" xr:uid="{77B1CE76-0947-47CD-BBD3-FD669EE6E352}"/>
    <cellStyle name="Input 2 6 2 2 14" xfId="31642" xr:uid="{549AF207-0D11-4DFF-821C-6FFC3769C562}"/>
    <cellStyle name="Input 2 6 2 2 2" xfId="1128" xr:uid="{00000000-0005-0000-0000-0000B51E0000}"/>
    <cellStyle name="Input 2 6 2 2 2 2" xfId="3264" xr:uid="{00000000-0005-0000-0000-0000B61E0000}"/>
    <cellStyle name="Input 2 6 2 2 2 2 2" xfId="9860" xr:uid="{00000000-0005-0000-0000-0000B71E0000}"/>
    <cellStyle name="Input 2 6 2 2 2 2 3" xfId="16479" xr:uid="{00000000-0005-0000-0000-0000B81E0000}"/>
    <cellStyle name="Input 2 6 2 2 2 2_Summary" xfId="21117" xr:uid="{00000000-0005-0000-0000-0000B91E0000}"/>
    <cellStyle name="Input 2 6 2 2 2 3" xfId="5299" xr:uid="{00000000-0005-0000-0000-0000BA1E0000}"/>
    <cellStyle name="Input 2 6 2 2 2 3 2" xfId="11895" xr:uid="{00000000-0005-0000-0000-0000BB1E0000}"/>
    <cellStyle name="Input 2 6 2 2 2 3 3" xfId="18514" xr:uid="{00000000-0005-0000-0000-0000BC1E0000}"/>
    <cellStyle name="Input 2 6 2 2 2 3_Summary" xfId="21118" xr:uid="{00000000-0005-0000-0000-0000BD1E0000}"/>
    <cellStyle name="Input 2 6 2 2 2 4" xfId="7724" xr:uid="{00000000-0005-0000-0000-0000BE1E0000}"/>
    <cellStyle name="Input 2 6 2 2 2 5" xfId="14343" xr:uid="{00000000-0005-0000-0000-0000BF1E0000}"/>
    <cellStyle name="Input 2 6 2 2 2_Summary" xfId="21116" xr:uid="{00000000-0005-0000-0000-0000C01E0000}"/>
    <cellStyle name="Input 2 6 2 2 3" xfId="1410" xr:uid="{00000000-0005-0000-0000-0000C11E0000}"/>
    <cellStyle name="Input 2 6 2 2 3 2" xfId="3546" xr:uid="{00000000-0005-0000-0000-0000C21E0000}"/>
    <cellStyle name="Input 2 6 2 2 3 2 2" xfId="10142" xr:uid="{00000000-0005-0000-0000-0000C31E0000}"/>
    <cellStyle name="Input 2 6 2 2 3 2 3" xfId="16761" xr:uid="{00000000-0005-0000-0000-0000C41E0000}"/>
    <cellStyle name="Input 2 6 2 2 3 2_Summary" xfId="21120" xr:uid="{00000000-0005-0000-0000-0000C51E0000}"/>
    <cellStyle name="Input 2 6 2 2 3 3" xfId="5581" xr:uid="{00000000-0005-0000-0000-0000C61E0000}"/>
    <cellStyle name="Input 2 6 2 2 3 3 2" xfId="12177" xr:uid="{00000000-0005-0000-0000-0000C71E0000}"/>
    <cellStyle name="Input 2 6 2 2 3 3 3" xfId="18796" xr:uid="{00000000-0005-0000-0000-0000C81E0000}"/>
    <cellStyle name="Input 2 6 2 2 3 3_Summary" xfId="21121" xr:uid="{00000000-0005-0000-0000-0000C91E0000}"/>
    <cellStyle name="Input 2 6 2 2 3 4" xfId="8006" xr:uid="{00000000-0005-0000-0000-0000CA1E0000}"/>
    <cellStyle name="Input 2 6 2 2 3 5" xfId="14625" xr:uid="{00000000-0005-0000-0000-0000CB1E0000}"/>
    <cellStyle name="Input 2 6 2 2 3_Summary" xfId="21119" xr:uid="{00000000-0005-0000-0000-0000CC1E0000}"/>
    <cellStyle name="Input 2 6 2 2 4" xfId="1691" xr:uid="{00000000-0005-0000-0000-0000CD1E0000}"/>
    <cellStyle name="Input 2 6 2 2 4 2" xfId="3827" xr:uid="{00000000-0005-0000-0000-0000CE1E0000}"/>
    <cellStyle name="Input 2 6 2 2 4 2 2" xfId="10423" xr:uid="{00000000-0005-0000-0000-0000CF1E0000}"/>
    <cellStyle name="Input 2 6 2 2 4 2 3" xfId="17042" xr:uid="{00000000-0005-0000-0000-0000D01E0000}"/>
    <cellStyle name="Input 2 6 2 2 4 2_Summary" xfId="21123" xr:uid="{00000000-0005-0000-0000-0000D11E0000}"/>
    <cellStyle name="Input 2 6 2 2 4 3" xfId="5862" xr:uid="{00000000-0005-0000-0000-0000D21E0000}"/>
    <cellStyle name="Input 2 6 2 2 4 3 2" xfId="12458" xr:uid="{00000000-0005-0000-0000-0000D31E0000}"/>
    <cellStyle name="Input 2 6 2 2 4 3 3" xfId="19077" xr:uid="{00000000-0005-0000-0000-0000D41E0000}"/>
    <cellStyle name="Input 2 6 2 2 4 3_Summary" xfId="21124" xr:uid="{00000000-0005-0000-0000-0000D51E0000}"/>
    <cellStyle name="Input 2 6 2 2 4 4" xfId="8287" xr:uid="{00000000-0005-0000-0000-0000D61E0000}"/>
    <cellStyle name="Input 2 6 2 2 4 5" xfId="14906" xr:uid="{00000000-0005-0000-0000-0000D71E0000}"/>
    <cellStyle name="Input 2 6 2 2 4_Summary" xfId="21122" xr:uid="{00000000-0005-0000-0000-0000D81E0000}"/>
    <cellStyle name="Input 2 6 2 2 5" xfId="1970" xr:uid="{00000000-0005-0000-0000-0000D91E0000}"/>
    <cellStyle name="Input 2 6 2 2 5 2" xfId="4106" xr:uid="{00000000-0005-0000-0000-0000DA1E0000}"/>
    <cellStyle name="Input 2 6 2 2 5 2 2" xfId="10702" xr:uid="{00000000-0005-0000-0000-0000DB1E0000}"/>
    <cellStyle name="Input 2 6 2 2 5 2 3" xfId="17321" xr:uid="{00000000-0005-0000-0000-0000DC1E0000}"/>
    <cellStyle name="Input 2 6 2 2 5 2_Summary" xfId="21126" xr:uid="{00000000-0005-0000-0000-0000DD1E0000}"/>
    <cellStyle name="Input 2 6 2 2 5 3" xfId="6141" xr:uid="{00000000-0005-0000-0000-0000DE1E0000}"/>
    <cellStyle name="Input 2 6 2 2 5 3 2" xfId="12737" xr:uid="{00000000-0005-0000-0000-0000DF1E0000}"/>
    <cellStyle name="Input 2 6 2 2 5 3 3" xfId="19356" xr:uid="{00000000-0005-0000-0000-0000E01E0000}"/>
    <cellStyle name="Input 2 6 2 2 5 3_Summary" xfId="21127" xr:uid="{00000000-0005-0000-0000-0000E11E0000}"/>
    <cellStyle name="Input 2 6 2 2 5 4" xfId="8566" xr:uid="{00000000-0005-0000-0000-0000E21E0000}"/>
    <cellStyle name="Input 2 6 2 2 5 5" xfId="15185" xr:uid="{00000000-0005-0000-0000-0000E31E0000}"/>
    <cellStyle name="Input 2 6 2 2 5_Summary" xfId="21125" xr:uid="{00000000-0005-0000-0000-0000E41E0000}"/>
    <cellStyle name="Input 2 6 2 2 6" xfId="2245" xr:uid="{00000000-0005-0000-0000-0000E51E0000}"/>
    <cellStyle name="Input 2 6 2 2 6 2" xfId="4381" xr:uid="{00000000-0005-0000-0000-0000E61E0000}"/>
    <cellStyle name="Input 2 6 2 2 6 2 2" xfId="10977" xr:uid="{00000000-0005-0000-0000-0000E71E0000}"/>
    <cellStyle name="Input 2 6 2 2 6 2 3" xfId="17596" xr:uid="{00000000-0005-0000-0000-0000E81E0000}"/>
    <cellStyle name="Input 2 6 2 2 6 2_Summary" xfId="21129" xr:uid="{00000000-0005-0000-0000-0000E91E0000}"/>
    <cellStyle name="Input 2 6 2 2 6 3" xfId="6416" xr:uid="{00000000-0005-0000-0000-0000EA1E0000}"/>
    <cellStyle name="Input 2 6 2 2 6 3 2" xfId="13012" xr:uid="{00000000-0005-0000-0000-0000EB1E0000}"/>
    <cellStyle name="Input 2 6 2 2 6 3 3" xfId="19631" xr:uid="{00000000-0005-0000-0000-0000EC1E0000}"/>
    <cellStyle name="Input 2 6 2 2 6 3_Summary" xfId="21130" xr:uid="{00000000-0005-0000-0000-0000ED1E0000}"/>
    <cellStyle name="Input 2 6 2 2 6 4" xfId="8841" xr:uid="{00000000-0005-0000-0000-0000EE1E0000}"/>
    <cellStyle name="Input 2 6 2 2 6 5" xfId="15460" xr:uid="{00000000-0005-0000-0000-0000EF1E0000}"/>
    <cellStyle name="Input 2 6 2 2 6_Summary" xfId="21128" xr:uid="{00000000-0005-0000-0000-0000F01E0000}"/>
    <cellStyle name="Input 2 6 2 2 7" xfId="2518" xr:uid="{00000000-0005-0000-0000-0000F11E0000}"/>
    <cellStyle name="Input 2 6 2 2 7 2" xfId="4654" xr:uid="{00000000-0005-0000-0000-0000F21E0000}"/>
    <cellStyle name="Input 2 6 2 2 7 2 2" xfId="11250" xr:uid="{00000000-0005-0000-0000-0000F31E0000}"/>
    <cellStyle name="Input 2 6 2 2 7 2 3" xfId="17869" xr:uid="{00000000-0005-0000-0000-0000F41E0000}"/>
    <cellStyle name="Input 2 6 2 2 7 2_Summary" xfId="21132" xr:uid="{00000000-0005-0000-0000-0000F51E0000}"/>
    <cellStyle name="Input 2 6 2 2 7 3" xfId="6689" xr:uid="{00000000-0005-0000-0000-0000F61E0000}"/>
    <cellStyle name="Input 2 6 2 2 7 3 2" xfId="13285" xr:uid="{00000000-0005-0000-0000-0000F71E0000}"/>
    <cellStyle name="Input 2 6 2 2 7 3 3" xfId="19904" xr:uid="{00000000-0005-0000-0000-0000F81E0000}"/>
    <cellStyle name="Input 2 6 2 2 7 3_Summary" xfId="21133" xr:uid="{00000000-0005-0000-0000-0000F91E0000}"/>
    <cellStyle name="Input 2 6 2 2 7 4" xfId="9114" xr:uid="{00000000-0005-0000-0000-0000FA1E0000}"/>
    <cellStyle name="Input 2 6 2 2 7 5" xfId="15733" xr:uid="{00000000-0005-0000-0000-0000FB1E0000}"/>
    <cellStyle name="Input 2 6 2 2 7_Summary" xfId="21131" xr:uid="{00000000-0005-0000-0000-0000FC1E0000}"/>
    <cellStyle name="Input 2 6 2 2 8" xfId="2964" xr:uid="{00000000-0005-0000-0000-0000FD1E0000}"/>
    <cellStyle name="Input 2 6 2 2 8 2" xfId="9560" xr:uid="{00000000-0005-0000-0000-0000FE1E0000}"/>
    <cellStyle name="Input 2 6 2 2 8 3" xfId="16179" xr:uid="{00000000-0005-0000-0000-0000FF1E0000}"/>
    <cellStyle name="Input 2 6 2 2 8_Summary" xfId="21134" xr:uid="{00000000-0005-0000-0000-0000001F0000}"/>
    <cellStyle name="Input 2 6 2 2 9" xfId="4999" xr:uid="{00000000-0005-0000-0000-0000011F0000}"/>
    <cellStyle name="Input 2 6 2 2 9 2" xfId="11595" xr:uid="{00000000-0005-0000-0000-0000021F0000}"/>
    <cellStyle name="Input 2 6 2 2 9 3" xfId="18214" xr:uid="{00000000-0005-0000-0000-0000031F0000}"/>
    <cellStyle name="Input 2 6 2 2 9_Summary" xfId="21135" xr:uid="{00000000-0005-0000-0000-0000041F0000}"/>
    <cellStyle name="Input 2 6 2 2_Summary" xfId="21114" xr:uid="{00000000-0005-0000-0000-0000051F0000}"/>
    <cellStyle name="Input 2 6 2 20" xfId="30928" xr:uid="{D1EFA5C3-AC03-4AAF-83FC-2655AEBB921F}"/>
    <cellStyle name="Input 2 6 2 3" xfId="1000" xr:uid="{00000000-0005-0000-0000-0000061F0000}"/>
    <cellStyle name="Input 2 6 2 3 2" xfId="3136" xr:uid="{00000000-0005-0000-0000-0000071F0000}"/>
    <cellStyle name="Input 2 6 2 3 2 2" xfId="9732" xr:uid="{00000000-0005-0000-0000-0000081F0000}"/>
    <cellStyle name="Input 2 6 2 3 2 3" xfId="16351" xr:uid="{00000000-0005-0000-0000-0000091F0000}"/>
    <cellStyle name="Input 2 6 2 3 2_Summary" xfId="21137" xr:uid="{00000000-0005-0000-0000-00000A1F0000}"/>
    <cellStyle name="Input 2 6 2 3 3" xfId="5171" xr:uid="{00000000-0005-0000-0000-00000B1F0000}"/>
    <cellStyle name="Input 2 6 2 3 3 2" xfId="11767" xr:uid="{00000000-0005-0000-0000-00000C1F0000}"/>
    <cellStyle name="Input 2 6 2 3 3 3" xfId="18386" xr:uid="{00000000-0005-0000-0000-00000D1F0000}"/>
    <cellStyle name="Input 2 6 2 3 3_Summary" xfId="21138" xr:uid="{00000000-0005-0000-0000-00000E1F0000}"/>
    <cellStyle name="Input 2 6 2 3 4" xfId="7597" xr:uid="{00000000-0005-0000-0000-00000F1F0000}"/>
    <cellStyle name="Input 2 6 2 3 5" xfId="14215" xr:uid="{00000000-0005-0000-0000-0000101F0000}"/>
    <cellStyle name="Input 2 6 2 3_Summary" xfId="21136" xr:uid="{00000000-0005-0000-0000-0000111F0000}"/>
    <cellStyle name="Input 2 6 2 4" xfId="1282" xr:uid="{00000000-0005-0000-0000-0000121F0000}"/>
    <cellStyle name="Input 2 6 2 4 2" xfId="3418" xr:uid="{00000000-0005-0000-0000-0000131F0000}"/>
    <cellStyle name="Input 2 6 2 4 2 2" xfId="10014" xr:uid="{00000000-0005-0000-0000-0000141F0000}"/>
    <cellStyle name="Input 2 6 2 4 2 3" xfId="16633" xr:uid="{00000000-0005-0000-0000-0000151F0000}"/>
    <cellStyle name="Input 2 6 2 4 2_Summary" xfId="21140" xr:uid="{00000000-0005-0000-0000-0000161F0000}"/>
    <cellStyle name="Input 2 6 2 4 3" xfId="5453" xr:uid="{00000000-0005-0000-0000-0000171F0000}"/>
    <cellStyle name="Input 2 6 2 4 3 2" xfId="12049" xr:uid="{00000000-0005-0000-0000-0000181F0000}"/>
    <cellStyle name="Input 2 6 2 4 3 3" xfId="18668" xr:uid="{00000000-0005-0000-0000-0000191F0000}"/>
    <cellStyle name="Input 2 6 2 4 3_Summary" xfId="21141" xr:uid="{00000000-0005-0000-0000-00001A1F0000}"/>
    <cellStyle name="Input 2 6 2 4 4" xfId="7878" xr:uid="{00000000-0005-0000-0000-00001B1F0000}"/>
    <cellStyle name="Input 2 6 2 4 5" xfId="14497" xr:uid="{00000000-0005-0000-0000-00001C1F0000}"/>
    <cellStyle name="Input 2 6 2 4_Summary" xfId="21139" xr:uid="{00000000-0005-0000-0000-00001D1F0000}"/>
    <cellStyle name="Input 2 6 2 5" xfId="1563" xr:uid="{00000000-0005-0000-0000-00001E1F0000}"/>
    <cellStyle name="Input 2 6 2 5 2" xfId="3699" xr:uid="{00000000-0005-0000-0000-00001F1F0000}"/>
    <cellStyle name="Input 2 6 2 5 2 2" xfId="10295" xr:uid="{00000000-0005-0000-0000-0000201F0000}"/>
    <cellStyle name="Input 2 6 2 5 2 3" xfId="16914" xr:uid="{00000000-0005-0000-0000-0000211F0000}"/>
    <cellStyle name="Input 2 6 2 5 2_Summary" xfId="21143" xr:uid="{00000000-0005-0000-0000-0000221F0000}"/>
    <cellStyle name="Input 2 6 2 5 3" xfId="5734" xr:uid="{00000000-0005-0000-0000-0000231F0000}"/>
    <cellStyle name="Input 2 6 2 5 3 2" xfId="12330" xr:uid="{00000000-0005-0000-0000-0000241F0000}"/>
    <cellStyle name="Input 2 6 2 5 3 3" xfId="18949" xr:uid="{00000000-0005-0000-0000-0000251F0000}"/>
    <cellStyle name="Input 2 6 2 5 3_Summary" xfId="21144" xr:uid="{00000000-0005-0000-0000-0000261F0000}"/>
    <cellStyle name="Input 2 6 2 5 4" xfId="8159" xr:uid="{00000000-0005-0000-0000-0000271F0000}"/>
    <cellStyle name="Input 2 6 2 5 5" xfId="14778" xr:uid="{00000000-0005-0000-0000-0000281F0000}"/>
    <cellStyle name="Input 2 6 2 5_Summary" xfId="21142" xr:uid="{00000000-0005-0000-0000-0000291F0000}"/>
    <cellStyle name="Input 2 6 2 6" xfId="1842" xr:uid="{00000000-0005-0000-0000-00002A1F0000}"/>
    <cellStyle name="Input 2 6 2 6 2" xfId="3978" xr:uid="{00000000-0005-0000-0000-00002B1F0000}"/>
    <cellStyle name="Input 2 6 2 6 2 2" xfId="10574" xr:uid="{00000000-0005-0000-0000-00002C1F0000}"/>
    <cellStyle name="Input 2 6 2 6 2 3" xfId="17193" xr:uid="{00000000-0005-0000-0000-00002D1F0000}"/>
    <cellStyle name="Input 2 6 2 6 2_Summary" xfId="21146" xr:uid="{00000000-0005-0000-0000-00002E1F0000}"/>
    <cellStyle name="Input 2 6 2 6 3" xfId="6013" xr:uid="{00000000-0005-0000-0000-00002F1F0000}"/>
    <cellStyle name="Input 2 6 2 6 3 2" xfId="12609" xr:uid="{00000000-0005-0000-0000-0000301F0000}"/>
    <cellStyle name="Input 2 6 2 6 3 3" xfId="19228" xr:uid="{00000000-0005-0000-0000-0000311F0000}"/>
    <cellStyle name="Input 2 6 2 6 3_Summary" xfId="21147" xr:uid="{00000000-0005-0000-0000-0000321F0000}"/>
    <cellStyle name="Input 2 6 2 6 4" xfId="8438" xr:uid="{00000000-0005-0000-0000-0000331F0000}"/>
    <cellStyle name="Input 2 6 2 6 5" xfId="15057" xr:uid="{00000000-0005-0000-0000-0000341F0000}"/>
    <cellStyle name="Input 2 6 2 6_Summary" xfId="21145" xr:uid="{00000000-0005-0000-0000-0000351F0000}"/>
    <cellStyle name="Input 2 6 2 7" xfId="2117" xr:uid="{00000000-0005-0000-0000-0000361F0000}"/>
    <cellStyle name="Input 2 6 2 7 2" xfId="4253" xr:uid="{00000000-0005-0000-0000-0000371F0000}"/>
    <cellStyle name="Input 2 6 2 7 2 2" xfId="10849" xr:uid="{00000000-0005-0000-0000-0000381F0000}"/>
    <cellStyle name="Input 2 6 2 7 2 3" xfId="17468" xr:uid="{00000000-0005-0000-0000-0000391F0000}"/>
    <cellStyle name="Input 2 6 2 7 2_Summary" xfId="21149" xr:uid="{00000000-0005-0000-0000-00003A1F0000}"/>
    <cellStyle name="Input 2 6 2 7 3" xfId="6288" xr:uid="{00000000-0005-0000-0000-00003B1F0000}"/>
    <cellStyle name="Input 2 6 2 7 3 2" xfId="12884" xr:uid="{00000000-0005-0000-0000-00003C1F0000}"/>
    <cellStyle name="Input 2 6 2 7 3 3" xfId="19503" xr:uid="{00000000-0005-0000-0000-00003D1F0000}"/>
    <cellStyle name="Input 2 6 2 7 3_Summary" xfId="21150" xr:uid="{00000000-0005-0000-0000-00003E1F0000}"/>
    <cellStyle name="Input 2 6 2 7 4" xfId="8713" xr:uid="{00000000-0005-0000-0000-00003F1F0000}"/>
    <cellStyle name="Input 2 6 2 7 5" xfId="15332" xr:uid="{00000000-0005-0000-0000-0000401F0000}"/>
    <cellStyle name="Input 2 6 2 7_Summary" xfId="21148" xr:uid="{00000000-0005-0000-0000-0000411F0000}"/>
    <cellStyle name="Input 2 6 2 8" xfId="2390" xr:uid="{00000000-0005-0000-0000-0000421F0000}"/>
    <cellStyle name="Input 2 6 2 8 2" xfId="4526" xr:uid="{00000000-0005-0000-0000-0000431F0000}"/>
    <cellStyle name="Input 2 6 2 8 2 2" xfId="11122" xr:uid="{00000000-0005-0000-0000-0000441F0000}"/>
    <cellStyle name="Input 2 6 2 8 2 3" xfId="17741" xr:uid="{00000000-0005-0000-0000-0000451F0000}"/>
    <cellStyle name="Input 2 6 2 8 2_Summary" xfId="21152" xr:uid="{00000000-0005-0000-0000-0000461F0000}"/>
    <cellStyle name="Input 2 6 2 8 3" xfId="6561" xr:uid="{00000000-0005-0000-0000-0000471F0000}"/>
    <cellStyle name="Input 2 6 2 8 3 2" xfId="13157" xr:uid="{00000000-0005-0000-0000-0000481F0000}"/>
    <cellStyle name="Input 2 6 2 8 3 3" xfId="19776" xr:uid="{00000000-0005-0000-0000-0000491F0000}"/>
    <cellStyle name="Input 2 6 2 8 3_Summary" xfId="21153" xr:uid="{00000000-0005-0000-0000-00004A1F0000}"/>
    <cellStyle name="Input 2 6 2 8 4" xfId="8986" xr:uid="{00000000-0005-0000-0000-00004B1F0000}"/>
    <cellStyle name="Input 2 6 2 8 5" xfId="15605" xr:uid="{00000000-0005-0000-0000-00004C1F0000}"/>
    <cellStyle name="Input 2 6 2 8_Summary" xfId="21151" xr:uid="{00000000-0005-0000-0000-00004D1F0000}"/>
    <cellStyle name="Input 2 6 2 9" xfId="2691" xr:uid="{00000000-0005-0000-0000-00004E1F0000}"/>
    <cellStyle name="Input 2 6 2 9 2" xfId="9287" xr:uid="{00000000-0005-0000-0000-00004F1F0000}"/>
    <cellStyle name="Input 2 6 2 9 3" xfId="15906" xr:uid="{00000000-0005-0000-0000-0000501F0000}"/>
    <cellStyle name="Input 2 6 2 9_Summary" xfId="21154" xr:uid="{00000000-0005-0000-0000-0000511F0000}"/>
    <cellStyle name="Input 2 6 2_Summary" xfId="21111" xr:uid="{00000000-0005-0000-0000-0000521F0000}"/>
    <cellStyle name="Input 2 6 20" xfId="26573" xr:uid="{2CD6E438-234F-4D8D-A786-92B7E704C588}"/>
    <cellStyle name="Input 2 6 21" xfId="28686" xr:uid="{803B6584-BD86-4557-A112-77571BFD7FA6}"/>
    <cellStyle name="Input 2 6 22" xfId="30927" xr:uid="{202FEBC8-330A-44F2-82D6-409F7BF2E0DA}"/>
    <cellStyle name="Input 2 6 3" xfId="220" xr:uid="{00000000-0005-0000-0000-0000531F0000}"/>
    <cellStyle name="Input 2 6 3 10" xfId="757" xr:uid="{00000000-0005-0000-0000-0000541F0000}"/>
    <cellStyle name="Input 2 6 3 10 2" xfId="13972" xr:uid="{00000000-0005-0000-0000-0000551F0000}"/>
    <cellStyle name="Input 2 6 3 10_Summary" xfId="21156" xr:uid="{00000000-0005-0000-0000-0000561F0000}"/>
    <cellStyle name="Input 2 6 3 11" xfId="7127" xr:uid="{00000000-0005-0000-0000-0000571F0000}"/>
    <cellStyle name="Input 2 6 3 12" xfId="7071" xr:uid="{00000000-0005-0000-0000-0000581F0000}"/>
    <cellStyle name="Input 2 6 3 13" xfId="28688" xr:uid="{44503779-D8C3-4E90-BC83-687A0294D9CD}"/>
    <cellStyle name="Input 2 6 3 14" xfId="30929" xr:uid="{C3E26113-4507-4B0B-9F46-D3440CB36BAE}"/>
    <cellStyle name="Input 2 6 3 2" xfId="925" xr:uid="{00000000-0005-0000-0000-0000591F0000}"/>
    <cellStyle name="Input 2 6 3 2 2" xfId="3061" xr:uid="{00000000-0005-0000-0000-00005A1F0000}"/>
    <cellStyle name="Input 2 6 3 2 2 2" xfId="9657" xr:uid="{00000000-0005-0000-0000-00005B1F0000}"/>
    <cellStyle name="Input 2 6 3 2 2 3" xfId="16276" xr:uid="{00000000-0005-0000-0000-00005C1F0000}"/>
    <cellStyle name="Input 2 6 3 2 2_Summary" xfId="21158" xr:uid="{00000000-0005-0000-0000-00005D1F0000}"/>
    <cellStyle name="Input 2 6 3 2 3" xfId="5096" xr:uid="{00000000-0005-0000-0000-00005E1F0000}"/>
    <cellStyle name="Input 2 6 3 2 3 2" xfId="11692" xr:uid="{00000000-0005-0000-0000-00005F1F0000}"/>
    <cellStyle name="Input 2 6 3 2 3 3" xfId="18311" xr:uid="{00000000-0005-0000-0000-0000601F0000}"/>
    <cellStyle name="Input 2 6 3 2 3_Summary" xfId="21159" xr:uid="{00000000-0005-0000-0000-0000611F0000}"/>
    <cellStyle name="Input 2 6 3 2 4" xfId="7522" xr:uid="{00000000-0005-0000-0000-0000621F0000}"/>
    <cellStyle name="Input 2 6 3 2 5" xfId="14140" xr:uid="{00000000-0005-0000-0000-0000631F0000}"/>
    <cellStyle name="Input 2 6 3 2 6" xfId="30211" xr:uid="{148BB3E1-2022-4BB6-AD9E-2700D3252092}"/>
    <cellStyle name="Input 2 6 3 2 7" xfId="31643" xr:uid="{602508A7-B45F-4DF0-AB29-88569A3E04DC}"/>
    <cellStyle name="Input 2 6 3 2_Summary" xfId="21157" xr:uid="{00000000-0005-0000-0000-0000641F0000}"/>
    <cellStyle name="Input 2 6 3 3" xfId="1210" xr:uid="{00000000-0005-0000-0000-0000651F0000}"/>
    <cellStyle name="Input 2 6 3 3 2" xfId="3346" xr:uid="{00000000-0005-0000-0000-0000661F0000}"/>
    <cellStyle name="Input 2 6 3 3 2 2" xfId="9942" xr:uid="{00000000-0005-0000-0000-0000671F0000}"/>
    <cellStyle name="Input 2 6 3 3 2 3" xfId="16561" xr:uid="{00000000-0005-0000-0000-0000681F0000}"/>
    <cellStyle name="Input 2 6 3 3 2_Summary" xfId="21161" xr:uid="{00000000-0005-0000-0000-0000691F0000}"/>
    <cellStyle name="Input 2 6 3 3 3" xfId="5381" xr:uid="{00000000-0005-0000-0000-00006A1F0000}"/>
    <cellStyle name="Input 2 6 3 3 3 2" xfId="11977" xr:uid="{00000000-0005-0000-0000-00006B1F0000}"/>
    <cellStyle name="Input 2 6 3 3 3 3" xfId="18596" xr:uid="{00000000-0005-0000-0000-00006C1F0000}"/>
    <cellStyle name="Input 2 6 3 3 3_Summary" xfId="21162" xr:uid="{00000000-0005-0000-0000-00006D1F0000}"/>
    <cellStyle name="Input 2 6 3 3 4" xfId="7806" xr:uid="{00000000-0005-0000-0000-00006E1F0000}"/>
    <cellStyle name="Input 2 6 3 3 5" xfId="14425" xr:uid="{00000000-0005-0000-0000-00006F1F0000}"/>
    <cellStyle name="Input 2 6 3 3_Summary" xfId="21160" xr:uid="{00000000-0005-0000-0000-0000701F0000}"/>
    <cellStyle name="Input 2 6 3 4" xfId="1492" xr:uid="{00000000-0005-0000-0000-0000711F0000}"/>
    <cellStyle name="Input 2 6 3 4 2" xfId="3628" xr:uid="{00000000-0005-0000-0000-0000721F0000}"/>
    <cellStyle name="Input 2 6 3 4 2 2" xfId="10224" xr:uid="{00000000-0005-0000-0000-0000731F0000}"/>
    <cellStyle name="Input 2 6 3 4 2 3" xfId="16843" xr:uid="{00000000-0005-0000-0000-0000741F0000}"/>
    <cellStyle name="Input 2 6 3 4 2_Summary" xfId="21164" xr:uid="{00000000-0005-0000-0000-0000751F0000}"/>
    <cellStyle name="Input 2 6 3 4 3" xfId="5663" xr:uid="{00000000-0005-0000-0000-0000761F0000}"/>
    <cellStyle name="Input 2 6 3 4 3 2" xfId="12259" xr:uid="{00000000-0005-0000-0000-0000771F0000}"/>
    <cellStyle name="Input 2 6 3 4 3 3" xfId="18878" xr:uid="{00000000-0005-0000-0000-0000781F0000}"/>
    <cellStyle name="Input 2 6 3 4 3_Summary" xfId="21165" xr:uid="{00000000-0005-0000-0000-0000791F0000}"/>
    <cellStyle name="Input 2 6 3 4 4" xfId="8088" xr:uid="{00000000-0005-0000-0000-00007A1F0000}"/>
    <cellStyle name="Input 2 6 3 4 5" xfId="14707" xr:uid="{00000000-0005-0000-0000-00007B1F0000}"/>
    <cellStyle name="Input 2 6 3 4_Summary" xfId="21163" xr:uid="{00000000-0005-0000-0000-00007C1F0000}"/>
    <cellStyle name="Input 2 6 3 5" xfId="1773" xr:uid="{00000000-0005-0000-0000-00007D1F0000}"/>
    <cellStyle name="Input 2 6 3 5 2" xfId="3909" xr:uid="{00000000-0005-0000-0000-00007E1F0000}"/>
    <cellStyle name="Input 2 6 3 5 2 2" xfId="10505" xr:uid="{00000000-0005-0000-0000-00007F1F0000}"/>
    <cellStyle name="Input 2 6 3 5 2 3" xfId="17124" xr:uid="{00000000-0005-0000-0000-0000801F0000}"/>
    <cellStyle name="Input 2 6 3 5 2_Summary" xfId="21167" xr:uid="{00000000-0005-0000-0000-0000811F0000}"/>
    <cellStyle name="Input 2 6 3 5 3" xfId="5944" xr:uid="{00000000-0005-0000-0000-0000821F0000}"/>
    <cellStyle name="Input 2 6 3 5 3 2" xfId="12540" xr:uid="{00000000-0005-0000-0000-0000831F0000}"/>
    <cellStyle name="Input 2 6 3 5 3 3" xfId="19159" xr:uid="{00000000-0005-0000-0000-0000841F0000}"/>
    <cellStyle name="Input 2 6 3 5 3_Summary" xfId="21168" xr:uid="{00000000-0005-0000-0000-0000851F0000}"/>
    <cellStyle name="Input 2 6 3 5 4" xfId="8369" xr:uid="{00000000-0005-0000-0000-0000861F0000}"/>
    <cellStyle name="Input 2 6 3 5 5" xfId="14988" xr:uid="{00000000-0005-0000-0000-0000871F0000}"/>
    <cellStyle name="Input 2 6 3 5_Summary" xfId="21166" xr:uid="{00000000-0005-0000-0000-0000881F0000}"/>
    <cellStyle name="Input 2 6 3 6" xfId="2052" xr:uid="{00000000-0005-0000-0000-0000891F0000}"/>
    <cellStyle name="Input 2 6 3 6 2" xfId="4188" xr:uid="{00000000-0005-0000-0000-00008A1F0000}"/>
    <cellStyle name="Input 2 6 3 6 2 2" xfId="10784" xr:uid="{00000000-0005-0000-0000-00008B1F0000}"/>
    <cellStyle name="Input 2 6 3 6 2 3" xfId="17403" xr:uid="{00000000-0005-0000-0000-00008C1F0000}"/>
    <cellStyle name="Input 2 6 3 6 2_Summary" xfId="21170" xr:uid="{00000000-0005-0000-0000-00008D1F0000}"/>
    <cellStyle name="Input 2 6 3 6 3" xfId="6223" xr:uid="{00000000-0005-0000-0000-00008E1F0000}"/>
    <cellStyle name="Input 2 6 3 6 3 2" xfId="12819" xr:uid="{00000000-0005-0000-0000-00008F1F0000}"/>
    <cellStyle name="Input 2 6 3 6 3 3" xfId="19438" xr:uid="{00000000-0005-0000-0000-0000901F0000}"/>
    <cellStyle name="Input 2 6 3 6 3_Summary" xfId="21171" xr:uid="{00000000-0005-0000-0000-0000911F0000}"/>
    <cellStyle name="Input 2 6 3 6 4" xfId="8648" xr:uid="{00000000-0005-0000-0000-0000921F0000}"/>
    <cellStyle name="Input 2 6 3 6 5" xfId="15267" xr:uid="{00000000-0005-0000-0000-0000931F0000}"/>
    <cellStyle name="Input 2 6 3 6_Summary" xfId="21169" xr:uid="{00000000-0005-0000-0000-0000941F0000}"/>
    <cellStyle name="Input 2 6 3 7" xfId="2327" xr:uid="{00000000-0005-0000-0000-0000951F0000}"/>
    <cellStyle name="Input 2 6 3 7 2" xfId="4463" xr:uid="{00000000-0005-0000-0000-0000961F0000}"/>
    <cellStyle name="Input 2 6 3 7 2 2" xfId="11059" xr:uid="{00000000-0005-0000-0000-0000971F0000}"/>
    <cellStyle name="Input 2 6 3 7 2 3" xfId="17678" xr:uid="{00000000-0005-0000-0000-0000981F0000}"/>
    <cellStyle name="Input 2 6 3 7 2_Summary" xfId="21173" xr:uid="{00000000-0005-0000-0000-0000991F0000}"/>
    <cellStyle name="Input 2 6 3 7 3" xfId="6498" xr:uid="{00000000-0005-0000-0000-00009A1F0000}"/>
    <cellStyle name="Input 2 6 3 7 3 2" xfId="13094" xr:uid="{00000000-0005-0000-0000-00009B1F0000}"/>
    <cellStyle name="Input 2 6 3 7 3 3" xfId="19713" xr:uid="{00000000-0005-0000-0000-00009C1F0000}"/>
    <cellStyle name="Input 2 6 3 7 3_Summary" xfId="21174" xr:uid="{00000000-0005-0000-0000-00009D1F0000}"/>
    <cellStyle name="Input 2 6 3 7 4" xfId="8923" xr:uid="{00000000-0005-0000-0000-00009E1F0000}"/>
    <cellStyle name="Input 2 6 3 7 5" xfId="15542" xr:uid="{00000000-0005-0000-0000-00009F1F0000}"/>
    <cellStyle name="Input 2 6 3 7_Summary" xfId="21172" xr:uid="{00000000-0005-0000-0000-0000A01F0000}"/>
    <cellStyle name="Input 2 6 3 8" xfId="2893" xr:uid="{00000000-0005-0000-0000-0000A11F0000}"/>
    <cellStyle name="Input 2 6 3 8 2" xfId="9489" xr:uid="{00000000-0005-0000-0000-0000A21F0000}"/>
    <cellStyle name="Input 2 6 3 8 3" xfId="16108" xr:uid="{00000000-0005-0000-0000-0000A31F0000}"/>
    <cellStyle name="Input 2 6 3 8_Summary" xfId="21175" xr:uid="{00000000-0005-0000-0000-0000A41F0000}"/>
    <cellStyle name="Input 2 6 3 9" xfId="4928" xr:uid="{00000000-0005-0000-0000-0000A51F0000}"/>
    <cellStyle name="Input 2 6 3 9 2" xfId="11524" xr:uid="{00000000-0005-0000-0000-0000A61F0000}"/>
    <cellStyle name="Input 2 6 3 9 3" xfId="18143" xr:uid="{00000000-0005-0000-0000-0000A71F0000}"/>
    <cellStyle name="Input 2 6 3 9_Summary" xfId="21176" xr:uid="{00000000-0005-0000-0000-0000A81F0000}"/>
    <cellStyle name="Input 2 6 3_Summary" xfId="21155" xr:uid="{00000000-0005-0000-0000-0000A91F0000}"/>
    <cellStyle name="Input 2 6 4" xfId="373" xr:uid="{00000000-0005-0000-0000-0000AA1F0000}"/>
    <cellStyle name="Input 2 6 4 10" xfId="710" xr:uid="{00000000-0005-0000-0000-0000AB1F0000}"/>
    <cellStyle name="Input 2 6 4 10 2" xfId="13925" xr:uid="{00000000-0005-0000-0000-0000AC1F0000}"/>
    <cellStyle name="Input 2 6 4 10_Summary" xfId="21178" xr:uid="{00000000-0005-0000-0000-0000AD1F0000}"/>
    <cellStyle name="Input 2 6 4 11" xfId="7266" xr:uid="{00000000-0005-0000-0000-0000AE1F0000}"/>
    <cellStyle name="Input 2 6 4 12" xfId="13588" xr:uid="{00000000-0005-0000-0000-0000AF1F0000}"/>
    <cellStyle name="Input 2 6 4 13" xfId="30209" xr:uid="{8E31E032-3437-4519-8021-18494CAF477C}"/>
    <cellStyle name="Input 2 6 4 14" xfId="31641" xr:uid="{7A0B2E80-C744-4ED5-9500-AC8E8B4D6700}"/>
    <cellStyle name="Input 2 6 4 2" xfId="1067" xr:uid="{00000000-0005-0000-0000-0000B01F0000}"/>
    <cellStyle name="Input 2 6 4 2 2" xfId="3203" xr:uid="{00000000-0005-0000-0000-0000B11F0000}"/>
    <cellStyle name="Input 2 6 4 2 2 2" xfId="9799" xr:uid="{00000000-0005-0000-0000-0000B21F0000}"/>
    <cellStyle name="Input 2 6 4 2 2 3" xfId="16418" xr:uid="{00000000-0005-0000-0000-0000B31F0000}"/>
    <cellStyle name="Input 2 6 4 2 2_Summary" xfId="21180" xr:uid="{00000000-0005-0000-0000-0000B41F0000}"/>
    <cellStyle name="Input 2 6 4 2 3" xfId="5238" xr:uid="{00000000-0005-0000-0000-0000B51F0000}"/>
    <cellStyle name="Input 2 6 4 2 3 2" xfId="11834" xr:uid="{00000000-0005-0000-0000-0000B61F0000}"/>
    <cellStyle name="Input 2 6 4 2 3 3" xfId="18453" xr:uid="{00000000-0005-0000-0000-0000B71F0000}"/>
    <cellStyle name="Input 2 6 4 2 3_Summary" xfId="21181" xr:uid="{00000000-0005-0000-0000-0000B81F0000}"/>
    <cellStyle name="Input 2 6 4 2 4" xfId="7664" xr:uid="{00000000-0005-0000-0000-0000B91F0000}"/>
    <cellStyle name="Input 2 6 4 2 5" xfId="14282" xr:uid="{00000000-0005-0000-0000-0000BA1F0000}"/>
    <cellStyle name="Input 2 6 4 2_Summary" xfId="21179" xr:uid="{00000000-0005-0000-0000-0000BB1F0000}"/>
    <cellStyle name="Input 2 6 4 3" xfId="1349" xr:uid="{00000000-0005-0000-0000-0000BC1F0000}"/>
    <cellStyle name="Input 2 6 4 3 2" xfId="3485" xr:uid="{00000000-0005-0000-0000-0000BD1F0000}"/>
    <cellStyle name="Input 2 6 4 3 2 2" xfId="10081" xr:uid="{00000000-0005-0000-0000-0000BE1F0000}"/>
    <cellStyle name="Input 2 6 4 3 2 3" xfId="16700" xr:uid="{00000000-0005-0000-0000-0000BF1F0000}"/>
    <cellStyle name="Input 2 6 4 3 2_Summary" xfId="21183" xr:uid="{00000000-0005-0000-0000-0000C01F0000}"/>
    <cellStyle name="Input 2 6 4 3 3" xfId="5520" xr:uid="{00000000-0005-0000-0000-0000C11F0000}"/>
    <cellStyle name="Input 2 6 4 3 3 2" xfId="12116" xr:uid="{00000000-0005-0000-0000-0000C21F0000}"/>
    <cellStyle name="Input 2 6 4 3 3 3" xfId="18735" xr:uid="{00000000-0005-0000-0000-0000C31F0000}"/>
    <cellStyle name="Input 2 6 4 3 3_Summary" xfId="21184" xr:uid="{00000000-0005-0000-0000-0000C41F0000}"/>
    <cellStyle name="Input 2 6 4 3 4" xfId="7945" xr:uid="{00000000-0005-0000-0000-0000C51F0000}"/>
    <cellStyle name="Input 2 6 4 3 5" xfId="14564" xr:uid="{00000000-0005-0000-0000-0000C61F0000}"/>
    <cellStyle name="Input 2 6 4 3_Summary" xfId="21182" xr:uid="{00000000-0005-0000-0000-0000C71F0000}"/>
    <cellStyle name="Input 2 6 4 4" xfId="1630" xr:uid="{00000000-0005-0000-0000-0000C81F0000}"/>
    <cellStyle name="Input 2 6 4 4 2" xfId="3766" xr:uid="{00000000-0005-0000-0000-0000C91F0000}"/>
    <cellStyle name="Input 2 6 4 4 2 2" xfId="10362" xr:uid="{00000000-0005-0000-0000-0000CA1F0000}"/>
    <cellStyle name="Input 2 6 4 4 2 3" xfId="16981" xr:uid="{00000000-0005-0000-0000-0000CB1F0000}"/>
    <cellStyle name="Input 2 6 4 4 2_Summary" xfId="21186" xr:uid="{00000000-0005-0000-0000-0000CC1F0000}"/>
    <cellStyle name="Input 2 6 4 4 3" xfId="5801" xr:uid="{00000000-0005-0000-0000-0000CD1F0000}"/>
    <cellStyle name="Input 2 6 4 4 3 2" xfId="12397" xr:uid="{00000000-0005-0000-0000-0000CE1F0000}"/>
    <cellStyle name="Input 2 6 4 4 3 3" xfId="19016" xr:uid="{00000000-0005-0000-0000-0000CF1F0000}"/>
    <cellStyle name="Input 2 6 4 4 3_Summary" xfId="21187" xr:uid="{00000000-0005-0000-0000-0000D01F0000}"/>
    <cellStyle name="Input 2 6 4 4 4" xfId="8226" xr:uid="{00000000-0005-0000-0000-0000D11F0000}"/>
    <cellStyle name="Input 2 6 4 4 5" xfId="14845" xr:uid="{00000000-0005-0000-0000-0000D21F0000}"/>
    <cellStyle name="Input 2 6 4 4_Summary" xfId="21185" xr:uid="{00000000-0005-0000-0000-0000D31F0000}"/>
    <cellStyle name="Input 2 6 4 5" xfId="1909" xr:uid="{00000000-0005-0000-0000-0000D41F0000}"/>
    <cellStyle name="Input 2 6 4 5 2" xfId="4045" xr:uid="{00000000-0005-0000-0000-0000D51F0000}"/>
    <cellStyle name="Input 2 6 4 5 2 2" xfId="10641" xr:uid="{00000000-0005-0000-0000-0000D61F0000}"/>
    <cellStyle name="Input 2 6 4 5 2 3" xfId="17260" xr:uid="{00000000-0005-0000-0000-0000D71F0000}"/>
    <cellStyle name="Input 2 6 4 5 2_Summary" xfId="21189" xr:uid="{00000000-0005-0000-0000-0000D81F0000}"/>
    <cellStyle name="Input 2 6 4 5 3" xfId="6080" xr:uid="{00000000-0005-0000-0000-0000D91F0000}"/>
    <cellStyle name="Input 2 6 4 5 3 2" xfId="12676" xr:uid="{00000000-0005-0000-0000-0000DA1F0000}"/>
    <cellStyle name="Input 2 6 4 5 3 3" xfId="19295" xr:uid="{00000000-0005-0000-0000-0000DB1F0000}"/>
    <cellStyle name="Input 2 6 4 5 3_Summary" xfId="21190" xr:uid="{00000000-0005-0000-0000-0000DC1F0000}"/>
    <cellStyle name="Input 2 6 4 5 4" xfId="8505" xr:uid="{00000000-0005-0000-0000-0000DD1F0000}"/>
    <cellStyle name="Input 2 6 4 5 5" xfId="15124" xr:uid="{00000000-0005-0000-0000-0000DE1F0000}"/>
    <cellStyle name="Input 2 6 4 5_Summary" xfId="21188" xr:uid="{00000000-0005-0000-0000-0000DF1F0000}"/>
    <cellStyle name="Input 2 6 4 6" xfId="2184" xr:uid="{00000000-0005-0000-0000-0000E01F0000}"/>
    <cellStyle name="Input 2 6 4 6 2" xfId="4320" xr:uid="{00000000-0005-0000-0000-0000E11F0000}"/>
    <cellStyle name="Input 2 6 4 6 2 2" xfId="10916" xr:uid="{00000000-0005-0000-0000-0000E21F0000}"/>
    <cellStyle name="Input 2 6 4 6 2 3" xfId="17535" xr:uid="{00000000-0005-0000-0000-0000E31F0000}"/>
    <cellStyle name="Input 2 6 4 6 2_Summary" xfId="21192" xr:uid="{00000000-0005-0000-0000-0000E41F0000}"/>
    <cellStyle name="Input 2 6 4 6 3" xfId="6355" xr:uid="{00000000-0005-0000-0000-0000E51F0000}"/>
    <cellStyle name="Input 2 6 4 6 3 2" xfId="12951" xr:uid="{00000000-0005-0000-0000-0000E61F0000}"/>
    <cellStyle name="Input 2 6 4 6 3 3" xfId="19570" xr:uid="{00000000-0005-0000-0000-0000E71F0000}"/>
    <cellStyle name="Input 2 6 4 6 3_Summary" xfId="21193" xr:uid="{00000000-0005-0000-0000-0000E81F0000}"/>
    <cellStyle name="Input 2 6 4 6 4" xfId="8780" xr:uid="{00000000-0005-0000-0000-0000E91F0000}"/>
    <cellStyle name="Input 2 6 4 6 5" xfId="15399" xr:uid="{00000000-0005-0000-0000-0000EA1F0000}"/>
    <cellStyle name="Input 2 6 4 6_Summary" xfId="21191" xr:uid="{00000000-0005-0000-0000-0000EB1F0000}"/>
    <cellStyle name="Input 2 6 4 7" xfId="2457" xr:uid="{00000000-0005-0000-0000-0000EC1F0000}"/>
    <cellStyle name="Input 2 6 4 7 2" xfId="4593" xr:uid="{00000000-0005-0000-0000-0000ED1F0000}"/>
    <cellStyle name="Input 2 6 4 7 2 2" xfId="11189" xr:uid="{00000000-0005-0000-0000-0000EE1F0000}"/>
    <cellStyle name="Input 2 6 4 7 2 3" xfId="17808" xr:uid="{00000000-0005-0000-0000-0000EF1F0000}"/>
    <cellStyle name="Input 2 6 4 7 2_Summary" xfId="21195" xr:uid="{00000000-0005-0000-0000-0000F01F0000}"/>
    <cellStyle name="Input 2 6 4 7 3" xfId="6628" xr:uid="{00000000-0005-0000-0000-0000F11F0000}"/>
    <cellStyle name="Input 2 6 4 7 3 2" xfId="13224" xr:uid="{00000000-0005-0000-0000-0000F21F0000}"/>
    <cellStyle name="Input 2 6 4 7 3 3" xfId="19843" xr:uid="{00000000-0005-0000-0000-0000F31F0000}"/>
    <cellStyle name="Input 2 6 4 7 3_Summary" xfId="21196" xr:uid="{00000000-0005-0000-0000-0000F41F0000}"/>
    <cellStyle name="Input 2 6 4 7 4" xfId="9053" xr:uid="{00000000-0005-0000-0000-0000F51F0000}"/>
    <cellStyle name="Input 2 6 4 7 5" xfId="15672" xr:uid="{00000000-0005-0000-0000-0000F61F0000}"/>
    <cellStyle name="Input 2 6 4 7_Summary" xfId="21194" xr:uid="{00000000-0005-0000-0000-0000F71F0000}"/>
    <cellStyle name="Input 2 6 4 8" xfId="2846" xr:uid="{00000000-0005-0000-0000-0000F81F0000}"/>
    <cellStyle name="Input 2 6 4 8 2" xfId="9442" xr:uid="{00000000-0005-0000-0000-0000F91F0000}"/>
    <cellStyle name="Input 2 6 4 8 3" xfId="16061" xr:uid="{00000000-0005-0000-0000-0000FA1F0000}"/>
    <cellStyle name="Input 2 6 4 8_Summary" xfId="21197" xr:uid="{00000000-0005-0000-0000-0000FB1F0000}"/>
    <cellStyle name="Input 2 6 4 9" xfId="4881" xr:uid="{00000000-0005-0000-0000-0000FC1F0000}"/>
    <cellStyle name="Input 2 6 4 9 2" xfId="11477" xr:uid="{00000000-0005-0000-0000-0000FD1F0000}"/>
    <cellStyle name="Input 2 6 4 9 3" xfId="18096" xr:uid="{00000000-0005-0000-0000-0000FE1F0000}"/>
    <cellStyle name="Input 2 6 4 9_Summary" xfId="21198" xr:uid="{00000000-0005-0000-0000-0000FF1F0000}"/>
    <cellStyle name="Input 2 6 4_Summary" xfId="21177" xr:uid="{00000000-0005-0000-0000-000000200000}"/>
    <cellStyle name="Input 2 6 5" xfId="880" xr:uid="{00000000-0005-0000-0000-000001200000}"/>
    <cellStyle name="Input 2 6 5 2" xfId="3016" xr:uid="{00000000-0005-0000-0000-000002200000}"/>
    <cellStyle name="Input 2 6 5 2 2" xfId="9612" xr:uid="{00000000-0005-0000-0000-000003200000}"/>
    <cellStyle name="Input 2 6 5 2 3" xfId="16231" xr:uid="{00000000-0005-0000-0000-000004200000}"/>
    <cellStyle name="Input 2 6 5 2_Summary" xfId="21200" xr:uid="{00000000-0005-0000-0000-000005200000}"/>
    <cellStyle name="Input 2 6 5 3" xfId="5051" xr:uid="{00000000-0005-0000-0000-000006200000}"/>
    <cellStyle name="Input 2 6 5 3 2" xfId="11647" xr:uid="{00000000-0005-0000-0000-000007200000}"/>
    <cellStyle name="Input 2 6 5 3 3" xfId="18266" xr:uid="{00000000-0005-0000-0000-000008200000}"/>
    <cellStyle name="Input 2 6 5 3_Summary" xfId="21201" xr:uid="{00000000-0005-0000-0000-000009200000}"/>
    <cellStyle name="Input 2 6 5 4" xfId="7477" xr:uid="{00000000-0005-0000-0000-00000A200000}"/>
    <cellStyle name="Input 2 6 5 5" xfId="14095" xr:uid="{00000000-0005-0000-0000-00000B200000}"/>
    <cellStyle name="Input 2 6 5_Summary" xfId="21199" xr:uid="{00000000-0005-0000-0000-00000C200000}"/>
    <cellStyle name="Input 2 6 6" xfId="1165" xr:uid="{00000000-0005-0000-0000-00000D200000}"/>
    <cellStyle name="Input 2 6 6 2" xfId="3301" xr:uid="{00000000-0005-0000-0000-00000E200000}"/>
    <cellStyle name="Input 2 6 6 2 2" xfId="9897" xr:uid="{00000000-0005-0000-0000-00000F200000}"/>
    <cellStyle name="Input 2 6 6 2 3" xfId="16516" xr:uid="{00000000-0005-0000-0000-000010200000}"/>
    <cellStyle name="Input 2 6 6 2_Summary" xfId="21203" xr:uid="{00000000-0005-0000-0000-000011200000}"/>
    <cellStyle name="Input 2 6 6 3" xfId="5336" xr:uid="{00000000-0005-0000-0000-000012200000}"/>
    <cellStyle name="Input 2 6 6 3 2" xfId="11932" xr:uid="{00000000-0005-0000-0000-000013200000}"/>
    <cellStyle name="Input 2 6 6 3 3" xfId="18551" xr:uid="{00000000-0005-0000-0000-000014200000}"/>
    <cellStyle name="Input 2 6 6 3_Summary" xfId="21204" xr:uid="{00000000-0005-0000-0000-000015200000}"/>
    <cellStyle name="Input 2 6 6 4" xfId="7761" xr:uid="{00000000-0005-0000-0000-000016200000}"/>
    <cellStyle name="Input 2 6 6 5" xfId="14380" xr:uid="{00000000-0005-0000-0000-000017200000}"/>
    <cellStyle name="Input 2 6 6_Summary" xfId="21202" xr:uid="{00000000-0005-0000-0000-000018200000}"/>
    <cellStyle name="Input 2 6 7" xfId="1447" xr:uid="{00000000-0005-0000-0000-000019200000}"/>
    <cellStyle name="Input 2 6 7 2" xfId="3583" xr:uid="{00000000-0005-0000-0000-00001A200000}"/>
    <cellStyle name="Input 2 6 7 2 2" xfId="10179" xr:uid="{00000000-0005-0000-0000-00001B200000}"/>
    <cellStyle name="Input 2 6 7 2 3" xfId="16798" xr:uid="{00000000-0005-0000-0000-00001C200000}"/>
    <cellStyle name="Input 2 6 7 2_Summary" xfId="21206" xr:uid="{00000000-0005-0000-0000-00001D200000}"/>
    <cellStyle name="Input 2 6 7 3" xfId="5618" xr:uid="{00000000-0005-0000-0000-00001E200000}"/>
    <cellStyle name="Input 2 6 7 3 2" xfId="12214" xr:uid="{00000000-0005-0000-0000-00001F200000}"/>
    <cellStyle name="Input 2 6 7 3 3" xfId="18833" xr:uid="{00000000-0005-0000-0000-000020200000}"/>
    <cellStyle name="Input 2 6 7 3_Summary" xfId="21207" xr:uid="{00000000-0005-0000-0000-000021200000}"/>
    <cellStyle name="Input 2 6 7 4" xfId="8043" xr:uid="{00000000-0005-0000-0000-000022200000}"/>
    <cellStyle name="Input 2 6 7 5" xfId="14662" xr:uid="{00000000-0005-0000-0000-000023200000}"/>
    <cellStyle name="Input 2 6 7_Summary" xfId="21205" xr:uid="{00000000-0005-0000-0000-000024200000}"/>
    <cellStyle name="Input 2 6 8" xfId="1728" xr:uid="{00000000-0005-0000-0000-000025200000}"/>
    <cellStyle name="Input 2 6 8 2" xfId="3864" xr:uid="{00000000-0005-0000-0000-000026200000}"/>
    <cellStyle name="Input 2 6 8 2 2" xfId="10460" xr:uid="{00000000-0005-0000-0000-000027200000}"/>
    <cellStyle name="Input 2 6 8 2 3" xfId="17079" xr:uid="{00000000-0005-0000-0000-000028200000}"/>
    <cellStyle name="Input 2 6 8 2_Summary" xfId="21209" xr:uid="{00000000-0005-0000-0000-000029200000}"/>
    <cellStyle name="Input 2 6 8 3" xfId="5899" xr:uid="{00000000-0005-0000-0000-00002A200000}"/>
    <cellStyle name="Input 2 6 8 3 2" xfId="12495" xr:uid="{00000000-0005-0000-0000-00002B200000}"/>
    <cellStyle name="Input 2 6 8 3 3" xfId="19114" xr:uid="{00000000-0005-0000-0000-00002C200000}"/>
    <cellStyle name="Input 2 6 8 3_Summary" xfId="21210" xr:uid="{00000000-0005-0000-0000-00002D200000}"/>
    <cellStyle name="Input 2 6 8 4" xfId="8324" xr:uid="{00000000-0005-0000-0000-00002E200000}"/>
    <cellStyle name="Input 2 6 8 5" xfId="14943" xr:uid="{00000000-0005-0000-0000-00002F200000}"/>
    <cellStyle name="Input 2 6 8_Summary" xfId="21208" xr:uid="{00000000-0005-0000-0000-000030200000}"/>
    <cellStyle name="Input 2 6 9" xfId="2007" xr:uid="{00000000-0005-0000-0000-000031200000}"/>
    <cellStyle name="Input 2 6 9 2" xfId="4143" xr:uid="{00000000-0005-0000-0000-000032200000}"/>
    <cellStyle name="Input 2 6 9 2 2" xfId="10739" xr:uid="{00000000-0005-0000-0000-000033200000}"/>
    <cellStyle name="Input 2 6 9 2 3" xfId="17358" xr:uid="{00000000-0005-0000-0000-000034200000}"/>
    <cellStyle name="Input 2 6 9 2_Summary" xfId="21212" xr:uid="{00000000-0005-0000-0000-000035200000}"/>
    <cellStyle name="Input 2 6 9 3" xfId="6178" xr:uid="{00000000-0005-0000-0000-000036200000}"/>
    <cellStyle name="Input 2 6 9 3 2" xfId="12774" xr:uid="{00000000-0005-0000-0000-000037200000}"/>
    <cellStyle name="Input 2 6 9 3 3" xfId="19393" xr:uid="{00000000-0005-0000-0000-000038200000}"/>
    <cellStyle name="Input 2 6 9 3_Summary" xfId="21213" xr:uid="{00000000-0005-0000-0000-000039200000}"/>
    <cellStyle name="Input 2 6 9 4" xfId="8603" xr:uid="{00000000-0005-0000-0000-00003A200000}"/>
    <cellStyle name="Input 2 6 9 5" xfId="15222" xr:uid="{00000000-0005-0000-0000-00003B200000}"/>
    <cellStyle name="Input 2 6 9_Summary" xfId="21211" xr:uid="{00000000-0005-0000-0000-00003C200000}"/>
    <cellStyle name="Input 2 6_Summary" xfId="21104" xr:uid="{00000000-0005-0000-0000-00003D200000}"/>
    <cellStyle name="Input 2 60" xfId="26607" xr:uid="{A1603B8E-E2AB-4B43-B135-CD6598E838F6}"/>
    <cellStyle name="Input 2 61" xfId="28668" xr:uid="{6F322A86-53B3-4DC7-A562-9A193569FD85}"/>
    <cellStyle name="Input 2 62" xfId="30909" xr:uid="{76413FB9-599B-43FD-BA3B-CA38B75A6150}"/>
    <cellStyle name="Input 2 7" xfId="172" xr:uid="{00000000-0005-0000-0000-00003E200000}"/>
    <cellStyle name="Input 2 7 10" xfId="2281" xr:uid="{00000000-0005-0000-0000-00003F200000}"/>
    <cellStyle name="Input 2 7 10 2" xfId="4417" xr:uid="{00000000-0005-0000-0000-000040200000}"/>
    <cellStyle name="Input 2 7 10 2 2" xfId="11013" xr:uid="{00000000-0005-0000-0000-000041200000}"/>
    <cellStyle name="Input 2 7 10 2 3" xfId="17632" xr:uid="{00000000-0005-0000-0000-000042200000}"/>
    <cellStyle name="Input 2 7 10 2_Summary" xfId="21216" xr:uid="{00000000-0005-0000-0000-000043200000}"/>
    <cellStyle name="Input 2 7 10 3" xfId="6452" xr:uid="{00000000-0005-0000-0000-000044200000}"/>
    <cellStyle name="Input 2 7 10 3 2" xfId="13048" xr:uid="{00000000-0005-0000-0000-000045200000}"/>
    <cellStyle name="Input 2 7 10 3 3" xfId="19667" xr:uid="{00000000-0005-0000-0000-000046200000}"/>
    <cellStyle name="Input 2 7 10 3_Summary" xfId="21217" xr:uid="{00000000-0005-0000-0000-000047200000}"/>
    <cellStyle name="Input 2 7 10 4" xfId="8877" xr:uid="{00000000-0005-0000-0000-000048200000}"/>
    <cellStyle name="Input 2 7 10 5" xfId="15496" xr:uid="{00000000-0005-0000-0000-000049200000}"/>
    <cellStyle name="Input 2 7 10_Summary" xfId="21215" xr:uid="{00000000-0005-0000-0000-00004A200000}"/>
    <cellStyle name="Input 2 7 11" xfId="2600" xr:uid="{00000000-0005-0000-0000-00004B200000}"/>
    <cellStyle name="Input 2 7 11 2" xfId="9196" xr:uid="{00000000-0005-0000-0000-00004C200000}"/>
    <cellStyle name="Input 2 7 11 3" xfId="15815" xr:uid="{00000000-0005-0000-0000-00004D200000}"/>
    <cellStyle name="Input 2 7 11_Summary" xfId="21218" xr:uid="{00000000-0005-0000-0000-00004E200000}"/>
    <cellStyle name="Input 2 7 12" xfId="2644" xr:uid="{00000000-0005-0000-0000-00004F200000}"/>
    <cellStyle name="Input 2 7 12 2" xfId="9240" xr:uid="{00000000-0005-0000-0000-000050200000}"/>
    <cellStyle name="Input 2 7 12 3" xfId="15859" xr:uid="{00000000-0005-0000-0000-000051200000}"/>
    <cellStyle name="Input 2 7 12_Summary" xfId="21219" xr:uid="{00000000-0005-0000-0000-000052200000}"/>
    <cellStyle name="Input 2 7 13" xfId="489" xr:uid="{00000000-0005-0000-0000-000053200000}"/>
    <cellStyle name="Input 2 7 13 2" xfId="13704" xr:uid="{00000000-0005-0000-0000-000054200000}"/>
    <cellStyle name="Input 2 7 13_Summary" xfId="21220" xr:uid="{00000000-0005-0000-0000-000055200000}"/>
    <cellStyle name="Input 2 7 14" xfId="7080" xr:uid="{00000000-0005-0000-0000-000056200000}"/>
    <cellStyle name="Input 2 7 15" xfId="7003" xr:uid="{00000000-0005-0000-0000-000057200000}"/>
    <cellStyle name="Input 2 7 16" xfId="28689" xr:uid="{2EED5D7A-C6BA-48D1-9EBA-1C8462CA33AE}"/>
    <cellStyle name="Input 2 7 17" xfId="30930" xr:uid="{693F51CF-3C9C-438C-B67E-6C1AE5ACCC82}"/>
    <cellStyle name="Input 2 7 2" xfId="304" xr:uid="{00000000-0005-0000-0000-000058200000}"/>
    <cellStyle name="Input 2 7 2 10" xfId="4725" xr:uid="{00000000-0005-0000-0000-000059200000}"/>
    <cellStyle name="Input 2 7 2 10 2" xfId="11321" xr:uid="{00000000-0005-0000-0000-00005A200000}"/>
    <cellStyle name="Input 2 7 2 10 3" xfId="17940" xr:uid="{00000000-0005-0000-0000-00005B200000}"/>
    <cellStyle name="Input 2 7 2 10_Summary" xfId="21222" xr:uid="{00000000-0005-0000-0000-00005C200000}"/>
    <cellStyle name="Input 2 7 2 11" xfId="554" xr:uid="{00000000-0005-0000-0000-00005D200000}"/>
    <cellStyle name="Input 2 7 2 11 2" xfId="13769" xr:uid="{00000000-0005-0000-0000-00005E200000}"/>
    <cellStyle name="Input 2 7 2 11_Summary" xfId="21223" xr:uid="{00000000-0005-0000-0000-00005F200000}"/>
    <cellStyle name="Input 2 7 2 12" xfId="7198" xr:uid="{00000000-0005-0000-0000-000060200000}"/>
    <cellStyle name="Input 2 7 2 13" xfId="13520" xr:uid="{00000000-0005-0000-0000-000061200000}"/>
    <cellStyle name="Input 2 7 2 14" xfId="28690" xr:uid="{DC2943F4-1ACA-4554-87A4-ADDC6D4BEFB7}"/>
    <cellStyle name="Input 2 7 2 15" xfId="30931" xr:uid="{0E0D1A1E-2934-46FC-BE52-A388C2774194}"/>
    <cellStyle name="Input 2 7 2 2" xfId="433" xr:uid="{00000000-0005-0000-0000-000062200000}"/>
    <cellStyle name="Input 2 7 2 2 10" xfId="827" xr:uid="{00000000-0005-0000-0000-000063200000}"/>
    <cellStyle name="Input 2 7 2 2 10 2" xfId="14042" xr:uid="{00000000-0005-0000-0000-000064200000}"/>
    <cellStyle name="Input 2 7 2 2 10_Summary" xfId="21225" xr:uid="{00000000-0005-0000-0000-000065200000}"/>
    <cellStyle name="Input 2 7 2 2 11" xfId="7326" xr:uid="{00000000-0005-0000-0000-000066200000}"/>
    <cellStyle name="Input 2 7 2 2 12" xfId="13648" xr:uid="{00000000-0005-0000-0000-000067200000}"/>
    <cellStyle name="Input 2 7 2 2 13" xfId="30213" xr:uid="{32DE43B0-7769-4D6D-AE9D-5841C0529334}"/>
    <cellStyle name="Input 2 7 2 2 14" xfId="31645" xr:uid="{F6AE165F-68ED-484A-ADFF-ADFFDCC9BF50}"/>
    <cellStyle name="Input 2 7 2 2 2" xfId="1127" xr:uid="{00000000-0005-0000-0000-000068200000}"/>
    <cellStyle name="Input 2 7 2 2 2 2" xfId="3263" xr:uid="{00000000-0005-0000-0000-000069200000}"/>
    <cellStyle name="Input 2 7 2 2 2 2 2" xfId="9859" xr:uid="{00000000-0005-0000-0000-00006A200000}"/>
    <cellStyle name="Input 2 7 2 2 2 2 3" xfId="16478" xr:uid="{00000000-0005-0000-0000-00006B200000}"/>
    <cellStyle name="Input 2 7 2 2 2 2_Summary" xfId="21227" xr:uid="{00000000-0005-0000-0000-00006C200000}"/>
    <cellStyle name="Input 2 7 2 2 2 3" xfId="5298" xr:uid="{00000000-0005-0000-0000-00006D200000}"/>
    <cellStyle name="Input 2 7 2 2 2 3 2" xfId="11894" xr:uid="{00000000-0005-0000-0000-00006E200000}"/>
    <cellStyle name="Input 2 7 2 2 2 3 3" xfId="18513" xr:uid="{00000000-0005-0000-0000-00006F200000}"/>
    <cellStyle name="Input 2 7 2 2 2 3_Summary" xfId="21228" xr:uid="{00000000-0005-0000-0000-000070200000}"/>
    <cellStyle name="Input 2 7 2 2 2 4" xfId="7723" xr:uid="{00000000-0005-0000-0000-000071200000}"/>
    <cellStyle name="Input 2 7 2 2 2 5" xfId="14342" xr:uid="{00000000-0005-0000-0000-000072200000}"/>
    <cellStyle name="Input 2 7 2 2 2_Summary" xfId="21226" xr:uid="{00000000-0005-0000-0000-000073200000}"/>
    <cellStyle name="Input 2 7 2 2 3" xfId="1409" xr:uid="{00000000-0005-0000-0000-000074200000}"/>
    <cellStyle name="Input 2 7 2 2 3 2" xfId="3545" xr:uid="{00000000-0005-0000-0000-000075200000}"/>
    <cellStyle name="Input 2 7 2 2 3 2 2" xfId="10141" xr:uid="{00000000-0005-0000-0000-000076200000}"/>
    <cellStyle name="Input 2 7 2 2 3 2 3" xfId="16760" xr:uid="{00000000-0005-0000-0000-000077200000}"/>
    <cellStyle name="Input 2 7 2 2 3 2_Summary" xfId="21230" xr:uid="{00000000-0005-0000-0000-000078200000}"/>
    <cellStyle name="Input 2 7 2 2 3 3" xfId="5580" xr:uid="{00000000-0005-0000-0000-000079200000}"/>
    <cellStyle name="Input 2 7 2 2 3 3 2" xfId="12176" xr:uid="{00000000-0005-0000-0000-00007A200000}"/>
    <cellStyle name="Input 2 7 2 2 3 3 3" xfId="18795" xr:uid="{00000000-0005-0000-0000-00007B200000}"/>
    <cellStyle name="Input 2 7 2 2 3 3_Summary" xfId="21231" xr:uid="{00000000-0005-0000-0000-00007C200000}"/>
    <cellStyle name="Input 2 7 2 2 3 4" xfId="8005" xr:uid="{00000000-0005-0000-0000-00007D200000}"/>
    <cellStyle name="Input 2 7 2 2 3 5" xfId="14624" xr:uid="{00000000-0005-0000-0000-00007E200000}"/>
    <cellStyle name="Input 2 7 2 2 3_Summary" xfId="21229" xr:uid="{00000000-0005-0000-0000-00007F200000}"/>
    <cellStyle name="Input 2 7 2 2 4" xfId="1690" xr:uid="{00000000-0005-0000-0000-000080200000}"/>
    <cellStyle name="Input 2 7 2 2 4 2" xfId="3826" xr:uid="{00000000-0005-0000-0000-000081200000}"/>
    <cellStyle name="Input 2 7 2 2 4 2 2" xfId="10422" xr:uid="{00000000-0005-0000-0000-000082200000}"/>
    <cellStyle name="Input 2 7 2 2 4 2 3" xfId="17041" xr:uid="{00000000-0005-0000-0000-000083200000}"/>
    <cellStyle name="Input 2 7 2 2 4 2_Summary" xfId="21233" xr:uid="{00000000-0005-0000-0000-000084200000}"/>
    <cellStyle name="Input 2 7 2 2 4 3" xfId="5861" xr:uid="{00000000-0005-0000-0000-000085200000}"/>
    <cellStyle name="Input 2 7 2 2 4 3 2" xfId="12457" xr:uid="{00000000-0005-0000-0000-000086200000}"/>
    <cellStyle name="Input 2 7 2 2 4 3 3" xfId="19076" xr:uid="{00000000-0005-0000-0000-000087200000}"/>
    <cellStyle name="Input 2 7 2 2 4 3_Summary" xfId="21234" xr:uid="{00000000-0005-0000-0000-000088200000}"/>
    <cellStyle name="Input 2 7 2 2 4 4" xfId="8286" xr:uid="{00000000-0005-0000-0000-000089200000}"/>
    <cellStyle name="Input 2 7 2 2 4 5" xfId="14905" xr:uid="{00000000-0005-0000-0000-00008A200000}"/>
    <cellStyle name="Input 2 7 2 2 4_Summary" xfId="21232" xr:uid="{00000000-0005-0000-0000-00008B200000}"/>
    <cellStyle name="Input 2 7 2 2 5" xfId="1969" xr:uid="{00000000-0005-0000-0000-00008C200000}"/>
    <cellStyle name="Input 2 7 2 2 5 2" xfId="4105" xr:uid="{00000000-0005-0000-0000-00008D200000}"/>
    <cellStyle name="Input 2 7 2 2 5 2 2" xfId="10701" xr:uid="{00000000-0005-0000-0000-00008E200000}"/>
    <cellStyle name="Input 2 7 2 2 5 2 3" xfId="17320" xr:uid="{00000000-0005-0000-0000-00008F200000}"/>
    <cellStyle name="Input 2 7 2 2 5 2_Summary" xfId="21236" xr:uid="{00000000-0005-0000-0000-000090200000}"/>
    <cellStyle name="Input 2 7 2 2 5 3" xfId="6140" xr:uid="{00000000-0005-0000-0000-000091200000}"/>
    <cellStyle name="Input 2 7 2 2 5 3 2" xfId="12736" xr:uid="{00000000-0005-0000-0000-000092200000}"/>
    <cellStyle name="Input 2 7 2 2 5 3 3" xfId="19355" xr:uid="{00000000-0005-0000-0000-000093200000}"/>
    <cellStyle name="Input 2 7 2 2 5 3_Summary" xfId="21237" xr:uid="{00000000-0005-0000-0000-000094200000}"/>
    <cellStyle name="Input 2 7 2 2 5 4" xfId="8565" xr:uid="{00000000-0005-0000-0000-000095200000}"/>
    <cellStyle name="Input 2 7 2 2 5 5" xfId="15184" xr:uid="{00000000-0005-0000-0000-000096200000}"/>
    <cellStyle name="Input 2 7 2 2 5_Summary" xfId="21235" xr:uid="{00000000-0005-0000-0000-000097200000}"/>
    <cellStyle name="Input 2 7 2 2 6" xfId="2244" xr:uid="{00000000-0005-0000-0000-000098200000}"/>
    <cellStyle name="Input 2 7 2 2 6 2" xfId="4380" xr:uid="{00000000-0005-0000-0000-000099200000}"/>
    <cellStyle name="Input 2 7 2 2 6 2 2" xfId="10976" xr:uid="{00000000-0005-0000-0000-00009A200000}"/>
    <cellStyle name="Input 2 7 2 2 6 2 3" xfId="17595" xr:uid="{00000000-0005-0000-0000-00009B200000}"/>
    <cellStyle name="Input 2 7 2 2 6 2_Summary" xfId="21239" xr:uid="{00000000-0005-0000-0000-00009C200000}"/>
    <cellStyle name="Input 2 7 2 2 6 3" xfId="6415" xr:uid="{00000000-0005-0000-0000-00009D200000}"/>
    <cellStyle name="Input 2 7 2 2 6 3 2" xfId="13011" xr:uid="{00000000-0005-0000-0000-00009E200000}"/>
    <cellStyle name="Input 2 7 2 2 6 3 3" xfId="19630" xr:uid="{00000000-0005-0000-0000-00009F200000}"/>
    <cellStyle name="Input 2 7 2 2 6 3_Summary" xfId="21240" xr:uid="{00000000-0005-0000-0000-0000A0200000}"/>
    <cellStyle name="Input 2 7 2 2 6 4" xfId="8840" xr:uid="{00000000-0005-0000-0000-0000A1200000}"/>
    <cellStyle name="Input 2 7 2 2 6 5" xfId="15459" xr:uid="{00000000-0005-0000-0000-0000A2200000}"/>
    <cellStyle name="Input 2 7 2 2 6_Summary" xfId="21238" xr:uid="{00000000-0005-0000-0000-0000A3200000}"/>
    <cellStyle name="Input 2 7 2 2 7" xfId="2517" xr:uid="{00000000-0005-0000-0000-0000A4200000}"/>
    <cellStyle name="Input 2 7 2 2 7 2" xfId="4653" xr:uid="{00000000-0005-0000-0000-0000A5200000}"/>
    <cellStyle name="Input 2 7 2 2 7 2 2" xfId="11249" xr:uid="{00000000-0005-0000-0000-0000A6200000}"/>
    <cellStyle name="Input 2 7 2 2 7 2 3" xfId="17868" xr:uid="{00000000-0005-0000-0000-0000A7200000}"/>
    <cellStyle name="Input 2 7 2 2 7 2_Summary" xfId="21242" xr:uid="{00000000-0005-0000-0000-0000A8200000}"/>
    <cellStyle name="Input 2 7 2 2 7 3" xfId="6688" xr:uid="{00000000-0005-0000-0000-0000A9200000}"/>
    <cellStyle name="Input 2 7 2 2 7 3 2" xfId="13284" xr:uid="{00000000-0005-0000-0000-0000AA200000}"/>
    <cellStyle name="Input 2 7 2 2 7 3 3" xfId="19903" xr:uid="{00000000-0005-0000-0000-0000AB200000}"/>
    <cellStyle name="Input 2 7 2 2 7 3_Summary" xfId="21243" xr:uid="{00000000-0005-0000-0000-0000AC200000}"/>
    <cellStyle name="Input 2 7 2 2 7 4" xfId="9113" xr:uid="{00000000-0005-0000-0000-0000AD200000}"/>
    <cellStyle name="Input 2 7 2 2 7 5" xfId="15732" xr:uid="{00000000-0005-0000-0000-0000AE200000}"/>
    <cellStyle name="Input 2 7 2 2 7_Summary" xfId="21241" xr:uid="{00000000-0005-0000-0000-0000AF200000}"/>
    <cellStyle name="Input 2 7 2 2 8" xfId="2963" xr:uid="{00000000-0005-0000-0000-0000B0200000}"/>
    <cellStyle name="Input 2 7 2 2 8 2" xfId="9559" xr:uid="{00000000-0005-0000-0000-0000B1200000}"/>
    <cellStyle name="Input 2 7 2 2 8 3" xfId="16178" xr:uid="{00000000-0005-0000-0000-0000B2200000}"/>
    <cellStyle name="Input 2 7 2 2 8_Summary" xfId="21244" xr:uid="{00000000-0005-0000-0000-0000B3200000}"/>
    <cellStyle name="Input 2 7 2 2 9" xfId="4998" xr:uid="{00000000-0005-0000-0000-0000B4200000}"/>
    <cellStyle name="Input 2 7 2 2 9 2" xfId="11594" xr:uid="{00000000-0005-0000-0000-0000B5200000}"/>
    <cellStyle name="Input 2 7 2 2 9 3" xfId="18213" xr:uid="{00000000-0005-0000-0000-0000B6200000}"/>
    <cellStyle name="Input 2 7 2 2 9_Summary" xfId="21245" xr:uid="{00000000-0005-0000-0000-0000B7200000}"/>
    <cellStyle name="Input 2 7 2 2_Summary" xfId="21224" xr:uid="{00000000-0005-0000-0000-0000B8200000}"/>
    <cellStyle name="Input 2 7 2 3" xfId="999" xr:uid="{00000000-0005-0000-0000-0000B9200000}"/>
    <cellStyle name="Input 2 7 2 3 2" xfId="3135" xr:uid="{00000000-0005-0000-0000-0000BA200000}"/>
    <cellStyle name="Input 2 7 2 3 2 2" xfId="9731" xr:uid="{00000000-0005-0000-0000-0000BB200000}"/>
    <cellStyle name="Input 2 7 2 3 2 3" xfId="16350" xr:uid="{00000000-0005-0000-0000-0000BC200000}"/>
    <cellStyle name="Input 2 7 2 3 2_Summary" xfId="21247" xr:uid="{00000000-0005-0000-0000-0000BD200000}"/>
    <cellStyle name="Input 2 7 2 3 3" xfId="5170" xr:uid="{00000000-0005-0000-0000-0000BE200000}"/>
    <cellStyle name="Input 2 7 2 3 3 2" xfId="11766" xr:uid="{00000000-0005-0000-0000-0000BF200000}"/>
    <cellStyle name="Input 2 7 2 3 3 3" xfId="18385" xr:uid="{00000000-0005-0000-0000-0000C0200000}"/>
    <cellStyle name="Input 2 7 2 3 3_Summary" xfId="21248" xr:uid="{00000000-0005-0000-0000-0000C1200000}"/>
    <cellStyle name="Input 2 7 2 3 4" xfId="7596" xr:uid="{00000000-0005-0000-0000-0000C2200000}"/>
    <cellStyle name="Input 2 7 2 3 5" xfId="14214" xr:uid="{00000000-0005-0000-0000-0000C3200000}"/>
    <cellStyle name="Input 2 7 2 3_Summary" xfId="21246" xr:uid="{00000000-0005-0000-0000-0000C4200000}"/>
    <cellStyle name="Input 2 7 2 4" xfId="1281" xr:uid="{00000000-0005-0000-0000-0000C5200000}"/>
    <cellStyle name="Input 2 7 2 4 2" xfId="3417" xr:uid="{00000000-0005-0000-0000-0000C6200000}"/>
    <cellStyle name="Input 2 7 2 4 2 2" xfId="10013" xr:uid="{00000000-0005-0000-0000-0000C7200000}"/>
    <cellStyle name="Input 2 7 2 4 2 3" xfId="16632" xr:uid="{00000000-0005-0000-0000-0000C8200000}"/>
    <cellStyle name="Input 2 7 2 4 2_Summary" xfId="21250" xr:uid="{00000000-0005-0000-0000-0000C9200000}"/>
    <cellStyle name="Input 2 7 2 4 3" xfId="5452" xr:uid="{00000000-0005-0000-0000-0000CA200000}"/>
    <cellStyle name="Input 2 7 2 4 3 2" xfId="12048" xr:uid="{00000000-0005-0000-0000-0000CB200000}"/>
    <cellStyle name="Input 2 7 2 4 3 3" xfId="18667" xr:uid="{00000000-0005-0000-0000-0000CC200000}"/>
    <cellStyle name="Input 2 7 2 4 3_Summary" xfId="21251" xr:uid="{00000000-0005-0000-0000-0000CD200000}"/>
    <cellStyle name="Input 2 7 2 4 4" xfId="7877" xr:uid="{00000000-0005-0000-0000-0000CE200000}"/>
    <cellStyle name="Input 2 7 2 4 5" xfId="14496" xr:uid="{00000000-0005-0000-0000-0000CF200000}"/>
    <cellStyle name="Input 2 7 2 4_Summary" xfId="21249" xr:uid="{00000000-0005-0000-0000-0000D0200000}"/>
    <cellStyle name="Input 2 7 2 5" xfId="1562" xr:uid="{00000000-0005-0000-0000-0000D1200000}"/>
    <cellStyle name="Input 2 7 2 5 2" xfId="3698" xr:uid="{00000000-0005-0000-0000-0000D2200000}"/>
    <cellStyle name="Input 2 7 2 5 2 2" xfId="10294" xr:uid="{00000000-0005-0000-0000-0000D3200000}"/>
    <cellStyle name="Input 2 7 2 5 2 3" xfId="16913" xr:uid="{00000000-0005-0000-0000-0000D4200000}"/>
    <cellStyle name="Input 2 7 2 5 2_Summary" xfId="21253" xr:uid="{00000000-0005-0000-0000-0000D5200000}"/>
    <cellStyle name="Input 2 7 2 5 3" xfId="5733" xr:uid="{00000000-0005-0000-0000-0000D6200000}"/>
    <cellStyle name="Input 2 7 2 5 3 2" xfId="12329" xr:uid="{00000000-0005-0000-0000-0000D7200000}"/>
    <cellStyle name="Input 2 7 2 5 3 3" xfId="18948" xr:uid="{00000000-0005-0000-0000-0000D8200000}"/>
    <cellStyle name="Input 2 7 2 5 3_Summary" xfId="21254" xr:uid="{00000000-0005-0000-0000-0000D9200000}"/>
    <cellStyle name="Input 2 7 2 5 4" xfId="8158" xr:uid="{00000000-0005-0000-0000-0000DA200000}"/>
    <cellStyle name="Input 2 7 2 5 5" xfId="14777" xr:uid="{00000000-0005-0000-0000-0000DB200000}"/>
    <cellStyle name="Input 2 7 2 5_Summary" xfId="21252" xr:uid="{00000000-0005-0000-0000-0000DC200000}"/>
    <cellStyle name="Input 2 7 2 6" xfId="1841" xr:uid="{00000000-0005-0000-0000-0000DD200000}"/>
    <cellStyle name="Input 2 7 2 6 2" xfId="3977" xr:uid="{00000000-0005-0000-0000-0000DE200000}"/>
    <cellStyle name="Input 2 7 2 6 2 2" xfId="10573" xr:uid="{00000000-0005-0000-0000-0000DF200000}"/>
    <cellStyle name="Input 2 7 2 6 2 3" xfId="17192" xr:uid="{00000000-0005-0000-0000-0000E0200000}"/>
    <cellStyle name="Input 2 7 2 6 2_Summary" xfId="21256" xr:uid="{00000000-0005-0000-0000-0000E1200000}"/>
    <cellStyle name="Input 2 7 2 6 3" xfId="6012" xr:uid="{00000000-0005-0000-0000-0000E2200000}"/>
    <cellStyle name="Input 2 7 2 6 3 2" xfId="12608" xr:uid="{00000000-0005-0000-0000-0000E3200000}"/>
    <cellStyle name="Input 2 7 2 6 3 3" xfId="19227" xr:uid="{00000000-0005-0000-0000-0000E4200000}"/>
    <cellStyle name="Input 2 7 2 6 3_Summary" xfId="21257" xr:uid="{00000000-0005-0000-0000-0000E5200000}"/>
    <cellStyle name="Input 2 7 2 6 4" xfId="8437" xr:uid="{00000000-0005-0000-0000-0000E6200000}"/>
    <cellStyle name="Input 2 7 2 6 5" xfId="15056" xr:uid="{00000000-0005-0000-0000-0000E7200000}"/>
    <cellStyle name="Input 2 7 2 6_Summary" xfId="21255" xr:uid="{00000000-0005-0000-0000-0000E8200000}"/>
    <cellStyle name="Input 2 7 2 7" xfId="2116" xr:uid="{00000000-0005-0000-0000-0000E9200000}"/>
    <cellStyle name="Input 2 7 2 7 2" xfId="4252" xr:uid="{00000000-0005-0000-0000-0000EA200000}"/>
    <cellStyle name="Input 2 7 2 7 2 2" xfId="10848" xr:uid="{00000000-0005-0000-0000-0000EB200000}"/>
    <cellStyle name="Input 2 7 2 7 2 3" xfId="17467" xr:uid="{00000000-0005-0000-0000-0000EC200000}"/>
    <cellStyle name="Input 2 7 2 7 2_Summary" xfId="21259" xr:uid="{00000000-0005-0000-0000-0000ED200000}"/>
    <cellStyle name="Input 2 7 2 7 3" xfId="6287" xr:uid="{00000000-0005-0000-0000-0000EE200000}"/>
    <cellStyle name="Input 2 7 2 7 3 2" xfId="12883" xr:uid="{00000000-0005-0000-0000-0000EF200000}"/>
    <cellStyle name="Input 2 7 2 7 3 3" xfId="19502" xr:uid="{00000000-0005-0000-0000-0000F0200000}"/>
    <cellStyle name="Input 2 7 2 7 3_Summary" xfId="21260" xr:uid="{00000000-0005-0000-0000-0000F1200000}"/>
    <cellStyle name="Input 2 7 2 7 4" xfId="8712" xr:uid="{00000000-0005-0000-0000-0000F2200000}"/>
    <cellStyle name="Input 2 7 2 7 5" xfId="15331" xr:uid="{00000000-0005-0000-0000-0000F3200000}"/>
    <cellStyle name="Input 2 7 2 7_Summary" xfId="21258" xr:uid="{00000000-0005-0000-0000-0000F4200000}"/>
    <cellStyle name="Input 2 7 2 8" xfId="2389" xr:uid="{00000000-0005-0000-0000-0000F5200000}"/>
    <cellStyle name="Input 2 7 2 8 2" xfId="4525" xr:uid="{00000000-0005-0000-0000-0000F6200000}"/>
    <cellStyle name="Input 2 7 2 8 2 2" xfId="11121" xr:uid="{00000000-0005-0000-0000-0000F7200000}"/>
    <cellStyle name="Input 2 7 2 8 2 3" xfId="17740" xr:uid="{00000000-0005-0000-0000-0000F8200000}"/>
    <cellStyle name="Input 2 7 2 8 2_Summary" xfId="21262" xr:uid="{00000000-0005-0000-0000-0000F9200000}"/>
    <cellStyle name="Input 2 7 2 8 3" xfId="6560" xr:uid="{00000000-0005-0000-0000-0000FA200000}"/>
    <cellStyle name="Input 2 7 2 8 3 2" xfId="13156" xr:uid="{00000000-0005-0000-0000-0000FB200000}"/>
    <cellStyle name="Input 2 7 2 8 3 3" xfId="19775" xr:uid="{00000000-0005-0000-0000-0000FC200000}"/>
    <cellStyle name="Input 2 7 2 8 3_Summary" xfId="21263" xr:uid="{00000000-0005-0000-0000-0000FD200000}"/>
    <cellStyle name="Input 2 7 2 8 4" xfId="8985" xr:uid="{00000000-0005-0000-0000-0000FE200000}"/>
    <cellStyle name="Input 2 7 2 8 5" xfId="15604" xr:uid="{00000000-0005-0000-0000-0000FF200000}"/>
    <cellStyle name="Input 2 7 2 8_Summary" xfId="21261" xr:uid="{00000000-0005-0000-0000-000000210000}"/>
    <cellStyle name="Input 2 7 2 9" xfId="2690" xr:uid="{00000000-0005-0000-0000-000001210000}"/>
    <cellStyle name="Input 2 7 2 9 2" xfId="9286" xr:uid="{00000000-0005-0000-0000-000002210000}"/>
    <cellStyle name="Input 2 7 2 9 3" xfId="15905" xr:uid="{00000000-0005-0000-0000-000003210000}"/>
    <cellStyle name="Input 2 7 2 9_Summary" xfId="21264" xr:uid="{00000000-0005-0000-0000-000004210000}"/>
    <cellStyle name="Input 2 7 2_Summary" xfId="21221" xr:uid="{00000000-0005-0000-0000-000005210000}"/>
    <cellStyle name="Input 2 7 3" xfId="219" xr:uid="{00000000-0005-0000-0000-000006210000}"/>
    <cellStyle name="Input 2 7 3 10" xfId="756" xr:uid="{00000000-0005-0000-0000-000007210000}"/>
    <cellStyle name="Input 2 7 3 10 2" xfId="13971" xr:uid="{00000000-0005-0000-0000-000008210000}"/>
    <cellStyle name="Input 2 7 3 10_Summary" xfId="21266" xr:uid="{00000000-0005-0000-0000-000009210000}"/>
    <cellStyle name="Input 2 7 3 11" xfId="7126" xr:uid="{00000000-0005-0000-0000-00000A210000}"/>
    <cellStyle name="Input 2 7 3 12" xfId="7001" xr:uid="{00000000-0005-0000-0000-00000B210000}"/>
    <cellStyle name="Input 2 7 3 13" xfId="28691" xr:uid="{3D1056F3-D64F-459D-9EA5-9278C69C1FC1}"/>
    <cellStyle name="Input 2 7 3 14" xfId="30932" xr:uid="{B136F0FF-590F-451C-B682-F22E1D14DB4C}"/>
    <cellStyle name="Input 2 7 3 2" xfId="924" xr:uid="{00000000-0005-0000-0000-00000C210000}"/>
    <cellStyle name="Input 2 7 3 2 2" xfId="3060" xr:uid="{00000000-0005-0000-0000-00000D210000}"/>
    <cellStyle name="Input 2 7 3 2 2 2" xfId="9656" xr:uid="{00000000-0005-0000-0000-00000E210000}"/>
    <cellStyle name="Input 2 7 3 2 2 3" xfId="16275" xr:uid="{00000000-0005-0000-0000-00000F210000}"/>
    <cellStyle name="Input 2 7 3 2 2_Summary" xfId="21268" xr:uid="{00000000-0005-0000-0000-000010210000}"/>
    <cellStyle name="Input 2 7 3 2 3" xfId="5095" xr:uid="{00000000-0005-0000-0000-000011210000}"/>
    <cellStyle name="Input 2 7 3 2 3 2" xfId="11691" xr:uid="{00000000-0005-0000-0000-000012210000}"/>
    <cellStyle name="Input 2 7 3 2 3 3" xfId="18310" xr:uid="{00000000-0005-0000-0000-000013210000}"/>
    <cellStyle name="Input 2 7 3 2 3_Summary" xfId="21269" xr:uid="{00000000-0005-0000-0000-000014210000}"/>
    <cellStyle name="Input 2 7 3 2 4" xfId="7521" xr:uid="{00000000-0005-0000-0000-000015210000}"/>
    <cellStyle name="Input 2 7 3 2 5" xfId="14139" xr:uid="{00000000-0005-0000-0000-000016210000}"/>
    <cellStyle name="Input 2 7 3 2 6" xfId="30214" xr:uid="{EA6B53D4-BEA4-458C-A3A5-4FF80BCDD76C}"/>
    <cellStyle name="Input 2 7 3 2 7" xfId="31646" xr:uid="{AEB48B15-95CB-4E64-9129-BEE7C4801081}"/>
    <cellStyle name="Input 2 7 3 2_Summary" xfId="21267" xr:uid="{00000000-0005-0000-0000-000017210000}"/>
    <cellStyle name="Input 2 7 3 3" xfId="1209" xr:uid="{00000000-0005-0000-0000-000018210000}"/>
    <cellStyle name="Input 2 7 3 3 2" xfId="3345" xr:uid="{00000000-0005-0000-0000-000019210000}"/>
    <cellStyle name="Input 2 7 3 3 2 2" xfId="9941" xr:uid="{00000000-0005-0000-0000-00001A210000}"/>
    <cellStyle name="Input 2 7 3 3 2 3" xfId="16560" xr:uid="{00000000-0005-0000-0000-00001B210000}"/>
    <cellStyle name="Input 2 7 3 3 2_Summary" xfId="21271" xr:uid="{00000000-0005-0000-0000-00001C210000}"/>
    <cellStyle name="Input 2 7 3 3 3" xfId="5380" xr:uid="{00000000-0005-0000-0000-00001D210000}"/>
    <cellStyle name="Input 2 7 3 3 3 2" xfId="11976" xr:uid="{00000000-0005-0000-0000-00001E210000}"/>
    <cellStyle name="Input 2 7 3 3 3 3" xfId="18595" xr:uid="{00000000-0005-0000-0000-00001F210000}"/>
    <cellStyle name="Input 2 7 3 3 3_Summary" xfId="21272" xr:uid="{00000000-0005-0000-0000-000020210000}"/>
    <cellStyle name="Input 2 7 3 3 4" xfId="7805" xr:uid="{00000000-0005-0000-0000-000021210000}"/>
    <cellStyle name="Input 2 7 3 3 5" xfId="14424" xr:uid="{00000000-0005-0000-0000-000022210000}"/>
    <cellStyle name="Input 2 7 3 3_Summary" xfId="21270" xr:uid="{00000000-0005-0000-0000-000023210000}"/>
    <cellStyle name="Input 2 7 3 4" xfId="1491" xr:uid="{00000000-0005-0000-0000-000024210000}"/>
    <cellStyle name="Input 2 7 3 4 2" xfId="3627" xr:uid="{00000000-0005-0000-0000-000025210000}"/>
    <cellStyle name="Input 2 7 3 4 2 2" xfId="10223" xr:uid="{00000000-0005-0000-0000-000026210000}"/>
    <cellStyle name="Input 2 7 3 4 2 3" xfId="16842" xr:uid="{00000000-0005-0000-0000-000027210000}"/>
    <cellStyle name="Input 2 7 3 4 2_Summary" xfId="21274" xr:uid="{00000000-0005-0000-0000-000028210000}"/>
    <cellStyle name="Input 2 7 3 4 3" xfId="5662" xr:uid="{00000000-0005-0000-0000-000029210000}"/>
    <cellStyle name="Input 2 7 3 4 3 2" xfId="12258" xr:uid="{00000000-0005-0000-0000-00002A210000}"/>
    <cellStyle name="Input 2 7 3 4 3 3" xfId="18877" xr:uid="{00000000-0005-0000-0000-00002B210000}"/>
    <cellStyle name="Input 2 7 3 4 3_Summary" xfId="21275" xr:uid="{00000000-0005-0000-0000-00002C210000}"/>
    <cellStyle name="Input 2 7 3 4 4" xfId="8087" xr:uid="{00000000-0005-0000-0000-00002D210000}"/>
    <cellStyle name="Input 2 7 3 4 5" xfId="14706" xr:uid="{00000000-0005-0000-0000-00002E210000}"/>
    <cellStyle name="Input 2 7 3 4_Summary" xfId="21273" xr:uid="{00000000-0005-0000-0000-00002F210000}"/>
    <cellStyle name="Input 2 7 3 5" xfId="1772" xr:uid="{00000000-0005-0000-0000-000030210000}"/>
    <cellStyle name="Input 2 7 3 5 2" xfId="3908" xr:uid="{00000000-0005-0000-0000-000031210000}"/>
    <cellStyle name="Input 2 7 3 5 2 2" xfId="10504" xr:uid="{00000000-0005-0000-0000-000032210000}"/>
    <cellStyle name="Input 2 7 3 5 2 3" xfId="17123" xr:uid="{00000000-0005-0000-0000-000033210000}"/>
    <cellStyle name="Input 2 7 3 5 2_Summary" xfId="21277" xr:uid="{00000000-0005-0000-0000-000034210000}"/>
    <cellStyle name="Input 2 7 3 5 3" xfId="5943" xr:uid="{00000000-0005-0000-0000-000035210000}"/>
    <cellStyle name="Input 2 7 3 5 3 2" xfId="12539" xr:uid="{00000000-0005-0000-0000-000036210000}"/>
    <cellStyle name="Input 2 7 3 5 3 3" xfId="19158" xr:uid="{00000000-0005-0000-0000-000037210000}"/>
    <cellStyle name="Input 2 7 3 5 3_Summary" xfId="21278" xr:uid="{00000000-0005-0000-0000-000038210000}"/>
    <cellStyle name="Input 2 7 3 5 4" xfId="8368" xr:uid="{00000000-0005-0000-0000-000039210000}"/>
    <cellStyle name="Input 2 7 3 5 5" xfId="14987" xr:uid="{00000000-0005-0000-0000-00003A210000}"/>
    <cellStyle name="Input 2 7 3 5_Summary" xfId="21276" xr:uid="{00000000-0005-0000-0000-00003B210000}"/>
    <cellStyle name="Input 2 7 3 6" xfId="2051" xr:uid="{00000000-0005-0000-0000-00003C210000}"/>
    <cellStyle name="Input 2 7 3 6 2" xfId="4187" xr:uid="{00000000-0005-0000-0000-00003D210000}"/>
    <cellStyle name="Input 2 7 3 6 2 2" xfId="10783" xr:uid="{00000000-0005-0000-0000-00003E210000}"/>
    <cellStyle name="Input 2 7 3 6 2 3" xfId="17402" xr:uid="{00000000-0005-0000-0000-00003F210000}"/>
    <cellStyle name="Input 2 7 3 6 2_Summary" xfId="21280" xr:uid="{00000000-0005-0000-0000-000040210000}"/>
    <cellStyle name="Input 2 7 3 6 3" xfId="6222" xr:uid="{00000000-0005-0000-0000-000041210000}"/>
    <cellStyle name="Input 2 7 3 6 3 2" xfId="12818" xr:uid="{00000000-0005-0000-0000-000042210000}"/>
    <cellStyle name="Input 2 7 3 6 3 3" xfId="19437" xr:uid="{00000000-0005-0000-0000-000043210000}"/>
    <cellStyle name="Input 2 7 3 6 3_Summary" xfId="21281" xr:uid="{00000000-0005-0000-0000-000044210000}"/>
    <cellStyle name="Input 2 7 3 6 4" xfId="8647" xr:uid="{00000000-0005-0000-0000-000045210000}"/>
    <cellStyle name="Input 2 7 3 6 5" xfId="15266" xr:uid="{00000000-0005-0000-0000-000046210000}"/>
    <cellStyle name="Input 2 7 3 6_Summary" xfId="21279" xr:uid="{00000000-0005-0000-0000-000047210000}"/>
    <cellStyle name="Input 2 7 3 7" xfId="2326" xr:uid="{00000000-0005-0000-0000-000048210000}"/>
    <cellStyle name="Input 2 7 3 7 2" xfId="4462" xr:uid="{00000000-0005-0000-0000-000049210000}"/>
    <cellStyle name="Input 2 7 3 7 2 2" xfId="11058" xr:uid="{00000000-0005-0000-0000-00004A210000}"/>
    <cellStyle name="Input 2 7 3 7 2 3" xfId="17677" xr:uid="{00000000-0005-0000-0000-00004B210000}"/>
    <cellStyle name="Input 2 7 3 7 2_Summary" xfId="21283" xr:uid="{00000000-0005-0000-0000-00004C210000}"/>
    <cellStyle name="Input 2 7 3 7 3" xfId="6497" xr:uid="{00000000-0005-0000-0000-00004D210000}"/>
    <cellStyle name="Input 2 7 3 7 3 2" xfId="13093" xr:uid="{00000000-0005-0000-0000-00004E210000}"/>
    <cellStyle name="Input 2 7 3 7 3 3" xfId="19712" xr:uid="{00000000-0005-0000-0000-00004F210000}"/>
    <cellStyle name="Input 2 7 3 7 3_Summary" xfId="21284" xr:uid="{00000000-0005-0000-0000-000050210000}"/>
    <cellStyle name="Input 2 7 3 7 4" xfId="8922" xr:uid="{00000000-0005-0000-0000-000051210000}"/>
    <cellStyle name="Input 2 7 3 7 5" xfId="15541" xr:uid="{00000000-0005-0000-0000-000052210000}"/>
    <cellStyle name="Input 2 7 3 7_Summary" xfId="21282" xr:uid="{00000000-0005-0000-0000-000053210000}"/>
    <cellStyle name="Input 2 7 3 8" xfId="2892" xr:uid="{00000000-0005-0000-0000-000054210000}"/>
    <cellStyle name="Input 2 7 3 8 2" xfId="9488" xr:uid="{00000000-0005-0000-0000-000055210000}"/>
    <cellStyle name="Input 2 7 3 8 3" xfId="16107" xr:uid="{00000000-0005-0000-0000-000056210000}"/>
    <cellStyle name="Input 2 7 3 8_Summary" xfId="21285" xr:uid="{00000000-0005-0000-0000-000057210000}"/>
    <cellStyle name="Input 2 7 3 9" xfId="4927" xr:uid="{00000000-0005-0000-0000-000058210000}"/>
    <cellStyle name="Input 2 7 3 9 2" xfId="11523" xr:uid="{00000000-0005-0000-0000-000059210000}"/>
    <cellStyle name="Input 2 7 3 9 3" xfId="18142" xr:uid="{00000000-0005-0000-0000-00005A210000}"/>
    <cellStyle name="Input 2 7 3 9_Summary" xfId="21286" xr:uid="{00000000-0005-0000-0000-00005B210000}"/>
    <cellStyle name="Input 2 7 3_Summary" xfId="21265" xr:uid="{00000000-0005-0000-0000-00005C210000}"/>
    <cellStyle name="Input 2 7 4" xfId="372" xr:uid="{00000000-0005-0000-0000-00005D210000}"/>
    <cellStyle name="Input 2 7 4 10" xfId="709" xr:uid="{00000000-0005-0000-0000-00005E210000}"/>
    <cellStyle name="Input 2 7 4 10 2" xfId="13924" xr:uid="{00000000-0005-0000-0000-00005F210000}"/>
    <cellStyle name="Input 2 7 4 10_Summary" xfId="21288" xr:uid="{00000000-0005-0000-0000-000060210000}"/>
    <cellStyle name="Input 2 7 4 11" xfId="7265" xr:uid="{00000000-0005-0000-0000-000061210000}"/>
    <cellStyle name="Input 2 7 4 12" xfId="13587" xr:uid="{00000000-0005-0000-0000-000062210000}"/>
    <cellStyle name="Input 2 7 4 13" xfId="30212" xr:uid="{1CBFE15A-D3B5-4583-8E6A-244B646530B2}"/>
    <cellStyle name="Input 2 7 4 14" xfId="31644" xr:uid="{7B3A0BCB-A596-4C8C-8C7D-0097B1D4446B}"/>
    <cellStyle name="Input 2 7 4 2" xfId="1066" xr:uid="{00000000-0005-0000-0000-000063210000}"/>
    <cellStyle name="Input 2 7 4 2 2" xfId="3202" xr:uid="{00000000-0005-0000-0000-000064210000}"/>
    <cellStyle name="Input 2 7 4 2 2 2" xfId="9798" xr:uid="{00000000-0005-0000-0000-000065210000}"/>
    <cellStyle name="Input 2 7 4 2 2 3" xfId="16417" xr:uid="{00000000-0005-0000-0000-000066210000}"/>
    <cellStyle name="Input 2 7 4 2 2_Summary" xfId="21290" xr:uid="{00000000-0005-0000-0000-000067210000}"/>
    <cellStyle name="Input 2 7 4 2 3" xfId="5237" xr:uid="{00000000-0005-0000-0000-000068210000}"/>
    <cellStyle name="Input 2 7 4 2 3 2" xfId="11833" xr:uid="{00000000-0005-0000-0000-000069210000}"/>
    <cellStyle name="Input 2 7 4 2 3 3" xfId="18452" xr:uid="{00000000-0005-0000-0000-00006A210000}"/>
    <cellStyle name="Input 2 7 4 2 3_Summary" xfId="21291" xr:uid="{00000000-0005-0000-0000-00006B210000}"/>
    <cellStyle name="Input 2 7 4 2 4" xfId="7663" xr:uid="{00000000-0005-0000-0000-00006C210000}"/>
    <cellStyle name="Input 2 7 4 2 5" xfId="14281" xr:uid="{00000000-0005-0000-0000-00006D210000}"/>
    <cellStyle name="Input 2 7 4 2_Summary" xfId="21289" xr:uid="{00000000-0005-0000-0000-00006E210000}"/>
    <cellStyle name="Input 2 7 4 3" xfId="1348" xr:uid="{00000000-0005-0000-0000-00006F210000}"/>
    <cellStyle name="Input 2 7 4 3 2" xfId="3484" xr:uid="{00000000-0005-0000-0000-000070210000}"/>
    <cellStyle name="Input 2 7 4 3 2 2" xfId="10080" xr:uid="{00000000-0005-0000-0000-000071210000}"/>
    <cellStyle name="Input 2 7 4 3 2 3" xfId="16699" xr:uid="{00000000-0005-0000-0000-000072210000}"/>
    <cellStyle name="Input 2 7 4 3 2_Summary" xfId="21293" xr:uid="{00000000-0005-0000-0000-000073210000}"/>
    <cellStyle name="Input 2 7 4 3 3" xfId="5519" xr:uid="{00000000-0005-0000-0000-000074210000}"/>
    <cellStyle name="Input 2 7 4 3 3 2" xfId="12115" xr:uid="{00000000-0005-0000-0000-000075210000}"/>
    <cellStyle name="Input 2 7 4 3 3 3" xfId="18734" xr:uid="{00000000-0005-0000-0000-000076210000}"/>
    <cellStyle name="Input 2 7 4 3 3_Summary" xfId="21294" xr:uid="{00000000-0005-0000-0000-000077210000}"/>
    <cellStyle name="Input 2 7 4 3 4" xfId="7944" xr:uid="{00000000-0005-0000-0000-000078210000}"/>
    <cellStyle name="Input 2 7 4 3 5" xfId="14563" xr:uid="{00000000-0005-0000-0000-000079210000}"/>
    <cellStyle name="Input 2 7 4 3_Summary" xfId="21292" xr:uid="{00000000-0005-0000-0000-00007A210000}"/>
    <cellStyle name="Input 2 7 4 4" xfId="1629" xr:uid="{00000000-0005-0000-0000-00007B210000}"/>
    <cellStyle name="Input 2 7 4 4 2" xfId="3765" xr:uid="{00000000-0005-0000-0000-00007C210000}"/>
    <cellStyle name="Input 2 7 4 4 2 2" xfId="10361" xr:uid="{00000000-0005-0000-0000-00007D210000}"/>
    <cellStyle name="Input 2 7 4 4 2 3" xfId="16980" xr:uid="{00000000-0005-0000-0000-00007E210000}"/>
    <cellStyle name="Input 2 7 4 4 2_Summary" xfId="21296" xr:uid="{00000000-0005-0000-0000-00007F210000}"/>
    <cellStyle name="Input 2 7 4 4 3" xfId="5800" xr:uid="{00000000-0005-0000-0000-000080210000}"/>
    <cellStyle name="Input 2 7 4 4 3 2" xfId="12396" xr:uid="{00000000-0005-0000-0000-000081210000}"/>
    <cellStyle name="Input 2 7 4 4 3 3" xfId="19015" xr:uid="{00000000-0005-0000-0000-000082210000}"/>
    <cellStyle name="Input 2 7 4 4 3_Summary" xfId="21297" xr:uid="{00000000-0005-0000-0000-000083210000}"/>
    <cellStyle name="Input 2 7 4 4 4" xfId="8225" xr:uid="{00000000-0005-0000-0000-000084210000}"/>
    <cellStyle name="Input 2 7 4 4 5" xfId="14844" xr:uid="{00000000-0005-0000-0000-000085210000}"/>
    <cellStyle name="Input 2 7 4 4_Summary" xfId="21295" xr:uid="{00000000-0005-0000-0000-000086210000}"/>
    <cellStyle name="Input 2 7 4 5" xfId="1908" xr:uid="{00000000-0005-0000-0000-000087210000}"/>
    <cellStyle name="Input 2 7 4 5 2" xfId="4044" xr:uid="{00000000-0005-0000-0000-000088210000}"/>
    <cellStyle name="Input 2 7 4 5 2 2" xfId="10640" xr:uid="{00000000-0005-0000-0000-000089210000}"/>
    <cellStyle name="Input 2 7 4 5 2 3" xfId="17259" xr:uid="{00000000-0005-0000-0000-00008A210000}"/>
    <cellStyle name="Input 2 7 4 5 2_Summary" xfId="21299" xr:uid="{00000000-0005-0000-0000-00008B210000}"/>
    <cellStyle name="Input 2 7 4 5 3" xfId="6079" xr:uid="{00000000-0005-0000-0000-00008C210000}"/>
    <cellStyle name="Input 2 7 4 5 3 2" xfId="12675" xr:uid="{00000000-0005-0000-0000-00008D210000}"/>
    <cellStyle name="Input 2 7 4 5 3 3" xfId="19294" xr:uid="{00000000-0005-0000-0000-00008E210000}"/>
    <cellStyle name="Input 2 7 4 5 3_Summary" xfId="21300" xr:uid="{00000000-0005-0000-0000-00008F210000}"/>
    <cellStyle name="Input 2 7 4 5 4" xfId="8504" xr:uid="{00000000-0005-0000-0000-000090210000}"/>
    <cellStyle name="Input 2 7 4 5 5" xfId="15123" xr:uid="{00000000-0005-0000-0000-000091210000}"/>
    <cellStyle name="Input 2 7 4 5_Summary" xfId="21298" xr:uid="{00000000-0005-0000-0000-000092210000}"/>
    <cellStyle name="Input 2 7 4 6" xfId="2183" xr:uid="{00000000-0005-0000-0000-000093210000}"/>
    <cellStyle name="Input 2 7 4 6 2" xfId="4319" xr:uid="{00000000-0005-0000-0000-000094210000}"/>
    <cellStyle name="Input 2 7 4 6 2 2" xfId="10915" xr:uid="{00000000-0005-0000-0000-000095210000}"/>
    <cellStyle name="Input 2 7 4 6 2 3" xfId="17534" xr:uid="{00000000-0005-0000-0000-000096210000}"/>
    <cellStyle name="Input 2 7 4 6 2_Summary" xfId="21302" xr:uid="{00000000-0005-0000-0000-000097210000}"/>
    <cellStyle name="Input 2 7 4 6 3" xfId="6354" xr:uid="{00000000-0005-0000-0000-000098210000}"/>
    <cellStyle name="Input 2 7 4 6 3 2" xfId="12950" xr:uid="{00000000-0005-0000-0000-000099210000}"/>
    <cellStyle name="Input 2 7 4 6 3 3" xfId="19569" xr:uid="{00000000-0005-0000-0000-00009A210000}"/>
    <cellStyle name="Input 2 7 4 6 3_Summary" xfId="21303" xr:uid="{00000000-0005-0000-0000-00009B210000}"/>
    <cellStyle name="Input 2 7 4 6 4" xfId="8779" xr:uid="{00000000-0005-0000-0000-00009C210000}"/>
    <cellStyle name="Input 2 7 4 6 5" xfId="15398" xr:uid="{00000000-0005-0000-0000-00009D210000}"/>
    <cellStyle name="Input 2 7 4 6_Summary" xfId="21301" xr:uid="{00000000-0005-0000-0000-00009E210000}"/>
    <cellStyle name="Input 2 7 4 7" xfId="2456" xr:uid="{00000000-0005-0000-0000-00009F210000}"/>
    <cellStyle name="Input 2 7 4 7 2" xfId="4592" xr:uid="{00000000-0005-0000-0000-0000A0210000}"/>
    <cellStyle name="Input 2 7 4 7 2 2" xfId="11188" xr:uid="{00000000-0005-0000-0000-0000A1210000}"/>
    <cellStyle name="Input 2 7 4 7 2 3" xfId="17807" xr:uid="{00000000-0005-0000-0000-0000A2210000}"/>
    <cellStyle name="Input 2 7 4 7 2_Summary" xfId="21305" xr:uid="{00000000-0005-0000-0000-0000A3210000}"/>
    <cellStyle name="Input 2 7 4 7 3" xfId="6627" xr:uid="{00000000-0005-0000-0000-0000A4210000}"/>
    <cellStyle name="Input 2 7 4 7 3 2" xfId="13223" xr:uid="{00000000-0005-0000-0000-0000A5210000}"/>
    <cellStyle name="Input 2 7 4 7 3 3" xfId="19842" xr:uid="{00000000-0005-0000-0000-0000A6210000}"/>
    <cellStyle name="Input 2 7 4 7 3_Summary" xfId="21306" xr:uid="{00000000-0005-0000-0000-0000A7210000}"/>
    <cellStyle name="Input 2 7 4 7 4" xfId="9052" xr:uid="{00000000-0005-0000-0000-0000A8210000}"/>
    <cellStyle name="Input 2 7 4 7 5" xfId="15671" xr:uid="{00000000-0005-0000-0000-0000A9210000}"/>
    <cellStyle name="Input 2 7 4 7_Summary" xfId="21304" xr:uid="{00000000-0005-0000-0000-0000AA210000}"/>
    <cellStyle name="Input 2 7 4 8" xfId="2845" xr:uid="{00000000-0005-0000-0000-0000AB210000}"/>
    <cellStyle name="Input 2 7 4 8 2" xfId="9441" xr:uid="{00000000-0005-0000-0000-0000AC210000}"/>
    <cellStyle name="Input 2 7 4 8 3" xfId="16060" xr:uid="{00000000-0005-0000-0000-0000AD210000}"/>
    <cellStyle name="Input 2 7 4 8_Summary" xfId="21307" xr:uid="{00000000-0005-0000-0000-0000AE210000}"/>
    <cellStyle name="Input 2 7 4 9" xfId="4880" xr:uid="{00000000-0005-0000-0000-0000AF210000}"/>
    <cellStyle name="Input 2 7 4 9 2" xfId="11476" xr:uid="{00000000-0005-0000-0000-0000B0210000}"/>
    <cellStyle name="Input 2 7 4 9 3" xfId="18095" xr:uid="{00000000-0005-0000-0000-0000B1210000}"/>
    <cellStyle name="Input 2 7 4 9_Summary" xfId="21308" xr:uid="{00000000-0005-0000-0000-0000B2210000}"/>
    <cellStyle name="Input 2 7 4_Summary" xfId="21287" xr:uid="{00000000-0005-0000-0000-0000B3210000}"/>
    <cellStyle name="Input 2 7 5" xfId="879" xr:uid="{00000000-0005-0000-0000-0000B4210000}"/>
    <cellStyle name="Input 2 7 5 2" xfId="3015" xr:uid="{00000000-0005-0000-0000-0000B5210000}"/>
    <cellStyle name="Input 2 7 5 2 2" xfId="9611" xr:uid="{00000000-0005-0000-0000-0000B6210000}"/>
    <cellStyle name="Input 2 7 5 2 3" xfId="16230" xr:uid="{00000000-0005-0000-0000-0000B7210000}"/>
    <cellStyle name="Input 2 7 5 2_Summary" xfId="21310" xr:uid="{00000000-0005-0000-0000-0000B8210000}"/>
    <cellStyle name="Input 2 7 5 3" xfId="5050" xr:uid="{00000000-0005-0000-0000-0000B9210000}"/>
    <cellStyle name="Input 2 7 5 3 2" xfId="11646" xr:uid="{00000000-0005-0000-0000-0000BA210000}"/>
    <cellStyle name="Input 2 7 5 3 3" xfId="18265" xr:uid="{00000000-0005-0000-0000-0000BB210000}"/>
    <cellStyle name="Input 2 7 5 3_Summary" xfId="21311" xr:uid="{00000000-0005-0000-0000-0000BC210000}"/>
    <cellStyle name="Input 2 7 5 4" xfId="7476" xr:uid="{00000000-0005-0000-0000-0000BD210000}"/>
    <cellStyle name="Input 2 7 5 5" xfId="14094" xr:uid="{00000000-0005-0000-0000-0000BE210000}"/>
    <cellStyle name="Input 2 7 5_Summary" xfId="21309" xr:uid="{00000000-0005-0000-0000-0000BF210000}"/>
    <cellStyle name="Input 2 7 6" xfId="1164" xr:uid="{00000000-0005-0000-0000-0000C0210000}"/>
    <cellStyle name="Input 2 7 6 2" xfId="3300" xr:uid="{00000000-0005-0000-0000-0000C1210000}"/>
    <cellStyle name="Input 2 7 6 2 2" xfId="9896" xr:uid="{00000000-0005-0000-0000-0000C2210000}"/>
    <cellStyle name="Input 2 7 6 2 3" xfId="16515" xr:uid="{00000000-0005-0000-0000-0000C3210000}"/>
    <cellStyle name="Input 2 7 6 2_Summary" xfId="21313" xr:uid="{00000000-0005-0000-0000-0000C4210000}"/>
    <cellStyle name="Input 2 7 6 3" xfId="5335" xr:uid="{00000000-0005-0000-0000-0000C5210000}"/>
    <cellStyle name="Input 2 7 6 3 2" xfId="11931" xr:uid="{00000000-0005-0000-0000-0000C6210000}"/>
    <cellStyle name="Input 2 7 6 3 3" xfId="18550" xr:uid="{00000000-0005-0000-0000-0000C7210000}"/>
    <cellStyle name="Input 2 7 6 3_Summary" xfId="21314" xr:uid="{00000000-0005-0000-0000-0000C8210000}"/>
    <cellStyle name="Input 2 7 6 4" xfId="7760" xr:uid="{00000000-0005-0000-0000-0000C9210000}"/>
    <cellStyle name="Input 2 7 6 5" xfId="14379" xr:uid="{00000000-0005-0000-0000-0000CA210000}"/>
    <cellStyle name="Input 2 7 6_Summary" xfId="21312" xr:uid="{00000000-0005-0000-0000-0000CB210000}"/>
    <cellStyle name="Input 2 7 7" xfId="1446" xr:uid="{00000000-0005-0000-0000-0000CC210000}"/>
    <cellStyle name="Input 2 7 7 2" xfId="3582" xr:uid="{00000000-0005-0000-0000-0000CD210000}"/>
    <cellStyle name="Input 2 7 7 2 2" xfId="10178" xr:uid="{00000000-0005-0000-0000-0000CE210000}"/>
    <cellStyle name="Input 2 7 7 2 3" xfId="16797" xr:uid="{00000000-0005-0000-0000-0000CF210000}"/>
    <cellStyle name="Input 2 7 7 2_Summary" xfId="21316" xr:uid="{00000000-0005-0000-0000-0000D0210000}"/>
    <cellStyle name="Input 2 7 7 3" xfId="5617" xr:uid="{00000000-0005-0000-0000-0000D1210000}"/>
    <cellStyle name="Input 2 7 7 3 2" xfId="12213" xr:uid="{00000000-0005-0000-0000-0000D2210000}"/>
    <cellStyle name="Input 2 7 7 3 3" xfId="18832" xr:uid="{00000000-0005-0000-0000-0000D3210000}"/>
    <cellStyle name="Input 2 7 7 3_Summary" xfId="21317" xr:uid="{00000000-0005-0000-0000-0000D4210000}"/>
    <cellStyle name="Input 2 7 7 4" xfId="8042" xr:uid="{00000000-0005-0000-0000-0000D5210000}"/>
    <cellStyle name="Input 2 7 7 5" xfId="14661" xr:uid="{00000000-0005-0000-0000-0000D6210000}"/>
    <cellStyle name="Input 2 7 7_Summary" xfId="21315" xr:uid="{00000000-0005-0000-0000-0000D7210000}"/>
    <cellStyle name="Input 2 7 8" xfId="1727" xr:uid="{00000000-0005-0000-0000-0000D8210000}"/>
    <cellStyle name="Input 2 7 8 2" xfId="3863" xr:uid="{00000000-0005-0000-0000-0000D9210000}"/>
    <cellStyle name="Input 2 7 8 2 2" xfId="10459" xr:uid="{00000000-0005-0000-0000-0000DA210000}"/>
    <cellStyle name="Input 2 7 8 2 3" xfId="17078" xr:uid="{00000000-0005-0000-0000-0000DB210000}"/>
    <cellStyle name="Input 2 7 8 2_Summary" xfId="21319" xr:uid="{00000000-0005-0000-0000-0000DC210000}"/>
    <cellStyle name="Input 2 7 8 3" xfId="5898" xr:uid="{00000000-0005-0000-0000-0000DD210000}"/>
    <cellStyle name="Input 2 7 8 3 2" xfId="12494" xr:uid="{00000000-0005-0000-0000-0000DE210000}"/>
    <cellStyle name="Input 2 7 8 3 3" xfId="19113" xr:uid="{00000000-0005-0000-0000-0000DF210000}"/>
    <cellStyle name="Input 2 7 8 3_Summary" xfId="21320" xr:uid="{00000000-0005-0000-0000-0000E0210000}"/>
    <cellStyle name="Input 2 7 8 4" xfId="8323" xr:uid="{00000000-0005-0000-0000-0000E1210000}"/>
    <cellStyle name="Input 2 7 8 5" xfId="14942" xr:uid="{00000000-0005-0000-0000-0000E2210000}"/>
    <cellStyle name="Input 2 7 8_Summary" xfId="21318" xr:uid="{00000000-0005-0000-0000-0000E3210000}"/>
    <cellStyle name="Input 2 7 9" xfId="2006" xr:uid="{00000000-0005-0000-0000-0000E4210000}"/>
    <cellStyle name="Input 2 7 9 2" xfId="4142" xr:uid="{00000000-0005-0000-0000-0000E5210000}"/>
    <cellStyle name="Input 2 7 9 2 2" xfId="10738" xr:uid="{00000000-0005-0000-0000-0000E6210000}"/>
    <cellStyle name="Input 2 7 9 2 3" xfId="17357" xr:uid="{00000000-0005-0000-0000-0000E7210000}"/>
    <cellStyle name="Input 2 7 9 2_Summary" xfId="21322" xr:uid="{00000000-0005-0000-0000-0000E8210000}"/>
    <cellStyle name="Input 2 7 9 3" xfId="6177" xr:uid="{00000000-0005-0000-0000-0000E9210000}"/>
    <cellStyle name="Input 2 7 9 3 2" xfId="12773" xr:uid="{00000000-0005-0000-0000-0000EA210000}"/>
    <cellStyle name="Input 2 7 9 3 3" xfId="19392" xr:uid="{00000000-0005-0000-0000-0000EB210000}"/>
    <cellStyle name="Input 2 7 9 3_Summary" xfId="21323" xr:uid="{00000000-0005-0000-0000-0000EC210000}"/>
    <cellStyle name="Input 2 7 9 4" xfId="8602" xr:uid="{00000000-0005-0000-0000-0000ED210000}"/>
    <cellStyle name="Input 2 7 9 5" xfId="15221" xr:uid="{00000000-0005-0000-0000-0000EE210000}"/>
    <cellStyle name="Input 2 7 9_Summary" xfId="21321" xr:uid="{00000000-0005-0000-0000-0000EF210000}"/>
    <cellStyle name="Input 2 7_Summary" xfId="21214" xr:uid="{00000000-0005-0000-0000-0000F0210000}"/>
    <cellStyle name="Input 2 8" xfId="148" xr:uid="{00000000-0005-0000-0000-0000F1210000}"/>
    <cellStyle name="Input 2 8 10" xfId="786" xr:uid="{00000000-0005-0000-0000-0000F2210000}"/>
    <cellStyle name="Input 2 8 10 2" xfId="2922" xr:uid="{00000000-0005-0000-0000-0000F3210000}"/>
    <cellStyle name="Input 2 8 10 2 2" xfId="9518" xr:uid="{00000000-0005-0000-0000-0000F4210000}"/>
    <cellStyle name="Input 2 8 10 2 3" xfId="16137" xr:uid="{00000000-0005-0000-0000-0000F5210000}"/>
    <cellStyle name="Input 2 8 10 2_Summary" xfId="21326" xr:uid="{00000000-0005-0000-0000-0000F6210000}"/>
    <cellStyle name="Input 2 8 10 3" xfId="4957" xr:uid="{00000000-0005-0000-0000-0000F7210000}"/>
    <cellStyle name="Input 2 8 10 3 2" xfId="11553" xr:uid="{00000000-0005-0000-0000-0000F8210000}"/>
    <cellStyle name="Input 2 8 10 3 3" xfId="18172" xr:uid="{00000000-0005-0000-0000-0000F9210000}"/>
    <cellStyle name="Input 2 8 10 3_Summary" xfId="21327" xr:uid="{00000000-0005-0000-0000-0000FA210000}"/>
    <cellStyle name="Input 2 8 10 4" xfId="7453" xr:uid="{00000000-0005-0000-0000-0000FB210000}"/>
    <cellStyle name="Input 2 8 10 5" xfId="14001" xr:uid="{00000000-0005-0000-0000-0000FC210000}"/>
    <cellStyle name="Input 2 8 10_Summary" xfId="21325" xr:uid="{00000000-0005-0000-0000-0000FD210000}"/>
    <cellStyle name="Input 2 8 11" xfId="2589" xr:uid="{00000000-0005-0000-0000-0000FE210000}"/>
    <cellStyle name="Input 2 8 11 2" xfId="9185" xr:uid="{00000000-0005-0000-0000-0000FF210000}"/>
    <cellStyle name="Input 2 8 11 3" xfId="15804" xr:uid="{00000000-0005-0000-0000-000000220000}"/>
    <cellStyle name="Input 2 8 11_Summary" xfId="21328" xr:uid="{00000000-0005-0000-0000-000001220000}"/>
    <cellStyle name="Input 2 8 12" xfId="2570" xr:uid="{00000000-0005-0000-0000-000002220000}"/>
    <cellStyle name="Input 2 8 12 2" xfId="9166" xr:uid="{00000000-0005-0000-0000-000003220000}"/>
    <cellStyle name="Input 2 8 12 3" xfId="15785" xr:uid="{00000000-0005-0000-0000-000004220000}"/>
    <cellStyle name="Input 2 8 12_Summary" xfId="21329" xr:uid="{00000000-0005-0000-0000-000005220000}"/>
    <cellStyle name="Input 2 8 13" xfId="481" xr:uid="{00000000-0005-0000-0000-000006220000}"/>
    <cellStyle name="Input 2 8 13 2" xfId="13696" xr:uid="{00000000-0005-0000-0000-000007220000}"/>
    <cellStyle name="Input 2 8 13_Summary" xfId="21330" xr:uid="{00000000-0005-0000-0000-000008220000}"/>
    <cellStyle name="Input 2 8 14" xfId="7061" xr:uid="{00000000-0005-0000-0000-000009220000}"/>
    <cellStyle name="Input 2 8 15" xfId="7032" xr:uid="{00000000-0005-0000-0000-00000A220000}"/>
    <cellStyle name="Input 2 8 16" xfId="28692" xr:uid="{44598DED-547C-4021-8549-F6A4A7D9E422}"/>
    <cellStyle name="Input 2 8 17" xfId="30933" xr:uid="{21CD653A-5E25-4F93-B006-6AE9E438571D}"/>
    <cellStyle name="Input 2 8 2" xfId="295" xr:uid="{00000000-0005-0000-0000-00000B220000}"/>
    <cellStyle name="Input 2 8 2 10" xfId="4716" xr:uid="{00000000-0005-0000-0000-00000C220000}"/>
    <cellStyle name="Input 2 8 2 10 2" xfId="11312" xr:uid="{00000000-0005-0000-0000-00000D220000}"/>
    <cellStyle name="Input 2 8 2 10 3" xfId="17931" xr:uid="{00000000-0005-0000-0000-00000E220000}"/>
    <cellStyle name="Input 2 8 2 10_Summary" xfId="21332" xr:uid="{00000000-0005-0000-0000-00000F220000}"/>
    <cellStyle name="Input 2 8 2 11" xfId="545" xr:uid="{00000000-0005-0000-0000-000010220000}"/>
    <cellStyle name="Input 2 8 2 11 2" xfId="13760" xr:uid="{00000000-0005-0000-0000-000011220000}"/>
    <cellStyle name="Input 2 8 2 11_Summary" xfId="21333" xr:uid="{00000000-0005-0000-0000-000012220000}"/>
    <cellStyle name="Input 2 8 2 12" xfId="7189" xr:uid="{00000000-0005-0000-0000-000013220000}"/>
    <cellStyle name="Input 2 8 2 13" xfId="13511" xr:uid="{00000000-0005-0000-0000-000014220000}"/>
    <cellStyle name="Input 2 8 2 14" xfId="28693" xr:uid="{6474D797-1DD1-4CC5-B62E-F0571225A1BD}"/>
    <cellStyle name="Input 2 8 2 15" xfId="30934" xr:uid="{0B203577-6EF3-4FF4-BF6F-D4920D8C8438}"/>
    <cellStyle name="Input 2 8 2 2" xfId="424" xr:uid="{00000000-0005-0000-0000-000015220000}"/>
    <cellStyle name="Input 2 8 2 2 10" xfId="818" xr:uid="{00000000-0005-0000-0000-000016220000}"/>
    <cellStyle name="Input 2 8 2 2 10 2" xfId="14033" xr:uid="{00000000-0005-0000-0000-000017220000}"/>
    <cellStyle name="Input 2 8 2 2 10_Summary" xfId="21335" xr:uid="{00000000-0005-0000-0000-000018220000}"/>
    <cellStyle name="Input 2 8 2 2 11" xfId="7317" xr:uid="{00000000-0005-0000-0000-000019220000}"/>
    <cellStyle name="Input 2 8 2 2 12" xfId="13639" xr:uid="{00000000-0005-0000-0000-00001A220000}"/>
    <cellStyle name="Input 2 8 2 2 13" xfId="30216" xr:uid="{5855A028-74FF-4FBD-ACDF-D9D52B3BC137}"/>
    <cellStyle name="Input 2 8 2 2 14" xfId="31648" xr:uid="{F4E183D2-5DD3-4ECA-8209-370761FD86F2}"/>
    <cellStyle name="Input 2 8 2 2 2" xfId="1118" xr:uid="{00000000-0005-0000-0000-00001B220000}"/>
    <cellStyle name="Input 2 8 2 2 2 2" xfId="3254" xr:uid="{00000000-0005-0000-0000-00001C220000}"/>
    <cellStyle name="Input 2 8 2 2 2 2 2" xfId="9850" xr:uid="{00000000-0005-0000-0000-00001D220000}"/>
    <cellStyle name="Input 2 8 2 2 2 2 3" xfId="16469" xr:uid="{00000000-0005-0000-0000-00001E220000}"/>
    <cellStyle name="Input 2 8 2 2 2 2_Summary" xfId="21337" xr:uid="{00000000-0005-0000-0000-00001F220000}"/>
    <cellStyle name="Input 2 8 2 2 2 3" xfId="5289" xr:uid="{00000000-0005-0000-0000-000020220000}"/>
    <cellStyle name="Input 2 8 2 2 2 3 2" xfId="11885" xr:uid="{00000000-0005-0000-0000-000021220000}"/>
    <cellStyle name="Input 2 8 2 2 2 3 3" xfId="18504" xr:uid="{00000000-0005-0000-0000-000022220000}"/>
    <cellStyle name="Input 2 8 2 2 2 3_Summary" xfId="21338" xr:uid="{00000000-0005-0000-0000-000023220000}"/>
    <cellStyle name="Input 2 8 2 2 2 4" xfId="7714" xr:uid="{00000000-0005-0000-0000-000024220000}"/>
    <cellStyle name="Input 2 8 2 2 2 5" xfId="14333" xr:uid="{00000000-0005-0000-0000-000025220000}"/>
    <cellStyle name="Input 2 8 2 2 2_Summary" xfId="21336" xr:uid="{00000000-0005-0000-0000-000026220000}"/>
    <cellStyle name="Input 2 8 2 2 3" xfId="1400" xr:uid="{00000000-0005-0000-0000-000027220000}"/>
    <cellStyle name="Input 2 8 2 2 3 2" xfId="3536" xr:uid="{00000000-0005-0000-0000-000028220000}"/>
    <cellStyle name="Input 2 8 2 2 3 2 2" xfId="10132" xr:uid="{00000000-0005-0000-0000-000029220000}"/>
    <cellStyle name="Input 2 8 2 2 3 2 3" xfId="16751" xr:uid="{00000000-0005-0000-0000-00002A220000}"/>
    <cellStyle name="Input 2 8 2 2 3 2_Summary" xfId="21340" xr:uid="{00000000-0005-0000-0000-00002B220000}"/>
    <cellStyle name="Input 2 8 2 2 3 3" xfId="5571" xr:uid="{00000000-0005-0000-0000-00002C220000}"/>
    <cellStyle name="Input 2 8 2 2 3 3 2" xfId="12167" xr:uid="{00000000-0005-0000-0000-00002D220000}"/>
    <cellStyle name="Input 2 8 2 2 3 3 3" xfId="18786" xr:uid="{00000000-0005-0000-0000-00002E220000}"/>
    <cellStyle name="Input 2 8 2 2 3 3_Summary" xfId="21341" xr:uid="{00000000-0005-0000-0000-00002F220000}"/>
    <cellStyle name="Input 2 8 2 2 3 4" xfId="7996" xr:uid="{00000000-0005-0000-0000-000030220000}"/>
    <cellStyle name="Input 2 8 2 2 3 5" xfId="14615" xr:uid="{00000000-0005-0000-0000-000031220000}"/>
    <cellStyle name="Input 2 8 2 2 3_Summary" xfId="21339" xr:uid="{00000000-0005-0000-0000-000032220000}"/>
    <cellStyle name="Input 2 8 2 2 4" xfId="1681" xr:uid="{00000000-0005-0000-0000-000033220000}"/>
    <cellStyle name="Input 2 8 2 2 4 2" xfId="3817" xr:uid="{00000000-0005-0000-0000-000034220000}"/>
    <cellStyle name="Input 2 8 2 2 4 2 2" xfId="10413" xr:uid="{00000000-0005-0000-0000-000035220000}"/>
    <cellStyle name="Input 2 8 2 2 4 2 3" xfId="17032" xr:uid="{00000000-0005-0000-0000-000036220000}"/>
    <cellStyle name="Input 2 8 2 2 4 2_Summary" xfId="21343" xr:uid="{00000000-0005-0000-0000-000037220000}"/>
    <cellStyle name="Input 2 8 2 2 4 3" xfId="5852" xr:uid="{00000000-0005-0000-0000-000038220000}"/>
    <cellStyle name="Input 2 8 2 2 4 3 2" xfId="12448" xr:uid="{00000000-0005-0000-0000-000039220000}"/>
    <cellStyle name="Input 2 8 2 2 4 3 3" xfId="19067" xr:uid="{00000000-0005-0000-0000-00003A220000}"/>
    <cellStyle name="Input 2 8 2 2 4 3_Summary" xfId="21344" xr:uid="{00000000-0005-0000-0000-00003B220000}"/>
    <cellStyle name="Input 2 8 2 2 4 4" xfId="8277" xr:uid="{00000000-0005-0000-0000-00003C220000}"/>
    <cellStyle name="Input 2 8 2 2 4 5" xfId="14896" xr:uid="{00000000-0005-0000-0000-00003D220000}"/>
    <cellStyle name="Input 2 8 2 2 4_Summary" xfId="21342" xr:uid="{00000000-0005-0000-0000-00003E220000}"/>
    <cellStyle name="Input 2 8 2 2 5" xfId="1960" xr:uid="{00000000-0005-0000-0000-00003F220000}"/>
    <cellStyle name="Input 2 8 2 2 5 2" xfId="4096" xr:uid="{00000000-0005-0000-0000-000040220000}"/>
    <cellStyle name="Input 2 8 2 2 5 2 2" xfId="10692" xr:uid="{00000000-0005-0000-0000-000041220000}"/>
    <cellStyle name="Input 2 8 2 2 5 2 3" xfId="17311" xr:uid="{00000000-0005-0000-0000-000042220000}"/>
    <cellStyle name="Input 2 8 2 2 5 2_Summary" xfId="21346" xr:uid="{00000000-0005-0000-0000-000043220000}"/>
    <cellStyle name="Input 2 8 2 2 5 3" xfId="6131" xr:uid="{00000000-0005-0000-0000-000044220000}"/>
    <cellStyle name="Input 2 8 2 2 5 3 2" xfId="12727" xr:uid="{00000000-0005-0000-0000-000045220000}"/>
    <cellStyle name="Input 2 8 2 2 5 3 3" xfId="19346" xr:uid="{00000000-0005-0000-0000-000046220000}"/>
    <cellStyle name="Input 2 8 2 2 5 3_Summary" xfId="21347" xr:uid="{00000000-0005-0000-0000-000047220000}"/>
    <cellStyle name="Input 2 8 2 2 5 4" xfId="8556" xr:uid="{00000000-0005-0000-0000-000048220000}"/>
    <cellStyle name="Input 2 8 2 2 5 5" xfId="15175" xr:uid="{00000000-0005-0000-0000-000049220000}"/>
    <cellStyle name="Input 2 8 2 2 5_Summary" xfId="21345" xr:uid="{00000000-0005-0000-0000-00004A220000}"/>
    <cellStyle name="Input 2 8 2 2 6" xfId="2235" xr:uid="{00000000-0005-0000-0000-00004B220000}"/>
    <cellStyle name="Input 2 8 2 2 6 2" xfId="4371" xr:uid="{00000000-0005-0000-0000-00004C220000}"/>
    <cellStyle name="Input 2 8 2 2 6 2 2" xfId="10967" xr:uid="{00000000-0005-0000-0000-00004D220000}"/>
    <cellStyle name="Input 2 8 2 2 6 2 3" xfId="17586" xr:uid="{00000000-0005-0000-0000-00004E220000}"/>
    <cellStyle name="Input 2 8 2 2 6 2_Summary" xfId="21349" xr:uid="{00000000-0005-0000-0000-00004F220000}"/>
    <cellStyle name="Input 2 8 2 2 6 3" xfId="6406" xr:uid="{00000000-0005-0000-0000-000050220000}"/>
    <cellStyle name="Input 2 8 2 2 6 3 2" xfId="13002" xr:uid="{00000000-0005-0000-0000-000051220000}"/>
    <cellStyle name="Input 2 8 2 2 6 3 3" xfId="19621" xr:uid="{00000000-0005-0000-0000-000052220000}"/>
    <cellStyle name="Input 2 8 2 2 6 3_Summary" xfId="21350" xr:uid="{00000000-0005-0000-0000-000053220000}"/>
    <cellStyle name="Input 2 8 2 2 6 4" xfId="8831" xr:uid="{00000000-0005-0000-0000-000054220000}"/>
    <cellStyle name="Input 2 8 2 2 6 5" xfId="15450" xr:uid="{00000000-0005-0000-0000-000055220000}"/>
    <cellStyle name="Input 2 8 2 2 6_Summary" xfId="21348" xr:uid="{00000000-0005-0000-0000-000056220000}"/>
    <cellStyle name="Input 2 8 2 2 7" xfId="2508" xr:uid="{00000000-0005-0000-0000-000057220000}"/>
    <cellStyle name="Input 2 8 2 2 7 2" xfId="4644" xr:uid="{00000000-0005-0000-0000-000058220000}"/>
    <cellStyle name="Input 2 8 2 2 7 2 2" xfId="11240" xr:uid="{00000000-0005-0000-0000-000059220000}"/>
    <cellStyle name="Input 2 8 2 2 7 2 3" xfId="17859" xr:uid="{00000000-0005-0000-0000-00005A220000}"/>
    <cellStyle name="Input 2 8 2 2 7 2_Summary" xfId="21352" xr:uid="{00000000-0005-0000-0000-00005B220000}"/>
    <cellStyle name="Input 2 8 2 2 7 3" xfId="6679" xr:uid="{00000000-0005-0000-0000-00005C220000}"/>
    <cellStyle name="Input 2 8 2 2 7 3 2" xfId="13275" xr:uid="{00000000-0005-0000-0000-00005D220000}"/>
    <cellStyle name="Input 2 8 2 2 7 3 3" xfId="19894" xr:uid="{00000000-0005-0000-0000-00005E220000}"/>
    <cellStyle name="Input 2 8 2 2 7 3_Summary" xfId="21353" xr:uid="{00000000-0005-0000-0000-00005F220000}"/>
    <cellStyle name="Input 2 8 2 2 7 4" xfId="9104" xr:uid="{00000000-0005-0000-0000-000060220000}"/>
    <cellStyle name="Input 2 8 2 2 7 5" xfId="15723" xr:uid="{00000000-0005-0000-0000-000061220000}"/>
    <cellStyle name="Input 2 8 2 2 7_Summary" xfId="21351" xr:uid="{00000000-0005-0000-0000-000062220000}"/>
    <cellStyle name="Input 2 8 2 2 8" xfId="2954" xr:uid="{00000000-0005-0000-0000-000063220000}"/>
    <cellStyle name="Input 2 8 2 2 8 2" xfId="9550" xr:uid="{00000000-0005-0000-0000-000064220000}"/>
    <cellStyle name="Input 2 8 2 2 8 3" xfId="16169" xr:uid="{00000000-0005-0000-0000-000065220000}"/>
    <cellStyle name="Input 2 8 2 2 8_Summary" xfId="21354" xr:uid="{00000000-0005-0000-0000-000066220000}"/>
    <cellStyle name="Input 2 8 2 2 9" xfId="4989" xr:uid="{00000000-0005-0000-0000-000067220000}"/>
    <cellStyle name="Input 2 8 2 2 9 2" xfId="11585" xr:uid="{00000000-0005-0000-0000-000068220000}"/>
    <cellStyle name="Input 2 8 2 2 9 3" xfId="18204" xr:uid="{00000000-0005-0000-0000-000069220000}"/>
    <cellStyle name="Input 2 8 2 2 9_Summary" xfId="21355" xr:uid="{00000000-0005-0000-0000-00006A220000}"/>
    <cellStyle name="Input 2 8 2 2_Summary" xfId="21334" xr:uid="{00000000-0005-0000-0000-00006B220000}"/>
    <cellStyle name="Input 2 8 2 3" xfId="990" xr:uid="{00000000-0005-0000-0000-00006C220000}"/>
    <cellStyle name="Input 2 8 2 3 2" xfId="3126" xr:uid="{00000000-0005-0000-0000-00006D220000}"/>
    <cellStyle name="Input 2 8 2 3 2 2" xfId="9722" xr:uid="{00000000-0005-0000-0000-00006E220000}"/>
    <cellStyle name="Input 2 8 2 3 2 3" xfId="16341" xr:uid="{00000000-0005-0000-0000-00006F220000}"/>
    <cellStyle name="Input 2 8 2 3 2_Summary" xfId="21357" xr:uid="{00000000-0005-0000-0000-000070220000}"/>
    <cellStyle name="Input 2 8 2 3 3" xfId="5161" xr:uid="{00000000-0005-0000-0000-000071220000}"/>
    <cellStyle name="Input 2 8 2 3 3 2" xfId="11757" xr:uid="{00000000-0005-0000-0000-000072220000}"/>
    <cellStyle name="Input 2 8 2 3 3 3" xfId="18376" xr:uid="{00000000-0005-0000-0000-000073220000}"/>
    <cellStyle name="Input 2 8 2 3 3_Summary" xfId="21358" xr:uid="{00000000-0005-0000-0000-000074220000}"/>
    <cellStyle name="Input 2 8 2 3 4" xfId="7587" xr:uid="{00000000-0005-0000-0000-000075220000}"/>
    <cellStyle name="Input 2 8 2 3 5" xfId="14205" xr:uid="{00000000-0005-0000-0000-000076220000}"/>
    <cellStyle name="Input 2 8 2 3_Summary" xfId="21356" xr:uid="{00000000-0005-0000-0000-000077220000}"/>
    <cellStyle name="Input 2 8 2 4" xfId="1272" xr:uid="{00000000-0005-0000-0000-000078220000}"/>
    <cellStyle name="Input 2 8 2 4 2" xfId="3408" xr:uid="{00000000-0005-0000-0000-000079220000}"/>
    <cellStyle name="Input 2 8 2 4 2 2" xfId="10004" xr:uid="{00000000-0005-0000-0000-00007A220000}"/>
    <cellStyle name="Input 2 8 2 4 2 3" xfId="16623" xr:uid="{00000000-0005-0000-0000-00007B220000}"/>
    <cellStyle name="Input 2 8 2 4 2_Summary" xfId="21360" xr:uid="{00000000-0005-0000-0000-00007C220000}"/>
    <cellStyle name="Input 2 8 2 4 3" xfId="5443" xr:uid="{00000000-0005-0000-0000-00007D220000}"/>
    <cellStyle name="Input 2 8 2 4 3 2" xfId="12039" xr:uid="{00000000-0005-0000-0000-00007E220000}"/>
    <cellStyle name="Input 2 8 2 4 3 3" xfId="18658" xr:uid="{00000000-0005-0000-0000-00007F220000}"/>
    <cellStyle name="Input 2 8 2 4 3_Summary" xfId="21361" xr:uid="{00000000-0005-0000-0000-000080220000}"/>
    <cellStyle name="Input 2 8 2 4 4" xfId="7868" xr:uid="{00000000-0005-0000-0000-000081220000}"/>
    <cellStyle name="Input 2 8 2 4 5" xfId="14487" xr:uid="{00000000-0005-0000-0000-000082220000}"/>
    <cellStyle name="Input 2 8 2 4_Summary" xfId="21359" xr:uid="{00000000-0005-0000-0000-000083220000}"/>
    <cellStyle name="Input 2 8 2 5" xfId="1553" xr:uid="{00000000-0005-0000-0000-000084220000}"/>
    <cellStyle name="Input 2 8 2 5 2" xfId="3689" xr:uid="{00000000-0005-0000-0000-000085220000}"/>
    <cellStyle name="Input 2 8 2 5 2 2" xfId="10285" xr:uid="{00000000-0005-0000-0000-000086220000}"/>
    <cellStyle name="Input 2 8 2 5 2 3" xfId="16904" xr:uid="{00000000-0005-0000-0000-000087220000}"/>
    <cellStyle name="Input 2 8 2 5 2_Summary" xfId="21363" xr:uid="{00000000-0005-0000-0000-000088220000}"/>
    <cellStyle name="Input 2 8 2 5 3" xfId="5724" xr:uid="{00000000-0005-0000-0000-000089220000}"/>
    <cellStyle name="Input 2 8 2 5 3 2" xfId="12320" xr:uid="{00000000-0005-0000-0000-00008A220000}"/>
    <cellStyle name="Input 2 8 2 5 3 3" xfId="18939" xr:uid="{00000000-0005-0000-0000-00008B220000}"/>
    <cellStyle name="Input 2 8 2 5 3_Summary" xfId="21364" xr:uid="{00000000-0005-0000-0000-00008C220000}"/>
    <cellStyle name="Input 2 8 2 5 4" xfId="8149" xr:uid="{00000000-0005-0000-0000-00008D220000}"/>
    <cellStyle name="Input 2 8 2 5 5" xfId="14768" xr:uid="{00000000-0005-0000-0000-00008E220000}"/>
    <cellStyle name="Input 2 8 2 5_Summary" xfId="21362" xr:uid="{00000000-0005-0000-0000-00008F220000}"/>
    <cellStyle name="Input 2 8 2 6" xfId="1832" xr:uid="{00000000-0005-0000-0000-000090220000}"/>
    <cellStyle name="Input 2 8 2 6 2" xfId="3968" xr:uid="{00000000-0005-0000-0000-000091220000}"/>
    <cellStyle name="Input 2 8 2 6 2 2" xfId="10564" xr:uid="{00000000-0005-0000-0000-000092220000}"/>
    <cellStyle name="Input 2 8 2 6 2 3" xfId="17183" xr:uid="{00000000-0005-0000-0000-000093220000}"/>
    <cellStyle name="Input 2 8 2 6 2_Summary" xfId="21366" xr:uid="{00000000-0005-0000-0000-000094220000}"/>
    <cellStyle name="Input 2 8 2 6 3" xfId="6003" xr:uid="{00000000-0005-0000-0000-000095220000}"/>
    <cellStyle name="Input 2 8 2 6 3 2" xfId="12599" xr:uid="{00000000-0005-0000-0000-000096220000}"/>
    <cellStyle name="Input 2 8 2 6 3 3" xfId="19218" xr:uid="{00000000-0005-0000-0000-000097220000}"/>
    <cellStyle name="Input 2 8 2 6 3_Summary" xfId="21367" xr:uid="{00000000-0005-0000-0000-000098220000}"/>
    <cellStyle name="Input 2 8 2 6 4" xfId="8428" xr:uid="{00000000-0005-0000-0000-000099220000}"/>
    <cellStyle name="Input 2 8 2 6 5" xfId="15047" xr:uid="{00000000-0005-0000-0000-00009A220000}"/>
    <cellStyle name="Input 2 8 2 6_Summary" xfId="21365" xr:uid="{00000000-0005-0000-0000-00009B220000}"/>
    <cellStyle name="Input 2 8 2 7" xfId="2107" xr:uid="{00000000-0005-0000-0000-00009C220000}"/>
    <cellStyle name="Input 2 8 2 7 2" xfId="4243" xr:uid="{00000000-0005-0000-0000-00009D220000}"/>
    <cellStyle name="Input 2 8 2 7 2 2" xfId="10839" xr:uid="{00000000-0005-0000-0000-00009E220000}"/>
    <cellStyle name="Input 2 8 2 7 2 3" xfId="17458" xr:uid="{00000000-0005-0000-0000-00009F220000}"/>
    <cellStyle name="Input 2 8 2 7 2_Summary" xfId="21369" xr:uid="{00000000-0005-0000-0000-0000A0220000}"/>
    <cellStyle name="Input 2 8 2 7 3" xfId="6278" xr:uid="{00000000-0005-0000-0000-0000A1220000}"/>
    <cellStyle name="Input 2 8 2 7 3 2" xfId="12874" xr:uid="{00000000-0005-0000-0000-0000A2220000}"/>
    <cellStyle name="Input 2 8 2 7 3 3" xfId="19493" xr:uid="{00000000-0005-0000-0000-0000A3220000}"/>
    <cellStyle name="Input 2 8 2 7 3_Summary" xfId="21370" xr:uid="{00000000-0005-0000-0000-0000A4220000}"/>
    <cellStyle name="Input 2 8 2 7 4" xfId="8703" xr:uid="{00000000-0005-0000-0000-0000A5220000}"/>
    <cellStyle name="Input 2 8 2 7 5" xfId="15322" xr:uid="{00000000-0005-0000-0000-0000A6220000}"/>
    <cellStyle name="Input 2 8 2 7_Summary" xfId="21368" xr:uid="{00000000-0005-0000-0000-0000A7220000}"/>
    <cellStyle name="Input 2 8 2 8" xfId="2380" xr:uid="{00000000-0005-0000-0000-0000A8220000}"/>
    <cellStyle name="Input 2 8 2 8 2" xfId="4516" xr:uid="{00000000-0005-0000-0000-0000A9220000}"/>
    <cellStyle name="Input 2 8 2 8 2 2" xfId="11112" xr:uid="{00000000-0005-0000-0000-0000AA220000}"/>
    <cellStyle name="Input 2 8 2 8 2 3" xfId="17731" xr:uid="{00000000-0005-0000-0000-0000AB220000}"/>
    <cellStyle name="Input 2 8 2 8 2_Summary" xfId="21372" xr:uid="{00000000-0005-0000-0000-0000AC220000}"/>
    <cellStyle name="Input 2 8 2 8 3" xfId="6551" xr:uid="{00000000-0005-0000-0000-0000AD220000}"/>
    <cellStyle name="Input 2 8 2 8 3 2" xfId="13147" xr:uid="{00000000-0005-0000-0000-0000AE220000}"/>
    <cellStyle name="Input 2 8 2 8 3 3" xfId="19766" xr:uid="{00000000-0005-0000-0000-0000AF220000}"/>
    <cellStyle name="Input 2 8 2 8 3_Summary" xfId="21373" xr:uid="{00000000-0005-0000-0000-0000B0220000}"/>
    <cellStyle name="Input 2 8 2 8 4" xfId="8976" xr:uid="{00000000-0005-0000-0000-0000B1220000}"/>
    <cellStyle name="Input 2 8 2 8 5" xfId="15595" xr:uid="{00000000-0005-0000-0000-0000B2220000}"/>
    <cellStyle name="Input 2 8 2 8_Summary" xfId="21371" xr:uid="{00000000-0005-0000-0000-0000B3220000}"/>
    <cellStyle name="Input 2 8 2 9" xfId="2681" xr:uid="{00000000-0005-0000-0000-0000B4220000}"/>
    <cellStyle name="Input 2 8 2 9 2" xfId="9277" xr:uid="{00000000-0005-0000-0000-0000B5220000}"/>
    <cellStyle name="Input 2 8 2 9 3" xfId="15896" xr:uid="{00000000-0005-0000-0000-0000B6220000}"/>
    <cellStyle name="Input 2 8 2 9_Summary" xfId="21374" xr:uid="{00000000-0005-0000-0000-0000B7220000}"/>
    <cellStyle name="Input 2 8 2_Summary" xfId="21331" xr:uid="{00000000-0005-0000-0000-0000B8220000}"/>
    <cellStyle name="Input 2 8 3" xfId="211" xr:uid="{00000000-0005-0000-0000-0000B9220000}"/>
    <cellStyle name="Input 2 8 3 10" xfId="748" xr:uid="{00000000-0005-0000-0000-0000BA220000}"/>
    <cellStyle name="Input 2 8 3 10 2" xfId="13963" xr:uid="{00000000-0005-0000-0000-0000BB220000}"/>
    <cellStyle name="Input 2 8 3 10_Summary" xfId="21376" xr:uid="{00000000-0005-0000-0000-0000BC220000}"/>
    <cellStyle name="Input 2 8 3 11" xfId="7118" xr:uid="{00000000-0005-0000-0000-0000BD220000}"/>
    <cellStyle name="Input 2 8 3 12" xfId="7158" xr:uid="{00000000-0005-0000-0000-0000BE220000}"/>
    <cellStyle name="Input 2 8 3 13" xfId="28694" xr:uid="{E4BE8C3B-972D-4C5F-A25A-D8B265022E65}"/>
    <cellStyle name="Input 2 8 3 14" xfId="30935" xr:uid="{EA38FF74-91A0-44C7-B183-2B9FBDA88CBA}"/>
    <cellStyle name="Input 2 8 3 2" xfId="916" xr:uid="{00000000-0005-0000-0000-0000BF220000}"/>
    <cellStyle name="Input 2 8 3 2 2" xfId="3052" xr:uid="{00000000-0005-0000-0000-0000C0220000}"/>
    <cellStyle name="Input 2 8 3 2 2 2" xfId="9648" xr:uid="{00000000-0005-0000-0000-0000C1220000}"/>
    <cellStyle name="Input 2 8 3 2 2 3" xfId="16267" xr:uid="{00000000-0005-0000-0000-0000C2220000}"/>
    <cellStyle name="Input 2 8 3 2 2_Summary" xfId="21378" xr:uid="{00000000-0005-0000-0000-0000C3220000}"/>
    <cellStyle name="Input 2 8 3 2 3" xfId="5087" xr:uid="{00000000-0005-0000-0000-0000C4220000}"/>
    <cellStyle name="Input 2 8 3 2 3 2" xfId="11683" xr:uid="{00000000-0005-0000-0000-0000C5220000}"/>
    <cellStyle name="Input 2 8 3 2 3 3" xfId="18302" xr:uid="{00000000-0005-0000-0000-0000C6220000}"/>
    <cellStyle name="Input 2 8 3 2 3_Summary" xfId="21379" xr:uid="{00000000-0005-0000-0000-0000C7220000}"/>
    <cellStyle name="Input 2 8 3 2 4" xfId="7513" xr:uid="{00000000-0005-0000-0000-0000C8220000}"/>
    <cellStyle name="Input 2 8 3 2 5" xfId="14131" xr:uid="{00000000-0005-0000-0000-0000C9220000}"/>
    <cellStyle name="Input 2 8 3 2 6" xfId="30217" xr:uid="{988C2BFB-86AC-45EE-9717-8BA5B40FC7A1}"/>
    <cellStyle name="Input 2 8 3 2 7" xfId="31649" xr:uid="{BA3F81FA-67B8-4BCF-B1F6-7EC5B40CD635}"/>
    <cellStyle name="Input 2 8 3 2_Summary" xfId="21377" xr:uid="{00000000-0005-0000-0000-0000CA220000}"/>
    <cellStyle name="Input 2 8 3 3" xfId="1201" xr:uid="{00000000-0005-0000-0000-0000CB220000}"/>
    <cellStyle name="Input 2 8 3 3 2" xfId="3337" xr:uid="{00000000-0005-0000-0000-0000CC220000}"/>
    <cellStyle name="Input 2 8 3 3 2 2" xfId="9933" xr:uid="{00000000-0005-0000-0000-0000CD220000}"/>
    <cellStyle name="Input 2 8 3 3 2 3" xfId="16552" xr:uid="{00000000-0005-0000-0000-0000CE220000}"/>
    <cellStyle name="Input 2 8 3 3 2_Summary" xfId="21381" xr:uid="{00000000-0005-0000-0000-0000CF220000}"/>
    <cellStyle name="Input 2 8 3 3 3" xfId="5372" xr:uid="{00000000-0005-0000-0000-0000D0220000}"/>
    <cellStyle name="Input 2 8 3 3 3 2" xfId="11968" xr:uid="{00000000-0005-0000-0000-0000D1220000}"/>
    <cellStyle name="Input 2 8 3 3 3 3" xfId="18587" xr:uid="{00000000-0005-0000-0000-0000D2220000}"/>
    <cellStyle name="Input 2 8 3 3 3_Summary" xfId="21382" xr:uid="{00000000-0005-0000-0000-0000D3220000}"/>
    <cellStyle name="Input 2 8 3 3 4" xfId="7797" xr:uid="{00000000-0005-0000-0000-0000D4220000}"/>
    <cellStyle name="Input 2 8 3 3 5" xfId="14416" xr:uid="{00000000-0005-0000-0000-0000D5220000}"/>
    <cellStyle name="Input 2 8 3 3_Summary" xfId="21380" xr:uid="{00000000-0005-0000-0000-0000D6220000}"/>
    <cellStyle name="Input 2 8 3 4" xfId="1483" xr:uid="{00000000-0005-0000-0000-0000D7220000}"/>
    <cellStyle name="Input 2 8 3 4 2" xfId="3619" xr:uid="{00000000-0005-0000-0000-0000D8220000}"/>
    <cellStyle name="Input 2 8 3 4 2 2" xfId="10215" xr:uid="{00000000-0005-0000-0000-0000D9220000}"/>
    <cellStyle name="Input 2 8 3 4 2 3" xfId="16834" xr:uid="{00000000-0005-0000-0000-0000DA220000}"/>
    <cellStyle name="Input 2 8 3 4 2_Summary" xfId="21384" xr:uid="{00000000-0005-0000-0000-0000DB220000}"/>
    <cellStyle name="Input 2 8 3 4 3" xfId="5654" xr:uid="{00000000-0005-0000-0000-0000DC220000}"/>
    <cellStyle name="Input 2 8 3 4 3 2" xfId="12250" xr:uid="{00000000-0005-0000-0000-0000DD220000}"/>
    <cellStyle name="Input 2 8 3 4 3 3" xfId="18869" xr:uid="{00000000-0005-0000-0000-0000DE220000}"/>
    <cellStyle name="Input 2 8 3 4 3_Summary" xfId="21385" xr:uid="{00000000-0005-0000-0000-0000DF220000}"/>
    <cellStyle name="Input 2 8 3 4 4" xfId="8079" xr:uid="{00000000-0005-0000-0000-0000E0220000}"/>
    <cellStyle name="Input 2 8 3 4 5" xfId="14698" xr:uid="{00000000-0005-0000-0000-0000E1220000}"/>
    <cellStyle name="Input 2 8 3 4_Summary" xfId="21383" xr:uid="{00000000-0005-0000-0000-0000E2220000}"/>
    <cellStyle name="Input 2 8 3 5" xfId="1764" xr:uid="{00000000-0005-0000-0000-0000E3220000}"/>
    <cellStyle name="Input 2 8 3 5 2" xfId="3900" xr:uid="{00000000-0005-0000-0000-0000E4220000}"/>
    <cellStyle name="Input 2 8 3 5 2 2" xfId="10496" xr:uid="{00000000-0005-0000-0000-0000E5220000}"/>
    <cellStyle name="Input 2 8 3 5 2 3" xfId="17115" xr:uid="{00000000-0005-0000-0000-0000E6220000}"/>
    <cellStyle name="Input 2 8 3 5 2_Summary" xfId="21387" xr:uid="{00000000-0005-0000-0000-0000E7220000}"/>
    <cellStyle name="Input 2 8 3 5 3" xfId="5935" xr:uid="{00000000-0005-0000-0000-0000E8220000}"/>
    <cellStyle name="Input 2 8 3 5 3 2" xfId="12531" xr:uid="{00000000-0005-0000-0000-0000E9220000}"/>
    <cellStyle name="Input 2 8 3 5 3 3" xfId="19150" xr:uid="{00000000-0005-0000-0000-0000EA220000}"/>
    <cellStyle name="Input 2 8 3 5 3_Summary" xfId="21388" xr:uid="{00000000-0005-0000-0000-0000EB220000}"/>
    <cellStyle name="Input 2 8 3 5 4" xfId="8360" xr:uid="{00000000-0005-0000-0000-0000EC220000}"/>
    <cellStyle name="Input 2 8 3 5 5" xfId="14979" xr:uid="{00000000-0005-0000-0000-0000ED220000}"/>
    <cellStyle name="Input 2 8 3 5_Summary" xfId="21386" xr:uid="{00000000-0005-0000-0000-0000EE220000}"/>
    <cellStyle name="Input 2 8 3 6" xfId="2043" xr:uid="{00000000-0005-0000-0000-0000EF220000}"/>
    <cellStyle name="Input 2 8 3 6 2" xfId="4179" xr:uid="{00000000-0005-0000-0000-0000F0220000}"/>
    <cellStyle name="Input 2 8 3 6 2 2" xfId="10775" xr:uid="{00000000-0005-0000-0000-0000F1220000}"/>
    <cellStyle name="Input 2 8 3 6 2 3" xfId="17394" xr:uid="{00000000-0005-0000-0000-0000F2220000}"/>
    <cellStyle name="Input 2 8 3 6 2_Summary" xfId="21390" xr:uid="{00000000-0005-0000-0000-0000F3220000}"/>
    <cellStyle name="Input 2 8 3 6 3" xfId="6214" xr:uid="{00000000-0005-0000-0000-0000F4220000}"/>
    <cellStyle name="Input 2 8 3 6 3 2" xfId="12810" xr:uid="{00000000-0005-0000-0000-0000F5220000}"/>
    <cellStyle name="Input 2 8 3 6 3 3" xfId="19429" xr:uid="{00000000-0005-0000-0000-0000F6220000}"/>
    <cellStyle name="Input 2 8 3 6 3_Summary" xfId="21391" xr:uid="{00000000-0005-0000-0000-0000F7220000}"/>
    <cellStyle name="Input 2 8 3 6 4" xfId="8639" xr:uid="{00000000-0005-0000-0000-0000F8220000}"/>
    <cellStyle name="Input 2 8 3 6 5" xfId="15258" xr:uid="{00000000-0005-0000-0000-0000F9220000}"/>
    <cellStyle name="Input 2 8 3 6_Summary" xfId="21389" xr:uid="{00000000-0005-0000-0000-0000FA220000}"/>
    <cellStyle name="Input 2 8 3 7" xfId="2318" xr:uid="{00000000-0005-0000-0000-0000FB220000}"/>
    <cellStyle name="Input 2 8 3 7 2" xfId="4454" xr:uid="{00000000-0005-0000-0000-0000FC220000}"/>
    <cellStyle name="Input 2 8 3 7 2 2" xfId="11050" xr:uid="{00000000-0005-0000-0000-0000FD220000}"/>
    <cellStyle name="Input 2 8 3 7 2 3" xfId="17669" xr:uid="{00000000-0005-0000-0000-0000FE220000}"/>
    <cellStyle name="Input 2 8 3 7 2_Summary" xfId="21393" xr:uid="{00000000-0005-0000-0000-0000FF220000}"/>
    <cellStyle name="Input 2 8 3 7 3" xfId="6489" xr:uid="{00000000-0005-0000-0000-000000230000}"/>
    <cellStyle name="Input 2 8 3 7 3 2" xfId="13085" xr:uid="{00000000-0005-0000-0000-000001230000}"/>
    <cellStyle name="Input 2 8 3 7 3 3" xfId="19704" xr:uid="{00000000-0005-0000-0000-000002230000}"/>
    <cellStyle name="Input 2 8 3 7 3_Summary" xfId="21394" xr:uid="{00000000-0005-0000-0000-000003230000}"/>
    <cellStyle name="Input 2 8 3 7 4" xfId="8914" xr:uid="{00000000-0005-0000-0000-000004230000}"/>
    <cellStyle name="Input 2 8 3 7 5" xfId="15533" xr:uid="{00000000-0005-0000-0000-000005230000}"/>
    <cellStyle name="Input 2 8 3 7_Summary" xfId="21392" xr:uid="{00000000-0005-0000-0000-000006230000}"/>
    <cellStyle name="Input 2 8 3 8" xfId="2884" xr:uid="{00000000-0005-0000-0000-000007230000}"/>
    <cellStyle name="Input 2 8 3 8 2" xfId="9480" xr:uid="{00000000-0005-0000-0000-000008230000}"/>
    <cellStyle name="Input 2 8 3 8 3" xfId="16099" xr:uid="{00000000-0005-0000-0000-000009230000}"/>
    <cellStyle name="Input 2 8 3 8_Summary" xfId="21395" xr:uid="{00000000-0005-0000-0000-00000A230000}"/>
    <cellStyle name="Input 2 8 3 9" xfId="4919" xr:uid="{00000000-0005-0000-0000-00000B230000}"/>
    <cellStyle name="Input 2 8 3 9 2" xfId="11515" xr:uid="{00000000-0005-0000-0000-00000C230000}"/>
    <cellStyle name="Input 2 8 3 9 3" xfId="18134" xr:uid="{00000000-0005-0000-0000-00000D230000}"/>
    <cellStyle name="Input 2 8 3 9_Summary" xfId="21396" xr:uid="{00000000-0005-0000-0000-00000E230000}"/>
    <cellStyle name="Input 2 8 3_Summary" xfId="21375" xr:uid="{00000000-0005-0000-0000-00000F230000}"/>
    <cellStyle name="Input 2 8 4" xfId="363" xr:uid="{00000000-0005-0000-0000-000010230000}"/>
    <cellStyle name="Input 2 8 4 10" xfId="692" xr:uid="{00000000-0005-0000-0000-000011230000}"/>
    <cellStyle name="Input 2 8 4 10 2" xfId="13907" xr:uid="{00000000-0005-0000-0000-000012230000}"/>
    <cellStyle name="Input 2 8 4 10_Summary" xfId="21398" xr:uid="{00000000-0005-0000-0000-000013230000}"/>
    <cellStyle name="Input 2 8 4 11" xfId="7256" xr:uid="{00000000-0005-0000-0000-000014230000}"/>
    <cellStyle name="Input 2 8 4 12" xfId="13578" xr:uid="{00000000-0005-0000-0000-000015230000}"/>
    <cellStyle name="Input 2 8 4 13" xfId="30215" xr:uid="{8EBBF7DE-4FF4-49BD-8F3A-9860C90DCEC7}"/>
    <cellStyle name="Input 2 8 4 14" xfId="31647" xr:uid="{966E7AD5-477D-4768-A1CC-0E664F1EA0A9}"/>
    <cellStyle name="Input 2 8 4 2" xfId="1057" xr:uid="{00000000-0005-0000-0000-000016230000}"/>
    <cellStyle name="Input 2 8 4 2 2" xfId="3193" xr:uid="{00000000-0005-0000-0000-000017230000}"/>
    <cellStyle name="Input 2 8 4 2 2 2" xfId="9789" xr:uid="{00000000-0005-0000-0000-000018230000}"/>
    <cellStyle name="Input 2 8 4 2 2 3" xfId="16408" xr:uid="{00000000-0005-0000-0000-000019230000}"/>
    <cellStyle name="Input 2 8 4 2 2_Summary" xfId="21400" xr:uid="{00000000-0005-0000-0000-00001A230000}"/>
    <cellStyle name="Input 2 8 4 2 3" xfId="5228" xr:uid="{00000000-0005-0000-0000-00001B230000}"/>
    <cellStyle name="Input 2 8 4 2 3 2" xfId="11824" xr:uid="{00000000-0005-0000-0000-00001C230000}"/>
    <cellStyle name="Input 2 8 4 2 3 3" xfId="18443" xr:uid="{00000000-0005-0000-0000-00001D230000}"/>
    <cellStyle name="Input 2 8 4 2 3_Summary" xfId="21401" xr:uid="{00000000-0005-0000-0000-00001E230000}"/>
    <cellStyle name="Input 2 8 4 2 4" xfId="7654" xr:uid="{00000000-0005-0000-0000-00001F230000}"/>
    <cellStyle name="Input 2 8 4 2 5" xfId="14272" xr:uid="{00000000-0005-0000-0000-000020230000}"/>
    <cellStyle name="Input 2 8 4 2_Summary" xfId="21399" xr:uid="{00000000-0005-0000-0000-000021230000}"/>
    <cellStyle name="Input 2 8 4 3" xfId="1339" xr:uid="{00000000-0005-0000-0000-000022230000}"/>
    <cellStyle name="Input 2 8 4 3 2" xfId="3475" xr:uid="{00000000-0005-0000-0000-000023230000}"/>
    <cellStyle name="Input 2 8 4 3 2 2" xfId="10071" xr:uid="{00000000-0005-0000-0000-000024230000}"/>
    <cellStyle name="Input 2 8 4 3 2 3" xfId="16690" xr:uid="{00000000-0005-0000-0000-000025230000}"/>
    <cellStyle name="Input 2 8 4 3 2_Summary" xfId="21403" xr:uid="{00000000-0005-0000-0000-000026230000}"/>
    <cellStyle name="Input 2 8 4 3 3" xfId="5510" xr:uid="{00000000-0005-0000-0000-000027230000}"/>
    <cellStyle name="Input 2 8 4 3 3 2" xfId="12106" xr:uid="{00000000-0005-0000-0000-000028230000}"/>
    <cellStyle name="Input 2 8 4 3 3 3" xfId="18725" xr:uid="{00000000-0005-0000-0000-000029230000}"/>
    <cellStyle name="Input 2 8 4 3 3_Summary" xfId="21404" xr:uid="{00000000-0005-0000-0000-00002A230000}"/>
    <cellStyle name="Input 2 8 4 3 4" xfId="7935" xr:uid="{00000000-0005-0000-0000-00002B230000}"/>
    <cellStyle name="Input 2 8 4 3 5" xfId="14554" xr:uid="{00000000-0005-0000-0000-00002C230000}"/>
    <cellStyle name="Input 2 8 4 3_Summary" xfId="21402" xr:uid="{00000000-0005-0000-0000-00002D230000}"/>
    <cellStyle name="Input 2 8 4 4" xfId="1620" xr:uid="{00000000-0005-0000-0000-00002E230000}"/>
    <cellStyle name="Input 2 8 4 4 2" xfId="3756" xr:uid="{00000000-0005-0000-0000-00002F230000}"/>
    <cellStyle name="Input 2 8 4 4 2 2" xfId="10352" xr:uid="{00000000-0005-0000-0000-000030230000}"/>
    <cellStyle name="Input 2 8 4 4 2 3" xfId="16971" xr:uid="{00000000-0005-0000-0000-000031230000}"/>
    <cellStyle name="Input 2 8 4 4 2_Summary" xfId="21406" xr:uid="{00000000-0005-0000-0000-000032230000}"/>
    <cellStyle name="Input 2 8 4 4 3" xfId="5791" xr:uid="{00000000-0005-0000-0000-000033230000}"/>
    <cellStyle name="Input 2 8 4 4 3 2" xfId="12387" xr:uid="{00000000-0005-0000-0000-000034230000}"/>
    <cellStyle name="Input 2 8 4 4 3 3" xfId="19006" xr:uid="{00000000-0005-0000-0000-000035230000}"/>
    <cellStyle name="Input 2 8 4 4 3_Summary" xfId="21407" xr:uid="{00000000-0005-0000-0000-000036230000}"/>
    <cellStyle name="Input 2 8 4 4 4" xfId="8216" xr:uid="{00000000-0005-0000-0000-000037230000}"/>
    <cellStyle name="Input 2 8 4 4 5" xfId="14835" xr:uid="{00000000-0005-0000-0000-000038230000}"/>
    <cellStyle name="Input 2 8 4 4_Summary" xfId="21405" xr:uid="{00000000-0005-0000-0000-000039230000}"/>
    <cellStyle name="Input 2 8 4 5" xfId="1899" xr:uid="{00000000-0005-0000-0000-00003A230000}"/>
    <cellStyle name="Input 2 8 4 5 2" xfId="4035" xr:uid="{00000000-0005-0000-0000-00003B230000}"/>
    <cellStyle name="Input 2 8 4 5 2 2" xfId="10631" xr:uid="{00000000-0005-0000-0000-00003C230000}"/>
    <cellStyle name="Input 2 8 4 5 2 3" xfId="17250" xr:uid="{00000000-0005-0000-0000-00003D230000}"/>
    <cellStyle name="Input 2 8 4 5 2_Summary" xfId="21409" xr:uid="{00000000-0005-0000-0000-00003E230000}"/>
    <cellStyle name="Input 2 8 4 5 3" xfId="6070" xr:uid="{00000000-0005-0000-0000-00003F230000}"/>
    <cellStyle name="Input 2 8 4 5 3 2" xfId="12666" xr:uid="{00000000-0005-0000-0000-000040230000}"/>
    <cellStyle name="Input 2 8 4 5 3 3" xfId="19285" xr:uid="{00000000-0005-0000-0000-000041230000}"/>
    <cellStyle name="Input 2 8 4 5 3_Summary" xfId="21410" xr:uid="{00000000-0005-0000-0000-000042230000}"/>
    <cellStyle name="Input 2 8 4 5 4" xfId="8495" xr:uid="{00000000-0005-0000-0000-000043230000}"/>
    <cellStyle name="Input 2 8 4 5 5" xfId="15114" xr:uid="{00000000-0005-0000-0000-000044230000}"/>
    <cellStyle name="Input 2 8 4 5_Summary" xfId="21408" xr:uid="{00000000-0005-0000-0000-000045230000}"/>
    <cellStyle name="Input 2 8 4 6" xfId="2174" xr:uid="{00000000-0005-0000-0000-000046230000}"/>
    <cellStyle name="Input 2 8 4 6 2" xfId="4310" xr:uid="{00000000-0005-0000-0000-000047230000}"/>
    <cellStyle name="Input 2 8 4 6 2 2" xfId="10906" xr:uid="{00000000-0005-0000-0000-000048230000}"/>
    <cellStyle name="Input 2 8 4 6 2 3" xfId="17525" xr:uid="{00000000-0005-0000-0000-000049230000}"/>
    <cellStyle name="Input 2 8 4 6 2_Summary" xfId="21412" xr:uid="{00000000-0005-0000-0000-00004A230000}"/>
    <cellStyle name="Input 2 8 4 6 3" xfId="6345" xr:uid="{00000000-0005-0000-0000-00004B230000}"/>
    <cellStyle name="Input 2 8 4 6 3 2" xfId="12941" xr:uid="{00000000-0005-0000-0000-00004C230000}"/>
    <cellStyle name="Input 2 8 4 6 3 3" xfId="19560" xr:uid="{00000000-0005-0000-0000-00004D230000}"/>
    <cellStyle name="Input 2 8 4 6 3_Summary" xfId="21413" xr:uid="{00000000-0005-0000-0000-00004E230000}"/>
    <cellStyle name="Input 2 8 4 6 4" xfId="8770" xr:uid="{00000000-0005-0000-0000-00004F230000}"/>
    <cellStyle name="Input 2 8 4 6 5" xfId="15389" xr:uid="{00000000-0005-0000-0000-000050230000}"/>
    <cellStyle name="Input 2 8 4 6_Summary" xfId="21411" xr:uid="{00000000-0005-0000-0000-000051230000}"/>
    <cellStyle name="Input 2 8 4 7" xfId="2447" xr:uid="{00000000-0005-0000-0000-000052230000}"/>
    <cellStyle name="Input 2 8 4 7 2" xfId="4583" xr:uid="{00000000-0005-0000-0000-000053230000}"/>
    <cellStyle name="Input 2 8 4 7 2 2" xfId="11179" xr:uid="{00000000-0005-0000-0000-000054230000}"/>
    <cellStyle name="Input 2 8 4 7 2 3" xfId="17798" xr:uid="{00000000-0005-0000-0000-000055230000}"/>
    <cellStyle name="Input 2 8 4 7 2_Summary" xfId="21415" xr:uid="{00000000-0005-0000-0000-000056230000}"/>
    <cellStyle name="Input 2 8 4 7 3" xfId="6618" xr:uid="{00000000-0005-0000-0000-000057230000}"/>
    <cellStyle name="Input 2 8 4 7 3 2" xfId="13214" xr:uid="{00000000-0005-0000-0000-000058230000}"/>
    <cellStyle name="Input 2 8 4 7 3 3" xfId="19833" xr:uid="{00000000-0005-0000-0000-000059230000}"/>
    <cellStyle name="Input 2 8 4 7 3_Summary" xfId="21416" xr:uid="{00000000-0005-0000-0000-00005A230000}"/>
    <cellStyle name="Input 2 8 4 7 4" xfId="9043" xr:uid="{00000000-0005-0000-0000-00005B230000}"/>
    <cellStyle name="Input 2 8 4 7 5" xfId="15662" xr:uid="{00000000-0005-0000-0000-00005C230000}"/>
    <cellStyle name="Input 2 8 4 7_Summary" xfId="21414" xr:uid="{00000000-0005-0000-0000-00005D230000}"/>
    <cellStyle name="Input 2 8 4 8" xfId="2828" xr:uid="{00000000-0005-0000-0000-00005E230000}"/>
    <cellStyle name="Input 2 8 4 8 2" xfId="9424" xr:uid="{00000000-0005-0000-0000-00005F230000}"/>
    <cellStyle name="Input 2 8 4 8 3" xfId="16043" xr:uid="{00000000-0005-0000-0000-000060230000}"/>
    <cellStyle name="Input 2 8 4 8_Summary" xfId="21417" xr:uid="{00000000-0005-0000-0000-000061230000}"/>
    <cellStyle name="Input 2 8 4 9" xfId="4863" xr:uid="{00000000-0005-0000-0000-000062230000}"/>
    <cellStyle name="Input 2 8 4 9 2" xfId="11459" xr:uid="{00000000-0005-0000-0000-000063230000}"/>
    <cellStyle name="Input 2 8 4 9 3" xfId="18078" xr:uid="{00000000-0005-0000-0000-000064230000}"/>
    <cellStyle name="Input 2 8 4 9_Summary" xfId="21418" xr:uid="{00000000-0005-0000-0000-000065230000}"/>
    <cellStyle name="Input 2 8 4_Summary" xfId="21397" xr:uid="{00000000-0005-0000-0000-000066230000}"/>
    <cellStyle name="Input 2 8 5" xfId="618" xr:uid="{00000000-0005-0000-0000-000067230000}"/>
    <cellStyle name="Input 2 8 5 2" xfId="2754" xr:uid="{00000000-0005-0000-0000-000068230000}"/>
    <cellStyle name="Input 2 8 5 2 2" xfId="9350" xr:uid="{00000000-0005-0000-0000-000069230000}"/>
    <cellStyle name="Input 2 8 5 2 3" xfId="15969" xr:uid="{00000000-0005-0000-0000-00006A230000}"/>
    <cellStyle name="Input 2 8 5 2_Summary" xfId="21420" xr:uid="{00000000-0005-0000-0000-00006B230000}"/>
    <cellStyle name="Input 2 8 5 3" xfId="4789" xr:uid="{00000000-0005-0000-0000-00006C230000}"/>
    <cellStyle name="Input 2 8 5 3 2" xfId="11385" xr:uid="{00000000-0005-0000-0000-00006D230000}"/>
    <cellStyle name="Input 2 8 5 3 3" xfId="18004" xr:uid="{00000000-0005-0000-0000-00006E230000}"/>
    <cellStyle name="Input 2 8 5 3_Summary" xfId="21421" xr:uid="{00000000-0005-0000-0000-00006F230000}"/>
    <cellStyle name="Input 2 8 5 4" xfId="7390" xr:uid="{00000000-0005-0000-0000-000070230000}"/>
    <cellStyle name="Input 2 8 5 5" xfId="13833" xr:uid="{00000000-0005-0000-0000-000071230000}"/>
    <cellStyle name="Input 2 8 5_Summary" xfId="21419" xr:uid="{00000000-0005-0000-0000-000072230000}"/>
    <cellStyle name="Input 2 8 6" xfId="591" xr:uid="{00000000-0005-0000-0000-000073230000}"/>
    <cellStyle name="Input 2 8 6 2" xfId="2727" xr:uid="{00000000-0005-0000-0000-000074230000}"/>
    <cellStyle name="Input 2 8 6 2 2" xfId="9323" xr:uid="{00000000-0005-0000-0000-000075230000}"/>
    <cellStyle name="Input 2 8 6 2 3" xfId="15942" xr:uid="{00000000-0005-0000-0000-000076230000}"/>
    <cellStyle name="Input 2 8 6 2_Summary" xfId="21423" xr:uid="{00000000-0005-0000-0000-000077230000}"/>
    <cellStyle name="Input 2 8 6 3" xfId="4762" xr:uid="{00000000-0005-0000-0000-000078230000}"/>
    <cellStyle name="Input 2 8 6 3 2" xfId="11358" xr:uid="{00000000-0005-0000-0000-000079230000}"/>
    <cellStyle name="Input 2 8 6 3 3" xfId="17977" xr:uid="{00000000-0005-0000-0000-00007A230000}"/>
    <cellStyle name="Input 2 8 6 3_Summary" xfId="21424" xr:uid="{00000000-0005-0000-0000-00007B230000}"/>
    <cellStyle name="Input 2 8 6 4" xfId="7363" xr:uid="{00000000-0005-0000-0000-00007C230000}"/>
    <cellStyle name="Input 2 8 6 5" xfId="13806" xr:uid="{00000000-0005-0000-0000-00007D230000}"/>
    <cellStyle name="Input 2 8 6_Summary" xfId="21422" xr:uid="{00000000-0005-0000-0000-00007E230000}"/>
    <cellStyle name="Input 2 8 7" xfId="619" xr:uid="{00000000-0005-0000-0000-00007F230000}"/>
    <cellStyle name="Input 2 8 7 2" xfId="2755" xr:uid="{00000000-0005-0000-0000-000080230000}"/>
    <cellStyle name="Input 2 8 7 2 2" xfId="9351" xr:uid="{00000000-0005-0000-0000-000081230000}"/>
    <cellStyle name="Input 2 8 7 2 3" xfId="15970" xr:uid="{00000000-0005-0000-0000-000082230000}"/>
    <cellStyle name="Input 2 8 7 2_Summary" xfId="21426" xr:uid="{00000000-0005-0000-0000-000083230000}"/>
    <cellStyle name="Input 2 8 7 3" xfId="4790" xr:uid="{00000000-0005-0000-0000-000084230000}"/>
    <cellStyle name="Input 2 8 7 3 2" xfId="11386" xr:uid="{00000000-0005-0000-0000-000085230000}"/>
    <cellStyle name="Input 2 8 7 3 3" xfId="18005" xr:uid="{00000000-0005-0000-0000-000086230000}"/>
    <cellStyle name="Input 2 8 7 3_Summary" xfId="21427" xr:uid="{00000000-0005-0000-0000-000087230000}"/>
    <cellStyle name="Input 2 8 7 4" xfId="7391" xr:uid="{00000000-0005-0000-0000-000088230000}"/>
    <cellStyle name="Input 2 8 7 5" xfId="13834" xr:uid="{00000000-0005-0000-0000-000089230000}"/>
    <cellStyle name="Input 2 8 7_Summary" xfId="21425" xr:uid="{00000000-0005-0000-0000-00008A230000}"/>
    <cellStyle name="Input 2 8 8" xfId="790" xr:uid="{00000000-0005-0000-0000-00008B230000}"/>
    <cellStyle name="Input 2 8 8 2" xfId="2926" xr:uid="{00000000-0005-0000-0000-00008C230000}"/>
    <cellStyle name="Input 2 8 8 2 2" xfId="9522" xr:uid="{00000000-0005-0000-0000-00008D230000}"/>
    <cellStyle name="Input 2 8 8 2 3" xfId="16141" xr:uid="{00000000-0005-0000-0000-00008E230000}"/>
    <cellStyle name="Input 2 8 8 2_Summary" xfId="21429" xr:uid="{00000000-0005-0000-0000-00008F230000}"/>
    <cellStyle name="Input 2 8 8 3" xfId="4961" xr:uid="{00000000-0005-0000-0000-000090230000}"/>
    <cellStyle name="Input 2 8 8 3 2" xfId="11557" xr:uid="{00000000-0005-0000-0000-000091230000}"/>
    <cellStyle name="Input 2 8 8 3 3" xfId="18176" xr:uid="{00000000-0005-0000-0000-000092230000}"/>
    <cellStyle name="Input 2 8 8 3_Summary" xfId="21430" xr:uid="{00000000-0005-0000-0000-000093230000}"/>
    <cellStyle name="Input 2 8 8 4" xfId="7457" xr:uid="{00000000-0005-0000-0000-000094230000}"/>
    <cellStyle name="Input 2 8 8 5" xfId="14005" xr:uid="{00000000-0005-0000-0000-000095230000}"/>
    <cellStyle name="Input 2 8 8_Summary" xfId="21428" xr:uid="{00000000-0005-0000-0000-000096230000}"/>
    <cellStyle name="Input 2 8 9" xfId="596" xr:uid="{00000000-0005-0000-0000-000097230000}"/>
    <cellStyle name="Input 2 8 9 2" xfId="2732" xr:uid="{00000000-0005-0000-0000-000098230000}"/>
    <cellStyle name="Input 2 8 9 2 2" xfId="9328" xr:uid="{00000000-0005-0000-0000-000099230000}"/>
    <cellStyle name="Input 2 8 9 2 3" xfId="15947" xr:uid="{00000000-0005-0000-0000-00009A230000}"/>
    <cellStyle name="Input 2 8 9 2_Summary" xfId="21432" xr:uid="{00000000-0005-0000-0000-00009B230000}"/>
    <cellStyle name="Input 2 8 9 3" xfId="4767" xr:uid="{00000000-0005-0000-0000-00009C230000}"/>
    <cellStyle name="Input 2 8 9 3 2" xfId="11363" xr:uid="{00000000-0005-0000-0000-00009D230000}"/>
    <cellStyle name="Input 2 8 9 3 3" xfId="17982" xr:uid="{00000000-0005-0000-0000-00009E230000}"/>
    <cellStyle name="Input 2 8 9 3_Summary" xfId="21433" xr:uid="{00000000-0005-0000-0000-00009F230000}"/>
    <cellStyle name="Input 2 8 9 4" xfId="7368" xr:uid="{00000000-0005-0000-0000-0000A0230000}"/>
    <cellStyle name="Input 2 8 9 5" xfId="13811" xr:uid="{00000000-0005-0000-0000-0000A1230000}"/>
    <cellStyle name="Input 2 8 9_Summary" xfId="21431" xr:uid="{00000000-0005-0000-0000-0000A2230000}"/>
    <cellStyle name="Input 2 8_Summary" xfId="21324" xr:uid="{00000000-0005-0000-0000-0000A3230000}"/>
    <cellStyle name="Input 2 9" xfId="161" xr:uid="{00000000-0005-0000-0000-0000A4230000}"/>
    <cellStyle name="Input 2 9 10" xfId="647" xr:uid="{00000000-0005-0000-0000-0000A5230000}"/>
    <cellStyle name="Input 2 9 10 2" xfId="2783" xr:uid="{00000000-0005-0000-0000-0000A6230000}"/>
    <cellStyle name="Input 2 9 10 2 2" xfId="9379" xr:uid="{00000000-0005-0000-0000-0000A7230000}"/>
    <cellStyle name="Input 2 9 10 2 3" xfId="15998" xr:uid="{00000000-0005-0000-0000-0000A8230000}"/>
    <cellStyle name="Input 2 9 10 2_Summary" xfId="21436" xr:uid="{00000000-0005-0000-0000-0000A9230000}"/>
    <cellStyle name="Input 2 9 10 3" xfId="4818" xr:uid="{00000000-0005-0000-0000-0000AA230000}"/>
    <cellStyle name="Input 2 9 10 3 2" xfId="11414" xr:uid="{00000000-0005-0000-0000-0000AB230000}"/>
    <cellStyle name="Input 2 9 10 3 3" xfId="18033" xr:uid="{00000000-0005-0000-0000-0000AC230000}"/>
    <cellStyle name="Input 2 9 10 3_Summary" xfId="21437" xr:uid="{00000000-0005-0000-0000-0000AD230000}"/>
    <cellStyle name="Input 2 9 10 4" xfId="7419" xr:uid="{00000000-0005-0000-0000-0000AE230000}"/>
    <cellStyle name="Input 2 9 10 5" xfId="13862" xr:uid="{00000000-0005-0000-0000-0000AF230000}"/>
    <cellStyle name="Input 2 9 10_Summary" xfId="21435" xr:uid="{00000000-0005-0000-0000-0000B0230000}"/>
    <cellStyle name="Input 2 9 11" xfId="2595" xr:uid="{00000000-0005-0000-0000-0000B1230000}"/>
    <cellStyle name="Input 2 9 11 2" xfId="9191" xr:uid="{00000000-0005-0000-0000-0000B2230000}"/>
    <cellStyle name="Input 2 9 11 3" xfId="15810" xr:uid="{00000000-0005-0000-0000-0000B3230000}"/>
    <cellStyle name="Input 2 9 11_Summary" xfId="21438" xr:uid="{00000000-0005-0000-0000-0000B4230000}"/>
    <cellStyle name="Input 2 9 12" xfId="2648" xr:uid="{00000000-0005-0000-0000-0000B5230000}"/>
    <cellStyle name="Input 2 9 12 2" xfId="9244" xr:uid="{00000000-0005-0000-0000-0000B6230000}"/>
    <cellStyle name="Input 2 9 12 3" xfId="15863" xr:uid="{00000000-0005-0000-0000-0000B7230000}"/>
    <cellStyle name="Input 2 9 12_Summary" xfId="21439" xr:uid="{00000000-0005-0000-0000-0000B8230000}"/>
    <cellStyle name="Input 2 9 13" xfId="484" xr:uid="{00000000-0005-0000-0000-0000B9230000}"/>
    <cellStyle name="Input 2 9 13 2" xfId="13699" xr:uid="{00000000-0005-0000-0000-0000BA230000}"/>
    <cellStyle name="Input 2 9 13_Summary" xfId="21440" xr:uid="{00000000-0005-0000-0000-0000BB230000}"/>
    <cellStyle name="Input 2 9 14" xfId="7074" xr:uid="{00000000-0005-0000-0000-0000BC230000}"/>
    <cellStyle name="Input 2 9 15" xfId="13414" xr:uid="{00000000-0005-0000-0000-0000BD230000}"/>
    <cellStyle name="Input 2 9 16" xfId="28695" xr:uid="{049B04E6-8F00-4575-9DA4-6A286188D315}"/>
    <cellStyle name="Input 2 9 17" xfId="30936" xr:uid="{A4123A6B-348D-4BA2-97E9-86C5125E1C78}"/>
    <cellStyle name="Input 2 9 2" xfId="298" xr:uid="{00000000-0005-0000-0000-0000BE230000}"/>
    <cellStyle name="Input 2 9 2 10" xfId="4719" xr:uid="{00000000-0005-0000-0000-0000BF230000}"/>
    <cellStyle name="Input 2 9 2 10 2" xfId="11315" xr:uid="{00000000-0005-0000-0000-0000C0230000}"/>
    <cellStyle name="Input 2 9 2 10 3" xfId="17934" xr:uid="{00000000-0005-0000-0000-0000C1230000}"/>
    <cellStyle name="Input 2 9 2 10_Summary" xfId="21442" xr:uid="{00000000-0005-0000-0000-0000C2230000}"/>
    <cellStyle name="Input 2 9 2 11" xfId="548" xr:uid="{00000000-0005-0000-0000-0000C3230000}"/>
    <cellStyle name="Input 2 9 2 11 2" xfId="13763" xr:uid="{00000000-0005-0000-0000-0000C4230000}"/>
    <cellStyle name="Input 2 9 2 11_Summary" xfId="21443" xr:uid="{00000000-0005-0000-0000-0000C5230000}"/>
    <cellStyle name="Input 2 9 2 12" xfId="7192" xr:uid="{00000000-0005-0000-0000-0000C6230000}"/>
    <cellStyle name="Input 2 9 2 13" xfId="13514" xr:uid="{00000000-0005-0000-0000-0000C7230000}"/>
    <cellStyle name="Input 2 9 2 14" xfId="28696" xr:uid="{8BBD632F-4D20-4C29-A4B8-F87C07C5E02F}"/>
    <cellStyle name="Input 2 9 2 15" xfId="30937" xr:uid="{CEE0D3DD-E475-47B2-A2ED-C0602CCF936A}"/>
    <cellStyle name="Input 2 9 2 2" xfId="427" xr:uid="{00000000-0005-0000-0000-0000C8230000}"/>
    <cellStyle name="Input 2 9 2 2 10" xfId="821" xr:uid="{00000000-0005-0000-0000-0000C9230000}"/>
    <cellStyle name="Input 2 9 2 2 10 2" xfId="14036" xr:uid="{00000000-0005-0000-0000-0000CA230000}"/>
    <cellStyle name="Input 2 9 2 2 10_Summary" xfId="21445" xr:uid="{00000000-0005-0000-0000-0000CB230000}"/>
    <cellStyle name="Input 2 9 2 2 11" xfId="7320" xr:uid="{00000000-0005-0000-0000-0000CC230000}"/>
    <cellStyle name="Input 2 9 2 2 12" xfId="13642" xr:uid="{00000000-0005-0000-0000-0000CD230000}"/>
    <cellStyle name="Input 2 9 2 2 13" xfId="30219" xr:uid="{1D023238-779E-4534-BC9F-9C6AB14FDF0C}"/>
    <cellStyle name="Input 2 9 2 2 14" xfId="31651" xr:uid="{9D85C7E4-C9EA-4D9A-BA67-22D9C325CC7E}"/>
    <cellStyle name="Input 2 9 2 2 2" xfId="1121" xr:uid="{00000000-0005-0000-0000-0000CE230000}"/>
    <cellStyle name="Input 2 9 2 2 2 2" xfId="3257" xr:uid="{00000000-0005-0000-0000-0000CF230000}"/>
    <cellStyle name="Input 2 9 2 2 2 2 2" xfId="9853" xr:uid="{00000000-0005-0000-0000-0000D0230000}"/>
    <cellStyle name="Input 2 9 2 2 2 2 3" xfId="16472" xr:uid="{00000000-0005-0000-0000-0000D1230000}"/>
    <cellStyle name="Input 2 9 2 2 2 2_Summary" xfId="21447" xr:uid="{00000000-0005-0000-0000-0000D2230000}"/>
    <cellStyle name="Input 2 9 2 2 2 3" xfId="5292" xr:uid="{00000000-0005-0000-0000-0000D3230000}"/>
    <cellStyle name="Input 2 9 2 2 2 3 2" xfId="11888" xr:uid="{00000000-0005-0000-0000-0000D4230000}"/>
    <cellStyle name="Input 2 9 2 2 2 3 3" xfId="18507" xr:uid="{00000000-0005-0000-0000-0000D5230000}"/>
    <cellStyle name="Input 2 9 2 2 2 3_Summary" xfId="21448" xr:uid="{00000000-0005-0000-0000-0000D6230000}"/>
    <cellStyle name="Input 2 9 2 2 2 4" xfId="7717" xr:uid="{00000000-0005-0000-0000-0000D7230000}"/>
    <cellStyle name="Input 2 9 2 2 2 5" xfId="14336" xr:uid="{00000000-0005-0000-0000-0000D8230000}"/>
    <cellStyle name="Input 2 9 2 2 2_Summary" xfId="21446" xr:uid="{00000000-0005-0000-0000-0000D9230000}"/>
    <cellStyle name="Input 2 9 2 2 3" xfId="1403" xr:uid="{00000000-0005-0000-0000-0000DA230000}"/>
    <cellStyle name="Input 2 9 2 2 3 2" xfId="3539" xr:uid="{00000000-0005-0000-0000-0000DB230000}"/>
    <cellStyle name="Input 2 9 2 2 3 2 2" xfId="10135" xr:uid="{00000000-0005-0000-0000-0000DC230000}"/>
    <cellStyle name="Input 2 9 2 2 3 2 3" xfId="16754" xr:uid="{00000000-0005-0000-0000-0000DD230000}"/>
    <cellStyle name="Input 2 9 2 2 3 2_Summary" xfId="21450" xr:uid="{00000000-0005-0000-0000-0000DE230000}"/>
    <cellStyle name="Input 2 9 2 2 3 3" xfId="5574" xr:uid="{00000000-0005-0000-0000-0000DF230000}"/>
    <cellStyle name="Input 2 9 2 2 3 3 2" xfId="12170" xr:uid="{00000000-0005-0000-0000-0000E0230000}"/>
    <cellStyle name="Input 2 9 2 2 3 3 3" xfId="18789" xr:uid="{00000000-0005-0000-0000-0000E1230000}"/>
    <cellStyle name="Input 2 9 2 2 3 3_Summary" xfId="21451" xr:uid="{00000000-0005-0000-0000-0000E2230000}"/>
    <cellStyle name="Input 2 9 2 2 3 4" xfId="7999" xr:uid="{00000000-0005-0000-0000-0000E3230000}"/>
    <cellStyle name="Input 2 9 2 2 3 5" xfId="14618" xr:uid="{00000000-0005-0000-0000-0000E4230000}"/>
    <cellStyle name="Input 2 9 2 2 3_Summary" xfId="21449" xr:uid="{00000000-0005-0000-0000-0000E5230000}"/>
    <cellStyle name="Input 2 9 2 2 4" xfId="1684" xr:uid="{00000000-0005-0000-0000-0000E6230000}"/>
    <cellStyle name="Input 2 9 2 2 4 2" xfId="3820" xr:uid="{00000000-0005-0000-0000-0000E7230000}"/>
    <cellStyle name="Input 2 9 2 2 4 2 2" xfId="10416" xr:uid="{00000000-0005-0000-0000-0000E8230000}"/>
    <cellStyle name="Input 2 9 2 2 4 2 3" xfId="17035" xr:uid="{00000000-0005-0000-0000-0000E9230000}"/>
    <cellStyle name="Input 2 9 2 2 4 2_Summary" xfId="21453" xr:uid="{00000000-0005-0000-0000-0000EA230000}"/>
    <cellStyle name="Input 2 9 2 2 4 3" xfId="5855" xr:uid="{00000000-0005-0000-0000-0000EB230000}"/>
    <cellStyle name="Input 2 9 2 2 4 3 2" xfId="12451" xr:uid="{00000000-0005-0000-0000-0000EC230000}"/>
    <cellStyle name="Input 2 9 2 2 4 3 3" xfId="19070" xr:uid="{00000000-0005-0000-0000-0000ED230000}"/>
    <cellStyle name="Input 2 9 2 2 4 3_Summary" xfId="21454" xr:uid="{00000000-0005-0000-0000-0000EE230000}"/>
    <cellStyle name="Input 2 9 2 2 4 4" xfId="8280" xr:uid="{00000000-0005-0000-0000-0000EF230000}"/>
    <cellStyle name="Input 2 9 2 2 4 5" xfId="14899" xr:uid="{00000000-0005-0000-0000-0000F0230000}"/>
    <cellStyle name="Input 2 9 2 2 4_Summary" xfId="21452" xr:uid="{00000000-0005-0000-0000-0000F1230000}"/>
    <cellStyle name="Input 2 9 2 2 5" xfId="1963" xr:uid="{00000000-0005-0000-0000-0000F2230000}"/>
    <cellStyle name="Input 2 9 2 2 5 2" xfId="4099" xr:uid="{00000000-0005-0000-0000-0000F3230000}"/>
    <cellStyle name="Input 2 9 2 2 5 2 2" xfId="10695" xr:uid="{00000000-0005-0000-0000-0000F4230000}"/>
    <cellStyle name="Input 2 9 2 2 5 2 3" xfId="17314" xr:uid="{00000000-0005-0000-0000-0000F5230000}"/>
    <cellStyle name="Input 2 9 2 2 5 2_Summary" xfId="21456" xr:uid="{00000000-0005-0000-0000-0000F6230000}"/>
    <cellStyle name="Input 2 9 2 2 5 3" xfId="6134" xr:uid="{00000000-0005-0000-0000-0000F7230000}"/>
    <cellStyle name="Input 2 9 2 2 5 3 2" xfId="12730" xr:uid="{00000000-0005-0000-0000-0000F8230000}"/>
    <cellStyle name="Input 2 9 2 2 5 3 3" xfId="19349" xr:uid="{00000000-0005-0000-0000-0000F9230000}"/>
    <cellStyle name="Input 2 9 2 2 5 3_Summary" xfId="21457" xr:uid="{00000000-0005-0000-0000-0000FA230000}"/>
    <cellStyle name="Input 2 9 2 2 5 4" xfId="8559" xr:uid="{00000000-0005-0000-0000-0000FB230000}"/>
    <cellStyle name="Input 2 9 2 2 5 5" xfId="15178" xr:uid="{00000000-0005-0000-0000-0000FC230000}"/>
    <cellStyle name="Input 2 9 2 2 5_Summary" xfId="21455" xr:uid="{00000000-0005-0000-0000-0000FD230000}"/>
    <cellStyle name="Input 2 9 2 2 6" xfId="2238" xr:uid="{00000000-0005-0000-0000-0000FE230000}"/>
    <cellStyle name="Input 2 9 2 2 6 2" xfId="4374" xr:uid="{00000000-0005-0000-0000-0000FF230000}"/>
    <cellStyle name="Input 2 9 2 2 6 2 2" xfId="10970" xr:uid="{00000000-0005-0000-0000-000000240000}"/>
    <cellStyle name="Input 2 9 2 2 6 2 3" xfId="17589" xr:uid="{00000000-0005-0000-0000-000001240000}"/>
    <cellStyle name="Input 2 9 2 2 6 2_Summary" xfId="21459" xr:uid="{00000000-0005-0000-0000-000002240000}"/>
    <cellStyle name="Input 2 9 2 2 6 3" xfId="6409" xr:uid="{00000000-0005-0000-0000-000003240000}"/>
    <cellStyle name="Input 2 9 2 2 6 3 2" xfId="13005" xr:uid="{00000000-0005-0000-0000-000004240000}"/>
    <cellStyle name="Input 2 9 2 2 6 3 3" xfId="19624" xr:uid="{00000000-0005-0000-0000-000005240000}"/>
    <cellStyle name="Input 2 9 2 2 6 3_Summary" xfId="21460" xr:uid="{00000000-0005-0000-0000-000006240000}"/>
    <cellStyle name="Input 2 9 2 2 6 4" xfId="8834" xr:uid="{00000000-0005-0000-0000-000007240000}"/>
    <cellStyle name="Input 2 9 2 2 6 5" xfId="15453" xr:uid="{00000000-0005-0000-0000-000008240000}"/>
    <cellStyle name="Input 2 9 2 2 6_Summary" xfId="21458" xr:uid="{00000000-0005-0000-0000-000009240000}"/>
    <cellStyle name="Input 2 9 2 2 7" xfId="2511" xr:uid="{00000000-0005-0000-0000-00000A240000}"/>
    <cellStyle name="Input 2 9 2 2 7 2" xfId="4647" xr:uid="{00000000-0005-0000-0000-00000B240000}"/>
    <cellStyle name="Input 2 9 2 2 7 2 2" xfId="11243" xr:uid="{00000000-0005-0000-0000-00000C240000}"/>
    <cellStyle name="Input 2 9 2 2 7 2 3" xfId="17862" xr:uid="{00000000-0005-0000-0000-00000D240000}"/>
    <cellStyle name="Input 2 9 2 2 7 2_Summary" xfId="21462" xr:uid="{00000000-0005-0000-0000-00000E240000}"/>
    <cellStyle name="Input 2 9 2 2 7 3" xfId="6682" xr:uid="{00000000-0005-0000-0000-00000F240000}"/>
    <cellStyle name="Input 2 9 2 2 7 3 2" xfId="13278" xr:uid="{00000000-0005-0000-0000-000010240000}"/>
    <cellStyle name="Input 2 9 2 2 7 3 3" xfId="19897" xr:uid="{00000000-0005-0000-0000-000011240000}"/>
    <cellStyle name="Input 2 9 2 2 7 3_Summary" xfId="21463" xr:uid="{00000000-0005-0000-0000-000012240000}"/>
    <cellStyle name="Input 2 9 2 2 7 4" xfId="9107" xr:uid="{00000000-0005-0000-0000-000013240000}"/>
    <cellStyle name="Input 2 9 2 2 7 5" xfId="15726" xr:uid="{00000000-0005-0000-0000-000014240000}"/>
    <cellStyle name="Input 2 9 2 2 7_Summary" xfId="21461" xr:uid="{00000000-0005-0000-0000-000015240000}"/>
    <cellStyle name="Input 2 9 2 2 8" xfId="2957" xr:uid="{00000000-0005-0000-0000-000016240000}"/>
    <cellStyle name="Input 2 9 2 2 8 2" xfId="9553" xr:uid="{00000000-0005-0000-0000-000017240000}"/>
    <cellStyle name="Input 2 9 2 2 8 3" xfId="16172" xr:uid="{00000000-0005-0000-0000-000018240000}"/>
    <cellStyle name="Input 2 9 2 2 8_Summary" xfId="21464" xr:uid="{00000000-0005-0000-0000-000019240000}"/>
    <cellStyle name="Input 2 9 2 2 9" xfId="4992" xr:uid="{00000000-0005-0000-0000-00001A240000}"/>
    <cellStyle name="Input 2 9 2 2 9 2" xfId="11588" xr:uid="{00000000-0005-0000-0000-00001B240000}"/>
    <cellStyle name="Input 2 9 2 2 9 3" xfId="18207" xr:uid="{00000000-0005-0000-0000-00001C240000}"/>
    <cellStyle name="Input 2 9 2 2 9_Summary" xfId="21465" xr:uid="{00000000-0005-0000-0000-00001D240000}"/>
    <cellStyle name="Input 2 9 2 2_Summary" xfId="21444" xr:uid="{00000000-0005-0000-0000-00001E240000}"/>
    <cellStyle name="Input 2 9 2 3" xfId="993" xr:uid="{00000000-0005-0000-0000-00001F240000}"/>
    <cellStyle name="Input 2 9 2 3 2" xfId="3129" xr:uid="{00000000-0005-0000-0000-000020240000}"/>
    <cellStyle name="Input 2 9 2 3 2 2" xfId="9725" xr:uid="{00000000-0005-0000-0000-000021240000}"/>
    <cellStyle name="Input 2 9 2 3 2 3" xfId="16344" xr:uid="{00000000-0005-0000-0000-000022240000}"/>
    <cellStyle name="Input 2 9 2 3 2_Summary" xfId="21467" xr:uid="{00000000-0005-0000-0000-000023240000}"/>
    <cellStyle name="Input 2 9 2 3 3" xfId="5164" xr:uid="{00000000-0005-0000-0000-000024240000}"/>
    <cellStyle name="Input 2 9 2 3 3 2" xfId="11760" xr:uid="{00000000-0005-0000-0000-000025240000}"/>
    <cellStyle name="Input 2 9 2 3 3 3" xfId="18379" xr:uid="{00000000-0005-0000-0000-000026240000}"/>
    <cellStyle name="Input 2 9 2 3 3_Summary" xfId="21468" xr:uid="{00000000-0005-0000-0000-000027240000}"/>
    <cellStyle name="Input 2 9 2 3 4" xfId="7590" xr:uid="{00000000-0005-0000-0000-000028240000}"/>
    <cellStyle name="Input 2 9 2 3 5" xfId="14208" xr:uid="{00000000-0005-0000-0000-000029240000}"/>
    <cellStyle name="Input 2 9 2 3_Summary" xfId="21466" xr:uid="{00000000-0005-0000-0000-00002A240000}"/>
    <cellStyle name="Input 2 9 2 4" xfId="1275" xr:uid="{00000000-0005-0000-0000-00002B240000}"/>
    <cellStyle name="Input 2 9 2 4 2" xfId="3411" xr:uid="{00000000-0005-0000-0000-00002C240000}"/>
    <cellStyle name="Input 2 9 2 4 2 2" xfId="10007" xr:uid="{00000000-0005-0000-0000-00002D240000}"/>
    <cellStyle name="Input 2 9 2 4 2 3" xfId="16626" xr:uid="{00000000-0005-0000-0000-00002E240000}"/>
    <cellStyle name="Input 2 9 2 4 2_Summary" xfId="21470" xr:uid="{00000000-0005-0000-0000-00002F240000}"/>
    <cellStyle name="Input 2 9 2 4 3" xfId="5446" xr:uid="{00000000-0005-0000-0000-000030240000}"/>
    <cellStyle name="Input 2 9 2 4 3 2" xfId="12042" xr:uid="{00000000-0005-0000-0000-000031240000}"/>
    <cellStyle name="Input 2 9 2 4 3 3" xfId="18661" xr:uid="{00000000-0005-0000-0000-000032240000}"/>
    <cellStyle name="Input 2 9 2 4 3_Summary" xfId="21471" xr:uid="{00000000-0005-0000-0000-000033240000}"/>
    <cellStyle name="Input 2 9 2 4 4" xfId="7871" xr:uid="{00000000-0005-0000-0000-000034240000}"/>
    <cellStyle name="Input 2 9 2 4 5" xfId="14490" xr:uid="{00000000-0005-0000-0000-000035240000}"/>
    <cellStyle name="Input 2 9 2 4_Summary" xfId="21469" xr:uid="{00000000-0005-0000-0000-000036240000}"/>
    <cellStyle name="Input 2 9 2 5" xfId="1556" xr:uid="{00000000-0005-0000-0000-000037240000}"/>
    <cellStyle name="Input 2 9 2 5 2" xfId="3692" xr:uid="{00000000-0005-0000-0000-000038240000}"/>
    <cellStyle name="Input 2 9 2 5 2 2" xfId="10288" xr:uid="{00000000-0005-0000-0000-000039240000}"/>
    <cellStyle name="Input 2 9 2 5 2 3" xfId="16907" xr:uid="{00000000-0005-0000-0000-00003A240000}"/>
    <cellStyle name="Input 2 9 2 5 2_Summary" xfId="21473" xr:uid="{00000000-0005-0000-0000-00003B240000}"/>
    <cellStyle name="Input 2 9 2 5 3" xfId="5727" xr:uid="{00000000-0005-0000-0000-00003C240000}"/>
    <cellStyle name="Input 2 9 2 5 3 2" xfId="12323" xr:uid="{00000000-0005-0000-0000-00003D240000}"/>
    <cellStyle name="Input 2 9 2 5 3 3" xfId="18942" xr:uid="{00000000-0005-0000-0000-00003E240000}"/>
    <cellStyle name="Input 2 9 2 5 3_Summary" xfId="21474" xr:uid="{00000000-0005-0000-0000-00003F240000}"/>
    <cellStyle name="Input 2 9 2 5 4" xfId="8152" xr:uid="{00000000-0005-0000-0000-000040240000}"/>
    <cellStyle name="Input 2 9 2 5 5" xfId="14771" xr:uid="{00000000-0005-0000-0000-000041240000}"/>
    <cellStyle name="Input 2 9 2 5_Summary" xfId="21472" xr:uid="{00000000-0005-0000-0000-000042240000}"/>
    <cellStyle name="Input 2 9 2 6" xfId="1835" xr:uid="{00000000-0005-0000-0000-000043240000}"/>
    <cellStyle name="Input 2 9 2 6 2" xfId="3971" xr:uid="{00000000-0005-0000-0000-000044240000}"/>
    <cellStyle name="Input 2 9 2 6 2 2" xfId="10567" xr:uid="{00000000-0005-0000-0000-000045240000}"/>
    <cellStyle name="Input 2 9 2 6 2 3" xfId="17186" xr:uid="{00000000-0005-0000-0000-000046240000}"/>
    <cellStyle name="Input 2 9 2 6 2_Summary" xfId="21476" xr:uid="{00000000-0005-0000-0000-000047240000}"/>
    <cellStyle name="Input 2 9 2 6 3" xfId="6006" xr:uid="{00000000-0005-0000-0000-000048240000}"/>
    <cellStyle name="Input 2 9 2 6 3 2" xfId="12602" xr:uid="{00000000-0005-0000-0000-000049240000}"/>
    <cellStyle name="Input 2 9 2 6 3 3" xfId="19221" xr:uid="{00000000-0005-0000-0000-00004A240000}"/>
    <cellStyle name="Input 2 9 2 6 3_Summary" xfId="21477" xr:uid="{00000000-0005-0000-0000-00004B240000}"/>
    <cellStyle name="Input 2 9 2 6 4" xfId="8431" xr:uid="{00000000-0005-0000-0000-00004C240000}"/>
    <cellStyle name="Input 2 9 2 6 5" xfId="15050" xr:uid="{00000000-0005-0000-0000-00004D240000}"/>
    <cellStyle name="Input 2 9 2 6_Summary" xfId="21475" xr:uid="{00000000-0005-0000-0000-00004E240000}"/>
    <cellStyle name="Input 2 9 2 7" xfId="2110" xr:uid="{00000000-0005-0000-0000-00004F240000}"/>
    <cellStyle name="Input 2 9 2 7 2" xfId="4246" xr:uid="{00000000-0005-0000-0000-000050240000}"/>
    <cellStyle name="Input 2 9 2 7 2 2" xfId="10842" xr:uid="{00000000-0005-0000-0000-000051240000}"/>
    <cellStyle name="Input 2 9 2 7 2 3" xfId="17461" xr:uid="{00000000-0005-0000-0000-000052240000}"/>
    <cellStyle name="Input 2 9 2 7 2_Summary" xfId="21479" xr:uid="{00000000-0005-0000-0000-000053240000}"/>
    <cellStyle name="Input 2 9 2 7 3" xfId="6281" xr:uid="{00000000-0005-0000-0000-000054240000}"/>
    <cellStyle name="Input 2 9 2 7 3 2" xfId="12877" xr:uid="{00000000-0005-0000-0000-000055240000}"/>
    <cellStyle name="Input 2 9 2 7 3 3" xfId="19496" xr:uid="{00000000-0005-0000-0000-000056240000}"/>
    <cellStyle name="Input 2 9 2 7 3_Summary" xfId="21480" xr:uid="{00000000-0005-0000-0000-000057240000}"/>
    <cellStyle name="Input 2 9 2 7 4" xfId="8706" xr:uid="{00000000-0005-0000-0000-000058240000}"/>
    <cellStyle name="Input 2 9 2 7 5" xfId="15325" xr:uid="{00000000-0005-0000-0000-000059240000}"/>
    <cellStyle name="Input 2 9 2 7_Summary" xfId="21478" xr:uid="{00000000-0005-0000-0000-00005A240000}"/>
    <cellStyle name="Input 2 9 2 8" xfId="2383" xr:uid="{00000000-0005-0000-0000-00005B240000}"/>
    <cellStyle name="Input 2 9 2 8 2" xfId="4519" xr:uid="{00000000-0005-0000-0000-00005C240000}"/>
    <cellStyle name="Input 2 9 2 8 2 2" xfId="11115" xr:uid="{00000000-0005-0000-0000-00005D240000}"/>
    <cellStyle name="Input 2 9 2 8 2 3" xfId="17734" xr:uid="{00000000-0005-0000-0000-00005E240000}"/>
    <cellStyle name="Input 2 9 2 8 2_Summary" xfId="21482" xr:uid="{00000000-0005-0000-0000-00005F240000}"/>
    <cellStyle name="Input 2 9 2 8 3" xfId="6554" xr:uid="{00000000-0005-0000-0000-000060240000}"/>
    <cellStyle name="Input 2 9 2 8 3 2" xfId="13150" xr:uid="{00000000-0005-0000-0000-000061240000}"/>
    <cellStyle name="Input 2 9 2 8 3 3" xfId="19769" xr:uid="{00000000-0005-0000-0000-000062240000}"/>
    <cellStyle name="Input 2 9 2 8 3_Summary" xfId="21483" xr:uid="{00000000-0005-0000-0000-000063240000}"/>
    <cellStyle name="Input 2 9 2 8 4" xfId="8979" xr:uid="{00000000-0005-0000-0000-000064240000}"/>
    <cellStyle name="Input 2 9 2 8 5" xfId="15598" xr:uid="{00000000-0005-0000-0000-000065240000}"/>
    <cellStyle name="Input 2 9 2 8_Summary" xfId="21481" xr:uid="{00000000-0005-0000-0000-000066240000}"/>
    <cellStyle name="Input 2 9 2 9" xfId="2684" xr:uid="{00000000-0005-0000-0000-000067240000}"/>
    <cellStyle name="Input 2 9 2 9 2" xfId="9280" xr:uid="{00000000-0005-0000-0000-000068240000}"/>
    <cellStyle name="Input 2 9 2 9 3" xfId="15899" xr:uid="{00000000-0005-0000-0000-000069240000}"/>
    <cellStyle name="Input 2 9 2 9_Summary" xfId="21484" xr:uid="{00000000-0005-0000-0000-00006A240000}"/>
    <cellStyle name="Input 2 9 2_Summary" xfId="21441" xr:uid="{00000000-0005-0000-0000-00006B240000}"/>
    <cellStyle name="Input 2 9 3" xfId="214" xr:uid="{00000000-0005-0000-0000-00006C240000}"/>
    <cellStyle name="Input 2 9 3 10" xfId="751" xr:uid="{00000000-0005-0000-0000-00006D240000}"/>
    <cellStyle name="Input 2 9 3 10 2" xfId="13966" xr:uid="{00000000-0005-0000-0000-00006E240000}"/>
    <cellStyle name="Input 2 9 3 10_Summary" xfId="21486" xr:uid="{00000000-0005-0000-0000-00006F240000}"/>
    <cellStyle name="Input 2 9 3 11" xfId="7121" xr:uid="{00000000-0005-0000-0000-000070240000}"/>
    <cellStyle name="Input 2 9 3 12" xfId="7157" xr:uid="{00000000-0005-0000-0000-000071240000}"/>
    <cellStyle name="Input 2 9 3 13" xfId="28697" xr:uid="{26945073-99B5-4EA7-928D-E2AAB659820A}"/>
    <cellStyle name="Input 2 9 3 14" xfId="30938" xr:uid="{BF50A6E9-3A33-4A1C-B478-979587C44CE5}"/>
    <cellStyle name="Input 2 9 3 2" xfId="919" xr:uid="{00000000-0005-0000-0000-000072240000}"/>
    <cellStyle name="Input 2 9 3 2 2" xfId="3055" xr:uid="{00000000-0005-0000-0000-000073240000}"/>
    <cellStyle name="Input 2 9 3 2 2 2" xfId="9651" xr:uid="{00000000-0005-0000-0000-000074240000}"/>
    <cellStyle name="Input 2 9 3 2 2 3" xfId="16270" xr:uid="{00000000-0005-0000-0000-000075240000}"/>
    <cellStyle name="Input 2 9 3 2 2_Summary" xfId="21488" xr:uid="{00000000-0005-0000-0000-000076240000}"/>
    <cellStyle name="Input 2 9 3 2 3" xfId="5090" xr:uid="{00000000-0005-0000-0000-000077240000}"/>
    <cellStyle name="Input 2 9 3 2 3 2" xfId="11686" xr:uid="{00000000-0005-0000-0000-000078240000}"/>
    <cellStyle name="Input 2 9 3 2 3 3" xfId="18305" xr:uid="{00000000-0005-0000-0000-000079240000}"/>
    <cellStyle name="Input 2 9 3 2 3_Summary" xfId="21489" xr:uid="{00000000-0005-0000-0000-00007A240000}"/>
    <cellStyle name="Input 2 9 3 2 4" xfId="7516" xr:uid="{00000000-0005-0000-0000-00007B240000}"/>
    <cellStyle name="Input 2 9 3 2 5" xfId="14134" xr:uid="{00000000-0005-0000-0000-00007C240000}"/>
    <cellStyle name="Input 2 9 3 2 6" xfId="30220" xr:uid="{40845B83-AD8D-49CD-901A-D46D6D101890}"/>
    <cellStyle name="Input 2 9 3 2 7" xfId="31652" xr:uid="{6667E130-F928-449A-AFBF-AE690DEC8E20}"/>
    <cellStyle name="Input 2 9 3 2_Summary" xfId="21487" xr:uid="{00000000-0005-0000-0000-00007D240000}"/>
    <cellStyle name="Input 2 9 3 3" xfId="1204" xr:uid="{00000000-0005-0000-0000-00007E240000}"/>
    <cellStyle name="Input 2 9 3 3 2" xfId="3340" xr:uid="{00000000-0005-0000-0000-00007F240000}"/>
    <cellStyle name="Input 2 9 3 3 2 2" xfId="9936" xr:uid="{00000000-0005-0000-0000-000080240000}"/>
    <cellStyle name="Input 2 9 3 3 2 3" xfId="16555" xr:uid="{00000000-0005-0000-0000-000081240000}"/>
    <cellStyle name="Input 2 9 3 3 2_Summary" xfId="21491" xr:uid="{00000000-0005-0000-0000-000082240000}"/>
    <cellStyle name="Input 2 9 3 3 3" xfId="5375" xr:uid="{00000000-0005-0000-0000-000083240000}"/>
    <cellStyle name="Input 2 9 3 3 3 2" xfId="11971" xr:uid="{00000000-0005-0000-0000-000084240000}"/>
    <cellStyle name="Input 2 9 3 3 3 3" xfId="18590" xr:uid="{00000000-0005-0000-0000-000085240000}"/>
    <cellStyle name="Input 2 9 3 3 3_Summary" xfId="21492" xr:uid="{00000000-0005-0000-0000-000086240000}"/>
    <cellStyle name="Input 2 9 3 3 4" xfId="7800" xr:uid="{00000000-0005-0000-0000-000087240000}"/>
    <cellStyle name="Input 2 9 3 3 5" xfId="14419" xr:uid="{00000000-0005-0000-0000-000088240000}"/>
    <cellStyle name="Input 2 9 3 3_Summary" xfId="21490" xr:uid="{00000000-0005-0000-0000-000089240000}"/>
    <cellStyle name="Input 2 9 3 4" xfId="1486" xr:uid="{00000000-0005-0000-0000-00008A240000}"/>
    <cellStyle name="Input 2 9 3 4 2" xfId="3622" xr:uid="{00000000-0005-0000-0000-00008B240000}"/>
    <cellStyle name="Input 2 9 3 4 2 2" xfId="10218" xr:uid="{00000000-0005-0000-0000-00008C240000}"/>
    <cellStyle name="Input 2 9 3 4 2 3" xfId="16837" xr:uid="{00000000-0005-0000-0000-00008D240000}"/>
    <cellStyle name="Input 2 9 3 4 2_Summary" xfId="21494" xr:uid="{00000000-0005-0000-0000-00008E240000}"/>
    <cellStyle name="Input 2 9 3 4 3" xfId="5657" xr:uid="{00000000-0005-0000-0000-00008F240000}"/>
    <cellStyle name="Input 2 9 3 4 3 2" xfId="12253" xr:uid="{00000000-0005-0000-0000-000090240000}"/>
    <cellStyle name="Input 2 9 3 4 3 3" xfId="18872" xr:uid="{00000000-0005-0000-0000-000091240000}"/>
    <cellStyle name="Input 2 9 3 4 3_Summary" xfId="21495" xr:uid="{00000000-0005-0000-0000-000092240000}"/>
    <cellStyle name="Input 2 9 3 4 4" xfId="8082" xr:uid="{00000000-0005-0000-0000-000093240000}"/>
    <cellStyle name="Input 2 9 3 4 5" xfId="14701" xr:uid="{00000000-0005-0000-0000-000094240000}"/>
    <cellStyle name="Input 2 9 3 4_Summary" xfId="21493" xr:uid="{00000000-0005-0000-0000-000095240000}"/>
    <cellStyle name="Input 2 9 3 5" xfId="1767" xr:uid="{00000000-0005-0000-0000-000096240000}"/>
    <cellStyle name="Input 2 9 3 5 2" xfId="3903" xr:uid="{00000000-0005-0000-0000-000097240000}"/>
    <cellStyle name="Input 2 9 3 5 2 2" xfId="10499" xr:uid="{00000000-0005-0000-0000-000098240000}"/>
    <cellStyle name="Input 2 9 3 5 2 3" xfId="17118" xr:uid="{00000000-0005-0000-0000-000099240000}"/>
    <cellStyle name="Input 2 9 3 5 2_Summary" xfId="21497" xr:uid="{00000000-0005-0000-0000-00009A240000}"/>
    <cellStyle name="Input 2 9 3 5 3" xfId="5938" xr:uid="{00000000-0005-0000-0000-00009B240000}"/>
    <cellStyle name="Input 2 9 3 5 3 2" xfId="12534" xr:uid="{00000000-0005-0000-0000-00009C240000}"/>
    <cellStyle name="Input 2 9 3 5 3 3" xfId="19153" xr:uid="{00000000-0005-0000-0000-00009D240000}"/>
    <cellStyle name="Input 2 9 3 5 3_Summary" xfId="21498" xr:uid="{00000000-0005-0000-0000-00009E240000}"/>
    <cellStyle name="Input 2 9 3 5 4" xfId="8363" xr:uid="{00000000-0005-0000-0000-00009F240000}"/>
    <cellStyle name="Input 2 9 3 5 5" xfId="14982" xr:uid="{00000000-0005-0000-0000-0000A0240000}"/>
    <cellStyle name="Input 2 9 3 5_Summary" xfId="21496" xr:uid="{00000000-0005-0000-0000-0000A1240000}"/>
    <cellStyle name="Input 2 9 3 6" xfId="2046" xr:uid="{00000000-0005-0000-0000-0000A2240000}"/>
    <cellStyle name="Input 2 9 3 6 2" xfId="4182" xr:uid="{00000000-0005-0000-0000-0000A3240000}"/>
    <cellStyle name="Input 2 9 3 6 2 2" xfId="10778" xr:uid="{00000000-0005-0000-0000-0000A4240000}"/>
    <cellStyle name="Input 2 9 3 6 2 3" xfId="17397" xr:uid="{00000000-0005-0000-0000-0000A5240000}"/>
    <cellStyle name="Input 2 9 3 6 2_Summary" xfId="21500" xr:uid="{00000000-0005-0000-0000-0000A6240000}"/>
    <cellStyle name="Input 2 9 3 6 3" xfId="6217" xr:uid="{00000000-0005-0000-0000-0000A7240000}"/>
    <cellStyle name="Input 2 9 3 6 3 2" xfId="12813" xr:uid="{00000000-0005-0000-0000-0000A8240000}"/>
    <cellStyle name="Input 2 9 3 6 3 3" xfId="19432" xr:uid="{00000000-0005-0000-0000-0000A9240000}"/>
    <cellStyle name="Input 2 9 3 6 3_Summary" xfId="21501" xr:uid="{00000000-0005-0000-0000-0000AA240000}"/>
    <cellStyle name="Input 2 9 3 6 4" xfId="8642" xr:uid="{00000000-0005-0000-0000-0000AB240000}"/>
    <cellStyle name="Input 2 9 3 6 5" xfId="15261" xr:uid="{00000000-0005-0000-0000-0000AC240000}"/>
    <cellStyle name="Input 2 9 3 6_Summary" xfId="21499" xr:uid="{00000000-0005-0000-0000-0000AD240000}"/>
    <cellStyle name="Input 2 9 3 7" xfId="2321" xr:uid="{00000000-0005-0000-0000-0000AE240000}"/>
    <cellStyle name="Input 2 9 3 7 2" xfId="4457" xr:uid="{00000000-0005-0000-0000-0000AF240000}"/>
    <cellStyle name="Input 2 9 3 7 2 2" xfId="11053" xr:uid="{00000000-0005-0000-0000-0000B0240000}"/>
    <cellStyle name="Input 2 9 3 7 2 3" xfId="17672" xr:uid="{00000000-0005-0000-0000-0000B1240000}"/>
    <cellStyle name="Input 2 9 3 7 2_Summary" xfId="21503" xr:uid="{00000000-0005-0000-0000-0000B2240000}"/>
    <cellStyle name="Input 2 9 3 7 3" xfId="6492" xr:uid="{00000000-0005-0000-0000-0000B3240000}"/>
    <cellStyle name="Input 2 9 3 7 3 2" xfId="13088" xr:uid="{00000000-0005-0000-0000-0000B4240000}"/>
    <cellStyle name="Input 2 9 3 7 3 3" xfId="19707" xr:uid="{00000000-0005-0000-0000-0000B5240000}"/>
    <cellStyle name="Input 2 9 3 7 3_Summary" xfId="21504" xr:uid="{00000000-0005-0000-0000-0000B6240000}"/>
    <cellStyle name="Input 2 9 3 7 4" xfId="8917" xr:uid="{00000000-0005-0000-0000-0000B7240000}"/>
    <cellStyle name="Input 2 9 3 7 5" xfId="15536" xr:uid="{00000000-0005-0000-0000-0000B8240000}"/>
    <cellStyle name="Input 2 9 3 7_Summary" xfId="21502" xr:uid="{00000000-0005-0000-0000-0000B9240000}"/>
    <cellStyle name="Input 2 9 3 8" xfId="2887" xr:uid="{00000000-0005-0000-0000-0000BA240000}"/>
    <cellStyle name="Input 2 9 3 8 2" xfId="9483" xr:uid="{00000000-0005-0000-0000-0000BB240000}"/>
    <cellStyle name="Input 2 9 3 8 3" xfId="16102" xr:uid="{00000000-0005-0000-0000-0000BC240000}"/>
    <cellStyle name="Input 2 9 3 8_Summary" xfId="21505" xr:uid="{00000000-0005-0000-0000-0000BD240000}"/>
    <cellStyle name="Input 2 9 3 9" xfId="4922" xr:uid="{00000000-0005-0000-0000-0000BE240000}"/>
    <cellStyle name="Input 2 9 3 9 2" xfId="11518" xr:uid="{00000000-0005-0000-0000-0000BF240000}"/>
    <cellStyle name="Input 2 9 3 9 3" xfId="18137" xr:uid="{00000000-0005-0000-0000-0000C0240000}"/>
    <cellStyle name="Input 2 9 3 9_Summary" xfId="21506" xr:uid="{00000000-0005-0000-0000-0000C1240000}"/>
    <cellStyle name="Input 2 9 3_Summary" xfId="21485" xr:uid="{00000000-0005-0000-0000-0000C2240000}"/>
    <cellStyle name="Input 2 9 4" xfId="366" xr:uid="{00000000-0005-0000-0000-0000C3240000}"/>
    <cellStyle name="Input 2 9 4 10" xfId="703" xr:uid="{00000000-0005-0000-0000-0000C4240000}"/>
    <cellStyle name="Input 2 9 4 10 2" xfId="13918" xr:uid="{00000000-0005-0000-0000-0000C5240000}"/>
    <cellStyle name="Input 2 9 4 10_Summary" xfId="21508" xr:uid="{00000000-0005-0000-0000-0000C6240000}"/>
    <cellStyle name="Input 2 9 4 11" xfId="7259" xr:uid="{00000000-0005-0000-0000-0000C7240000}"/>
    <cellStyle name="Input 2 9 4 12" xfId="13581" xr:uid="{00000000-0005-0000-0000-0000C8240000}"/>
    <cellStyle name="Input 2 9 4 13" xfId="30218" xr:uid="{86AFCD6A-2280-4401-B8DF-1491F7A988D3}"/>
    <cellStyle name="Input 2 9 4 14" xfId="31650" xr:uid="{CE4F6937-612E-44FB-9A9D-78E2A20B82CE}"/>
    <cellStyle name="Input 2 9 4 2" xfId="1060" xr:uid="{00000000-0005-0000-0000-0000C9240000}"/>
    <cellStyle name="Input 2 9 4 2 2" xfId="3196" xr:uid="{00000000-0005-0000-0000-0000CA240000}"/>
    <cellStyle name="Input 2 9 4 2 2 2" xfId="9792" xr:uid="{00000000-0005-0000-0000-0000CB240000}"/>
    <cellStyle name="Input 2 9 4 2 2 3" xfId="16411" xr:uid="{00000000-0005-0000-0000-0000CC240000}"/>
    <cellStyle name="Input 2 9 4 2 2_Summary" xfId="21510" xr:uid="{00000000-0005-0000-0000-0000CD240000}"/>
    <cellStyle name="Input 2 9 4 2 3" xfId="5231" xr:uid="{00000000-0005-0000-0000-0000CE240000}"/>
    <cellStyle name="Input 2 9 4 2 3 2" xfId="11827" xr:uid="{00000000-0005-0000-0000-0000CF240000}"/>
    <cellStyle name="Input 2 9 4 2 3 3" xfId="18446" xr:uid="{00000000-0005-0000-0000-0000D0240000}"/>
    <cellStyle name="Input 2 9 4 2 3_Summary" xfId="21511" xr:uid="{00000000-0005-0000-0000-0000D1240000}"/>
    <cellStyle name="Input 2 9 4 2 4" xfId="7657" xr:uid="{00000000-0005-0000-0000-0000D2240000}"/>
    <cellStyle name="Input 2 9 4 2 5" xfId="14275" xr:uid="{00000000-0005-0000-0000-0000D3240000}"/>
    <cellStyle name="Input 2 9 4 2_Summary" xfId="21509" xr:uid="{00000000-0005-0000-0000-0000D4240000}"/>
    <cellStyle name="Input 2 9 4 3" xfId="1342" xr:uid="{00000000-0005-0000-0000-0000D5240000}"/>
    <cellStyle name="Input 2 9 4 3 2" xfId="3478" xr:uid="{00000000-0005-0000-0000-0000D6240000}"/>
    <cellStyle name="Input 2 9 4 3 2 2" xfId="10074" xr:uid="{00000000-0005-0000-0000-0000D7240000}"/>
    <cellStyle name="Input 2 9 4 3 2 3" xfId="16693" xr:uid="{00000000-0005-0000-0000-0000D8240000}"/>
    <cellStyle name="Input 2 9 4 3 2_Summary" xfId="21513" xr:uid="{00000000-0005-0000-0000-0000D9240000}"/>
    <cellStyle name="Input 2 9 4 3 3" xfId="5513" xr:uid="{00000000-0005-0000-0000-0000DA240000}"/>
    <cellStyle name="Input 2 9 4 3 3 2" xfId="12109" xr:uid="{00000000-0005-0000-0000-0000DB240000}"/>
    <cellStyle name="Input 2 9 4 3 3 3" xfId="18728" xr:uid="{00000000-0005-0000-0000-0000DC240000}"/>
    <cellStyle name="Input 2 9 4 3 3_Summary" xfId="21514" xr:uid="{00000000-0005-0000-0000-0000DD240000}"/>
    <cellStyle name="Input 2 9 4 3 4" xfId="7938" xr:uid="{00000000-0005-0000-0000-0000DE240000}"/>
    <cellStyle name="Input 2 9 4 3 5" xfId="14557" xr:uid="{00000000-0005-0000-0000-0000DF240000}"/>
    <cellStyle name="Input 2 9 4 3_Summary" xfId="21512" xr:uid="{00000000-0005-0000-0000-0000E0240000}"/>
    <cellStyle name="Input 2 9 4 4" xfId="1623" xr:uid="{00000000-0005-0000-0000-0000E1240000}"/>
    <cellStyle name="Input 2 9 4 4 2" xfId="3759" xr:uid="{00000000-0005-0000-0000-0000E2240000}"/>
    <cellStyle name="Input 2 9 4 4 2 2" xfId="10355" xr:uid="{00000000-0005-0000-0000-0000E3240000}"/>
    <cellStyle name="Input 2 9 4 4 2 3" xfId="16974" xr:uid="{00000000-0005-0000-0000-0000E4240000}"/>
    <cellStyle name="Input 2 9 4 4 2_Summary" xfId="21516" xr:uid="{00000000-0005-0000-0000-0000E5240000}"/>
    <cellStyle name="Input 2 9 4 4 3" xfId="5794" xr:uid="{00000000-0005-0000-0000-0000E6240000}"/>
    <cellStyle name="Input 2 9 4 4 3 2" xfId="12390" xr:uid="{00000000-0005-0000-0000-0000E7240000}"/>
    <cellStyle name="Input 2 9 4 4 3 3" xfId="19009" xr:uid="{00000000-0005-0000-0000-0000E8240000}"/>
    <cellStyle name="Input 2 9 4 4 3_Summary" xfId="21517" xr:uid="{00000000-0005-0000-0000-0000E9240000}"/>
    <cellStyle name="Input 2 9 4 4 4" xfId="8219" xr:uid="{00000000-0005-0000-0000-0000EA240000}"/>
    <cellStyle name="Input 2 9 4 4 5" xfId="14838" xr:uid="{00000000-0005-0000-0000-0000EB240000}"/>
    <cellStyle name="Input 2 9 4 4_Summary" xfId="21515" xr:uid="{00000000-0005-0000-0000-0000EC240000}"/>
    <cellStyle name="Input 2 9 4 5" xfId="1902" xr:uid="{00000000-0005-0000-0000-0000ED240000}"/>
    <cellStyle name="Input 2 9 4 5 2" xfId="4038" xr:uid="{00000000-0005-0000-0000-0000EE240000}"/>
    <cellStyle name="Input 2 9 4 5 2 2" xfId="10634" xr:uid="{00000000-0005-0000-0000-0000EF240000}"/>
    <cellStyle name="Input 2 9 4 5 2 3" xfId="17253" xr:uid="{00000000-0005-0000-0000-0000F0240000}"/>
    <cellStyle name="Input 2 9 4 5 2_Summary" xfId="21519" xr:uid="{00000000-0005-0000-0000-0000F1240000}"/>
    <cellStyle name="Input 2 9 4 5 3" xfId="6073" xr:uid="{00000000-0005-0000-0000-0000F2240000}"/>
    <cellStyle name="Input 2 9 4 5 3 2" xfId="12669" xr:uid="{00000000-0005-0000-0000-0000F3240000}"/>
    <cellStyle name="Input 2 9 4 5 3 3" xfId="19288" xr:uid="{00000000-0005-0000-0000-0000F4240000}"/>
    <cellStyle name="Input 2 9 4 5 3_Summary" xfId="21520" xr:uid="{00000000-0005-0000-0000-0000F5240000}"/>
    <cellStyle name="Input 2 9 4 5 4" xfId="8498" xr:uid="{00000000-0005-0000-0000-0000F6240000}"/>
    <cellStyle name="Input 2 9 4 5 5" xfId="15117" xr:uid="{00000000-0005-0000-0000-0000F7240000}"/>
    <cellStyle name="Input 2 9 4 5_Summary" xfId="21518" xr:uid="{00000000-0005-0000-0000-0000F8240000}"/>
    <cellStyle name="Input 2 9 4 6" xfId="2177" xr:uid="{00000000-0005-0000-0000-0000F9240000}"/>
    <cellStyle name="Input 2 9 4 6 2" xfId="4313" xr:uid="{00000000-0005-0000-0000-0000FA240000}"/>
    <cellStyle name="Input 2 9 4 6 2 2" xfId="10909" xr:uid="{00000000-0005-0000-0000-0000FB240000}"/>
    <cellStyle name="Input 2 9 4 6 2 3" xfId="17528" xr:uid="{00000000-0005-0000-0000-0000FC240000}"/>
    <cellStyle name="Input 2 9 4 6 2_Summary" xfId="21522" xr:uid="{00000000-0005-0000-0000-0000FD240000}"/>
    <cellStyle name="Input 2 9 4 6 3" xfId="6348" xr:uid="{00000000-0005-0000-0000-0000FE240000}"/>
    <cellStyle name="Input 2 9 4 6 3 2" xfId="12944" xr:uid="{00000000-0005-0000-0000-0000FF240000}"/>
    <cellStyle name="Input 2 9 4 6 3 3" xfId="19563" xr:uid="{00000000-0005-0000-0000-000000250000}"/>
    <cellStyle name="Input 2 9 4 6 3_Summary" xfId="21523" xr:uid="{00000000-0005-0000-0000-000001250000}"/>
    <cellStyle name="Input 2 9 4 6 4" xfId="8773" xr:uid="{00000000-0005-0000-0000-000002250000}"/>
    <cellStyle name="Input 2 9 4 6 5" xfId="15392" xr:uid="{00000000-0005-0000-0000-000003250000}"/>
    <cellStyle name="Input 2 9 4 6_Summary" xfId="21521" xr:uid="{00000000-0005-0000-0000-000004250000}"/>
    <cellStyle name="Input 2 9 4 7" xfId="2450" xr:uid="{00000000-0005-0000-0000-000005250000}"/>
    <cellStyle name="Input 2 9 4 7 2" xfId="4586" xr:uid="{00000000-0005-0000-0000-000006250000}"/>
    <cellStyle name="Input 2 9 4 7 2 2" xfId="11182" xr:uid="{00000000-0005-0000-0000-000007250000}"/>
    <cellStyle name="Input 2 9 4 7 2 3" xfId="17801" xr:uid="{00000000-0005-0000-0000-000008250000}"/>
    <cellStyle name="Input 2 9 4 7 2_Summary" xfId="21525" xr:uid="{00000000-0005-0000-0000-000009250000}"/>
    <cellStyle name="Input 2 9 4 7 3" xfId="6621" xr:uid="{00000000-0005-0000-0000-00000A250000}"/>
    <cellStyle name="Input 2 9 4 7 3 2" xfId="13217" xr:uid="{00000000-0005-0000-0000-00000B250000}"/>
    <cellStyle name="Input 2 9 4 7 3 3" xfId="19836" xr:uid="{00000000-0005-0000-0000-00000C250000}"/>
    <cellStyle name="Input 2 9 4 7 3_Summary" xfId="21526" xr:uid="{00000000-0005-0000-0000-00000D250000}"/>
    <cellStyle name="Input 2 9 4 7 4" xfId="9046" xr:uid="{00000000-0005-0000-0000-00000E250000}"/>
    <cellStyle name="Input 2 9 4 7 5" xfId="15665" xr:uid="{00000000-0005-0000-0000-00000F250000}"/>
    <cellStyle name="Input 2 9 4 7_Summary" xfId="21524" xr:uid="{00000000-0005-0000-0000-000010250000}"/>
    <cellStyle name="Input 2 9 4 8" xfId="2839" xr:uid="{00000000-0005-0000-0000-000011250000}"/>
    <cellStyle name="Input 2 9 4 8 2" xfId="9435" xr:uid="{00000000-0005-0000-0000-000012250000}"/>
    <cellStyle name="Input 2 9 4 8 3" xfId="16054" xr:uid="{00000000-0005-0000-0000-000013250000}"/>
    <cellStyle name="Input 2 9 4 8_Summary" xfId="21527" xr:uid="{00000000-0005-0000-0000-000014250000}"/>
    <cellStyle name="Input 2 9 4 9" xfId="4874" xr:uid="{00000000-0005-0000-0000-000015250000}"/>
    <cellStyle name="Input 2 9 4 9 2" xfId="11470" xr:uid="{00000000-0005-0000-0000-000016250000}"/>
    <cellStyle name="Input 2 9 4 9 3" xfId="18089" xr:uid="{00000000-0005-0000-0000-000017250000}"/>
    <cellStyle name="Input 2 9 4 9_Summary" xfId="21528" xr:uid="{00000000-0005-0000-0000-000018250000}"/>
    <cellStyle name="Input 2 9 4_Summary" xfId="21507" xr:uid="{00000000-0005-0000-0000-000019250000}"/>
    <cellStyle name="Input 2 9 5" xfId="870" xr:uid="{00000000-0005-0000-0000-00001A250000}"/>
    <cellStyle name="Input 2 9 5 2" xfId="3006" xr:uid="{00000000-0005-0000-0000-00001B250000}"/>
    <cellStyle name="Input 2 9 5 2 2" xfId="9602" xr:uid="{00000000-0005-0000-0000-00001C250000}"/>
    <cellStyle name="Input 2 9 5 2 3" xfId="16221" xr:uid="{00000000-0005-0000-0000-00001D250000}"/>
    <cellStyle name="Input 2 9 5 2_Summary" xfId="21530" xr:uid="{00000000-0005-0000-0000-00001E250000}"/>
    <cellStyle name="Input 2 9 5 3" xfId="5041" xr:uid="{00000000-0005-0000-0000-00001F250000}"/>
    <cellStyle name="Input 2 9 5 3 2" xfId="11637" xr:uid="{00000000-0005-0000-0000-000020250000}"/>
    <cellStyle name="Input 2 9 5 3 3" xfId="18256" xr:uid="{00000000-0005-0000-0000-000021250000}"/>
    <cellStyle name="Input 2 9 5 3_Summary" xfId="21531" xr:uid="{00000000-0005-0000-0000-000022250000}"/>
    <cellStyle name="Input 2 9 5 4" xfId="7467" xr:uid="{00000000-0005-0000-0000-000023250000}"/>
    <cellStyle name="Input 2 9 5 5" xfId="14085" xr:uid="{00000000-0005-0000-0000-000024250000}"/>
    <cellStyle name="Input 2 9 5_Summary" xfId="21529" xr:uid="{00000000-0005-0000-0000-000025250000}"/>
    <cellStyle name="Input 2 9 6" xfId="690" xr:uid="{00000000-0005-0000-0000-000026250000}"/>
    <cellStyle name="Input 2 9 6 2" xfId="2826" xr:uid="{00000000-0005-0000-0000-000027250000}"/>
    <cellStyle name="Input 2 9 6 2 2" xfId="9422" xr:uid="{00000000-0005-0000-0000-000028250000}"/>
    <cellStyle name="Input 2 9 6 2 3" xfId="16041" xr:uid="{00000000-0005-0000-0000-000029250000}"/>
    <cellStyle name="Input 2 9 6 2_Summary" xfId="21533" xr:uid="{00000000-0005-0000-0000-00002A250000}"/>
    <cellStyle name="Input 2 9 6 3" xfId="4861" xr:uid="{00000000-0005-0000-0000-00002B250000}"/>
    <cellStyle name="Input 2 9 6 3 2" xfId="11457" xr:uid="{00000000-0005-0000-0000-00002C250000}"/>
    <cellStyle name="Input 2 9 6 3 3" xfId="18076" xr:uid="{00000000-0005-0000-0000-00002D250000}"/>
    <cellStyle name="Input 2 9 6 3_Summary" xfId="21534" xr:uid="{00000000-0005-0000-0000-00002E250000}"/>
    <cellStyle name="Input 2 9 6 4" xfId="7441" xr:uid="{00000000-0005-0000-0000-00002F250000}"/>
    <cellStyle name="Input 2 9 6 5" xfId="13905" xr:uid="{00000000-0005-0000-0000-000030250000}"/>
    <cellStyle name="Input 2 9 6_Summary" xfId="21532" xr:uid="{00000000-0005-0000-0000-000031250000}"/>
    <cellStyle name="Input 2 9 7" xfId="864" xr:uid="{00000000-0005-0000-0000-000032250000}"/>
    <cellStyle name="Input 2 9 7 2" xfId="3000" xr:uid="{00000000-0005-0000-0000-000033250000}"/>
    <cellStyle name="Input 2 9 7 2 2" xfId="9596" xr:uid="{00000000-0005-0000-0000-000034250000}"/>
    <cellStyle name="Input 2 9 7 2 3" xfId="16215" xr:uid="{00000000-0005-0000-0000-000035250000}"/>
    <cellStyle name="Input 2 9 7 2_Summary" xfId="21536" xr:uid="{00000000-0005-0000-0000-000036250000}"/>
    <cellStyle name="Input 2 9 7 3" xfId="5035" xr:uid="{00000000-0005-0000-0000-000037250000}"/>
    <cellStyle name="Input 2 9 7 3 2" xfId="11631" xr:uid="{00000000-0005-0000-0000-000038250000}"/>
    <cellStyle name="Input 2 9 7 3 3" xfId="18250" xr:uid="{00000000-0005-0000-0000-000039250000}"/>
    <cellStyle name="Input 2 9 7 3_Summary" xfId="21537" xr:uid="{00000000-0005-0000-0000-00003A250000}"/>
    <cellStyle name="Input 2 9 7 4" xfId="7461" xr:uid="{00000000-0005-0000-0000-00003B250000}"/>
    <cellStyle name="Input 2 9 7 5" xfId="14079" xr:uid="{00000000-0005-0000-0000-00003C250000}"/>
    <cellStyle name="Input 2 9 7_Summary" xfId="21535" xr:uid="{00000000-0005-0000-0000-00003D250000}"/>
    <cellStyle name="Input 2 9 8" xfId="661" xr:uid="{00000000-0005-0000-0000-00003E250000}"/>
    <cellStyle name="Input 2 9 8 2" xfId="2797" xr:uid="{00000000-0005-0000-0000-00003F250000}"/>
    <cellStyle name="Input 2 9 8 2 2" xfId="9393" xr:uid="{00000000-0005-0000-0000-000040250000}"/>
    <cellStyle name="Input 2 9 8 2 3" xfId="16012" xr:uid="{00000000-0005-0000-0000-000041250000}"/>
    <cellStyle name="Input 2 9 8 2_Summary" xfId="21539" xr:uid="{00000000-0005-0000-0000-000042250000}"/>
    <cellStyle name="Input 2 9 8 3" xfId="4832" xr:uid="{00000000-0005-0000-0000-000043250000}"/>
    <cellStyle name="Input 2 9 8 3 2" xfId="11428" xr:uid="{00000000-0005-0000-0000-000044250000}"/>
    <cellStyle name="Input 2 9 8 3 3" xfId="18047" xr:uid="{00000000-0005-0000-0000-000045250000}"/>
    <cellStyle name="Input 2 9 8 3_Summary" xfId="21540" xr:uid="{00000000-0005-0000-0000-000046250000}"/>
    <cellStyle name="Input 2 9 8 4" xfId="7432" xr:uid="{00000000-0005-0000-0000-000047250000}"/>
    <cellStyle name="Input 2 9 8 5" xfId="13876" xr:uid="{00000000-0005-0000-0000-000048250000}"/>
    <cellStyle name="Input 2 9 8_Summary" xfId="21538" xr:uid="{00000000-0005-0000-0000-000049250000}"/>
    <cellStyle name="Input 2 9 9" xfId="612" xr:uid="{00000000-0005-0000-0000-00004A250000}"/>
    <cellStyle name="Input 2 9 9 2" xfId="2748" xr:uid="{00000000-0005-0000-0000-00004B250000}"/>
    <cellStyle name="Input 2 9 9 2 2" xfId="9344" xr:uid="{00000000-0005-0000-0000-00004C250000}"/>
    <cellStyle name="Input 2 9 9 2 3" xfId="15963" xr:uid="{00000000-0005-0000-0000-00004D250000}"/>
    <cellStyle name="Input 2 9 9 2_Summary" xfId="21542" xr:uid="{00000000-0005-0000-0000-00004E250000}"/>
    <cellStyle name="Input 2 9 9 3" xfId="4783" xr:uid="{00000000-0005-0000-0000-00004F250000}"/>
    <cellStyle name="Input 2 9 9 3 2" xfId="11379" xr:uid="{00000000-0005-0000-0000-000050250000}"/>
    <cellStyle name="Input 2 9 9 3 3" xfId="17998" xr:uid="{00000000-0005-0000-0000-000051250000}"/>
    <cellStyle name="Input 2 9 9 3_Summary" xfId="21543" xr:uid="{00000000-0005-0000-0000-000052250000}"/>
    <cellStyle name="Input 2 9 9 4" xfId="7384" xr:uid="{00000000-0005-0000-0000-000053250000}"/>
    <cellStyle name="Input 2 9 9 5" xfId="13827" xr:uid="{00000000-0005-0000-0000-000054250000}"/>
    <cellStyle name="Input 2 9 9_Summary" xfId="21541" xr:uid="{00000000-0005-0000-0000-000055250000}"/>
    <cellStyle name="Input 2 9_Summary" xfId="21434" xr:uid="{00000000-0005-0000-0000-000056250000}"/>
    <cellStyle name="Input 2_Summary" xfId="20192" xr:uid="{00000000-0005-0000-0000-000057250000}"/>
    <cellStyle name="Input 3" xfId="25644" xr:uid="{00000000-0005-0000-0000-0000CD000000}"/>
    <cellStyle name="Input 3 10" xfId="28698" xr:uid="{5B4FAC91-6C2B-456C-8B6C-2753453E4CEA}"/>
    <cellStyle name="Input 3 10 2" xfId="28699" xr:uid="{66CF0F55-567F-447D-9A98-DF65670F2BF9}"/>
    <cellStyle name="Input 3 10 2 2" xfId="30222" xr:uid="{25C161D5-714B-4082-9B89-7AB114382B38}"/>
    <cellStyle name="Input 3 10 2 2 2" xfId="31654" xr:uid="{D847E3CA-139A-48D1-8DA8-6723D1E2B1B2}"/>
    <cellStyle name="Input 3 10 2 3" xfId="30940" xr:uid="{D204232F-14BC-474A-B47C-684B84477BD9}"/>
    <cellStyle name="Input 3 10 3" xfId="28700" xr:uid="{9B37B074-D787-4CFD-95BE-EFCA41CC2ADA}"/>
    <cellStyle name="Input 3 10 3 2" xfId="30223" xr:uid="{E210C1FC-60B5-48EE-8D34-72C98581662C}"/>
    <cellStyle name="Input 3 10 3 2 2" xfId="31655" xr:uid="{A3633923-762A-4F70-98A5-C46310C9E2A8}"/>
    <cellStyle name="Input 3 10 3 3" xfId="30941" xr:uid="{270F49F6-171A-4E83-901D-8CC3A383BB9D}"/>
    <cellStyle name="Input 3 10 4" xfId="30221" xr:uid="{C3DA101E-25B5-4D5C-BFFC-1A014CAEA346}"/>
    <cellStyle name="Input 3 10 4 2" xfId="31653" xr:uid="{FD0F5216-658B-4307-B6B7-B10BB40910D6}"/>
    <cellStyle name="Input 3 10 5" xfId="30939" xr:uid="{FE45DB93-D88C-4124-84AD-F999E4E0B231}"/>
    <cellStyle name="Input 3 2" xfId="25720" xr:uid="{00000000-0005-0000-0000-0000CD000000}"/>
    <cellStyle name="Input 3 2 2" xfId="26458" xr:uid="{4724BBAD-85B9-4408-8AA5-3113D2271946}"/>
    <cellStyle name="Input 3 2 2 2" xfId="26548" xr:uid="{E7020CBA-567B-44BD-B23C-0C735A10C215}"/>
    <cellStyle name="Input 3 2 2 2 2" xfId="26928" xr:uid="{DEB58580-B35C-4F8C-9AC2-B4BC83BE5BA4}"/>
    <cellStyle name="Input 3 2 2 2 3" xfId="30225" xr:uid="{8241F604-BCCF-45DD-93BD-E32B55B56480}"/>
    <cellStyle name="Input 3 2 2 2 4" xfId="31657" xr:uid="{B99A9CA6-3AE5-4222-AD2B-88C81F71FE12}"/>
    <cellStyle name="Input 3 2 2 3" xfId="26852" xr:uid="{144AF8B6-B561-40B1-9435-16D31225815A}"/>
    <cellStyle name="Input 3 2 2 4" xfId="30943" xr:uid="{86A4F203-0E18-40AE-BD78-6873210AA011}"/>
    <cellStyle name="Input 3 2 3" xfId="26313" xr:uid="{1720AF0A-16F9-415A-B629-F194113BE795}"/>
    <cellStyle name="Input 3 2 3 2" xfId="30226" xr:uid="{173E6FC8-857F-4ACD-9D26-F1532691F763}"/>
    <cellStyle name="Input 3 2 3 2 2" xfId="31658" xr:uid="{BCA0814E-C1B4-4641-B756-271757938899}"/>
    <cellStyle name="Input 3 2 3 3" xfId="28701" xr:uid="{3CC80883-9903-48B9-8965-FBE5F26C229E}"/>
    <cellStyle name="Input 3 2 3 4" xfId="30944" xr:uid="{6951741F-8D88-44EC-B803-CD59BCECE6B8}"/>
    <cellStyle name="Input 3 2 4" xfId="26728" xr:uid="{5A92E4C8-3036-4277-9D3A-F8CAC75423A6}"/>
    <cellStyle name="Input 3 2 4 2" xfId="30224" xr:uid="{999724FB-04E1-4052-A2BD-AECC4FDE86DF}"/>
    <cellStyle name="Input 3 2 4 3" xfId="31656" xr:uid="{0573D6FF-0E9E-40F7-AD01-B81BF1F60D98}"/>
    <cellStyle name="Input 3 2 5" xfId="30942" xr:uid="{78F8BD8E-9FCF-4E50-8516-88C1695409B3}"/>
    <cellStyle name="Input 3 3" xfId="26418" xr:uid="{6D6F6081-8776-4D51-BED6-9D1A7DEB11EF}"/>
    <cellStyle name="Input 3 3 2" xfId="26342" xr:uid="{D69C8CE5-2820-4684-9281-2109F8F3A301}"/>
    <cellStyle name="Input 3 3 2 2" xfId="26747" xr:uid="{81B2831C-E4D4-4EBF-A55C-1FDF5640C7CB}"/>
    <cellStyle name="Input 3 3 2 2 2" xfId="30228" xr:uid="{4AECC41F-64DC-4BA5-920D-D5810AAA6913}"/>
    <cellStyle name="Input 3 3 2 2 3" xfId="31660" xr:uid="{7050B320-1655-4103-AEF2-CF6B3D792C99}"/>
    <cellStyle name="Input 3 3 2 3" xfId="30946" xr:uid="{03D9F1F9-DC9A-4268-A41B-9200B474183E}"/>
    <cellStyle name="Input 3 3 3" xfId="26816" xr:uid="{6DFC4D15-1638-421E-9064-F8F20D0F1B2D}"/>
    <cellStyle name="Input 3 3 3 2" xfId="30229" xr:uid="{B2CB3B1D-EAAB-42C0-AFCE-D1819FA94E2E}"/>
    <cellStyle name="Input 3 3 3 2 2" xfId="31661" xr:uid="{51AA95FF-C170-4C9C-9D26-EB781A87D541}"/>
    <cellStyle name="Input 3 3 3 3" xfId="30947" xr:uid="{FFC6D95F-AC17-4BEE-B66A-A175E85C61AE}"/>
    <cellStyle name="Input 3 3 4" xfId="30227" xr:uid="{49206973-31C8-49C6-BD92-253C351C70C3}"/>
    <cellStyle name="Input 3 3 4 2" xfId="31659" xr:uid="{15BEECDD-1652-46B6-9FDF-D95F9C8BE70E}"/>
    <cellStyle name="Input 3 3 5" xfId="30945" xr:uid="{9BBFF86F-AA03-442E-BC39-FD50FA09F536}"/>
    <cellStyle name="Input 3 4" xfId="26263" xr:uid="{E1844279-1017-4CC7-8BB6-A6D5DF591D17}"/>
    <cellStyle name="Input 3 4 2" xfId="28703" xr:uid="{FE79883F-446E-4208-8941-D58BAE114BCF}"/>
    <cellStyle name="Input 3 4 2 2" xfId="30231" xr:uid="{2D98C668-500D-42AC-A885-C1BD7877412D}"/>
    <cellStyle name="Input 3 4 2 2 2" xfId="31663" xr:uid="{0A80C656-C076-44DB-88C1-6AA454F33BB3}"/>
    <cellStyle name="Input 3 4 2 3" xfId="30949" xr:uid="{D0554C63-4103-48C7-A92F-C33E37F933C4}"/>
    <cellStyle name="Input 3 4 3" xfId="28704" xr:uid="{F432AC7E-076F-46E1-A034-A210DE6554AD}"/>
    <cellStyle name="Input 3 4 3 2" xfId="30232" xr:uid="{7B01C064-AB6B-4B83-80E4-85A710ED4143}"/>
    <cellStyle name="Input 3 4 3 2 2" xfId="31664" xr:uid="{59AA1862-32AC-4315-AF3F-D052917A5566}"/>
    <cellStyle name="Input 3 4 3 3" xfId="30950" xr:uid="{091962F1-7E8B-44C4-97BD-21F38CB4AC3F}"/>
    <cellStyle name="Input 3 4 4" xfId="30230" xr:uid="{5B7CD503-11A8-472C-961C-C35652286F2A}"/>
    <cellStyle name="Input 3 4 4 2" xfId="31662" xr:uid="{241FC9C1-50F6-4B64-9DC2-00FE0390DE06}"/>
    <cellStyle name="Input 3 4 5" xfId="28702" xr:uid="{B6D945FB-CEA4-4BBF-8606-0A5307E2814E}"/>
    <cellStyle name="Input 3 4 6" xfId="30948" xr:uid="{C051FBFA-05B5-4B42-9363-511E69C315E4}"/>
    <cellStyle name="Input 3 5" xfId="26684" xr:uid="{BB0B464B-1502-4CD7-A67A-522ED6EFD245}"/>
    <cellStyle name="Input 3 5 2" xfId="28705" xr:uid="{CEEB387D-0088-4A1A-8522-2EE7BB0126E1}"/>
    <cellStyle name="Input 3 5 2 2" xfId="30234" xr:uid="{920B748B-AA2A-42F0-874D-7C8CDA2C302A}"/>
    <cellStyle name="Input 3 5 2 2 2" xfId="31666" xr:uid="{BBF97624-689A-448F-9163-4D21D5666E69}"/>
    <cellStyle name="Input 3 5 2 3" xfId="30952" xr:uid="{EAB7EEEE-7500-4AA9-A02A-D8F5086E42FA}"/>
    <cellStyle name="Input 3 5 3" xfId="28706" xr:uid="{748D8C14-B450-445A-8797-3B1CBB0132BD}"/>
    <cellStyle name="Input 3 5 3 2" xfId="30235" xr:uid="{755910B2-73EF-435B-9692-99ECD0B04E90}"/>
    <cellStyle name="Input 3 5 3 2 2" xfId="31667" xr:uid="{9051DF8B-C822-4E94-9268-CBA37E934C80}"/>
    <cellStyle name="Input 3 5 3 3" xfId="30953" xr:uid="{77743DE0-4410-4C17-82EC-C7D0BF0160DA}"/>
    <cellStyle name="Input 3 5 4" xfId="30233" xr:uid="{299F9BB0-3DEE-4F86-BAE1-C1CC1FD9F976}"/>
    <cellStyle name="Input 3 5 4 2" xfId="31665" xr:uid="{5B4AA92C-E881-48DF-9C0B-D782A0FF308C}"/>
    <cellStyle name="Input 3 5 5" xfId="30951" xr:uid="{31DFCE96-15DE-4EAF-9961-0D0035A0AD8F}"/>
    <cellStyle name="Input 3 6" xfId="28707" xr:uid="{E8E94946-1E2C-4EDD-A7E1-368A59851E83}"/>
    <cellStyle name="Input 3 6 2" xfId="28708" xr:uid="{54DDED85-CE68-46CD-AD4A-92FEAECC16BD}"/>
    <cellStyle name="Input 3 6 2 2" xfId="30237" xr:uid="{5A158726-B988-4ED4-8C56-7F0469F769BA}"/>
    <cellStyle name="Input 3 6 2 2 2" xfId="31669" xr:uid="{6EBB08A7-C8E7-4774-ABBB-8CA58ED80DA2}"/>
    <cellStyle name="Input 3 6 2 3" xfId="30955" xr:uid="{1FB2B854-C3EF-4C48-8CD5-9FDF1E67C372}"/>
    <cellStyle name="Input 3 6 3" xfId="28709" xr:uid="{FCDABB4D-0E62-47AE-A21E-3A241D7C0002}"/>
    <cellStyle name="Input 3 6 3 2" xfId="30238" xr:uid="{639C6A7D-B164-4FA3-916D-3BB13C0317B3}"/>
    <cellStyle name="Input 3 6 3 2 2" xfId="31670" xr:uid="{C3E0D1D6-2E77-46C8-9425-006FD71E732D}"/>
    <cellStyle name="Input 3 6 3 3" xfId="30956" xr:uid="{BD883EA2-82A9-4A8F-871D-40111148D759}"/>
    <cellStyle name="Input 3 6 4" xfId="30236" xr:uid="{AD5D6B2E-BB51-458C-BAF8-09DDE0DFF4EE}"/>
    <cellStyle name="Input 3 6 4 2" xfId="31668" xr:uid="{C1A4A01F-F274-467A-8F65-6E11DB912B2B}"/>
    <cellStyle name="Input 3 6 5" xfId="30954" xr:uid="{0356D0A5-4118-4E73-B1ED-6D778BB61065}"/>
    <cellStyle name="Input 3 7" xfId="28710" xr:uid="{66E66EAB-764E-4182-ABE0-F82E59026E49}"/>
    <cellStyle name="Input 3 7 2" xfId="28711" xr:uid="{01682A52-12FA-4392-8D0E-704ABF6A178A}"/>
    <cellStyle name="Input 3 7 2 2" xfId="30240" xr:uid="{240B8453-140E-4FF3-87BB-3D232084ECE4}"/>
    <cellStyle name="Input 3 7 2 2 2" xfId="31672" xr:uid="{7F218369-B593-4FE1-B381-6214B888D366}"/>
    <cellStyle name="Input 3 7 2 3" xfId="30958" xr:uid="{653B06A8-1E36-495D-B511-BB39000BE41A}"/>
    <cellStyle name="Input 3 7 3" xfId="28712" xr:uid="{3A05F78B-D359-497F-B959-D91C59A2BB6D}"/>
    <cellStyle name="Input 3 7 3 2" xfId="30241" xr:uid="{8ADCC97D-1618-4DEE-8A19-E796F46CAF60}"/>
    <cellStyle name="Input 3 7 3 2 2" xfId="31673" xr:uid="{1D1EC01D-6162-43AE-BCA2-44B5275C5CC2}"/>
    <cellStyle name="Input 3 7 3 3" xfId="30959" xr:uid="{3B806D1D-7D99-447F-A8AE-A76F4D60AD82}"/>
    <cellStyle name="Input 3 7 4" xfId="30239" xr:uid="{D780906A-F621-41F9-86CA-50A6006032C0}"/>
    <cellStyle name="Input 3 7 4 2" xfId="31671" xr:uid="{978CE75B-FECA-4125-9EA1-EF09CD2E20B1}"/>
    <cellStyle name="Input 3 7 5" xfId="30957" xr:uid="{5BCE659F-8F2D-413B-9C24-79E2B2D5C2BE}"/>
    <cellStyle name="Input 3 8" xfId="28713" xr:uid="{B45B4B53-4B7F-4474-A956-E2D0D1EAAAF1}"/>
    <cellStyle name="Input 3 8 2" xfId="28714" xr:uid="{255C14DB-6D8D-4222-83AF-A78357BC4E91}"/>
    <cellStyle name="Input 3 8 2 2" xfId="30243" xr:uid="{01F728B6-004A-4CF5-973A-F6D5312B2123}"/>
    <cellStyle name="Input 3 8 2 2 2" xfId="31675" xr:uid="{AC614107-95E0-4776-ABF6-22D4FE9A0955}"/>
    <cellStyle name="Input 3 8 2 3" xfId="30961" xr:uid="{A616A158-5FB4-4C01-BF7B-E8CAA484C72E}"/>
    <cellStyle name="Input 3 8 3" xfId="28715" xr:uid="{1C53C283-9228-40DB-8585-96163E64BDF7}"/>
    <cellStyle name="Input 3 8 3 2" xfId="30244" xr:uid="{72B3E1A5-3910-4637-A6A5-5AAFAE251FA8}"/>
    <cellStyle name="Input 3 8 3 2 2" xfId="31676" xr:uid="{9264345B-B77A-4311-8E87-0827B50B1259}"/>
    <cellStyle name="Input 3 8 3 3" xfId="30962" xr:uid="{5CA2FCB3-1166-49ED-87D0-9E8C3A898C2B}"/>
    <cellStyle name="Input 3 8 4" xfId="30242" xr:uid="{570BE365-AA60-4005-BB1B-3648AE6175E9}"/>
    <cellStyle name="Input 3 8 4 2" xfId="31674" xr:uid="{39AB30A1-DC60-4552-85F5-346D32F26538}"/>
    <cellStyle name="Input 3 8 5" xfId="30960" xr:uid="{14C6FD59-C0DD-4961-BBE5-50B970DC7AC8}"/>
    <cellStyle name="Input 3 9" xfId="28716" xr:uid="{A3C4A426-BD74-4280-B833-919CF09217D4}"/>
    <cellStyle name="Input 3 9 2" xfId="28717" xr:uid="{FD7D308D-EA90-4F60-BF42-70F50A083A19}"/>
    <cellStyle name="Input 3 9 2 2" xfId="30246" xr:uid="{9FC57AA7-21E7-481A-8597-D80B6003ABA9}"/>
    <cellStyle name="Input 3 9 2 2 2" xfId="31678" xr:uid="{E971E265-1361-435A-978A-5A57429E3AA9}"/>
    <cellStyle name="Input 3 9 2 3" xfId="30964" xr:uid="{471A69A7-2AE7-4170-A044-8720551202D8}"/>
    <cellStyle name="Input 3 9 3" xfId="28718" xr:uid="{70E9F6EA-32F0-41C1-AD21-7777B0B2FE34}"/>
    <cellStyle name="Input 3 9 3 2" xfId="30247" xr:uid="{8880A74D-E58A-4A57-80E4-5EE9BA4D18D0}"/>
    <cellStyle name="Input 3 9 3 2 2" xfId="31679" xr:uid="{55028B26-3DCC-48E4-A82C-1A2049A7CBAB}"/>
    <cellStyle name="Input 3 9 3 3" xfId="30965" xr:uid="{9215E50C-D88D-488D-B0D1-F288EF523C7D}"/>
    <cellStyle name="Input 3 9 4" xfId="30245" xr:uid="{BB9C7773-08EE-4D78-B021-1FBF7BA79257}"/>
    <cellStyle name="Input 3 9 4 2" xfId="31677" xr:uid="{028182E3-99F1-4AB0-898E-4AAF48CA6379}"/>
    <cellStyle name="Input 3 9 5" xfId="30963" xr:uid="{28B9CB24-3FB6-439C-8E46-8D3AB915A06C}"/>
    <cellStyle name="Input 4" xfId="26262" xr:uid="{4DEBBC5A-2E80-4A6A-91EB-2D83A5A6BF10}"/>
    <cellStyle name="Input 4 10" xfId="28719" xr:uid="{7E637BBE-CD14-4D5A-B412-2F852B13FD90}"/>
    <cellStyle name="Input 4 10 2" xfId="28720" xr:uid="{1951EBC7-52C6-46D7-B051-4924629A17D8}"/>
    <cellStyle name="Input 4 10 2 2" xfId="30249" xr:uid="{B0AE8395-2B07-4A25-BDE8-D5DB1519794D}"/>
    <cellStyle name="Input 4 10 2 2 2" xfId="31681" xr:uid="{8842FFAD-7E65-457A-8F3D-C8C1F3FD336C}"/>
    <cellStyle name="Input 4 10 2 3" xfId="30967" xr:uid="{6B2A133D-18C1-4CAF-B782-4B255B6C4C4A}"/>
    <cellStyle name="Input 4 10 3" xfId="28721" xr:uid="{F38620D6-C4E9-4FD9-B3F7-B7A56F2DFD66}"/>
    <cellStyle name="Input 4 10 3 2" xfId="30250" xr:uid="{93A6FF54-DA6D-483A-8F15-19E234529D0B}"/>
    <cellStyle name="Input 4 10 3 2 2" xfId="31682" xr:uid="{CEA8BED6-0A64-4728-85E2-BE11A56E6E6A}"/>
    <cellStyle name="Input 4 10 3 3" xfId="30968" xr:uid="{0A8C4388-99A7-424B-92E8-11091279C759}"/>
    <cellStyle name="Input 4 10 4" xfId="30248" xr:uid="{9C08E438-73C7-40AB-A5B7-0C07D7F2A09B}"/>
    <cellStyle name="Input 4 10 4 2" xfId="31680" xr:uid="{373E742E-5BFF-41CD-A845-D1CADA995336}"/>
    <cellStyle name="Input 4 10 5" xfId="30966" xr:uid="{D2839FB5-3BA0-475D-82E1-A4BDFB759D8D}"/>
    <cellStyle name="Input 4 2" xfId="26301" xr:uid="{7EA466B4-3839-45A9-987C-BF272F608605}"/>
    <cellStyle name="Input 4 2 2" xfId="26446" xr:uid="{00E441E1-A082-4FB9-9090-C393CF511250}"/>
    <cellStyle name="Input 4 2 2 2" xfId="26540" xr:uid="{9AF7E3DA-D055-4DAB-87F9-830EDC151F4A}"/>
    <cellStyle name="Input 4 2 2 2 2" xfId="26922" xr:uid="{88C784AF-2D6B-4E71-AAE8-CA0529919488}"/>
    <cellStyle name="Input 4 2 2 2 3" xfId="30252" xr:uid="{584F4D36-EC85-4BFD-9C90-7FAFD74B4012}"/>
    <cellStyle name="Input 4 2 2 2 4" xfId="31684" xr:uid="{2CF6E20A-71B8-4ACD-9F46-EBB2544E686B}"/>
    <cellStyle name="Input 4 2 2 3" xfId="26843" xr:uid="{E7FDCE38-A1FD-49C4-81D7-BA0791D47685}"/>
    <cellStyle name="Input 4 2 2 4" xfId="30970" xr:uid="{1D34CACE-E3AE-46C3-BF14-8F94DBD4E980}"/>
    <cellStyle name="Input 4 2 3" xfId="26717" xr:uid="{39E55358-B06A-4F68-82F2-BF17CD407546}"/>
    <cellStyle name="Input 4 2 3 2" xfId="30253" xr:uid="{9E5D3882-6315-46DA-A681-E9A6A459A21D}"/>
    <cellStyle name="Input 4 2 3 2 2" xfId="31685" xr:uid="{C43FA951-3512-4EFF-A7D2-4490397BD27D}"/>
    <cellStyle name="Input 4 2 3 3" xfId="30971" xr:uid="{0B711858-14C4-4A5B-BAE4-775AA7D0F9FB}"/>
    <cellStyle name="Input 4 2 4" xfId="30251" xr:uid="{1D7EA09C-4A54-4EEC-83CC-EFF83166BE7C}"/>
    <cellStyle name="Input 4 2 4 2" xfId="31683" xr:uid="{D7527103-B33B-4E43-9D35-992708C5DA21}"/>
    <cellStyle name="Input 4 2 5" xfId="30969" xr:uid="{62653C6E-A8D2-4536-9E39-3F5283F51AD7}"/>
    <cellStyle name="Input 4 3" xfId="26417" xr:uid="{4CEF4A0C-9DEC-4CBC-8F60-A36624E4CFC8}"/>
    <cellStyle name="Input 4 3 2" xfId="26348" xr:uid="{60345059-F513-4DF6-85BD-2A2BD2F07F0E}"/>
    <cellStyle name="Input 4 3 2 2" xfId="26753" xr:uid="{F6B6A3A8-FFD9-460D-A416-2BB52C423DAD}"/>
    <cellStyle name="Input 4 3 2 2 2" xfId="30255" xr:uid="{325AA2B6-18E0-4F70-BFCA-96FF6E948A8A}"/>
    <cellStyle name="Input 4 3 2 2 3" xfId="31687" xr:uid="{F7A143B9-219F-44E4-8A96-44CE03DE3CEC}"/>
    <cellStyle name="Input 4 3 2 3" xfId="30973" xr:uid="{387C2321-7BD1-4957-9622-08884D7BFAA0}"/>
    <cellStyle name="Input 4 3 3" xfId="26815" xr:uid="{DC25F095-40DB-41F6-8F9F-A97B7B6BF32C}"/>
    <cellStyle name="Input 4 3 3 2" xfId="30256" xr:uid="{14EADCB0-D1E9-4DD2-8FB4-339EFC0669BA}"/>
    <cellStyle name="Input 4 3 3 2 2" xfId="31688" xr:uid="{DAD892D6-8967-436E-9DB7-A43B4D2E94ED}"/>
    <cellStyle name="Input 4 3 3 3" xfId="30974" xr:uid="{84260974-6DD7-4AEF-AC15-8371CB2A3B41}"/>
    <cellStyle name="Input 4 3 4" xfId="30254" xr:uid="{6ECF7401-31CD-46A0-926F-6F5B6A6CEED7}"/>
    <cellStyle name="Input 4 3 4 2" xfId="31686" xr:uid="{9449A7F4-37AB-45D3-9A21-FEC0D9C224E8}"/>
    <cellStyle name="Input 4 3 5" xfId="30972" xr:uid="{517D3253-8175-4212-B8F1-A5319ACC0472}"/>
    <cellStyle name="Input 4 4" xfId="26683" xr:uid="{D50FB9D8-5C80-487D-B594-A25281F5CD2C}"/>
    <cellStyle name="Input 4 4 2" xfId="28722" xr:uid="{9C7F2B0E-073A-445A-9185-0B0608B89FF9}"/>
    <cellStyle name="Input 4 4 2 2" xfId="30258" xr:uid="{4387E41F-34E6-40EE-AE7A-5D3D43F8E512}"/>
    <cellStyle name="Input 4 4 2 2 2" xfId="31690" xr:uid="{FCC3502F-D3A1-45DF-AF67-5255F5C1A3E7}"/>
    <cellStyle name="Input 4 4 2 3" xfId="30976" xr:uid="{9255379C-EE63-4613-BD81-8218A5F33E16}"/>
    <cellStyle name="Input 4 4 3" xfId="28723" xr:uid="{EC82E93E-BA77-4AC3-8340-6370903ECAEC}"/>
    <cellStyle name="Input 4 4 3 2" xfId="30259" xr:uid="{E01CF8FA-E9A4-4654-926D-7A74EE20668A}"/>
    <cellStyle name="Input 4 4 3 2 2" xfId="31691" xr:uid="{B6EF27C4-3BE9-4EC7-9C94-E68D089D61AE}"/>
    <cellStyle name="Input 4 4 3 3" xfId="30977" xr:uid="{7B277DA7-7F55-414A-BD50-19BCCF98B710}"/>
    <cellStyle name="Input 4 4 4" xfId="30257" xr:uid="{6BCC30BF-E8BA-49A4-8BD2-F8DFB0E98455}"/>
    <cellStyle name="Input 4 4 4 2" xfId="31689" xr:uid="{536E82EB-56C7-47B8-A27D-6743DE2185E0}"/>
    <cellStyle name="Input 4 4 5" xfId="30975" xr:uid="{36A6C980-6F2B-43D5-BBBE-E3F596122DA0}"/>
    <cellStyle name="Input 4 5" xfId="28724" xr:uid="{D2D409C6-F872-47D4-86E0-3F82C0FB37BC}"/>
    <cellStyle name="Input 4 5 2" xfId="28725" xr:uid="{BDFFF94D-E614-4700-9D29-0C1E53395052}"/>
    <cellStyle name="Input 4 5 2 2" xfId="30261" xr:uid="{813E02BE-0A79-4AB2-A5E6-88BFAF9325B8}"/>
    <cellStyle name="Input 4 5 2 2 2" xfId="31693" xr:uid="{E024DA4B-B8CA-4DCA-83AC-FC57204B57D6}"/>
    <cellStyle name="Input 4 5 2 3" xfId="30979" xr:uid="{6E94B19A-C8E4-49EB-AE40-EC97736FC8CB}"/>
    <cellStyle name="Input 4 5 3" xfId="28726" xr:uid="{5AE0E1B0-73AA-460D-82C4-9888F1BF9B3E}"/>
    <cellStyle name="Input 4 5 3 2" xfId="30262" xr:uid="{E3B3BBD7-35A5-4E30-806A-14CD9B810DEB}"/>
    <cellStyle name="Input 4 5 3 2 2" xfId="31694" xr:uid="{1EE52417-E9D7-4B19-81F5-0A88CA02A10F}"/>
    <cellStyle name="Input 4 5 3 3" xfId="30980" xr:uid="{075B0BB9-A919-4A29-9BA0-C2D13BD81DB3}"/>
    <cellStyle name="Input 4 5 4" xfId="30260" xr:uid="{FA730508-7A45-4872-B2AD-4556900947F2}"/>
    <cellStyle name="Input 4 5 4 2" xfId="31692" xr:uid="{11611355-ACBE-4A1A-ADDA-B138DE4872B0}"/>
    <cellStyle name="Input 4 5 5" xfId="30978" xr:uid="{39AC6E04-BD4C-402A-8244-7377A369CFB2}"/>
    <cellStyle name="Input 4 6" xfId="28727" xr:uid="{204044DA-2904-47B8-9B19-446435EF6FD6}"/>
    <cellStyle name="Input 4 6 2" xfId="28728" xr:uid="{DBE88549-D8AB-404C-8395-60BB6E7A6C4B}"/>
    <cellStyle name="Input 4 6 2 2" xfId="30264" xr:uid="{68DDA3A0-F200-4A4E-AD2C-FD37604591A5}"/>
    <cellStyle name="Input 4 6 2 2 2" xfId="31696" xr:uid="{4D0A8810-1A32-415B-B3DD-282723494645}"/>
    <cellStyle name="Input 4 6 2 3" xfId="30982" xr:uid="{0DE7AEE3-B80F-4603-97D8-DC2EC154A3AA}"/>
    <cellStyle name="Input 4 6 3" xfId="28729" xr:uid="{2C46D00A-883F-4FF7-BFCB-93DF34F5A661}"/>
    <cellStyle name="Input 4 6 3 2" xfId="30265" xr:uid="{BF946DF9-2198-4106-8394-E5039EB5EACD}"/>
    <cellStyle name="Input 4 6 3 2 2" xfId="31697" xr:uid="{3C61FA66-001F-4502-A650-96A6862E6763}"/>
    <cellStyle name="Input 4 6 3 3" xfId="30983" xr:uid="{AFB63E26-289D-4F09-BC59-A01275FA0946}"/>
    <cellStyle name="Input 4 6 4" xfId="30263" xr:uid="{62CC59F8-58D7-4F39-A19D-CF25F882624E}"/>
    <cellStyle name="Input 4 6 4 2" xfId="31695" xr:uid="{7F2A38FF-0269-4540-AB07-C6466A597DFC}"/>
    <cellStyle name="Input 4 6 5" xfId="30981" xr:uid="{2021F918-B176-45A3-9449-F8C682A5FF50}"/>
    <cellStyle name="Input 4 7" xfId="28730" xr:uid="{36296710-2081-4E22-A567-84122D4AB026}"/>
    <cellStyle name="Input 4 7 2" xfId="28731" xr:uid="{0FE49606-F440-46E1-ABE4-21FD6B0991CF}"/>
    <cellStyle name="Input 4 7 2 2" xfId="30267" xr:uid="{D6B90A87-DDC0-4AFC-956C-24DAE5A8BABD}"/>
    <cellStyle name="Input 4 7 2 2 2" xfId="31699" xr:uid="{32A96EE1-B1E7-4DE0-B3F0-C68E5B0F2321}"/>
    <cellStyle name="Input 4 7 2 3" xfId="30985" xr:uid="{D7484D5C-A315-4EB1-8199-9E3A2F0A6A37}"/>
    <cellStyle name="Input 4 7 3" xfId="28732" xr:uid="{AE748EE2-C0F3-45F7-8848-B5EB15ADDC1B}"/>
    <cellStyle name="Input 4 7 3 2" xfId="30268" xr:uid="{75EC50EA-0DFE-4824-9D86-F080F1EEADE9}"/>
    <cellStyle name="Input 4 7 3 2 2" xfId="31700" xr:uid="{CDBAFBB2-3F59-4EE8-AFF4-0551F4798E94}"/>
    <cellStyle name="Input 4 7 3 3" xfId="30986" xr:uid="{F0004164-1910-47D7-AB5D-CC27EAD93006}"/>
    <cellStyle name="Input 4 7 4" xfId="30266" xr:uid="{E8B27778-DDFA-4A7A-BA92-F97608DC6B99}"/>
    <cellStyle name="Input 4 7 4 2" xfId="31698" xr:uid="{4DFAA673-AE7E-411E-9CC8-81F3EDFF5256}"/>
    <cellStyle name="Input 4 7 5" xfId="30984" xr:uid="{ACB10AF2-7EB6-458D-8E76-BA71BC0A2D83}"/>
    <cellStyle name="Input 4 8" xfId="28733" xr:uid="{789035D5-D689-4A93-B81C-537AF69F14C6}"/>
    <cellStyle name="Input 4 8 2" xfId="28734" xr:uid="{64D1EF52-A709-4F75-938E-206E744FD8DE}"/>
    <cellStyle name="Input 4 8 2 2" xfId="30270" xr:uid="{E6E4B819-AB23-44F6-96AA-E1A10D12DC10}"/>
    <cellStyle name="Input 4 8 2 2 2" xfId="31702" xr:uid="{D3996DDA-B33C-4D1D-8209-29B3469483CD}"/>
    <cellStyle name="Input 4 8 2 3" xfId="30988" xr:uid="{5F5F2F12-C286-4699-904F-94FDBBEFDB28}"/>
    <cellStyle name="Input 4 8 3" xfId="28735" xr:uid="{46CCC460-4994-4825-820E-9663483B4239}"/>
    <cellStyle name="Input 4 8 3 2" xfId="30271" xr:uid="{E22F09E5-EE05-46C6-9DE7-6963BA5AB35F}"/>
    <cellStyle name="Input 4 8 3 2 2" xfId="31703" xr:uid="{FCAC5121-9BAE-41CB-95D8-B8C082C1CE65}"/>
    <cellStyle name="Input 4 8 3 3" xfId="30989" xr:uid="{D3F39182-9655-4886-AF6B-8D6CC38CE448}"/>
    <cellStyle name="Input 4 8 4" xfId="30269" xr:uid="{341EFFA1-35A0-4109-A6C5-AF274E5D6F7C}"/>
    <cellStyle name="Input 4 8 4 2" xfId="31701" xr:uid="{317DBB93-4CF9-4567-A2DB-70DF8C6EF3B4}"/>
    <cellStyle name="Input 4 8 5" xfId="30987" xr:uid="{0EF8A509-1F9F-405D-83D7-3C1B408AE9F6}"/>
    <cellStyle name="Input 4 9" xfId="28736" xr:uid="{1EA5E1EF-1402-489A-B664-7257D3BBF702}"/>
    <cellStyle name="Input 4 9 2" xfId="28737" xr:uid="{60478F84-9939-441E-89DD-11FD3140CBF8}"/>
    <cellStyle name="Input 4 9 2 2" xfId="30273" xr:uid="{F3DF3B2B-293F-4153-BDF1-4C674337DDC0}"/>
    <cellStyle name="Input 4 9 2 2 2" xfId="31705" xr:uid="{8BC5967F-D2F3-4BED-BD3D-E92457053D96}"/>
    <cellStyle name="Input 4 9 2 3" xfId="30991" xr:uid="{0D9F3471-145A-43F8-BAF7-4156599587BE}"/>
    <cellStyle name="Input 4 9 3" xfId="28738" xr:uid="{2F75147B-3803-4FF2-B7EE-639BB87534B3}"/>
    <cellStyle name="Input 4 9 3 2" xfId="30274" xr:uid="{F6A6DD03-3EC4-44DA-88A0-DA07575E2102}"/>
    <cellStyle name="Input 4 9 3 2 2" xfId="31706" xr:uid="{388E7A1D-BF00-44F6-B891-63C1655F2493}"/>
    <cellStyle name="Input 4 9 3 3" xfId="30992" xr:uid="{5A89A850-A124-4F41-9BB1-044AE455E4C5}"/>
    <cellStyle name="Input 4 9 4" xfId="30272" xr:uid="{E40B3071-7C58-4A78-BD48-1336C72EE959}"/>
    <cellStyle name="Input 4 9 4 2" xfId="31704" xr:uid="{906A0504-1A7F-46AD-99D5-FB82D2ABDF5E}"/>
    <cellStyle name="Input 4 9 5" xfId="30990" xr:uid="{8BA15D99-D3AE-4F17-A041-B514C7687D05}"/>
    <cellStyle name="Input 5 10" xfId="28739" xr:uid="{82AC8537-2C0B-4F83-B523-8A03532B1A5F}"/>
    <cellStyle name="Input 5 10 2" xfId="28740" xr:uid="{AA8A6755-CC9F-4075-B60C-8F66CE347E29}"/>
    <cellStyle name="Input 5 10 2 2" xfId="30276" xr:uid="{63BFFD9B-2CEB-491D-A18D-02D10A6B0A20}"/>
    <cellStyle name="Input 5 10 2 2 2" xfId="31708" xr:uid="{AC690994-FAB4-43E0-A392-9F71D49E1C70}"/>
    <cellStyle name="Input 5 10 2 3" xfId="30994" xr:uid="{0B177496-DDF7-473D-9F67-399BAFB8DCEB}"/>
    <cellStyle name="Input 5 10 3" xfId="28741" xr:uid="{4DFFB727-EEC3-4C91-AE75-19B032D5BF3A}"/>
    <cellStyle name="Input 5 10 3 2" xfId="30277" xr:uid="{A5BCDE15-B262-415D-B43E-56AF2F4E15D8}"/>
    <cellStyle name="Input 5 10 3 2 2" xfId="31709" xr:uid="{48866E1C-3242-47AF-B0FA-EF4226760496}"/>
    <cellStyle name="Input 5 10 3 3" xfId="30995" xr:uid="{894BF60C-5D7B-47FE-9124-FA70613F88CE}"/>
    <cellStyle name="Input 5 10 4" xfId="30275" xr:uid="{032D3F73-AFA4-4D04-8390-FDA4850ADA1B}"/>
    <cellStyle name="Input 5 10 4 2" xfId="31707" xr:uid="{C8B9E4DC-177D-403D-9D66-C3CA800C1AE3}"/>
    <cellStyle name="Input 5 10 5" xfId="30993" xr:uid="{EA27141A-9551-48A8-A682-3BF2E63258D9}"/>
    <cellStyle name="Input 5 2" xfId="28742" xr:uid="{E4D9DB9A-FF93-41F0-9C5A-147D9FCB1F19}"/>
    <cellStyle name="Input 5 2 2" xfId="28743" xr:uid="{C38DE762-703F-4120-8B33-8597290488B1}"/>
    <cellStyle name="Input 5 2 2 2" xfId="30279" xr:uid="{DE172DF6-8445-4838-8852-042E8DFD5EC1}"/>
    <cellStyle name="Input 5 2 2 2 2" xfId="31711" xr:uid="{1D4D7ABD-8B9E-4F20-8D85-4D9870917DC2}"/>
    <cellStyle name="Input 5 2 2 3" xfId="30997" xr:uid="{9A77D24D-D164-4699-8915-D555FB0CAC30}"/>
    <cellStyle name="Input 5 2 3" xfId="28744" xr:uid="{C92E2310-C151-4770-A5ED-198D405904BF}"/>
    <cellStyle name="Input 5 2 3 2" xfId="30280" xr:uid="{F4B04D55-D7AE-427F-9555-3B5E74A336A0}"/>
    <cellStyle name="Input 5 2 3 2 2" xfId="31712" xr:uid="{4627CE27-BB91-40FB-9FAE-012F28965290}"/>
    <cellStyle name="Input 5 2 3 3" xfId="30998" xr:uid="{EFE811F0-6A19-4B25-93B8-A6078B4E2EA1}"/>
    <cellStyle name="Input 5 2 4" xfId="30278" xr:uid="{608D6E6A-8AC4-4B8C-B1A7-8035568D7E7A}"/>
    <cellStyle name="Input 5 2 4 2" xfId="31710" xr:uid="{192A2497-E3E9-4EDA-9D45-BF1914ABF760}"/>
    <cellStyle name="Input 5 2 5" xfId="30996" xr:uid="{738F3B5A-348D-4D41-B6E2-5F8E563090DF}"/>
    <cellStyle name="Input 5 3" xfId="28745" xr:uid="{53E8B0FD-3553-458A-B60C-855E1D241028}"/>
    <cellStyle name="Input 5 3 2" xfId="28746" xr:uid="{D832CEF9-02FB-4A55-9AE9-92E44F342D7A}"/>
    <cellStyle name="Input 5 3 2 2" xfId="30282" xr:uid="{DAB227DB-4F80-423D-8D02-5BF830EF15AD}"/>
    <cellStyle name="Input 5 3 2 2 2" xfId="31714" xr:uid="{2708F4D9-CBA9-4DAA-8ADC-74154FF243DA}"/>
    <cellStyle name="Input 5 3 2 3" xfId="31000" xr:uid="{4F822F61-1E65-4383-9DC7-8A03763697BA}"/>
    <cellStyle name="Input 5 3 3" xfId="28747" xr:uid="{ADEFB390-01E4-4F8B-9D8D-47069ED3DBA7}"/>
    <cellStyle name="Input 5 3 3 2" xfId="30283" xr:uid="{249D1392-589F-4729-844D-D7719FE8576D}"/>
    <cellStyle name="Input 5 3 3 2 2" xfId="31715" xr:uid="{0D04944C-5304-4AE3-B652-6EDFC3F44409}"/>
    <cellStyle name="Input 5 3 3 3" xfId="31001" xr:uid="{A0CC2910-7DC1-4964-AE33-3FCC26D9F3C3}"/>
    <cellStyle name="Input 5 3 4" xfId="30281" xr:uid="{6345DB3C-4872-47AC-B9C7-D9B9DAB4A114}"/>
    <cellStyle name="Input 5 3 4 2" xfId="31713" xr:uid="{6CCD5EDE-51C1-49D1-A8B5-755D3EA9DD4C}"/>
    <cellStyle name="Input 5 3 5" xfId="30999" xr:uid="{4B2B636E-3966-4233-8BA7-642666DE167B}"/>
    <cellStyle name="Input 5 4" xfId="28748" xr:uid="{94A71D7A-671E-4AB3-8BD0-631C9868F66E}"/>
    <cellStyle name="Input 5 4 2" xfId="28749" xr:uid="{422F2242-E9D4-46F9-93AA-80EC4C11128B}"/>
    <cellStyle name="Input 5 4 2 2" xfId="30285" xr:uid="{A8C637D0-ED32-400B-9B21-E81B5173EED1}"/>
    <cellStyle name="Input 5 4 2 2 2" xfId="31717" xr:uid="{D57F87EA-56BF-44CB-A581-AC6018C81670}"/>
    <cellStyle name="Input 5 4 2 3" xfId="31003" xr:uid="{AF2BC925-8FD5-4DB1-BE93-79B848C75BAD}"/>
    <cellStyle name="Input 5 4 3" xfId="28750" xr:uid="{DB4AF5BA-8C30-4557-BECE-0B8F0032DDAB}"/>
    <cellStyle name="Input 5 4 3 2" xfId="30286" xr:uid="{3F41C97B-EE11-4737-BFD1-8E4FD50C8315}"/>
    <cellStyle name="Input 5 4 3 2 2" xfId="31718" xr:uid="{9949CDF8-50A6-451C-BC66-6198660D064B}"/>
    <cellStyle name="Input 5 4 3 3" xfId="31004" xr:uid="{41363EF0-D778-46FB-914F-B01EEA34E496}"/>
    <cellStyle name="Input 5 4 4" xfId="30284" xr:uid="{72FB35AA-A177-4DCC-AAB7-F07F9440699A}"/>
    <cellStyle name="Input 5 4 4 2" xfId="31716" xr:uid="{73575F23-C8E8-4F47-9609-B2EC7CEA7B6F}"/>
    <cellStyle name="Input 5 4 5" xfId="31002" xr:uid="{6184AECF-5EB3-4CDB-B1CC-4D5AA77ED10A}"/>
    <cellStyle name="Input 5 5" xfId="28751" xr:uid="{2DCE94C1-1B5A-4A94-B9F9-5F3C796D4B36}"/>
    <cellStyle name="Input 5 5 2" xfId="28752" xr:uid="{F962B361-0CC5-4DA5-8D3B-A871DB21E13C}"/>
    <cellStyle name="Input 5 5 2 2" xfId="30288" xr:uid="{48B8D2C7-7CC2-4AF1-9A5C-CB7103048600}"/>
    <cellStyle name="Input 5 5 2 2 2" xfId="31720" xr:uid="{6F1742FD-56ED-4CB2-A5B5-FDE5E88B02A7}"/>
    <cellStyle name="Input 5 5 2 3" xfId="31006" xr:uid="{984B3D9F-B2F2-4BC5-9874-2F4DCF6F3A25}"/>
    <cellStyle name="Input 5 5 3" xfId="28753" xr:uid="{9D3D5595-25D9-4F92-8BBF-5C7F0A7D91F5}"/>
    <cellStyle name="Input 5 5 3 2" xfId="30289" xr:uid="{4F772206-E883-4825-A3D2-628C2323578A}"/>
    <cellStyle name="Input 5 5 3 2 2" xfId="31721" xr:uid="{A7DB3358-769E-426C-A537-63120BDB720C}"/>
    <cellStyle name="Input 5 5 3 3" xfId="31007" xr:uid="{5FF4FEC0-9332-46A6-875B-2C11965DA45D}"/>
    <cellStyle name="Input 5 5 4" xfId="30287" xr:uid="{9793AFE7-F585-41EA-8118-EC5E877496B4}"/>
    <cellStyle name="Input 5 5 4 2" xfId="31719" xr:uid="{F77F7380-68E8-44D7-8A66-6F964FE5E1CB}"/>
    <cellStyle name="Input 5 5 5" xfId="31005" xr:uid="{1C09CBBC-EB7E-448A-B470-D2430C924EA6}"/>
    <cellStyle name="Input 5 6" xfId="28754" xr:uid="{5C12FD0E-2B09-4D99-AF9D-9B4AA46CB862}"/>
    <cellStyle name="Input 5 6 2" xfId="28755" xr:uid="{0366D9AE-8C84-4AC9-9CCF-8D26E7925C93}"/>
    <cellStyle name="Input 5 6 2 2" xfId="30291" xr:uid="{50B0E1A9-3982-4678-B834-556A7D7B9125}"/>
    <cellStyle name="Input 5 6 2 2 2" xfId="31723" xr:uid="{5A239BE5-7CA0-4A32-B476-413ABA1F7FB4}"/>
    <cellStyle name="Input 5 6 2 3" xfId="31009" xr:uid="{BD117401-2CA0-4233-9A19-865CA43D6F29}"/>
    <cellStyle name="Input 5 6 3" xfId="28756" xr:uid="{9138F74E-E21F-4FE2-9B56-D48EA1D0D9F2}"/>
    <cellStyle name="Input 5 6 3 2" xfId="30292" xr:uid="{FC4332A4-0501-4DB8-AE7F-0A6C03128568}"/>
    <cellStyle name="Input 5 6 3 2 2" xfId="31724" xr:uid="{AEFC1FAE-7165-4EC8-B0A9-6F03030021B9}"/>
    <cellStyle name="Input 5 6 3 3" xfId="31010" xr:uid="{98DBCC03-4416-469D-BFF4-A675F16825A7}"/>
    <cellStyle name="Input 5 6 4" xfId="30290" xr:uid="{EDC6B235-AF4E-4086-B1B3-77DA70696CFA}"/>
    <cellStyle name="Input 5 6 4 2" xfId="31722" xr:uid="{D719A2C4-C120-49C9-B263-C8D28CFFB412}"/>
    <cellStyle name="Input 5 6 5" xfId="31008" xr:uid="{7980E1D3-BC09-4AFB-B5AC-918CA976B27D}"/>
    <cellStyle name="Input 5 7" xfId="28757" xr:uid="{46234FE7-8B84-4836-9AFE-771C3B90CE9F}"/>
    <cellStyle name="Input 5 7 2" xfId="28758" xr:uid="{5E903EF9-92DE-4BB6-A7E1-73125EB188BB}"/>
    <cellStyle name="Input 5 7 2 2" xfId="30294" xr:uid="{C5F7C61A-FE6F-4E41-8056-E03CCA4A8762}"/>
    <cellStyle name="Input 5 7 2 2 2" xfId="31726" xr:uid="{9E3CF84B-88A8-4771-9F44-66116193A8F8}"/>
    <cellStyle name="Input 5 7 2 3" xfId="31012" xr:uid="{B964B14C-0344-49DC-9F30-82A551A768A7}"/>
    <cellStyle name="Input 5 7 3" xfId="28759" xr:uid="{437DE7C8-4D66-45E6-AAE4-18EE4BD63C9A}"/>
    <cellStyle name="Input 5 7 3 2" xfId="30295" xr:uid="{6524AAE6-122E-4D3A-AFD8-BED90C4AC83E}"/>
    <cellStyle name="Input 5 7 3 2 2" xfId="31727" xr:uid="{5EF95360-96E2-4712-BAF4-F9B0384A3F70}"/>
    <cellStyle name="Input 5 7 3 3" xfId="31013" xr:uid="{70675BFB-E89A-4EBE-B7CD-AC1F5502CF7B}"/>
    <cellStyle name="Input 5 7 4" xfId="30293" xr:uid="{B9E53761-BABC-4C70-BD10-670651A1088D}"/>
    <cellStyle name="Input 5 7 4 2" xfId="31725" xr:uid="{6A427DC6-7126-4534-90A6-4443867BF892}"/>
    <cellStyle name="Input 5 7 5" xfId="31011" xr:uid="{D6593EDC-7A8B-4E25-BD83-2D12A1A9AD85}"/>
    <cellStyle name="Input 5 8" xfId="28760" xr:uid="{9D540BC5-AE1D-4242-86AC-4F4D8D335C6C}"/>
    <cellStyle name="Input 5 8 2" xfId="28761" xr:uid="{915A82D9-4CA8-4940-8F5C-2E936F73BADB}"/>
    <cellStyle name="Input 5 8 2 2" xfId="30297" xr:uid="{38EF2545-1D71-4B13-8C3B-914824B52B6C}"/>
    <cellStyle name="Input 5 8 2 2 2" xfId="31729" xr:uid="{A28A0424-DD20-4897-A878-0705F912A416}"/>
    <cellStyle name="Input 5 8 2 3" xfId="31015" xr:uid="{56DDD1EF-58E3-4B06-B613-BEAB132BC601}"/>
    <cellStyle name="Input 5 8 3" xfId="28762" xr:uid="{15E883C5-ADA0-4DB6-A31B-F5336028901D}"/>
    <cellStyle name="Input 5 8 3 2" xfId="30298" xr:uid="{4AE647CC-D673-4F23-BAC8-5C35FF4BBF27}"/>
    <cellStyle name="Input 5 8 3 2 2" xfId="31730" xr:uid="{A3EFFC6B-95EA-4DF9-814D-7095E44119BD}"/>
    <cellStyle name="Input 5 8 3 3" xfId="31016" xr:uid="{453D5A96-BE8D-4A20-B9E2-13DFD63FC129}"/>
    <cellStyle name="Input 5 8 4" xfId="30296" xr:uid="{538175EB-2CC1-4181-BF19-7D1C4F45CCBB}"/>
    <cellStyle name="Input 5 8 4 2" xfId="31728" xr:uid="{229FC03B-DD44-4F86-AB51-63D6B72B5D2D}"/>
    <cellStyle name="Input 5 8 5" xfId="31014" xr:uid="{70AF92A6-15CA-430F-995C-70AB1C7FFB51}"/>
    <cellStyle name="Input 5 9" xfId="28763" xr:uid="{C540603E-4E94-4F2D-8A5C-6BB43D0AB23A}"/>
    <cellStyle name="Input 5 9 2" xfId="28764" xr:uid="{AA17C3DA-F1DF-4735-86BB-C3B06122B8B6}"/>
    <cellStyle name="Input 5 9 2 2" xfId="30300" xr:uid="{2ACB1CDA-BC1B-45D3-966F-57CE05FFE826}"/>
    <cellStyle name="Input 5 9 2 2 2" xfId="31732" xr:uid="{9EAF5DB6-A1B5-4AE3-9010-109DE7B6A9BF}"/>
    <cellStyle name="Input 5 9 2 3" xfId="31018" xr:uid="{82CF44FD-FF4F-480F-8BB5-4F4BE0BBC04D}"/>
    <cellStyle name="Input 5 9 3" xfId="28765" xr:uid="{7B508E7C-2F1E-4708-B570-94B28A41EAEE}"/>
    <cellStyle name="Input 5 9 3 2" xfId="30301" xr:uid="{B69F7EAF-AFD9-455D-A09C-04FEA4EAAD0A}"/>
    <cellStyle name="Input 5 9 3 2 2" xfId="31733" xr:uid="{32FA895F-5EF8-43C1-A2E7-794CE654E02B}"/>
    <cellStyle name="Input 5 9 3 3" xfId="31019" xr:uid="{B4C18969-C95F-4050-8F7C-C1E850F9D544}"/>
    <cellStyle name="Input 5 9 4" xfId="30299" xr:uid="{7D2E5871-A830-4E23-A959-1008687AD534}"/>
    <cellStyle name="Input 5 9 4 2" xfId="31731" xr:uid="{70528C82-F71F-4265-AE0B-73715D1B42F7}"/>
    <cellStyle name="Input 5 9 5" xfId="31017" xr:uid="{80795A59-2F20-43E8-A0F0-325D1FC3AE59}"/>
    <cellStyle name="Jun" xfId="123" xr:uid="{00000000-0005-0000-0000-000058250000}"/>
    <cellStyle name="Legal 8½ x 14 in" xfId="28766" xr:uid="{5FF76CE1-C8A2-44D6-9E6D-28F074568738}"/>
    <cellStyle name="Legal 8½ x 14 in 10" xfId="28767" xr:uid="{98526052-8E30-4F9A-915E-66D833FADC58}"/>
    <cellStyle name="Legal 8½ x 14 in 11" xfId="28768" xr:uid="{87CAB16E-7380-46A0-A04A-9ED859F89B36}"/>
    <cellStyle name="Legal 8½ x 14 in 2" xfId="28769" xr:uid="{126B1865-126A-4143-B328-7146D41939B2}"/>
    <cellStyle name="Legal 8½ x 14 in 2 2" xfId="28770" xr:uid="{CE2732C2-C57A-4212-B2FF-F42AD192834E}"/>
    <cellStyle name="Legal 8½ x 14 in 3" xfId="28771" xr:uid="{2CB35788-0CF7-4BDB-9E81-AE1B2930F69E}"/>
    <cellStyle name="Legal 8½ x 14 in 4" xfId="28772" xr:uid="{7A4C11D5-6BEA-42AC-9346-E40B43F8D95B}"/>
    <cellStyle name="Legal 8½ x 14 in 5" xfId="28773" xr:uid="{2061A358-3E83-4C9A-AE9A-F4751A01174B}"/>
    <cellStyle name="Legal 8½ x 14 in 6" xfId="28774" xr:uid="{8BA24E09-7B45-45DE-B01B-E5B56BD5D07D}"/>
    <cellStyle name="Legal 8½ x 14 in 7" xfId="28775" xr:uid="{BD2B6AAF-7642-4400-AB3C-E4BF1610CDE5}"/>
    <cellStyle name="Legal 8½ x 14 in 8" xfId="28776" xr:uid="{1461606D-0502-4430-8E72-C973183F311F}"/>
    <cellStyle name="Legal 8½ x 14 in 9" xfId="28777" xr:uid="{940DE322-6854-41E0-9F4E-3096BEDB3388}"/>
    <cellStyle name="Legal 8½ x 14 in_Bihar Project  Tracker April 01042010" xfId="28778" xr:uid="{638E9678-F0DB-4EA3-AF08-E15FBF5C7ED8}"/>
    <cellStyle name="Linked Cell" xfId="34" builtinId="24" customBuiltin="1"/>
    <cellStyle name="Linked Cell 2" xfId="110" xr:uid="{00000000-0005-0000-0000-00005A250000}"/>
    <cellStyle name="Linked Cell 2 10" xfId="28779" xr:uid="{446ADD03-431F-464A-A1F6-9EC6C2A5D681}"/>
    <cellStyle name="Linked Cell 2 2" xfId="26198" xr:uid="{B4359C3F-0236-40EB-87EA-58CED6A1C970}"/>
    <cellStyle name="Linked Cell 2 2 2" xfId="28780" xr:uid="{A751415C-8EA2-4505-9CD2-15111FF4294E}"/>
    <cellStyle name="Linked Cell 2 3" xfId="28781" xr:uid="{327FEAD8-D016-466E-B181-B15CE6771D1E}"/>
    <cellStyle name="Linked Cell 2 4" xfId="28782" xr:uid="{857EDE5E-FBEC-4B60-9A1C-5FB29FCD8DF4}"/>
    <cellStyle name="Linked Cell 2 5" xfId="28783" xr:uid="{DF72E381-35FA-4F7F-AA7F-A94300C294B9}"/>
    <cellStyle name="Linked Cell 2 6" xfId="28784" xr:uid="{0E53441D-B987-4B2E-B27D-44A81FCFB1C6}"/>
    <cellStyle name="Linked Cell 2 7" xfId="28785" xr:uid="{C2633EA9-5D62-4D28-A562-C3F89BB3A457}"/>
    <cellStyle name="Linked Cell 2 8" xfId="28786" xr:uid="{2649B3E5-AC08-497E-89BC-CB42FC2C0C86}"/>
    <cellStyle name="Linked Cell 2 9" xfId="28787" xr:uid="{ED812B46-FBB5-41B9-A8C9-A1D7442848F0}"/>
    <cellStyle name="Linked Cell 2_WBS Creation" xfId="28788" xr:uid="{08E557EE-49D8-4892-8F79-DA4D9E6E2034}"/>
    <cellStyle name="Linked Cell 3 10" xfId="28789" xr:uid="{E730C0CE-2BAC-4FD8-9E74-C64F8D9BB66C}"/>
    <cellStyle name="Linked Cell 3 2" xfId="28790" xr:uid="{267B4E20-F77A-46F8-9176-169346AAB299}"/>
    <cellStyle name="Linked Cell 3 3" xfId="28791" xr:uid="{7D9969E1-0F63-48A6-9F1F-BB5E7E653AB7}"/>
    <cellStyle name="Linked Cell 3 4" xfId="28792" xr:uid="{1BB69AC1-7B09-4B96-8AD6-BAF805C6D553}"/>
    <cellStyle name="Linked Cell 3 5" xfId="28793" xr:uid="{B2D4304A-1D23-4748-B779-796C381BC89E}"/>
    <cellStyle name="Linked Cell 3 6" xfId="28794" xr:uid="{D3816407-4B4A-4A5C-8EAF-65501681C91A}"/>
    <cellStyle name="Linked Cell 3 7" xfId="28795" xr:uid="{D09020D3-6567-47D3-B35F-D8B06C33F48E}"/>
    <cellStyle name="Linked Cell 3 8" xfId="28796" xr:uid="{626E6E40-09F3-43EA-A473-32445872D5CC}"/>
    <cellStyle name="Linked Cell 3 9" xfId="28797" xr:uid="{090BEF2C-BC27-47E1-8D05-33720C34E6C5}"/>
    <cellStyle name="Linked Cell 4 10" xfId="28798" xr:uid="{D978E4FB-52D1-437D-A9D9-7D5369496CC5}"/>
    <cellStyle name="Linked Cell 4 2" xfId="28799" xr:uid="{ADA38341-239F-4264-8FEF-A0BD49DD8322}"/>
    <cellStyle name="Linked Cell 4 3" xfId="28800" xr:uid="{BB4C262B-8F8B-41FE-B411-9207A260F08A}"/>
    <cellStyle name="Linked Cell 4 4" xfId="28801" xr:uid="{8BB8F097-9EB7-4044-8AB2-D5E1A94C7638}"/>
    <cellStyle name="Linked Cell 4 5" xfId="28802" xr:uid="{1B159038-2904-41B8-9807-838A14D00CD9}"/>
    <cellStyle name="Linked Cell 4 6" xfId="28803" xr:uid="{C76A6875-FF29-4DFD-8C63-DA10ECB6B90F}"/>
    <cellStyle name="Linked Cell 4 7" xfId="28804" xr:uid="{4F27907B-26D0-496D-A595-BFC30792A628}"/>
    <cellStyle name="Linked Cell 4 8" xfId="28805" xr:uid="{0C3BAA62-E078-4877-A8AA-8CCF22528CFB}"/>
    <cellStyle name="Linked Cell 4 9" xfId="28806" xr:uid="{C960E8C4-8F2A-4320-89F3-90F65916BBC1}"/>
    <cellStyle name="Linked Cell 5 10" xfId="28807" xr:uid="{BCF86A7A-BFBB-474F-96BB-B36BC00D35F2}"/>
    <cellStyle name="Linked Cell 5 2" xfId="28808" xr:uid="{2D5E70C8-9B3D-4F6C-8F41-8B82B147AB00}"/>
    <cellStyle name="Linked Cell 5 3" xfId="28809" xr:uid="{D324FB10-4042-4268-A5A6-15F25EB18142}"/>
    <cellStyle name="Linked Cell 5 4" xfId="28810" xr:uid="{C926A714-2656-4C3D-9489-6C13828EF5EC}"/>
    <cellStyle name="Linked Cell 5 5" xfId="28811" xr:uid="{B4E649CB-8DA7-4D73-AC18-A4DAA15F27FD}"/>
    <cellStyle name="Linked Cell 5 6" xfId="28812" xr:uid="{669524EE-86E4-4F2B-8C54-41DCE5839851}"/>
    <cellStyle name="Linked Cell 5 7" xfId="28813" xr:uid="{6899FEC8-D1E0-4940-85CA-0204F6F1A37A}"/>
    <cellStyle name="Linked Cell 5 8" xfId="28814" xr:uid="{C29A5B75-86C8-4E23-AAE9-D9726DBECAD7}"/>
    <cellStyle name="Linked Cell 5 9" xfId="28815" xr:uid="{68044C0B-9826-417E-88D5-957B37B67F48}"/>
    <cellStyle name="Milliers [0]_!!!GO" xfId="26139" xr:uid="{40EE1F68-A224-4B5A-96F5-E75E1767849B}"/>
    <cellStyle name="Milliers_!!!GO" xfId="26140" xr:uid="{50432084-4125-4203-8C51-5B2948A8269B}"/>
    <cellStyle name="Model" xfId="26141" xr:uid="{E1A713DD-8FD0-4DA7-BB71-26DFD54F9528}"/>
    <cellStyle name="Monétaire [0]_!!!GO" xfId="26142" xr:uid="{6279AB8F-0083-491C-B6E4-0F226DC300B0}"/>
    <cellStyle name="Monétaire_!!!GO" xfId="26143" xr:uid="{2A36B505-7A0A-4AB7-8DD2-E857B671E6EC}"/>
    <cellStyle name="Neutral" xfId="30" builtinId="28" customBuiltin="1"/>
    <cellStyle name="Neutral 10" xfId="28816" xr:uid="{5A66DD76-81DE-41EC-88C5-A894F6C02BDE}"/>
    <cellStyle name="Neutral 11" xfId="28817" xr:uid="{126206CF-E05E-42DF-A138-35EF27FD2CF9}"/>
    <cellStyle name="Neutral 2" xfId="111" xr:uid="{00000000-0005-0000-0000-00005C250000}"/>
    <cellStyle name="Neutral 2 10" xfId="28819" xr:uid="{22421B78-9304-41DF-A169-E4FC845BB3D3}"/>
    <cellStyle name="Neutral 2 11" xfId="28820" xr:uid="{BE3BFBE1-4D13-48EE-BD3E-B0F47E0D7305}"/>
    <cellStyle name="Neutral 2 12" xfId="28821" xr:uid="{25FB4F38-A250-4866-9070-E9A3BCD5E066}"/>
    <cellStyle name="Neutral 2 13" xfId="28822" xr:uid="{296E45F2-5A64-4717-8118-71F5E2C8C9BA}"/>
    <cellStyle name="Neutral 2 14" xfId="28823" xr:uid="{A0BC0150-8CB1-4274-9863-7279B29C455C}"/>
    <cellStyle name="Neutral 2 15" xfId="28824" xr:uid="{9A99210B-55D7-4571-9077-C7FC78F7B9FE}"/>
    <cellStyle name="Neutral 2 16" xfId="28818" xr:uid="{9C6E11AB-25D2-44FF-BF22-2FB781FF5AF7}"/>
    <cellStyle name="Neutral 2 2" xfId="26242" xr:uid="{45496F22-8CEF-4D93-A8E9-1855A7E07DC9}"/>
    <cellStyle name="Neutral 2 2 2" xfId="28825" xr:uid="{113684AC-16E4-4575-8420-51766B77F6C7}"/>
    <cellStyle name="Neutral 2 3" xfId="28826" xr:uid="{D9658531-1054-449E-8F8F-C186F6C7A7B7}"/>
    <cellStyle name="Neutral 2 4" xfId="28827" xr:uid="{4772C95D-4277-44E4-ABC4-7AD0A7E54529}"/>
    <cellStyle name="Neutral 2 5" xfId="28828" xr:uid="{67208FD7-857F-4539-8D33-2C21975011B9}"/>
    <cellStyle name="Neutral 2 6" xfId="28829" xr:uid="{8885ECAA-BFFD-44E1-B2B0-28BA57BF824C}"/>
    <cellStyle name="Neutral 2 7" xfId="28830" xr:uid="{E4A824B9-3D9E-4550-9492-35B55DBAC5C4}"/>
    <cellStyle name="Neutral 2 8" xfId="28831" xr:uid="{625E58E8-8517-48CE-863E-E664ACA299BE}"/>
    <cellStyle name="Neutral 2 9" xfId="28832" xr:uid="{A8C8458F-9E1E-40B9-A49B-5CFB4D41DA90}"/>
    <cellStyle name="Neutral 2_PO Creation" xfId="28833" xr:uid="{D11DCD28-DEA0-45F2-954B-47EA94D82546}"/>
    <cellStyle name="Neutral 3" xfId="260" xr:uid="{00000000-0005-0000-0000-00005D250000}"/>
    <cellStyle name="Neutral 3 10" xfId="28835" xr:uid="{F2D51F12-D2AB-43D5-A121-02AF5EA857C1}"/>
    <cellStyle name="Neutral 3 11" xfId="28834" xr:uid="{691E72F4-B46E-469E-9E15-F85079FDF7F3}"/>
    <cellStyle name="Neutral 3 2" xfId="28836" xr:uid="{462DB282-B53A-4A5B-8FED-851CF58BB040}"/>
    <cellStyle name="Neutral 3 3" xfId="28837" xr:uid="{F4555DE8-54E7-4E4C-B54E-70819E54E93E}"/>
    <cellStyle name="Neutral 3 4" xfId="28838" xr:uid="{5C452A78-EB4A-4CBF-935F-F408BD1AA6BC}"/>
    <cellStyle name="Neutral 3 5" xfId="28839" xr:uid="{008C13E0-790F-4A7A-B9A6-4E5B1E9E0B91}"/>
    <cellStyle name="Neutral 3 6" xfId="28840" xr:uid="{277AF668-F1D3-4298-969C-386C28379ABD}"/>
    <cellStyle name="Neutral 3 7" xfId="28841" xr:uid="{565A02F8-B524-42D1-8826-403E8AE6966E}"/>
    <cellStyle name="Neutral 3 8" xfId="28842" xr:uid="{6CC6E70A-0CB0-4401-B964-215304E2F2BC}"/>
    <cellStyle name="Neutral 3 9" xfId="28843" xr:uid="{9E7B9315-3FF5-4D3D-B875-4D5FAB9A320D}"/>
    <cellStyle name="Neutral 4" xfId="25781" xr:uid="{C43C7F62-66C1-4694-8CA8-B115BD70D7C7}"/>
    <cellStyle name="Neutral 4 10" xfId="28845" xr:uid="{1EBCDEFE-13F5-485B-8E8B-3C608B571E03}"/>
    <cellStyle name="Neutral 4 11" xfId="28844" xr:uid="{D3D63FB5-4634-4D99-947C-ED1588BC2759}"/>
    <cellStyle name="Neutral 4 2" xfId="28846" xr:uid="{BA6B7C3B-82CD-4D8A-A62E-A7B95E871674}"/>
    <cellStyle name="Neutral 4 3" xfId="28847" xr:uid="{3955CA47-5ABB-426B-B038-70184381032F}"/>
    <cellStyle name="Neutral 4 4" xfId="28848" xr:uid="{E58FCD1E-5B72-41F6-A7DF-24147E7F5B4F}"/>
    <cellStyle name="Neutral 4 5" xfId="28849" xr:uid="{CC9708D5-EC89-489A-B02E-BE51DD2977E6}"/>
    <cellStyle name="Neutral 4 6" xfId="28850" xr:uid="{41E43737-EC94-46D5-9D5E-FB8E27005D94}"/>
    <cellStyle name="Neutral 4 7" xfId="28851" xr:uid="{1A2AAD1C-6E5B-4626-BB34-F123DA58EE58}"/>
    <cellStyle name="Neutral 4 8" xfId="28852" xr:uid="{2DE64396-4B33-4C8A-8548-EA47D9AB086F}"/>
    <cellStyle name="Neutral 4 9" xfId="28853" xr:uid="{A4269EE4-7005-4EA0-B1D0-EB0C16305843}"/>
    <cellStyle name="Neutral 5" xfId="28854" xr:uid="{B1137115-2562-4E85-9B20-AF6DC8D698B1}"/>
    <cellStyle name="Neutral 5 10" xfId="28855" xr:uid="{2C85E455-97C3-41CC-81B9-FA3983D38E09}"/>
    <cellStyle name="Neutral 5 2" xfId="28856" xr:uid="{E0784173-E9EB-4556-BCDF-1A94B6508B5D}"/>
    <cellStyle name="Neutral 5 3" xfId="28857" xr:uid="{E205B52A-F550-4F22-B5FB-83CA1ED5B8D1}"/>
    <cellStyle name="Neutral 5 4" xfId="28858" xr:uid="{4B7E59BA-642B-4052-BC03-CB16A05B751F}"/>
    <cellStyle name="Neutral 5 5" xfId="28859" xr:uid="{B2C16B77-D88D-4D5C-AE46-44C8C14F8A43}"/>
    <cellStyle name="Neutral 5 6" xfId="28860" xr:uid="{5F3B7DA7-1338-4285-824D-D84A1F4145B5}"/>
    <cellStyle name="Neutral 5 7" xfId="28861" xr:uid="{4E594398-C129-46B2-95A5-80120099D70D}"/>
    <cellStyle name="Neutral 5 8" xfId="28862" xr:uid="{8C5E3DD0-1D94-483C-8AB5-F366D66A8E14}"/>
    <cellStyle name="Neutral 5 9" xfId="28863" xr:uid="{1A267B8E-D07F-4C5F-AB83-4E82123E8F92}"/>
    <cellStyle name="Neutral 6" xfId="28864" xr:uid="{0B418A1F-C0C5-4F3F-ACF3-503433D74C2C}"/>
    <cellStyle name="Neutral 7" xfId="28865" xr:uid="{BE0F5B25-613D-476F-8336-539BAE04B165}"/>
    <cellStyle name="Neutral 8" xfId="28866" xr:uid="{9CF156DA-3D79-45E4-AB9E-6BE0CBC741D2}"/>
    <cellStyle name="Neutral 9" xfId="28867" xr:uid="{1081FAAC-4907-4A57-BBE5-26F70694D0DF}"/>
    <cellStyle name="no dec" xfId="26144" xr:uid="{7E1B8D0C-EF8B-4F90-9703-C9EDBF60F9D6}"/>
    <cellStyle name="Normal" xfId="0" builtinId="0"/>
    <cellStyle name="Normal - Style1" xfId="26145" xr:uid="{0FD4BC66-8278-4044-ABB1-9F0C18ADBC1A}"/>
    <cellStyle name="Normal - Style1 2" xfId="28868" xr:uid="{1D36316F-BA97-4349-8E93-9B94E730F1D3}"/>
    <cellStyle name="Normal 1" xfId="28869" xr:uid="{62CAC94F-A4D8-4FF0-A73A-D1E4851554FD}"/>
    <cellStyle name="Normal 10" xfId="67" xr:uid="{00000000-0005-0000-0000-00005F250000}"/>
    <cellStyle name="Normal 10 10" xfId="28870" xr:uid="{73A1EF1B-8EFB-4931-81D2-4611F966BA31}"/>
    <cellStyle name="Normal 10 10 3" xfId="32220" xr:uid="{8A36D01E-C6B5-4A6E-83C1-92011C85B583}"/>
    <cellStyle name="Normal 10 2" xfId="70" xr:uid="{00000000-0005-0000-0000-000060250000}"/>
    <cellStyle name="Normal 10 2 2" xfId="133" xr:uid="{00000000-0005-0000-0000-000061250000}"/>
    <cellStyle name="Normal 10 2 2 2" xfId="26258" xr:uid="{12E56AEA-4752-41C0-ABF1-8702A93D0205}"/>
    <cellStyle name="Normal 10 2 2 3" xfId="26035" xr:uid="{A3A0B3A1-8FB2-4EEC-8630-1F881EE64EDF}"/>
    <cellStyle name="Normal 10 2 2 4" xfId="28871" xr:uid="{4685C1AE-3CA1-4352-94D7-C2B3FBB1A00E}"/>
    <cellStyle name="Normal 10 2 3" xfId="268" xr:uid="{00000000-0005-0000-0000-000062250000}"/>
    <cellStyle name="Normal 10 2 3 2" xfId="28872" xr:uid="{C7F2DC0C-7FD2-49F9-8716-B5C3A8E90AAE}"/>
    <cellStyle name="Normal 10 2 4" xfId="28873" xr:uid="{FBDD39F5-048B-475F-8C41-72264021C1D3}"/>
    <cellStyle name="Normal 10 2 4 2" xfId="28874" xr:uid="{492F71B2-FAB0-4439-A33C-119276EF9BED}"/>
    <cellStyle name="Normal 10 2 5" xfId="28875" xr:uid="{B59C2F25-555B-4BA5-8DA9-B2D4004D326C}"/>
    <cellStyle name="Normal 10 2 5 2" xfId="28876" xr:uid="{D165D220-B5E7-4028-907A-EB99A03A1A7C}"/>
    <cellStyle name="Normal 10 2 6" xfId="28877" xr:uid="{75CD4270-8C71-4B3D-8D2F-C9FBD40C5017}"/>
    <cellStyle name="Normal 10 2_Summary" xfId="21545" xr:uid="{00000000-0005-0000-0000-000063250000}"/>
    <cellStyle name="Normal 10 3" xfId="6819" xr:uid="{00000000-0005-0000-0000-000064250000}"/>
    <cellStyle name="Normal 10 3 2" xfId="25577" xr:uid="{00000000-0005-0000-0000-000002000000}"/>
    <cellStyle name="Normal 10 3 2 2" xfId="28879" xr:uid="{71A437D5-6963-4E89-B26F-5A72EEAACAF0}"/>
    <cellStyle name="Normal 10 3 3" xfId="26031" xr:uid="{B255CE44-FDFD-416B-8CDF-A1EAA69357CE}"/>
    <cellStyle name="Normal 10 3 3 2" xfId="28880" xr:uid="{FF3F19DA-DA9D-491B-ADC7-F8BA423E9523}"/>
    <cellStyle name="Normal 10 3 4" xfId="28881" xr:uid="{E43BCC4B-B528-49AD-94EE-1770703116E6}"/>
    <cellStyle name="Normal 10 3 4 2" xfId="28882" xr:uid="{8F234F93-2A42-4DAC-9742-FB12DFAEAD35}"/>
    <cellStyle name="Normal 10 3 5" xfId="28883" xr:uid="{9FD1C52F-6CF4-4DFC-99F0-1C50ED3FB822}"/>
    <cellStyle name="Normal 10 3 5 2" xfId="28884" xr:uid="{FA137399-BB77-468A-8A7A-27DDBFA723B1}"/>
    <cellStyle name="Normal 10 3 6" xfId="28885" xr:uid="{F36D6073-E528-43BE-9905-9B753D020FD3}"/>
    <cellStyle name="Normal 10 3 7" xfId="28878" xr:uid="{A93B05BC-6851-4B64-B837-A5212FFA90DE}"/>
    <cellStyle name="Normal 10 4" xfId="6875" xr:uid="{00000000-0005-0000-0000-000065250000}"/>
    <cellStyle name="Normal 10 4 2" xfId="25658" xr:uid="{00000000-0005-0000-0000-000042030000}"/>
    <cellStyle name="Normal 10 4 3" xfId="26186" xr:uid="{ED008EB7-7B1E-441C-8E38-38A8E5D6060F}"/>
    <cellStyle name="Normal 10 4 4" xfId="28886" xr:uid="{77ABC248-963A-4998-9B8C-1EB3FDDFF58C}"/>
    <cellStyle name="Normal 10 5" xfId="26238" xr:uid="{EC2A98FB-B41A-42BA-BA62-65DC39B6ED38}"/>
    <cellStyle name="Normal 10 5 2" xfId="28887" xr:uid="{B399AA6B-0513-4AF2-A6FE-02264B60ABB8}"/>
    <cellStyle name="Normal 10 6" xfId="26088" xr:uid="{5E836CBF-C117-4EF2-AA9A-AB9AB14F01FE}"/>
    <cellStyle name="Normal 10 6 2" xfId="28888" xr:uid="{9357A1C2-274B-4002-9C8B-E11E488A8E4E}"/>
    <cellStyle name="Normal 10 7" xfId="26020" xr:uid="{212D81D1-F1C9-4E4C-B66A-DE8CA1F480D6}"/>
    <cellStyle name="Normal 10 7 2" xfId="28889" xr:uid="{02D8C370-25B4-4C5D-9B7F-77A833D1AF46}"/>
    <cellStyle name="Normal 10 7 4" xfId="28890" xr:uid="{5B5AF3C6-3ABC-479C-9E64-E36232826C04}"/>
    <cellStyle name="Normal 10 7 4 2" xfId="28891" xr:uid="{FD3A66C8-BEA4-4361-870B-01306EB3A86D}"/>
    <cellStyle name="Normal 10 8" xfId="25991" xr:uid="{E66E665F-A72B-43AF-A898-833281418E0F}"/>
    <cellStyle name="Normal 10 8 2" xfId="28893" xr:uid="{EA79B3BB-53E6-4899-80FD-775A8B1C0E32}"/>
    <cellStyle name="Normal 10 8 3" xfId="28892" xr:uid="{21112B5A-598C-4414-AEF4-B0A20C8A0634}"/>
    <cellStyle name="Normal 10 9" xfId="26328" xr:uid="{C5FD591A-2717-4BE2-BBE3-8ED590B94162}"/>
    <cellStyle name="Normal 10 9 2" xfId="28895" xr:uid="{90BB4F51-1844-4928-8674-43243DA6C768}"/>
    <cellStyle name="Normal 10 9 3" xfId="28894" xr:uid="{3C80B2A2-5973-419A-AC7E-1D1F1757EE43}"/>
    <cellStyle name="Normal 10_Summary" xfId="21544" xr:uid="{00000000-0005-0000-0000-000066250000}"/>
    <cellStyle name="Normal 11" xfId="6808" xr:uid="{00000000-0005-0000-0000-000067250000}"/>
    <cellStyle name="Normal 11 2" xfId="6829" xr:uid="{00000000-0005-0000-0000-000068250000}"/>
    <cellStyle name="Normal 11 2 2" xfId="26180" xr:uid="{F4A426F4-E5D9-4932-8A9B-060CDD75AECF}"/>
    <cellStyle name="Normal 11 2 2 2" xfId="28897" xr:uid="{3C28B951-A09D-4158-8155-D7577C50BCB2}"/>
    <cellStyle name="Normal 11 2 2 3" xfId="28896" xr:uid="{9F44BAA6-2EED-4739-AB46-CDC763BB7C6A}"/>
    <cellStyle name="Normal 11 2 3" xfId="28898" xr:uid="{59E4EC25-5ADF-4225-A10C-19BC14C0F812}"/>
    <cellStyle name="Normal 11 2 3 2" xfId="28899" xr:uid="{8D361283-199B-4BAC-ABC9-4B3429EF8595}"/>
    <cellStyle name="Normal 11 2 4" xfId="28900" xr:uid="{CB1C4D0B-D53D-4641-8A91-CD775B329D51}"/>
    <cellStyle name="Normal 11 3" xfId="26162" xr:uid="{98A7BCDB-FFBC-4228-8BC4-E9E8D5BA16B4}"/>
    <cellStyle name="Normal 11 3 2" xfId="28902" xr:uid="{ADF720AC-85B1-4A9F-B146-3964C74BD0F0}"/>
    <cellStyle name="Normal 11 3 2 2" xfId="28903" xr:uid="{08554496-F476-49DD-BE9B-49918582DAF3}"/>
    <cellStyle name="Normal 11 3 3" xfId="28904" xr:uid="{BAF17FB7-E813-4297-8823-00A36CFAFDF1}"/>
    <cellStyle name="Normal 11 3 3 2" xfId="28905" xr:uid="{8F14CA71-FE8C-425A-B01F-531CCBFEF75C}"/>
    <cellStyle name="Normal 11 3 4" xfId="28906" xr:uid="{7BBA5436-284E-44DD-8B5F-061F1F96AC03}"/>
    <cellStyle name="Normal 11 3 5" xfId="28901" xr:uid="{E0D05909-E1A8-4966-B0CA-A9FE6831F7F2}"/>
    <cellStyle name="Normal 11 4" xfId="26028" xr:uid="{71549282-4206-4079-BCDB-75CDB6869726}"/>
    <cellStyle name="Normal 11 4 2" xfId="28907" xr:uid="{9ABFAAB8-1BE6-4385-AF61-E1B6B9B30FC7}"/>
    <cellStyle name="Normal 11 5" xfId="26005" xr:uid="{310FA5CF-3E3C-4DA8-A608-EBD5FE061221}"/>
    <cellStyle name="Normal 11 5 2" xfId="28908" xr:uid="{487CF430-CAE4-4E05-92B2-E989316D1C8B}"/>
    <cellStyle name="Normal 11 6" xfId="26270" xr:uid="{99D92712-991D-4E17-B92F-2A8F4190AA05}"/>
    <cellStyle name="Normal 11 6 2" xfId="28910" xr:uid="{99C41D78-1A75-49B6-9535-F34F43092AB4}"/>
    <cellStyle name="Normal 11 6 3" xfId="28909" xr:uid="{DBA2E4A4-47AA-4E56-8D17-B07A96E3245C}"/>
    <cellStyle name="Normal 11 7" xfId="25876" xr:uid="{5DEDBB03-7572-4AB5-BDF2-44683DE4292F}"/>
    <cellStyle name="Normal 11 7 2" xfId="28912" xr:uid="{DFED91E1-FC50-4E14-ACC3-48FA4A2C3E35}"/>
    <cellStyle name="Normal 11 7 3" xfId="28911" xr:uid="{96D4E173-6177-4FF7-B1F4-1B7F9B08417C}"/>
    <cellStyle name="Normal 11 8" xfId="28913" xr:uid="{CC0496B5-5D46-402B-90D2-947238A6D3F3}"/>
    <cellStyle name="Normal 11_Summary" xfId="21546" xr:uid="{00000000-0005-0000-0000-000069250000}"/>
    <cellStyle name="Normal 12" xfId="6" xr:uid="{00000000-0005-0000-0000-00006A250000}"/>
    <cellStyle name="Normal 12 2" xfId="25604" xr:uid="{00000000-0005-0000-0000-000005000000}"/>
    <cellStyle name="Normal 12 2 2" xfId="26185" xr:uid="{B967CF26-1CE1-472F-9133-5CD8AEAACA61}"/>
    <cellStyle name="Normal 12 2 2 2" xfId="28914" xr:uid="{7E7F45CC-A450-4CA1-AADF-EBA1AB261268}"/>
    <cellStyle name="Normal 12 2 3" xfId="28915" xr:uid="{3100A04E-8F25-4BAE-BD35-6DA602C73354}"/>
    <cellStyle name="Normal 12 2 3 2" xfId="28916" xr:uid="{697DFAC9-CADD-4532-ADC2-FF2EA457219B}"/>
    <cellStyle name="Normal 12 2 4" xfId="28917" xr:uid="{5955C629-7158-4103-BEAF-6E89AB1E5403}"/>
    <cellStyle name="Normal 12 3" xfId="26163" xr:uid="{A6B1B8D3-03B3-485B-8D18-4A46D9B09EC3}"/>
    <cellStyle name="Normal 12 3 2" xfId="28919" xr:uid="{AE14A717-E71B-40EB-A64D-91BE694C6873}"/>
    <cellStyle name="Normal 12 3 2 2" xfId="28920" xr:uid="{E5D8149B-2391-4669-8204-8971F9E0FF1D}"/>
    <cellStyle name="Normal 12 3 3" xfId="28921" xr:uid="{AD8A31C9-C15B-4BD8-9CDC-C78CD8CDA551}"/>
    <cellStyle name="Normal 12 3 3 2" xfId="28922" xr:uid="{81A6ABE2-7777-4F55-9421-D87008CF86DB}"/>
    <cellStyle name="Normal 12 3 4" xfId="28923" xr:uid="{F4F76379-8415-4586-B162-CE712335CD59}"/>
    <cellStyle name="Normal 12 3 5" xfId="28918" xr:uid="{DB77F061-6D77-42A6-B145-035354506169}"/>
    <cellStyle name="Normal 12 4" xfId="26013" xr:uid="{7C51193B-68C8-4478-A9FA-F47F011E29AD}"/>
    <cellStyle name="Normal 12 4 2" xfId="28924" xr:uid="{9EE834CD-497B-4583-8BE5-471379F21FCC}"/>
    <cellStyle name="Normal 12 5" xfId="28925" xr:uid="{B893D061-F7E6-4BA5-95BF-5617B8A04C64}"/>
    <cellStyle name="Normal 12 6" xfId="28926" xr:uid="{B016EA9A-AFE5-401B-8547-CC4250869E34}"/>
    <cellStyle name="Normal 12 6 2" xfId="28927" xr:uid="{7EADC409-909A-40E0-8B08-95307C57DEA4}"/>
    <cellStyle name="Normal 12 7" xfId="28928" xr:uid="{49E5F32F-5486-44E9-8A34-61C5E2A1D82F}"/>
    <cellStyle name="Normal 12 7 2" xfId="28929" xr:uid="{8D7CC5B8-BEF8-48D2-8D19-93579E918764}"/>
    <cellStyle name="Normal 12 8" xfId="28930" xr:uid="{31872CA5-6995-4BB8-85A9-AE4A3EB10FF2}"/>
    <cellStyle name="Normal 13" xfId="4" xr:uid="{00000000-0005-0000-0000-00006B250000}"/>
    <cellStyle name="Normal 13 2" xfId="25605" xr:uid="{00000000-0005-0000-0000-000006000000}"/>
    <cellStyle name="Normal 13 2 2" xfId="26034" xr:uid="{935C7DA1-1FA0-4C29-BBB4-5E009F8950FB}"/>
    <cellStyle name="Normal 13 2 2 2" xfId="28932" xr:uid="{98A1AA63-2856-47EF-8572-A497473F1E54}"/>
    <cellStyle name="Normal 13 2 2 3" xfId="28931" xr:uid="{50012B9E-AC3A-467C-9ABD-545ADBFD6D85}"/>
    <cellStyle name="Normal 13 2 3" xfId="28933" xr:uid="{BB58AF51-9093-4809-8CC8-EEA733AE5CFB}"/>
    <cellStyle name="Normal 13 2 3 2" xfId="28934" xr:uid="{1E965BC6-2D98-4451-9123-B64F313C45E1}"/>
    <cellStyle name="Normal 13 2 4" xfId="28935" xr:uid="{488DCFA6-F89E-4A37-BB26-128BA85F122F}"/>
    <cellStyle name="Normal 13 2 4 2" xfId="28936" xr:uid="{7C3734B5-0E46-4315-AE7B-F054E0F37238}"/>
    <cellStyle name="Normal 13 2 5" xfId="28937" xr:uid="{4130F57B-0092-427A-B1A4-9D6BAA88DFB5}"/>
    <cellStyle name="Normal 13 26" xfId="25973" xr:uid="{3BA4B32F-85FA-4482-9F63-87A262D39EAB}"/>
    <cellStyle name="Normal 13 3" xfId="26176" xr:uid="{FB161713-DE5E-47A3-909D-469E7F9EF30F}"/>
    <cellStyle name="Normal 13 3 2" xfId="28939" xr:uid="{DBFDDE2E-3616-4224-BFEF-D077DB5DFD3E}"/>
    <cellStyle name="Normal 13 3 2 2" xfId="28940" xr:uid="{5414A115-CEA6-4356-9D48-636C23EC1F6B}"/>
    <cellStyle name="Normal 13 3 3" xfId="28941" xr:uid="{CBFBEA01-FC92-4A6A-9F0D-AE0936CEEA69}"/>
    <cellStyle name="Normal 13 3 3 2" xfId="28942" xr:uid="{7CD75647-2505-4C99-AE18-EB9C456BA51D}"/>
    <cellStyle name="Normal 13 3 4" xfId="28943" xr:uid="{A927543C-847B-4720-899D-16DB1D53710F}"/>
    <cellStyle name="Normal 13 3 5" xfId="28938" xr:uid="{25DC182E-397B-4AD3-96EA-C42CE42E0189}"/>
    <cellStyle name="Normal 13 4" xfId="26164" xr:uid="{A22C3E76-97FC-4125-98B4-EE3BE661FFD2}"/>
    <cellStyle name="Normal 13 4 2" xfId="28944" xr:uid="{381A1EA2-9921-41DF-81F8-418B0FEEE6D3}"/>
    <cellStyle name="Normal 13 5" xfId="28945" xr:uid="{BA072314-0EC3-434E-906D-F1E373551DCE}"/>
    <cellStyle name="Normal 13 6" xfId="28946" xr:uid="{AFD93A21-A4E6-4DF0-8CD3-4E5E55E917EC}"/>
    <cellStyle name="Normal 13 6 2" xfId="28947" xr:uid="{ECD85AFA-59B1-4498-8F9D-3C3FCBD7F9F8}"/>
    <cellStyle name="Normal 13 7" xfId="28948" xr:uid="{94D36720-4557-4814-8397-DE5790945364}"/>
    <cellStyle name="Normal 13 7 2" xfId="28949" xr:uid="{EC67E508-9539-4967-8FF1-3ED85F4F5CB0}"/>
    <cellStyle name="Normal 13 8" xfId="28950" xr:uid="{A2535EA2-54A0-4748-9901-A1BE13066359}"/>
    <cellStyle name="Normal 1302" xfId="25836" xr:uid="{B4F1602A-165F-43AC-923F-30EE208AB674}"/>
    <cellStyle name="Normal 1303" xfId="25838" xr:uid="{18AFD8C1-74CB-40A3-B424-805727596AC1}"/>
    <cellStyle name="Normal 1304" xfId="25834" xr:uid="{D2B93E98-FA41-4862-A62F-7B7209971238}"/>
    <cellStyle name="Normal 1305" xfId="25837" xr:uid="{E7133E2E-F8E3-4FAB-A622-3CDA4DE27CE8}"/>
    <cellStyle name="Normal 1307" xfId="25832" xr:uid="{0313585C-454F-42F5-800E-4F6555C53723}"/>
    <cellStyle name="Normal 1309" xfId="25835" xr:uid="{C0CAD56E-C681-49BC-BC50-73A70601FB35}"/>
    <cellStyle name="Normal 1310" xfId="25840" xr:uid="{E30638F6-A81C-448A-931E-F0F5D36521C7}"/>
    <cellStyle name="Normal 1311" xfId="25839" xr:uid="{58B191EA-FCDA-4982-9374-96878B18F235}"/>
    <cellStyle name="Normal 1312" xfId="25833" xr:uid="{A2C53962-9BB0-4495-B374-99E9FD8109F8}"/>
    <cellStyle name="Normal 1313" xfId="25841" xr:uid="{813F28B4-2334-4F0B-97C5-B47C13C65D2C}"/>
    <cellStyle name="Normal 1315" xfId="25813" xr:uid="{5D71E751-B7F8-4DD5-8A52-7C3D10325895}"/>
    <cellStyle name="Normal 1316" xfId="25814" xr:uid="{48D9808F-B4FB-4693-AE7D-F08A2DA96DB9}"/>
    <cellStyle name="Normal 1317" xfId="25815" xr:uid="{81272594-8969-4A6F-B4D7-8B7467E0945D}"/>
    <cellStyle name="Normal 1318" xfId="25842" xr:uid="{B956DC02-FF43-4FB8-9468-E405C6E27ADF}"/>
    <cellStyle name="Normal 1319" xfId="25843" xr:uid="{56DAB674-6A6E-4242-B2A6-6C5C2E173622}"/>
    <cellStyle name="Normal 1320" xfId="25844" xr:uid="{463EE488-57D4-4C2A-A6F0-E3854BE438EB}"/>
    <cellStyle name="Normal 1321" xfId="25845" xr:uid="{BB796116-F10B-4D71-B7B6-52F5B5BD8E89}"/>
    <cellStyle name="Normal 1322" xfId="25846" xr:uid="{93C2AF0F-5AEF-4417-95FD-37CCAD668632}"/>
    <cellStyle name="Normal 1326" xfId="25831" xr:uid="{77048A0F-1D62-41D3-9A8A-36CBB12A8835}"/>
    <cellStyle name="Normal 138" xfId="25890" xr:uid="{41CDD9D0-AB23-43EA-8401-1528E7B58EE5}"/>
    <cellStyle name="Normal 138 10" xfId="26076" xr:uid="{D27C9E67-9D28-4AC2-9F47-B713673F6B59}"/>
    <cellStyle name="Normal 138 2" xfId="26048" xr:uid="{57A9C6D4-89A1-40B9-8570-E8D04AD31077}"/>
    <cellStyle name="Normal 138 2 2" xfId="26194" xr:uid="{993AE63C-3CE2-46C9-9A1C-7BCA11998AAF}"/>
    <cellStyle name="Normal 138 2 3" xfId="26233" xr:uid="{9817C819-FF40-4F80-9202-0EC519457C08}"/>
    <cellStyle name="Normal 138 2 4" xfId="26086" xr:uid="{3EC88ADB-B1CD-490E-8229-83E2F32DE75C}"/>
    <cellStyle name="Normal 138 3" xfId="26056" xr:uid="{EBE7D4DF-20BE-4978-A6F9-71CDA33DBE40}"/>
    <cellStyle name="Normal 138 4" xfId="26059" xr:uid="{5EFE36FE-C231-4D79-8F02-EFAC2A2DD833}"/>
    <cellStyle name="Normal 138 5" xfId="26062" xr:uid="{7F73EB38-BDDC-4C87-A876-7FAB035BABAC}"/>
    <cellStyle name="Normal 138 6" xfId="26065" xr:uid="{811EB94C-B5E4-4F3D-8C3C-EE87B9BE119B}"/>
    <cellStyle name="Normal 138 7" xfId="26068" xr:uid="{2BA65296-03A0-4E6E-B046-1E60F55F2017}"/>
    <cellStyle name="Normal 138 8" xfId="26070" xr:uid="{C6EC1389-0CD8-47A1-8ABE-F4B76530F13B}"/>
    <cellStyle name="Normal 138 9" xfId="26073" xr:uid="{463755F9-A874-4CAA-AEA2-21D9E4A10739}"/>
    <cellStyle name="Normal 14" xfId="5" xr:uid="{00000000-0005-0000-0000-00006C250000}"/>
    <cellStyle name="Normal 14 2" xfId="25608" xr:uid="{00000000-0005-0000-0000-000007000000}"/>
    <cellStyle name="Normal 14 2 2" xfId="28951" xr:uid="{1BD322FA-7963-42F5-B02A-2C8C4C19111A}"/>
    <cellStyle name="Normal 14 3" xfId="26165" xr:uid="{B6F6A3BB-0498-4F3B-89B0-68DF857F430F}"/>
    <cellStyle name="Normal 14 3 2" xfId="28952" xr:uid="{8BB4F557-1BCD-4A20-A80A-7B496B42AC50}"/>
    <cellStyle name="Normal 14 4" xfId="28953" xr:uid="{CBF85B6F-A967-42F0-935C-17803C9B06F1}"/>
    <cellStyle name="Normal 14 5" xfId="28954" xr:uid="{04FB6FAB-086D-43FF-98C0-56CE2EEEF93C}"/>
    <cellStyle name="Normal 14 6" xfId="28955" xr:uid="{91C52B20-7963-42FE-9A1F-9AC067A54393}"/>
    <cellStyle name="Normal 14 7" xfId="28956" xr:uid="{8D538F4D-E751-495E-812F-29E7AC9859E6}"/>
    <cellStyle name="Normal 15" xfId="25621" xr:uid="{00000000-0005-0000-0000-000008000000}"/>
    <cellStyle name="Normal 15 2" xfId="25763" xr:uid="{00000000-0005-0000-0000-00000F000000}"/>
    <cellStyle name="Normal 15 2 2" xfId="28957" xr:uid="{903DE8B9-EB3E-4FA9-8F54-3C27D9E8C5D9}"/>
    <cellStyle name="Normal 15 3" xfId="26166" xr:uid="{AE8954B4-E6F7-4DFD-B9B9-7FC6473A2643}"/>
    <cellStyle name="Normal 15 3 2" xfId="28958" xr:uid="{93994BB8-CEDB-4014-B967-A2C91932FE23}"/>
    <cellStyle name="Normal 152" xfId="32224" xr:uid="{C98180E2-F867-4926-B74E-51A78D2DE999}"/>
    <cellStyle name="Normal 16" xfId="3" xr:uid="{00000000-0005-0000-0000-00006D250000}"/>
    <cellStyle name="Normal 16 2" xfId="25634" xr:uid="{00000000-0005-0000-0000-000009000000}"/>
    <cellStyle name="Normal 16 3" xfId="26167" xr:uid="{31F45FB5-80EA-4975-8F9B-8E60B9D58BA1}"/>
    <cellStyle name="Normal 16 4" xfId="28959" xr:uid="{8CD811C6-9643-403C-9166-4688B5D43DA4}"/>
    <cellStyle name="Normal 17" xfId="25635" xr:uid="{00000000-0005-0000-0000-00000A000000}"/>
    <cellStyle name="Normal 17 2" xfId="25776" xr:uid="{00000000-0005-0000-0000-000013000000}"/>
    <cellStyle name="Normal 17 3" xfId="26168" xr:uid="{C749530A-6E8B-4DB9-9E77-6FE162501659}"/>
    <cellStyle name="Normal 17 4" xfId="28960" xr:uid="{E8A3ECDD-B8FC-40DB-9631-B2081F6BD52A}"/>
    <cellStyle name="Normal 18" xfId="25636" xr:uid="{00000000-0005-0000-0000-00000B000000}"/>
    <cellStyle name="Normal 18 2" xfId="25777" xr:uid="{00000000-0005-0000-0000-000015000000}"/>
    <cellStyle name="Normal 18 2 2" xfId="26039" xr:uid="{1EE52A06-53DB-4701-A8E3-88389D1434D6}"/>
    <cellStyle name="Normal 18 2 3" xfId="26030" xr:uid="{0A8FA7F7-F646-43DA-A4CE-C5D3C2775DAB}"/>
    <cellStyle name="Normal 18 2 4" xfId="26052" xr:uid="{239A124D-41CA-4C71-AA7B-FFF22DAA7D9D}"/>
    <cellStyle name="Normal 18 2 5" xfId="26017" xr:uid="{B2D604C7-E7B5-4C89-A1AA-201FB08B6DFB}"/>
    <cellStyle name="Normal 18 3" xfId="26169" xr:uid="{2A9E4EE3-C384-4338-9014-97C39B99D7F2}"/>
    <cellStyle name="Normal 19" xfId="25593" xr:uid="{00000000-0005-0000-0000-00006C000000}"/>
    <cellStyle name="Normal 19 2" xfId="25656" xr:uid="{00000000-0005-0000-0000-00000C000000}"/>
    <cellStyle name="Normal 19 3" xfId="25802" xr:uid="{FB1864A2-605F-441D-BB49-B1AB24782EED}"/>
    <cellStyle name="Normal 19 4" xfId="26170" xr:uid="{96A378E0-FDF7-4949-94C2-B553984FA2C4}"/>
    <cellStyle name="Normal 19 5" xfId="28961" xr:uid="{A78037D8-F7F9-44DC-B833-6AFB72E7F00A}"/>
    <cellStyle name="Normal 192" xfId="26092" xr:uid="{88E3F120-FACB-49A5-8B29-608A55F1FA89}"/>
    <cellStyle name="Normal 192 2" xfId="26202" xr:uid="{FFE349DF-4F38-486A-BF43-0E1A08C54355}"/>
    <cellStyle name="Normal 2" xfId="7" xr:uid="{00000000-0005-0000-0000-00006E250000}"/>
    <cellStyle name="Normal 2 10" xfId="25803" xr:uid="{384607C9-7612-4C51-ABCC-D4DB81B53B0B}"/>
    <cellStyle name="Normal 2 10 2" xfId="28964" xr:uid="{038ED342-8287-4DEF-BB36-530DF505E338}"/>
    <cellStyle name="Normal 2 10 3" xfId="28965" xr:uid="{EA51DB57-4CAD-4DFD-BEBC-1ACBDDE780C9}"/>
    <cellStyle name="Normal 2 10 4" xfId="28963" xr:uid="{451F65FC-34FD-486F-8279-7BAEC719FCF3}"/>
    <cellStyle name="Normal 2 11" xfId="25809" xr:uid="{938E71F7-6A16-439D-83B5-4C20E63C53F8}"/>
    <cellStyle name="Normal 2 11 2" xfId="28967" xr:uid="{ED397C39-9AC5-4895-AD69-ABC76DD11865}"/>
    <cellStyle name="Normal 2 11 3" xfId="28968" xr:uid="{1F3AC3B8-E7EA-4142-933F-8B452C25811E}"/>
    <cellStyle name="Normal 2 11 4" xfId="28966" xr:uid="{0AC633AB-9475-4E29-A0C2-75FE6EBB5BB4}"/>
    <cellStyle name="Normal 2 12" xfId="25883" xr:uid="{933BE27F-EFFA-4BD6-9471-73635CB7DECF}"/>
    <cellStyle name="Normal 2 12 2" xfId="28970" xr:uid="{57AC62C4-74C5-41B5-91EC-4A9B33AFFB44}"/>
    <cellStyle name="Normal 2 12 3" xfId="28971" xr:uid="{A1101030-D959-4918-8D21-D6A65B9DF848}"/>
    <cellStyle name="Normal 2 12 4" xfId="28969" xr:uid="{AF5C0EDD-204F-4BDE-A0CB-ECC6341A6BA6}"/>
    <cellStyle name="Normal 2 13" xfId="28972" xr:uid="{E55F16D4-DB9E-4E09-B6F9-D79CBE80D573}"/>
    <cellStyle name="Normal 2 13 2" xfId="28973" xr:uid="{66C0E720-DB22-4E14-9916-62E25FEC7238}"/>
    <cellStyle name="Normal 2 13 3" xfId="28974" xr:uid="{5B276A8E-852E-4E8F-9F3C-5A39A15ADC3F}"/>
    <cellStyle name="Normal 2 13 4" xfId="28975" xr:uid="{9483FB33-CF42-443E-8F6E-5D2D87E48CDD}"/>
    <cellStyle name="Normal 2 13 5" xfId="28976" xr:uid="{D37C4F94-89CE-4391-BD8B-D0029B0178F3}"/>
    <cellStyle name="Normal 2 14" xfId="28977" xr:uid="{17E4650B-D612-4A02-B521-B00C3A0B8863}"/>
    <cellStyle name="Normal 2 14 2" xfId="28978" xr:uid="{0DC09EA0-9221-49FD-826D-2BFCAB30532D}"/>
    <cellStyle name="Normal 2 14 3" xfId="28979" xr:uid="{DA7CAF0A-AD89-4BBA-B481-C4DDE61361A7}"/>
    <cellStyle name="Normal 2 15" xfId="28980" xr:uid="{7DCF8794-7D86-455D-9F4F-D450419F7A4E}"/>
    <cellStyle name="Normal 2 15 2" xfId="28981" xr:uid="{FD86DF4D-042C-4968-BBAC-93E49C0F7CD0}"/>
    <cellStyle name="Normal 2 15 3" xfId="28982" xr:uid="{8515E2CD-AD47-4AA5-AFCB-BDCD0FB2B9CC}"/>
    <cellStyle name="Normal 2 16" xfId="26093" xr:uid="{F90F9BE5-269F-4378-AB7E-3D7C31337D74}"/>
    <cellStyle name="Normal 2 16 2" xfId="28983" xr:uid="{E7BE47C8-06F0-4D4D-94F4-F78D5DA306C7}"/>
    <cellStyle name="Normal 2 17" xfId="28984" xr:uid="{DA70AED1-DFA4-40F4-96EC-75311555423E}"/>
    <cellStyle name="Normal 2 18" xfId="28985" xr:uid="{6FF96BAC-FD69-416A-A669-74DA771F3FD9}"/>
    <cellStyle name="Normal 2 19" xfId="28986" xr:uid="{33D91D09-0183-4872-8985-F7E46B8F566B}"/>
    <cellStyle name="Normal 2 19 2" xfId="28987" xr:uid="{338D15F1-6E32-43CE-82A2-98CA005963A1}"/>
    <cellStyle name="Normal 2 19 2 2" xfId="30303" xr:uid="{5BA7450F-4CBF-447C-AF64-BDE1BF800DD9}"/>
    <cellStyle name="Normal 2 19 2 2 2" xfId="31735" xr:uid="{0E107CE9-7EB5-4C4C-AC2A-C9AE1DECBDDF}"/>
    <cellStyle name="Normal 2 19 3" xfId="28988" xr:uid="{073D60FD-8C91-4E87-BB26-C593ECA4BEFC}"/>
    <cellStyle name="Normal 2 19 3 2" xfId="30304" xr:uid="{9D7C711F-B810-4464-8BD5-F5D7EC708995}"/>
    <cellStyle name="Normal 2 19 3 2 2" xfId="31736" xr:uid="{5B267512-596C-42A2-861C-0C63C294D788}"/>
    <cellStyle name="Normal 2 19 4" xfId="28989" xr:uid="{8DB29008-1C59-4104-A943-DF03FC35C668}"/>
    <cellStyle name="Normal 2 19 4 2" xfId="30305" xr:uid="{9E1790C4-9D65-49DF-A0E3-1E17A2D918CD}"/>
    <cellStyle name="Normal 2 19 4 2 2" xfId="31737" xr:uid="{5A7A0565-56A4-4904-8464-E2D6D4538CBA}"/>
    <cellStyle name="Normal 2 19 5" xfId="30302" xr:uid="{D333CBFA-7EF7-4C3E-BB7D-2FE1ADEB12E9}"/>
    <cellStyle name="Normal 2 19 5 2" xfId="31734" xr:uid="{ADBA8DFE-F55A-4E77-979A-1E8ACF9365FA}"/>
    <cellStyle name="Normal 2 2" xfId="64" xr:uid="{00000000-0005-0000-0000-00006F250000}"/>
    <cellStyle name="Normal 2 2 10" xfId="28991" xr:uid="{FBBB28A4-7301-4F23-8CFC-0AD51FD60F9E}"/>
    <cellStyle name="Normal 2 2 10 2" xfId="28992" xr:uid="{86B709D9-54F4-441D-8896-93431002109B}"/>
    <cellStyle name="Normal 2 2 10 3" xfId="28993" xr:uid="{01AA6E2C-348E-42B6-930D-6FC9D600E5C6}"/>
    <cellStyle name="Normal 2 2 11" xfId="28994" xr:uid="{D078D0F2-FA83-4AB4-A148-AE3D0A5169C4}"/>
    <cellStyle name="Normal 2 2 11 2" xfId="28995" xr:uid="{873BC860-E2B0-4EEE-9180-C0F4F1E5213B}"/>
    <cellStyle name="Normal 2 2 11 3" xfId="28996" xr:uid="{6AFB69D0-FB8F-4FA2-A474-C6D495DE1145}"/>
    <cellStyle name="Normal 2 2 11 4" xfId="28997" xr:uid="{0FDA3F87-D022-4DFC-BE59-80B22D59BD67}"/>
    <cellStyle name="Normal 2 2 11 5" xfId="28998" xr:uid="{C4CC2CB6-3D3D-4EF1-A7D6-BA4C3930A078}"/>
    <cellStyle name="Normal 2 2 12" xfId="28999" xr:uid="{0EBCDC38-61A7-4BC6-8626-27569A19258B}"/>
    <cellStyle name="Normal 2 2 12 2" xfId="29000" xr:uid="{51ABCA13-12FB-4477-BCE3-4A26BF489FFF}"/>
    <cellStyle name="Normal 2 2 12 3" xfId="29001" xr:uid="{6F3CF6B1-38E0-4592-9C6E-3A35B19EB9F3}"/>
    <cellStyle name="Normal 2 2 13" xfId="29002" xr:uid="{BCFB6113-9BA5-4288-A01C-4AADEB66DBE3}"/>
    <cellStyle name="Normal 2 2 13 2" xfId="29003" xr:uid="{292B081A-29A3-45F9-A086-E8AB176AF07C}"/>
    <cellStyle name="Normal 2 2 13 3" xfId="29004" xr:uid="{4E6CFE46-A3C2-4DC0-88D1-3B15EB3623D0}"/>
    <cellStyle name="Normal 2 2 14" xfId="29005" xr:uid="{552E2A4F-BE9C-4A11-B740-2AF8DAB2D1FF}"/>
    <cellStyle name="Normal 2 2 15" xfId="29006" xr:uid="{2D7AC661-291D-4AF2-8F25-50F9CADD9660}"/>
    <cellStyle name="Normal 2 2 16" xfId="29007" xr:uid="{07B9B52A-8F04-4290-BDEB-92C915DC9980}"/>
    <cellStyle name="Normal 2 2 17" xfId="29008" xr:uid="{DA015A21-C0AB-42FF-8C3E-8436380532AD}"/>
    <cellStyle name="Normal 2 2 18" xfId="29009" xr:uid="{DFE46CFF-A35F-441A-878C-872765FEFBCB}"/>
    <cellStyle name="Normal 2 2 19" xfId="29010" xr:uid="{0D69BC7C-0302-44AE-BF69-F2859C4AD277}"/>
    <cellStyle name="Normal 2 2 2" xfId="112" xr:uid="{00000000-0005-0000-0000-000070250000}"/>
    <cellStyle name="Normal 2 2 2 10" xfId="29011" xr:uid="{BC2BDDB9-851C-42E7-AC32-E280D0B4739D}"/>
    <cellStyle name="Normal 2 2 2 10 2" xfId="29012" xr:uid="{EA974B03-7CF9-4EA6-B152-DD47C27BF4CD}"/>
    <cellStyle name="Normal 2 2 2 10 3" xfId="29013" xr:uid="{30EFC91E-B1B9-47DF-88CC-CF4F03E7AA50}"/>
    <cellStyle name="Normal 2 2 2 11" xfId="29014" xr:uid="{4D02B066-224E-43F7-B62E-CF419BA6B73F}"/>
    <cellStyle name="Normal 2 2 2 12" xfId="29015" xr:uid="{46CBD402-AAC8-4EF8-87A0-0B1A402AF200}"/>
    <cellStyle name="Normal 2 2 2 13" xfId="29016" xr:uid="{5F82135D-D0FB-43D4-9E99-B861EBFEE7C1}"/>
    <cellStyle name="Normal 2 2 2 14" xfId="29017" xr:uid="{82AB65F6-C118-424A-90D5-0CBAD80B6813}"/>
    <cellStyle name="Normal 2 2 2 14 2" xfId="29018" xr:uid="{C0854EEA-41EB-40CB-93FC-2B7A27C860C2}"/>
    <cellStyle name="Normal 2 2 2 14 3" xfId="29019" xr:uid="{E37CC1E4-556D-4AA5-8EFD-4B474DFEA57B}"/>
    <cellStyle name="Normal 2 2 2 15" xfId="29020" xr:uid="{8363E004-CCE2-4A6E-8B31-8EA2A802A1CB}"/>
    <cellStyle name="Normal 2 2 2 16" xfId="29021" xr:uid="{8BFD79D0-503E-48DE-9E52-64609F242484}"/>
    <cellStyle name="Normal 2 2 2 17" xfId="29022" xr:uid="{CAFE6858-55C8-4D4E-BBD0-228BE59407FA}"/>
    <cellStyle name="Normal 2 2 2 18" xfId="29023" xr:uid="{A0F07AC2-5C71-43A9-AA06-CF038063222A}"/>
    <cellStyle name="Normal 2 2 2 19" xfId="29024" xr:uid="{9F7EE19E-35B8-46A5-ABC1-A77C31135886}"/>
    <cellStyle name="Normal 2 2 2 2" xfId="6816" xr:uid="{00000000-0005-0000-0000-000071250000}"/>
    <cellStyle name="Normal 2 2 2 2 10" xfId="29026" xr:uid="{545E218B-6286-40BC-BC30-20CD9E3CD52E}"/>
    <cellStyle name="Normal 2 2 2 2 10 2" xfId="29027" xr:uid="{29021C75-E9CC-4012-A8FB-68D2454377AA}"/>
    <cellStyle name="Normal 2 2 2 2 10 3" xfId="29028" xr:uid="{E1ADC461-B92B-4B3E-B79B-24B3CD42CE06}"/>
    <cellStyle name="Normal 2 2 2 2 11" xfId="29029" xr:uid="{AA1F7C1C-1DA7-4731-AA2C-52ACC35F72A5}"/>
    <cellStyle name="Normal 2 2 2 2 12" xfId="29030" xr:uid="{E3F560EE-D159-46A5-A9AF-59F0205DA0F7}"/>
    <cellStyle name="Normal 2 2 2 2 13" xfId="29031" xr:uid="{B56846B8-9BCA-476E-B42E-DD448D640919}"/>
    <cellStyle name="Normal 2 2 2 2 14" xfId="29032" xr:uid="{FE20F0B6-1913-4DB1-8C9E-75100750400E}"/>
    <cellStyle name="Normal 2 2 2 2 14 2" xfId="29033" xr:uid="{C0FF72DA-D0DF-454F-96CF-67A729F2C36B}"/>
    <cellStyle name="Normal 2 2 2 2 14 3" xfId="29034" xr:uid="{E5BD5E64-778B-4548-90A5-3949E00C9B4E}"/>
    <cellStyle name="Normal 2 2 2 2 15" xfId="29035" xr:uid="{010BE350-E11E-4BBC-A1AA-CC1D32D06422}"/>
    <cellStyle name="Normal 2 2 2 2 16" xfId="29036" xr:uid="{809499ED-0E34-44A0-9F88-6249A22FBD81}"/>
    <cellStyle name="Normal 2 2 2 2 17" xfId="29037" xr:uid="{231C7852-F273-4FB9-A661-27F65FA342DF}"/>
    <cellStyle name="Normal 2 2 2 2 18" xfId="29038" xr:uid="{189FEB47-6202-45C8-BE11-32740033FC48}"/>
    <cellStyle name="Normal 2 2 2 2 19" xfId="29039" xr:uid="{0B0C5F60-7968-44E0-ADBC-FD66018202C2}"/>
    <cellStyle name="Normal 2 2 2 2 2" xfId="25737" xr:uid="{00000000-0005-0000-0000-00001C000000}"/>
    <cellStyle name="Normal 2 2 2 2 2 10" xfId="29041" xr:uid="{210AAB6B-A137-4399-87FB-4A2822A61C59}"/>
    <cellStyle name="Normal 2 2 2 2 2 10 2" xfId="29042" xr:uid="{3590D745-17E3-42F8-AEC5-AA3D27888508}"/>
    <cellStyle name="Normal 2 2 2 2 2 10 3" xfId="29043" xr:uid="{39248FEC-E33E-4F0A-B79D-89EC6547CDAE}"/>
    <cellStyle name="Normal 2 2 2 2 2 11" xfId="29044" xr:uid="{034AC675-A41A-496D-A8F9-7602694CADB6}"/>
    <cellStyle name="Normal 2 2 2 2 2 12" xfId="29045" xr:uid="{6348E862-E78F-4DF3-AA3D-105076580CAC}"/>
    <cellStyle name="Normal 2 2 2 2 2 13" xfId="29046" xr:uid="{0876C31F-E596-4D3B-B6AF-B9921FC12F6E}"/>
    <cellStyle name="Normal 2 2 2 2 2 14" xfId="29047" xr:uid="{9F37D9B9-E11D-4894-9619-C8F1296767E6}"/>
    <cellStyle name="Normal 2 2 2 2 2 14 2" xfId="29048" xr:uid="{E5A3AC83-70C0-4538-8A2E-CF85896AE82F}"/>
    <cellStyle name="Normal 2 2 2 2 2 14 3" xfId="29049" xr:uid="{9D03EB3F-4FA6-4723-BE3B-B20604B80882}"/>
    <cellStyle name="Normal 2 2 2 2 2 15" xfId="29050" xr:uid="{D66A1808-F6F0-415C-9BD7-F817F09DFB31}"/>
    <cellStyle name="Normal 2 2 2 2 2 16" xfId="29051" xr:uid="{2A8D429B-CD5C-4A8E-8458-ABC4541FA94B}"/>
    <cellStyle name="Normal 2 2 2 2 2 17" xfId="29052" xr:uid="{0C1398C1-ADCC-4A11-9E84-2484EDB79DBC}"/>
    <cellStyle name="Normal 2 2 2 2 2 18" xfId="29053" xr:uid="{F91D8727-9BA8-4C4A-AFCC-B3A2D3E5B858}"/>
    <cellStyle name="Normal 2 2 2 2 2 19" xfId="29054" xr:uid="{D2C94BE6-42A8-4562-85B4-00444032B364}"/>
    <cellStyle name="Normal 2 2 2 2 2 2" xfId="29055" xr:uid="{09214B27-DCFA-464D-971D-B6443AF524DF}"/>
    <cellStyle name="Normal 2 2 2 2 2 2 10" xfId="29056" xr:uid="{6A734C2D-472C-4D85-AD18-04E8B6B5BF3D}"/>
    <cellStyle name="Normal 2 2 2 2 2 2 10 2" xfId="29057" xr:uid="{FBC7ADB2-6DCD-47F7-AA52-6F7697FCD5C0}"/>
    <cellStyle name="Normal 2 2 2 2 2 2 10 3" xfId="29058" xr:uid="{241932FD-CE04-4C62-9488-B1F092F9240A}"/>
    <cellStyle name="Normal 2 2 2 2 2 2 11" xfId="29059" xr:uid="{7ACF4330-98EC-4D2A-BB01-D4954A6B518C}"/>
    <cellStyle name="Normal 2 2 2 2 2 2 12" xfId="29060" xr:uid="{5C912378-19CB-4535-84A2-6AE721AE4A1B}"/>
    <cellStyle name="Normal 2 2 2 2 2 2 13" xfId="29061" xr:uid="{CD59BCE9-055E-47D0-826A-9F3AD95484CB}"/>
    <cellStyle name="Normal 2 2 2 2 2 2 14" xfId="29062" xr:uid="{EA0AD622-DC08-43FC-A9F4-69B2E9A97D86}"/>
    <cellStyle name="Normal 2 2 2 2 2 2 14 2" xfId="29063" xr:uid="{DBBDFBAD-4FDB-46D8-B50B-0A8B4E50656A}"/>
    <cellStyle name="Normal 2 2 2 2 2 2 14 3" xfId="29064" xr:uid="{4AA7A714-1B85-450B-A3F4-DE407DCF43D2}"/>
    <cellStyle name="Normal 2 2 2 2 2 2 15" xfId="29065" xr:uid="{2640B5B2-0A52-462A-B4C7-13BD87EC9764}"/>
    <cellStyle name="Normal 2 2 2 2 2 2 16" xfId="29066" xr:uid="{F2B11A55-A2BE-4630-874B-B08C977E6978}"/>
    <cellStyle name="Normal 2 2 2 2 2 2 17" xfId="29067" xr:uid="{945DEBE8-06D0-4805-BFA8-A334BD5F9602}"/>
    <cellStyle name="Normal 2 2 2 2 2 2 18" xfId="29068" xr:uid="{DC55C3E0-A069-44DC-8D44-43E102DDDA4A}"/>
    <cellStyle name="Normal 2 2 2 2 2 2 19" xfId="29069" xr:uid="{6CACA3F1-9A56-47FD-9EAE-2482F77477EB}"/>
    <cellStyle name="Normal 2 2 2 2 2 2 2" xfId="29070" xr:uid="{EB4CB39C-D47A-4CC0-828A-6A8B607BA4E4}"/>
    <cellStyle name="Normal 2 2 2 2 2 2 2 10" xfId="29071" xr:uid="{6A516371-D12E-4AEF-B23B-BAEAF8F1F721}"/>
    <cellStyle name="Normal 2 2 2 2 2 2 2 2" xfId="29072" xr:uid="{D036F087-5490-44DE-96CE-5C9F61EBDF49}"/>
    <cellStyle name="Normal 2 2 2 2 2 2 2 2 2" xfId="29073" xr:uid="{E4F51D52-253A-4957-8175-6EAB2163D617}"/>
    <cellStyle name="Normal 2 2 2 2 2 2 2 2 2 2" xfId="29074" xr:uid="{ACC1E098-E8F5-4627-8730-E4CB1D57516E}"/>
    <cellStyle name="Normal 2 2 2 2 2 2 2 2 2 2 2" xfId="29075" xr:uid="{F2A85811-3863-4C84-AED1-7941EC3E6E1E}"/>
    <cellStyle name="Normal 2 2 2 2 2 2 2 2 2 2 2 2" xfId="29076" xr:uid="{B9E8338B-0E13-480A-9A8E-963B2322F19E}"/>
    <cellStyle name="Normal 2 2 2 2 2 2 2 2 2 2 2 3" xfId="29077" xr:uid="{4E13D213-F41E-4C88-9A2C-A257D88BA029}"/>
    <cellStyle name="Normal 2 2 2 2 2 2 2 2 2 2 2 4" xfId="29078" xr:uid="{767C6EFE-9075-4A03-8CD5-2B79275DD973}"/>
    <cellStyle name="Normal 2 2 2 2 2 2 2 2 2 2 2 5" xfId="29079" xr:uid="{42E9B07F-8C9D-4978-8BCD-83217CE52A81}"/>
    <cellStyle name="Normal 2 2 2 2 2 2 2 2 2 2 2 6" xfId="29080" xr:uid="{74426AB5-4C92-4B57-A023-37E52852C312}"/>
    <cellStyle name="Normal 2 2 2 2 2 2 2 2 2 2 2 7" xfId="29081" xr:uid="{EDBDBC05-AF20-4963-8A1A-62431A1CD29B}"/>
    <cellStyle name="Normal 2 2 2 2 2 2 2 2 2 2 3" xfId="29082" xr:uid="{BB9E9E1D-CE34-4A03-9443-794778B8F26F}"/>
    <cellStyle name="Normal 2 2 2 2 2 2 2 2 2 2 4" xfId="29083" xr:uid="{E48C3BFB-788A-4D46-8E7D-910667A63DEA}"/>
    <cellStyle name="Normal 2 2 2 2 2 2 2 2 2 2 5" xfId="29084" xr:uid="{50EA8A76-2A10-4B9D-9697-70EB4ABD729F}"/>
    <cellStyle name="Normal 2 2 2 2 2 2 2 2 2 2 6" xfId="29085" xr:uid="{D65BBDB6-AE62-4D12-998E-7E3EF4C5D803}"/>
    <cellStyle name="Normal 2 2 2 2 2 2 2 2 2 2 7" xfId="29086" xr:uid="{36605D94-1374-4A53-926A-CFB4B83D36F7}"/>
    <cellStyle name="Normal 2 2 2 2 2 2 2 2 2 3" xfId="29087" xr:uid="{46382D09-86B2-4554-9113-8056DF3AA764}"/>
    <cellStyle name="Normal 2 2 2 2 2 2 2 2 2 4" xfId="29088" xr:uid="{986C3EAC-9B79-4E43-BDC0-86336B796959}"/>
    <cellStyle name="Normal 2 2 2 2 2 2 2 2 2 5" xfId="29089" xr:uid="{D2742FC4-0C4C-4BBC-8EC3-21CE4E5664F4}"/>
    <cellStyle name="Normal 2 2 2 2 2 2 2 2 2 6" xfId="29090" xr:uid="{78ED2B80-D95E-4269-9252-E77248757B44}"/>
    <cellStyle name="Normal 2 2 2 2 2 2 2 2 2 7" xfId="29091" xr:uid="{52407BAA-3D5F-4208-9407-6F6684B69EA1}"/>
    <cellStyle name="Normal 2 2 2 2 2 2 2 2 2 8" xfId="29092" xr:uid="{61CB9E2C-F22A-4E23-B227-D6E60279CBA9}"/>
    <cellStyle name="Normal 2 2 2 2 2 2 2 2 3" xfId="29093" xr:uid="{B536E9D5-2C12-4842-8CAE-B9087F598A20}"/>
    <cellStyle name="Normal 2 2 2 2 2 2 2 2 4" xfId="29094" xr:uid="{6D5C8C6E-7214-413C-8D27-112159C3B147}"/>
    <cellStyle name="Normal 2 2 2 2 2 2 2 2 4 2" xfId="29095" xr:uid="{516890BF-20EF-4AD8-9FC1-D40268965440}"/>
    <cellStyle name="Normal 2 2 2 2 2 2 2 2 4 3" xfId="29096" xr:uid="{896E7230-60CE-46C3-8E8A-95AC779AFE90}"/>
    <cellStyle name="Normal 2 2 2 2 2 2 2 2 5" xfId="29097" xr:uid="{F0B25A9E-F463-4BC8-8E5B-977250C86F1C}"/>
    <cellStyle name="Normal 2 2 2 2 2 2 2 2 6" xfId="29098" xr:uid="{35B42C30-5637-42AF-9AAE-D522B6033CEE}"/>
    <cellStyle name="Normal 2 2 2 2 2 2 2 2 7" xfId="29099" xr:uid="{21871014-F934-4ED4-B207-87008EC7D4A2}"/>
    <cellStyle name="Normal 2 2 2 2 2 2 2 2 8" xfId="29100" xr:uid="{8B9E9E0A-9AF7-4372-B254-51E8C3E9448C}"/>
    <cellStyle name="Normal 2 2 2 2 2 2 2 2 9" xfId="29101" xr:uid="{C520BB23-6E1A-435E-BF0A-5991F6E1E325}"/>
    <cellStyle name="Normal 2 2 2 2 2 2 2 3" xfId="29102" xr:uid="{7370CE82-CB38-4BA4-AE38-5DC0BEF48D20}"/>
    <cellStyle name="Normal 2 2 2 2 2 2 2 4" xfId="29103" xr:uid="{806FE5D4-6E55-4287-B57F-16ED010FC0AE}"/>
    <cellStyle name="Normal 2 2 2 2 2 2 2 5" xfId="29104" xr:uid="{8E23680B-7E1D-4C9D-8B39-EFBD8DDF4C37}"/>
    <cellStyle name="Normal 2 2 2 2 2 2 2 5 2" xfId="29105" xr:uid="{47130742-F8BB-41B9-BB6A-19EA53749AF6}"/>
    <cellStyle name="Normal 2 2 2 2 2 2 2 5 3" xfId="29106" xr:uid="{993717BD-4D93-4A47-9994-8C8FD09A3B91}"/>
    <cellStyle name="Normal 2 2 2 2 2 2 2 6" xfId="29107" xr:uid="{4A85FA1B-A5ED-4FE6-827F-E4A349A098B5}"/>
    <cellStyle name="Normal 2 2 2 2 2 2 2 7" xfId="29108" xr:uid="{6D79F281-9C17-4606-91F3-FB925D3579A4}"/>
    <cellStyle name="Normal 2 2 2 2 2 2 2 8" xfId="29109" xr:uid="{FCA41017-EDD9-4CC8-8730-7CCB8924C6A8}"/>
    <cellStyle name="Normal 2 2 2 2 2 2 2 9" xfId="29110" xr:uid="{ACBCCAD9-3E62-4066-99BF-8D51C921FD3E}"/>
    <cellStyle name="Normal 2 2 2 2 2 2 3" xfId="29111" xr:uid="{7F78ABA6-4026-49E6-BC15-F6EFE50FA32C}"/>
    <cellStyle name="Normal 2 2 2 2 2 2 4" xfId="29112" xr:uid="{5CF6F22C-6CCF-48A3-83F5-15B684992BD8}"/>
    <cellStyle name="Normal 2 2 2 2 2 2 5" xfId="29113" xr:uid="{8E2803BD-918C-4D73-A3AC-4A8034509D0C}"/>
    <cellStyle name="Normal 2 2 2 2 2 2 6" xfId="29114" xr:uid="{A11E5A4B-34EA-4EB9-AD5B-1E32B7EF50BA}"/>
    <cellStyle name="Normal 2 2 2 2 2 2 7" xfId="29115" xr:uid="{24BB0171-A3F9-4350-883E-72BD5D10BBB5}"/>
    <cellStyle name="Normal 2 2 2 2 2 2 8" xfId="29116" xr:uid="{CFE021A0-79BF-418C-93C0-B2646DB08D77}"/>
    <cellStyle name="Normal 2 2 2 2 2 2 9" xfId="29117" xr:uid="{2DCA4551-1F4A-4A9E-B787-54365C4CAA86}"/>
    <cellStyle name="Normal 2 2 2 2 2 20" xfId="29040" xr:uid="{93069D1F-1DF0-429D-894B-D5C53EB95C28}"/>
    <cellStyle name="Normal 2 2 2 2 2 3" xfId="29118" xr:uid="{35250EA6-3849-4551-BE73-C8BBACE8C56D}"/>
    <cellStyle name="Normal 2 2 2 2 2 3 2" xfId="29119" xr:uid="{8FA928D1-8575-4FCD-809A-BE2E606A0BB0}"/>
    <cellStyle name="Normal 2 2 2 2 2 3 3" xfId="29120" xr:uid="{3179FF01-D613-4EF4-BAA6-B2A36EDAE626}"/>
    <cellStyle name="Normal 2 2 2 2 2 4" xfId="29121" xr:uid="{D29BD593-7C78-4C59-926A-230D054D6F7F}"/>
    <cellStyle name="Normal 2 2 2 2 2 4 2" xfId="29122" xr:uid="{7D3A7507-292B-4579-821D-E3539251BFB3}"/>
    <cellStyle name="Normal 2 2 2 2 2 4 3" xfId="29123" xr:uid="{D543DD42-2B20-4F6F-A17F-8C5EF645033E}"/>
    <cellStyle name="Normal 2 2 2 2 2 5" xfId="29124" xr:uid="{B3AA6F5E-13DA-4056-8E6C-0A9BD3D12774}"/>
    <cellStyle name="Normal 2 2 2 2 2 5 2" xfId="29125" xr:uid="{A154933E-13B9-4586-9E76-8723687730D8}"/>
    <cellStyle name="Normal 2 2 2 2 2 5 3" xfId="29126" xr:uid="{C60F548A-A474-4026-BCD4-E72A87CD2DE9}"/>
    <cellStyle name="Normal 2 2 2 2 2 6" xfId="29127" xr:uid="{B94A105B-4B36-4500-9EB9-EE1A761E82D1}"/>
    <cellStyle name="Normal 2 2 2 2 2 7" xfId="29128" xr:uid="{9BA28BFD-58A5-45AC-A74E-3BC05EBA2233}"/>
    <cellStyle name="Normal 2 2 2 2 2 8" xfId="29129" xr:uid="{E1498FB9-B889-4DED-B376-85162351260E}"/>
    <cellStyle name="Normal 2 2 2 2 2 9" xfId="29130" xr:uid="{68379EFB-5B1A-42A4-AA9F-E3AE5D422BDC}"/>
    <cellStyle name="Normal 2 2 2 2 20" xfId="29025" xr:uid="{21C4D692-D4E3-4DF2-93E3-67CD4C8D71FB}"/>
    <cellStyle name="Normal 2 2 2 2 3" xfId="26253" xr:uid="{A717ABA8-210F-42DC-B4AB-9C91067F2A1E}"/>
    <cellStyle name="Normal 2 2 2 2 3 2" xfId="29132" xr:uid="{5052DC6E-BA62-4983-9A28-08ADB8507F64}"/>
    <cellStyle name="Normal 2 2 2 2 3 3" xfId="29133" xr:uid="{A1D306A9-3F4C-4460-8F4F-583D988DBE68}"/>
    <cellStyle name="Normal 2 2 2 2 3 4" xfId="29131" xr:uid="{D8521651-7D09-4519-9218-F5B8DEE65438}"/>
    <cellStyle name="Normal 2 2 2 2 4" xfId="29134" xr:uid="{90605E03-302C-4541-862E-9ADEA0583740}"/>
    <cellStyle name="Normal 2 2 2 2 4 2" xfId="29135" xr:uid="{0F005C14-214D-4193-9232-D95970DB3F30}"/>
    <cellStyle name="Normal 2 2 2 2 4 3" xfId="29136" xr:uid="{830391FD-367F-4300-BE07-F7C4ADAC87C4}"/>
    <cellStyle name="Normal 2 2 2 2 5" xfId="29137" xr:uid="{BCE6FF0F-818B-4975-8670-7A4371B33FA8}"/>
    <cellStyle name="Normal 2 2 2 2 5 2" xfId="29138" xr:uid="{0D5FBBE4-6F53-4B06-BE49-06F1B99EA7C3}"/>
    <cellStyle name="Normal 2 2 2 2 5 3" xfId="29139" xr:uid="{425EC6C8-C834-456D-B416-837131E4862B}"/>
    <cellStyle name="Normal 2 2 2 2 6" xfId="29140" xr:uid="{8A97D771-4307-4661-AB34-AE87CD57E7C3}"/>
    <cellStyle name="Normal 2 2 2 2 7" xfId="29141" xr:uid="{7A242D01-DF0D-487B-950F-EDB5103DB9F7}"/>
    <cellStyle name="Normal 2 2 2 2 8" xfId="29142" xr:uid="{35FCB4D5-AB12-4318-AA5A-CE7953A1C889}"/>
    <cellStyle name="Normal 2 2 2 2 9" xfId="29143" xr:uid="{C8130229-6256-4404-B295-A26407F43E80}"/>
    <cellStyle name="Normal 2 2 2 3" xfId="6839" xr:uid="{00000000-0005-0000-0000-000072250000}"/>
    <cellStyle name="Normal 2 2 2 3 2" xfId="25748" xr:uid="{00000000-0005-0000-0000-00001E000000}"/>
    <cellStyle name="Normal 2 2 2 3 2 2" xfId="29145" xr:uid="{792A1260-4C19-4937-A0AB-072645923D01}"/>
    <cellStyle name="Normal 2 2 2 3 3" xfId="29146" xr:uid="{28CB5D34-DFBA-4A9F-8E66-011D57C443EC}"/>
    <cellStyle name="Normal 2 2 2 3 4" xfId="29144" xr:uid="{23754517-B498-4C5D-90DE-2806E8631C19}"/>
    <cellStyle name="Normal 2 2 2 4" xfId="25619" xr:uid="{00000000-0005-0000-0000-000011000000}"/>
    <cellStyle name="Normal 2 2 2 4 2" xfId="25761" xr:uid="{00000000-0005-0000-0000-000020000000}"/>
    <cellStyle name="Normal 2 2 2 4 2 2" xfId="29148" xr:uid="{D5B15421-7F9B-423A-B53F-785BC34E3739}"/>
    <cellStyle name="Normal 2 2 2 4 3" xfId="29149" xr:uid="{AE9A5943-004F-410E-97EB-6BFF98771E0C}"/>
    <cellStyle name="Normal 2 2 2 4 4" xfId="29147" xr:uid="{06976552-5C18-461C-AC5A-82A4635B48DE}"/>
    <cellStyle name="Normal 2 2 2 5" xfId="25632" xr:uid="{00000000-0005-0000-0000-000012000000}"/>
    <cellStyle name="Normal 2 2 2 5 2" xfId="25774" xr:uid="{00000000-0005-0000-0000-000022000000}"/>
    <cellStyle name="Normal 2 2 2 5 2 2" xfId="29151" xr:uid="{53434E58-3BED-4790-AD93-1C8538AAA7D4}"/>
    <cellStyle name="Normal 2 2 2 5 3" xfId="29152" xr:uid="{B744B8B3-A68F-4134-AEAA-7D4F57FD01C1}"/>
    <cellStyle name="Normal 2 2 2 5 4" xfId="29150" xr:uid="{708C37E9-6C9F-4938-97C8-366D1387C3D2}"/>
    <cellStyle name="Normal 2 2 2 6" xfId="25728" xr:uid="{00000000-0005-0000-0000-000023000000}"/>
    <cellStyle name="Normal 2 2 2 6 2" xfId="29153" xr:uid="{5B9E0880-1BEB-4659-8B44-82C1D5421B06}"/>
    <cellStyle name="Normal 2 2 2 7" xfId="26189" xr:uid="{C9BDEA7D-C071-4E41-AD21-3A2246D363F6}"/>
    <cellStyle name="Normal 2 2 2 7 2" xfId="29154" xr:uid="{D34B45C0-192B-42E5-9931-0B3729BAD75F}"/>
    <cellStyle name="Normal 2 2 2 8" xfId="29155" xr:uid="{38B82A3B-5C51-464B-881A-EAFE41840D06}"/>
    <cellStyle name="Normal 2 2 2 9" xfId="29156" xr:uid="{50745B43-D674-4721-8169-9D8FAFD154CF}"/>
    <cellStyle name="Normal 2 2 2_Summary" xfId="21547" xr:uid="{00000000-0005-0000-0000-000073250000}"/>
    <cellStyle name="Normal 2 2 20" xfId="29157" xr:uid="{99BB2BE9-92AC-42C8-B55F-704FDEC9A205}"/>
    <cellStyle name="Normal 2 2 21" xfId="29158" xr:uid="{29D38652-F7B2-48E9-AC7A-50022FEB5373}"/>
    <cellStyle name="Normal 2 2 22" xfId="29159" xr:uid="{FCC15622-EAFC-4CB5-B9B9-D8642720105C}"/>
    <cellStyle name="Normal 2 2 23" xfId="29160" xr:uid="{02506FDA-C668-447B-BE48-1C3B75F9F267}"/>
    <cellStyle name="Normal 2 2 24" xfId="29161" xr:uid="{D27E2954-4B50-4BCD-8E0B-F20E17AA1F37}"/>
    <cellStyle name="Normal 2 2 25" xfId="29162" xr:uid="{8CA5BEC3-1B19-4728-AAED-BA8B2B503944}"/>
    <cellStyle name="Normal 2 2 26" xfId="29163" xr:uid="{8C98F59F-A9A0-4CA9-961C-8639C1332F78}"/>
    <cellStyle name="Normal 2 2 27" xfId="29164" xr:uid="{77356A2B-B3D6-4633-A1ED-C1A46556E7DE}"/>
    <cellStyle name="Normal 2 2 28" xfId="29165" xr:uid="{DFB6367B-662B-4507-9C2D-7ADA64B2F037}"/>
    <cellStyle name="Normal 2 2 29" xfId="29166" xr:uid="{3B1CA756-4ADA-4E7C-8181-29DB1D375E3D}"/>
    <cellStyle name="Normal 2 2 3" xfId="267" xr:uid="{00000000-0005-0000-0000-000074250000}"/>
    <cellStyle name="Normal 2 2 3 2" xfId="6825" xr:uid="{00000000-0005-0000-0000-000075250000}"/>
    <cellStyle name="Normal 2 2 3 2 2" xfId="29167" xr:uid="{9EFCF061-C732-4CEF-845A-E9B8539EF8DD}"/>
    <cellStyle name="Normal 2 2 3 3" xfId="26147" xr:uid="{FA9042DD-589B-4047-A10C-618E1A6C2918}"/>
    <cellStyle name="Normal 2 2 3 3 2" xfId="29168" xr:uid="{7DD7F26F-6EA6-4717-9467-3C3690714263}"/>
    <cellStyle name="Normal 2 2 3 4" xfId="29169" xr:uid="{79729B17-5E45-4DF1-8F84-63F82CC28E63}"/>
    <cellStyle name="Normal 2 2 3_Summary" xfId="21548" xr:uid="{00000000-0005-0000-0000-000076250000}"/>
    <cellStyle name="Normal 2 2 30" xfId="29170" xr:uid="{AAE1B8F3-8C63-4453-B984-4FE338C93126}"/>
    <cellStyle name="Normal 2 2 31" xfId="29171" xr:uid="{778403FB-2697-419F-9FD8-FAF68271A088}"/>
    <cellStyle name="Normal 2 2 31 2" xfId="29172" xr:uid="{34A79A2A-3106-4315-A1AD-931D8B1DA6EC}"/>
    <cellStyle name="Normal 2 2 32" xfId="29173" xr:uid="{D1B72F28-3D3D-4DAB-8CFB-FC4A7C0F7985}"/>
    <cellStyle name="Normal 2 2 33" xfId="29174" xr:uid="{4C4F454C-210F-4C70-8193-A4FE3E930696}"/>
    <cellStyle name="Normal 2 2 34" xfId="29175" xr:uid="{18DC034B-C586-49DC-ADCA-E66EFE440F61}"/>
    <cellStyle name="Normal 2 2 35" xfId="29176" xr:uid="{FB83F31D-6080-4DED-B138-5A9B1167B079}"/>
    <cellStyle name="Normal 2 2 35 2" xfId="29177" xr:uid="{DB934E08-17E2-437C-8F45-E140D11ADAC0}"/>
    <cellStyle name="Normal 2 2 35 3" xfId="29178" xr:uid="{2E93D150-75CE-4FE0-96F9-C1B3345106F5}"/>
    <cellStyle name="Normal 2 2 36" xfId="29179" xr:uid="{CEB01A03-78CA-4B12-B9A3-DBB2FA8B8549}"/>
    <cellStyle name="Normal 2 2 37" xfId="29180" xr:uid="{0FC56187-280E-4309-8192-150CB27023CD}"/>
    <cellStyle name="Normal 2 2 38" xfId="29181" xr:uid="{485545C5-0922-4209-90DE-E7178C276115}"/>
    <cellStyle name="Normal 2 2 39" xfId="29182" xr:uid="{6BA2A24B-DED5-4FE3-8B23-E58EF5E010F6}"/>
    <cellStyle name="Normal 2 2 4" xfId="6810" xr:uid="{00000000-0005-0000-0000-000077250000}"/>
    <cellStyle name="Normal 2 2 4 2" xfId="25743" xr:uid="{00000000-0005-0000-0000-000027000000}"/>
    <cellStyle name="Normal 2 2 4 2 2" xfId="29185" xr:uid="{3388E5B3-38A5-4927-93D9-9957897A92AD}"/>
    <cellStyle name="Normal 2 2 4 2 3" xfId="29186" xr:uid="{1517F19F-B7D2-4F0A-999F-508A0BFA1318}"/>
    <cellStyle name="Normal 2 2 4 2 4" xfId="29184" xr:uid="{2C355693-90F8-4B83-B78F-4E6D48BCD05C}"/>
    <cellStyle name="Normal 2 2 4 3" xfId="26019" xr:uid="{79BA7654-9620-4175-A6DF-1B583E6946A3}"/>
    <cellStyle name="Normal 2 2 4 3 2" xfId="29187" xr:uid="{A9180050-3F0B-47E9-B727-E766C2CD58D1}"/>
    <cellStyle name="Normal 2 2 4 4" xfId="29188" xr:uid="{541A8431-EB4D-4483-90B1-BE25EC6DE2CF}"/>
    <cellStyle name="Normal 2 2 4 5" xfId="29189" xr:uid="{EC52378F-956C-4BD6-931F-EF50A07466ED}"/>
    <cellStyle name="Normal 2 2 4 6" xfId="29183" xr:uid="{6370665B-54E7-4875-A79A-1E7A73F00EE6}"/>
    <cellStyle name="Normal 2 2 40" xfId="29190" xr:uid="{7228FA90-B452-4023-A51E-3C538BEDAE78}"/>
    <cellStyle name="Normal 2 2 41" xfId="28990" xr:uid="{758E84AB-0128-49FC-8EAB-D4A2B4471253}"/>
    <cellStyle name="Normal 2 2 43" xfId="32221" xr:uid="{C6156BD2-0A57-4B46-9457-D396EF5BC05E}"/>
    <cellStyle name="Normal 2 2 5" xfId="25613" xr:uid="{00000000-0005-0000-0000-000015000000}"/>
    <cellStyle name="Normal 2 2 5 2" xfId="25755" xr:uid="{00000000-0005-0000-0000-000029000000}"/>
    <cellStyle name="Normal 2 2 5 2 2" xfId="29192" xr:uid="{08CC8935-DE22-4D72-A414-10D93616AB43}"/>
    <cellStyle name="Normal 2 2 5 3" xfId="25956" xr:uid="{827C13C4-BBA4-4C8E-BCF9-597294AF0D32}"/>
    <cellStyle name="Normal 2 2 5 3 2" xfId="29193" xr:uid="{AA2E826B-578C-4CF9-83B1-42D88C12690C}"/>
    <cellStyle name="Normal 2 2 5 4" xfId="29191" xr:uid="{EE0FC9C1-810D-4DB3-B23F-72C48CD3A7A2}"/>
    <cellStyle name="Normal 2 2 6" xfId="25626" xr:uid="{00000000-0005-0000-0000-000016000000}"/>
    <cellStyle name="Normal 2 2 6 2" xfId="25768" xr:uid="{00000000-0005-0000-0000-00002B000000}"/>
    <cellStyle name="Normal 2 2 6 2 2" xfId="29195" xr:uid="{72E326FF-B79A-41A4-A296-1A32BCC801B4}"/>
    <cellStyle name="Normal 2 2 6 3" xfId="26344" xr:uid="{404543AF-51E1-4428-99CD-7B2B4B4D8EF4}"/>
    <cellStyle name="Normal 2 2 6 3 2" xfId="29196" xr:uid="{28862A86-18F2-4124-8085-A1919D316C1F}"/>
    <cellStyle name="Normal 2 2 6 4" xfId="29194" xr:uid="{BA5A0A94-1C00-46F3-B77A-4177DC0EF7E2}"/>
    <cellStyle name="Normal 2 2 7" xfId="25651" xr:uid="{8D41BA6C-5AA4-46F6-9FDB-7C9D2EA3349C}"/>
    <cellStyle name="Normal 2 2 7 2" xfId="25675" xr:uid="{00000000-0005-0000-0000-000092030000}"/>
    <cellStyle name="Normal 2 2 7 2 2" xfId="29198" xr:uid="{93C1F4CC-7295-4A03-B160-69053CCD051F}"/>
    <cellStyle name="Normal 2 2 7 3" xfId="29199" xr:uid="{82B13783-C4CC-4EE2-9A31-73A090639E9E}"/>
    <cellStyle name="Normal 2 2 7 4" xfId="29197" xr:uid="{AFBA2AD1-9C0F-4113-9200-E89A381D3D08}"/>
    <cellStyle name="Normal 2 2 8" xfId="25663" xr:uid="{00000000-0005-0000-0000-000044030000}"/>
    <cellStyle name="Normal 2 2 8 2" xfId="29200" xr:uid="{54CD7E4B-0745-4CBD-BA68-DE1FC2F7FE28}"/>
    <cellStyle name="Normal 2 2 8 3" xfId="29201" xr:uid="{C7C6E5D2-A0FB-4E94-9F30-E495633E9D7C}"/>
    <cellStyle name="Normal 2 2 9" xfId="29202" xr:uid="{83E9E33B-2567-408B-94A9-9FDDEA05BF31}"/>
    <cellStyle name="Normal 2 2 9 2" xfId="29203" xr:uid="{A3747005-3566-4E6F-AD66-D7C332E4596A}"/>
    <cellStyle name="Normal 2 2 9 3" xfId="29204" xr:uid="{67F650C0-1AFB-494C-BAFA-9BA8A8213BB9}"/>
    <cellStyle name="Normal 2 2_3G BLR Town HO Plan_260810" xfId="29205" xr:uid="{CC19D9B9-8EB9-4BA0-A7BC-A3D147FF5558}"/>
    <cellStyle name="Normal 2 20" xfId="29206" xr:uid="{7BCB9769-6AD3-470A-893F-28913D428784}"/>
    <cellStyle name="Normal 2 20 2" xfId="29207" xr:uid="{18FEF4E4-B2A6-4FE5-A388-C8DB1EE6AD01}"/>
    <cellStyle name="Normal 2 21" xfId="29208" xr:uid="{3FA048B5-E460-4871-AEBF-64040307ED31}"/>
    <cellStyle name="Normal 2 22" xfId="29209" xr:uid="{28D97B64-4D60-4649-8264-60BE1FD8D1DD}"/>
    <cellStyle name="Normal 2 23" xfId="29210" xr:uid="{DC2DE48B-747E-45B5-A17D-5D0AF2ED835A}"/>
    <cellStyle name="Normal 2 24" xfId="29211" xr:uid="{C1397020-3A91-4B0F-9D7A-0C2B290ED5E8}"/>
    <cellStyle name="Normal 2 24 2" xfId="29212" xr:uid="{31447975-1E9D-462B-B1A8-EAE8C2998CBD}"/>
    <cellStyle name="Normal 2 24 3" xfId="29213" xr:uid="{BEE25427-FB66-4344-9837-9692EEF86B5B}"/>
    <cellStyle name="Normal 2 25" xfId="29214" xr:uid="{5BDF71BB-DDB9-4CCF-A58C-D40981DFE927}"/>
    <cellStyle name="Normal 2 26" xfId="29215" xr:uid="{E6A2ABB1-98BA-4A4E-A123-D9A21E94BBE6}"/>
    <cellStyle name="Normal 2 27" xfId="29216" xr:uid="{DC61126C-9DEE-49FA-873B-F06EE8F06E4A}"/>
    <cellStyle name="Normal 2 28" xfId="29217" xr:uid="{A8E4CE0D-FBE4-485E-8796-855D53C5184A}"/>
    <cellStyle name="Normal 2 29" xfId="29218" xr:uid="{71D3C541-5B6B-4BAE-9DFD-8219E6B920D3}"/>
    <cellStyle name="Normal 2 3" xfId="122" xr:uid="{00000000-0005-0000-0000-000079250000}"/>
    <cellStyle name="Normal 2 3 2" xfId="6827" xr:uid="{00000000-0005-0000-0000-00007A250000}"/>
    <cellStyle name="Normal 2 3 2 2" xfId="25734" xr:uid="{00000000-0005-0000-0000-00002F000000}"/>
    <cellStyle name="Normal 2 3 2 2 2" xfId="26040" xr:uid="{C85D6D52-D490-43AB-99F7-79EDD4F7B2B2}"/>
    <cellStyle name="Normal 2 3 2 2 2 2" xfId="29222" xr:uid="{599A3766-AFAC-4252-863C-6355CC7E331C}"/>
    <cellStyle name="Normal 2 3 2 2 2 2 2" xfId="29223" xr:uid="{C736BF65-92EC-42D1-A1EF-945A030324B9}"/>
    <cellStyle name="Normal 2 3 2 2 2 3" xfId="29224" xr:uid="{BEEFBCD4-B5DC-427B-8F36-E4FA295DF74E}"/>
    <cellStyle name="Normal 2 3 2 2 2 3 2" xfId="29225" xr:uid="{61A1F2C7-F45F-4438-A9EC-878C427F87B9}"/>
    <cellStyle name="Normal 2 3 2 2 2 4" xfId="29226" xr:uid="{3E413FA9-7F01-4648-96E7-CC1E9421A46C}"/>
    <cellStyle name="Normal 2 3 2 2 2 4 2" xfId="29227" xr:uid="{492FC3AD-BB91-46CA-9907-249B8388FDB9}"/>
    <cellStyle name="Normal 2 3 2 2 2 5" xfId="29221" xr:uid="{4082F0D6-B546-49DB-88B6-E03481C94ABF}"/>
    <cellStyle name="Normal 2 3 2 2 3" xfId="29228" xr:uid="{95114FEE-6F1F-4C62-BC49-B9075971C355}"/>
    <cellStyle name="Normal 2 3 2 2 4" xfId="29229" xr:uid="{7BF75071-9E64-4CB6-94B1-A888417E863D}"/>
    <cellStyle name="Normal 2 3 2 2 5" xfId="29230" xr:uid="{B6BC7636-37B0-4543-84E9-E33D97122861}"/>
    <cellStyle name="Normal 2 3 2 3" xfId="29231" xr:uid="{D0A0BE88-50B3-4ED0-8251-0C998A28C5A0}"/>
    <cellStyle name="Normal 2 3 2 3 2" xfId="29232" xr:uid="{159E4D33-C47F-4436-9C2F-866CE5B37DDA}"/>
    <cellStyle name="Normal 2 3 2 4" xfId="29233" xr:uid="{42733C86-D104-4C05-A515-8770F5453C66}"/>
    <cellStyle name="Normal 2 3 2 4 2" xfId="29234" xr:uid="{8D6DA440-7D07-49AE-8413-E47408B9C5D7}"/>
    <cellStyle name="Normal 2 3 2 5" xfId="29235" xr:uid="{D8DE5912-69A4-4A88-A7E6-23F43F260252}"/>
    <cellStyle name="Normal 2 3 2 5 2" xfId="29236" xr:uid="{0142D8EB-C637-46A5-8E16-E156BF33E5BA}"/>
    <cellStyle name="Normal 2 3 2 6" xfId="29220" xr:uid="{B3ED3538-5210-450E-A21A-9561B7820CC4}"/>
    <cellStyle name="Normal 2 3 3" xfId="6836" xr:uid="{00000000-0005-0000-0000-00007B250000}"/>
    <cellStyle name="Normal 2 3 3 2" xfId="25745" xr:uid="{00000000-0005-0000-0000-000031000000}"/>
    <cellStyle name="Normal 2 3 3 2 2" xfId="29238" xr:uid="{D4194267-CF4C-4498-B062-183C8209E809}"/>
    <cellStyle name="Normal 2 3 3 3" xfId="26192" xr:uid="{269CA5B1-6F4B-4D95-96AA-D3C6283DFB18}"/>
    <cellStyle name="Normal 2 3 3 4" xfId="29237" xr:uid="{6ACEBDC2-70A5-43E5-9E1F-956161D14A07}"/>
    <cellStyle name="Normal 2 3 4" xfId="25616" xr:uid="{00000000-0005-0000-0000-00001A000000}"/>
    <cellStyle name="Normal 2 3 4 2" xfId="25758" xr:uid="{00000000-0005-0000-0000-000033000000}"/>
    <cellStyle name="Normal 2 3 4 3" xfId="26146" xr:uid="{0A7CBB6D-C08F-4177-AE1B-9132E1E56075}"/>
    <cellStyle name="Normal 2 3 4 4" xfId="29239" xr:uid="{0FA87138-2F9A-46B6-BAA6-290C6FFBB2BB}"/>
    <cellStyle name="Normal 2 3 5" xfId="25629" xr:uid="{00000000-0005-0000-0000-00001B000000}"/>
    <cellStyle name="Normal 2 3 5 2" xfId="25771" xr:uid="{00000000-0005-0000-0000-000035000000}"/>
    <cellStyle name="Normal 2 3 5 3" xfId="26016" xr:uid="{6E1D1355-F006-4253-87F1-5F7A5C50882C}"/>
    <cellStyle name="Normal 2 3 5 4" xfId="29240" xr:uid="{D23CC854-D322-49B5-81C9-6C4CF3099DEE}"/>
    <cellStyle name="Normal 2 3 6" xfId="25649" xr:uid="{6E9852E3-FD9A-485F-9837-CB16A4ED0B3E}"/>
    <cellStyle name="Normal 2 3 6 2" xfId="25677" xr:uid="{00000000-0005-0000-0000-00009C030000}"/>
    <cellStyle name="Normal 2 3 6 3" xfId="29219" xr:uid="{E000B461-1FDC-443E-9B68-A8BD4DBA9A6C}"/>
    <cellStyle name="Normal 2 3 7" xfId="25668" xr:uid="{00000000-0005-0000-0000-000045030000}"/>
    <cellStyle name="Normal 2 3_Summary" xfId="21549" xr:uid="{00000000-0005-0000-0000-00007C250000}"/>
    <cellStyle name="Normal 2 30" xfId="28962" xr:uid="{28E9171D-CEEA-46AA-B149-037A599E36BE}"/>
    <cellStyle name="Normal 2 31" xfId="27099" xr:uid="{963A91A3-93F0-4683-801D-8FF96F6EB800}"/>
    <cellStyle name="Normal 2 4" xfId="72" xr:uid="{00000000-0005-0000-0000-00007D250000}"/>
    <cellStyle name="Normal 2 4 2" xfId="130" xr:uid="{00000000-0005-0000-0000-00007E250000}"/>
    <cellStyle name="Normal 2 4 2 2" xfId="25730" xr:uid="{00000000-0005-0000-0000-000038000000}"/>
    <cellStyle name="Normal 2 4 2 3" xfId="26191" xr:uid="{30BA00C2-6527-4FB4-BF2D-D1362B411577}"/>
    <cellStyle name="Normal 2 4 2 4" xfId="29242" xr:uid="{ED28DEF9-31B9-43F9-8633-5C764141A931}"/>
    <cellStyle name="Normal 2 4 3" xfId="270" xr:uid="{00000000-0005-0000-0000-00007F250000}"/>
    <cellStyle name="Normal 2 4 3 2" xfId="25804" xr:uid="{746582B5-B390-4FD9-8503-019DB545567F}"/>
    <cellStyle name="Normal 2 4 3 3" xfId="26160" xr:uid="{111CFCFF-8E9A-41A7-A73C-3FDA49460AA2}"/>
    <cellStyle name="Normal 2 4 3 4" xfId="29243" xr:uid="{E453D891-8C20-48E0-8810-16922C251C97}"/>
    <cellStyle name="Normal 2 4 4" xfId="6822" xr:uid="{00000000-0005-0000-0000-000080250000}"/>
    <cellStyle name="Normal 2 4 4 2" xfId="26006" xr:uid="{B52A2655-2682-46E2-A0A8-0536AF945B31}"/>
    <cellStyle name="Normal 2 4 5" xfId="26329" xr:uid="{4559E3C9-26B0-43B4-88FD-3F6BD838AB4A}"/>
    <cellStyle name="Normal 2 4 5 2" xfId="29244" xr:uid="{5B67F087-8BF6-4A18-8C9B-E95C297F6DDE}"/>
    <cellStyle name="Normal 2 4 6" xfId="25875" xr:uid="{1F600E38-10F9-432D-90B1-0AFB3EDDD9ED}"/>
    <cellStyle name="Normal 2 4 7" xfId="29241" xr:uid="{024926C8-6F27-4D4A-9119-8878C143BF87}"/>
    <cellStyle name="Normal 2 4_Summary" xfId="21550" xr:uid="{00000000-0005-0000-0000-000081250000}"/>
    <cellStyle name="Normal 2 5" xfId="6830" xr:uid="{00000000-0005-0000-0000-000082250000}"/>
    <cellStyle name="Normal 2 5 2" xfId="25739" xr:uid="{00000000-0005-0000-0000-00003A000000}"/>
    <cellStyle name="Normal 2 5 2 2" xfId="29246" xr:uid="{2EEFA004-41ED-453B-937B-EB2A7C754C6A}"/>
    <cellStyle name="Normal 2 5 3" xfId="26102" xr:uid="{EFC9E80E-7F97-49FE-A177-4333FE97BE7C}"/>
    <cellStyle name="Normal 2 5 3 2" xfId="29247" xr:uid="{4B8D54B3-C813-41A0-B552-AD13DF49F3C9}"/>
    <cellStyle name="Normal 2 5 4" xfId="29248" xr:uid="{085C31C3-6F53-4BAB-827D-DCDE072ADF4B}"/>
    <cellStyle name="Normal 2 5 5" xfId="29245" xr:uid="{55F3E604-FE44-404E-B044-822A90E1B9A2}"/>
    <cellStyle name="Normal 2 6" xfId="25607" xr:uid="{00000000-0005-0000-0000-00001E000000}"/>
    <cellStyle name="Normal 2 6 2" xfId="25750" xr:uid="{00000000-0005-0000-0000-00003C000000}"/>
    <cellStyle name="Normal 2 6 2 2" xfId="29251" xr:uid="{C297A639-7D22-4455-B27E-04C3B1000AE6}"/>
    <cellStyle name="Normal 2 6 2 3" xfId="29252" xr:uid="{3D995BD9-8ACB-45F9-B50C-96CA88DB7FB6}"/>
    <cellStyle name="Normal 2 6 2 4" xfId="29250" xr:uid="{AA869D42-6219-4D52-A6F1-99D7F6C9F56F}"/>
    <cellStyle name="Normal 2 6 3" xfId="26252" xr:uid="{72381EF4-91B6-4347-8810-B1570F3546AB}"/>
    <cellStyle name="Normal 2 6 3 2" xfId="29253" xr:uid="{FC043D45-1395-4687-87B2-FD9E07C36502}"/>
    <cellStyle name="Normal 2 6 4" xfId="29254" xr:uid="{10D82BCA-8FB1-43FB-9FE2-71D0B1B74F29}"/>
    <cellStyle name="Normal 2 6 5" xfId="29255" xr:uid="{1F0739C0-96B0-45AA-AC2D-C371E0D44455}"/>
    <cellStyle name="Normal 2 6 6" xfId="29249" xr:uid="{1415AFBA-3D9D-4289-8754-F9034CE84164}"/>
    <cellStyle name="Normal 2 7" xfId="25609" xr:uid="{00000000-0005-0000-0000-00001F000000}"/>
    <cellStyle name="Normal 2 7 2" xfId="25751" xr:uid="{00000000-0005-0000-0000-00003E000000}"/>
    <cellStyle name="Normal 2 7 2 2" xfId="29257" xr:uid="{A7375C0F-A413-42F0-87B2-874C66EA3088}"/>
    <cellStyle name="Normal 2 7 3" xfId="25884" xr:uid="{1AEC1BA3-FF67-4B18-99DB-CFE392E32211}"/>
    <cellStyle name="Normal 2 7 3 2" xfId="29258" xr:uid="{B9F95E21-17BD-4F09-ACE1-CC00DA70C80A}"/>
    <cellStyle name="Normal 2 7 4" xfId="29256" xr:uid="{716809EB-5E8C-4D0E-98C8-FB9C06FFB680}"/>
    <cellStyle name="Normal 2 8" xfId="25622" xr:uid="{00000000-0005-0000-0000-000020000000}"/>
    <cellStyle name="Normal 2 8 2" xfId="25764" xr:uid="{00000000-0005-0000-0000-000040000000}"/>
    <cellStyle name="Normal 2 8 2 2" xfId="29260" xr:uid="{E1F315BD-0819-4B7B-82B4-D79C74A18431}"/>
    <cellStyle name="Normal 2 8 3" xfId="25992" xr:uid="{C73ED9DE-277F-4EAE-A617-84A507DEADBD}"/>
    <cellStyle name="Normal 2 8 3 2" xfId="29261" xr:uid="{8D8DFABC-2A91-424F-B7A1-9BC3080B2513}"/>
    <cellStyle name="Normal 2 8 4" xfId="29259" xr:uid="{968F2C38-C2AC-42C1-9A45-35046DFFA816}"/>
    <cellStyle name="Normal 2 9" xfId="25647" xr:uid="{8D41BA6C-5AA4-46F6-9FDB-7C9D2EA3349C}"/>
    <cellStyle name="Normal 2 9 2" xfId="25678" xr:uid="{00000000-0005-0000-0000-0000A6030000}"/>
    <cellStyle name="Normal 2 9 2 2" xfId="29263" xr:uid="{E98851FF-C77A-433E-BDFF-66569D9757B3}"/>
    <cellStyle name="Normal 2 9 3" xfId="26485" xr:uid="{E7DD8231-6AE3-4E34-A154-574716E26CC2}"/>
    <cellStyle name="Normal 2 9 3 2" xfId="29264" xr:uid="{D943E6B5-1AD8-4C51-A8D3-A0301E3CF14B}"/>
    <cellStyle name="Normal 2 9 4" xfId="29262" xr:uid="{1D4BB9ED-78A1-49C7-BC98-18C76A7BD726}"/>
    <cellStyle name="Normal 2_58473" xfId="20094" xr:uid="{00000000-0005-0000-0000-000083250000}"/>
    <cellStyle name="Normal 20" xfId="25646" xr:uid="{00000000-0005-0000-0000-0000CF000000}"/>
    <cellStyle name="Normal 20 2" xfId="25672" xr:uid="{AE99C718-09B3-40CF-B1E1-83F3861DB395}"/>
    <cellStyle name="Normal 20 2 2" xfId="29266" xr:uid="{8F1413A0-9AD4-446C-A21A-2DA65E68B23F}"/>
    <cellStyle name="Normal 20 3" xfId="26172" xr:uid="{C71C7D5D-4B34-4158-9CB9-FCE0338F935E}"/>
    <cellStyle name="Normal 20 4" xfId="29265" xr:uid="{9DB7A25D-B4BA-40DF-B621-E37D114D39CF}"/>
    <cellStyle name="Normal 21" xfId="25653" xr:uid="{00000000-0005-0000-0000-0000D4000000}"/>
    <cellStyle name="Normal 21 2" xfId="25723" xr:uid="{00000000-0005-0000-0000-000043000000}"/>
    <cellStyle name="Normal 21 3" xfId="26173" xr:uid="{A55D54BA-86AA-495E-A82B-49569ADC8BA3}"/>
    <cellStyle name="Normal 21 4" xfId="29267" xr:uid="{A656E70B-588D-429C-A9D1-22036C123734}"/>
    <cellStyle name="Normal 22" xfId="25657" xr:uid="{00000000-0005-0000-0000-0000EC000000}"/>
    <cellStyle name="Normal 22 2" xfId="25800" xr:uid="{5A87A718-AB09-43BB-B735-261A0DEBB121}"/>
    <cellStyle name="Normal 22 3" xfId="25795" xr:uid="{8B8441CC-D264-4253-8652-ECCF327F4C84}"/>
    <cellStyle name="Normal 22 4" xfId="26171" xr:uid="{5493639B-58C5-45B6-B9F4-96560A9E516C}"/>
    <cellStyle name="Normal 22 5" xfId="29268" xr:uid="{54663DA9-BC16-4555-AF76-9D24C2D45F22}"/>
    <cellStyle name="Normal 23" xfId="25660" xr:uid="{00000000-0005-0000-0000-0000FF000000}"/>
    <cellStyle name="Normal 23 2" xfId="25801" xr:uid="{F96DB752-3A9E-42D3-B2DC-714141ACA533}"/>
    <cellStyle name="Normal 23 2 2" xfId="26046" xr:uid="{3F079A80-AFBE-40AC-84D7-17DEB3E3E3EB}"/>
    <cellStyle name="Normal 23 2 2 2" xfId="29271" xr:uid="{C915134B-5AB2-400D-9CD0-080E74C3197D}"/>
    <cellStyle name="Normal 23 2 3" xfId="29270" xr:uid="{740D25AA-99D9-42B5-94B9-FC91B99E5231}"/>
    <cellStyle name="Normal 23 3" xfId="25797" xr:uid="{B52E5201-FF38-4012-BBF8-99D1025A75CD}"/>
    <cellStyle name="Normal 23 3 2" xfId="26183" xr:uid="{F0A01914-F449-4114-B01B-BC3E1F830772}"/>
    <cellStyle name="Normal 23 4" xfId="26174" xr:uid="{08E904F1-C318-46F1-8B0D-2DC874354482}"/>
    <cellStyle name="Normal 23 5" xfId="25892" xr:uid="{28A67263-2303-4C32-95AF-1AE390CD8940}"/>
    <cellStyle name="Normal 23 6" xfId="29269" xr:uid="{2F277739-8AF7-46E6-B7B3-A7228EC59345}"/>
    <cellStyle name="Normal 24" xfId="25667" xr:uid="{00000000-0005-0000-0000-000000010000}"/>
    <cellStyle name="Normal 24 2" xfId="25798" xr:uid="{E689C084-4CC1-4FF2-8A86-A3F48ADFA9B7}"/>
    <cellStyle name="Normal 24 2 2" xfId="26050" xr:uid="{139AA760-11DB-44B9-8EC4-E6E3FF311A47}"/>
    <cellStyle name="Normal 24 3" xfId="26041" xr:uid="{04ECBDB3-E527-41AC-B257-CE8586E8A2AE}"/>
    <cellStyle name="Normal 24 4" xfId="29272" xr:uid="{9BEB58E1-686A-440A-B45D-A83A46D651EE}"/>
    <cellStyle name="Normal 247" xfId="29273" xr:uid="{919830FA-94F6-468C-88AA-8889FF91D590}"/>
    <cellStyle name="Normal 247 2" xfId="29274" xr:uid="{9BC2D7C4-2996-428B-BD0C-F2DB97357A10}"/>
    <cellStyle name="Normal 25" xfId="25676" xr:uid="{00000000-0005-0000-0000-000001010000}"/>
    <cellStyle name="Normal 25 2" xfId="25805" xr:uid="{B3D687B9-8230-455F-9099-ED532E10FBAC}"/>
    <cellStyle name="Normal 25 2 2" xfId="26254" xr:uid="{5111AAE4-1792-42FA-9F64-EDEF6F56CBF9}"/>
    <cellStyle name="Normal 25 3" xfId="26043" xr:uid="{49591B6D-1FF0-480B-93AE-5090E8BF92E4}"/>
    <cellStyle name="Normal 25 4" xfId="29275" xr:uid="{AC1C2014-ADA2-4523-89CF-BE3385E5EDDD}"/>
    <cellStyle name="Normal 26" xfId="25665" xr:uid="{00000000-0005-0000-0000-000002010000}"/>
    <cellStyle name="Normal 26 2" xfId="26042" xr:uid="{BBC1E4C3-902B-4A6E-AA66-34C265C8F05F}"/>
    <cellStyle name="Normal 26 3" xfId="29276" xr:uid="{EB4135E4-64C5-4A8E-B92B-F705C936F11E}"/>
    <cellStyle name="Normal 27" xfId="25679" xr:uid="{00000000-0005-0000-0000-000003010000}"/>
    <cellStyle name="Normal 27 2" xfId="26244" xr:uid="{99B27A7E-3DF9-4F09-BEB3-AE6564C18C45}"/>
    <cellStyle name="Normal 27 3" xfId="29277" xr:uid="{1FCD7FA3-88A9-4A8E-A74A-905C4F08DD8D}"/>
    <cellStyle name="Normal 28" xfId="25682" xr:uid="{00000000-0005-0000-0000-000004010000}"/>
    <cellStyle name="Normal 28 2" xfId="26245" xr:uid="{D1EBBA6E-6C7E-4A5B-8334-D98A67762F9C}"/>
    <cellStyle name="Normal 28 3" xfId="29278" xr:uid="{F5EAF6A3-4DCA-4824-8D55-0998C24CBE71}"/>
    <cellStyle name="Normal 280" xfId="20095" xr:uid="{00000000-0005-0000-0000-000084250000}"/>
    <cellStyle name="Normal 29" xfId="25659" xr:uid="{00000000-0005-0000-0000-000005010000}"/>
    <cellStyle name="Normal 29 2" xfId="26250" xr:uid="{8EFD04EC-A66E-4EC7-8F21-6CF06CE5FA23}"/>
    <cellStyle name="Normal 29 3" xfId="29279" xr:uid="{9F68F1A3-A403-436A-A2DF-73F281C6E180}"/>
    <cellStyle name="Normal 298" xfId="29280" xr:uid="{FF20DD5A-8670-4D83-804D-0F4A49A3714F}"/>
    <cellStyle name="Normal 3" xfId="2" xr:uid="{00000000-0005-0000-0000-000085250000}"/>
    <cellStyle name="Normal 3 2" xfId="19" xr:uid="{00000000-0005-0000-0000-000086250000}"/>
    <cellStyle name="Normal 3 2 2" xfId="6817" xr:uid="{00000000-0005-0000-0000-000087250000}"/>
    <cellStyle name="Normal 3 2 2 2" xfId="6828" xr:uid="{00000000-0005-0000-0000-000088250000}"/>
    <cellStyle name="Normal 3 2 2 2 2" xfId="25738" xr:uid="{00000000-0005-0000-0000-000048000000}"/>
    <cellStyle name="Normal 3 2 2 2 2 2" xfId="29283" xr:uid="{76A2B6FB-AEBB-4BBB-B6BB-78A576A09F39}"/>
    <cellStyle name="Normal 3 2 2 2 3" xfId="29282" xr:uid="{FBDE9C96-CD91-4524-B6C5-718C85739CA9}"/>
    <cellStyle name="Normal 3 2 2 3" xfId="6840" xr:uid="{00000000-0005-0000-0000-000089250000}"/>
    <cellStyle name="Normal 3 2 2 3 2" xfId="25749" xr:uid="{00000000-0005-0000-0000-00004A000000}"/>
    <cellStyle name="Normal 3 2 2 3 3" xfId="29284" xr:uid="{E3DA264A-7094-4944-9A04-2E1753C2A268}"/>
    <cellStyle name="Normal 3 2 2 4" xfId="25620" xr:uid="{00000000-0005-0000-0000-000026000000}"/>
    <cellStyle name="Normal 3 2 2 4 2" xfId="25762" xr:uid="{00000000-0005-0000-0000-00004C000000}"/>
    <cellStyle name="Normal 3 2 2 5" xfId="25633" xr:uid="{00000000-0005-0000-0000-000027000000}"/>
    <cellStyle name="Normal 3 2 2 5 2" xfId="25775" xr:uid="{00000000-0005-0000-0000-00004E000000}"/>
    <cellStyle name="Normal 3 2 2 6" xfId="25729" xr:uid="{00000000-0005-0000-0000-00004F000000}"/>
    <cellStyle name="Normal 3 2 2 7" xfId="29281" xr:uid="{6BF1E459-221C-4AF4-B196-BB4D926E72B1}"/>
    <cellStyle name="Normal 3 2 2_Summary" xfId="21552" xr:uid="{00000000-0005-0000-0000-00008A250000}"/>
    <cellStyle name="Normal 3 2 3" xfId="6811" xr:uid="{00000000-0005-0000-0000-00008B250000}"/>
    <cellStyle name="Normal 3 2 3 2" xfId="25733" xr:uid="{00000000-0005-0000-0000-000051000000}"/>
    <cellStyle name="Normal 3 2 3 2 2" xfId="29286" xr:uid="{CEFDDD1F-7AE8-4D0F-8E52-D551086070FF}"/>
    <cellStyle name="Normal 3 2 3 3" xfId="26187" xr:uid="{348BA354-BF8C-439B-8E54-89FFE6B340FC}"/>
    <cellStyle name="Normal 3 2 3 4" xfId="29285" xr:uid="{FCA8825A-E833-412B-BFE5-4F1EFF94CFBD}"/>
    <cellStyle name="Normal 3 2 4" xfId="6834" xr:uid="{00000000-0005-0000-0000-00008C250000}"/>
    <cellStyle name="Normal 3 2 4 2" xfId="25744" xr:uid="{00000000-0005-0000-0000-000053000000}"/>
    <cellStyle name="Normal 3 2 4 3" xfId="26015" xr:uid="{D422CA1B-8160-4436-8714-BF8C4C24F5BE}"/>
    <cellStyle name="Normal 3 2 4 4" xfId="29287" xr:uid="{A9CFCC0D-1B6B-4509-91FF-B08E5E9A5DB8}"/>
    <cellStyle name="Normal 3 2 5" xfId="25614" xr:uid="{00000000-0005-0000-0000-00002A000000}"/>
    <cellStyle name="Normal 3 2 5 2" xfId="25756" xr:uid="{00000000-0005-0000-0000-000055000000}"/>
    <cellStyle name="Normal 3 2 6" xfId="25627" xr:uid="{00000000-0005-0000-0000-00002B000000}"/>
    <cellStyle name="Normal 3 2 6 2" xfId="25769" xr:uid="{00000000-0005-0000-0000-000057000000}"/>
    <cellStyle name="Normal 3 2 7" xfId="25703" xr:uid="{EB440DDA-9D37-48CA-9926-87C26CC4A5B9}"/>
    <cellStyle name="Normal 3 2 7 2" xfId="25725" xr:uid="{00000000-0005-0000-0000-000058000000}"/>
    <cellStyle name="Normal 3 2_Summary" xfId="21551" xr:uid="{00000000-0005-0000-0000-00008D250000}"/>
    <cellStyle name="Normal 3 3" xfId="249" xr:uid="{00000000-0005-0000-0000-00008E250000}"/>
    <cellStyle name="Normal 3 3 2" xfId="6813" xr:uid="{00000000-0005-0000-0000-00008F250000}"/>
    <cellStyle name="Normal 3 3 2 2" xfId="25735" xr:uid="{00000000-0005-0000-0000-00005B000000}"/>
    <cellStyle name="Normal 3 3 2 2 2" xfId="29289" xr:uid="{0B05CBB7-1901-4996-A978-ADD87CC69E15}"/>
    <cellStyle name="Normal 3 3 2 3" xfId="29288" xr:uid="{09F98888-8AD6-4308-9FBC-5F4BC5806946}"/>
    <cellStyle name="Normal 3 3 3" xfId="6837" xr:uid="{00000000-0005-0000-0000-000090250000}"/>
    <cellStyle name="Normal 3 3 3 2" xfId="25746" xr:uid="{00000000-0005-0000-0000-00005D000000}"/>
    <cellStyle name="Normal 3 3 4" xfId="25617" xr:uid="{00000000-0005-0000-0000-00002F000000}"/>
    <cellStyle name="Normal 3 3 4 2" xfId="25759" xr:uid="{00000000-0005-0000-0000-00005F000000}"/>
    <cellStyle name="Normal 3 3 5" xfId="25630" xr:uid="{00000000-0005-0000-0000-000030000000}"/>
    <cellStyle name="Normal 3 3 5 2" xfId="25772" xr:uid="{00000000-0005-0000-0000-000061000000}"/>
    <cellStyle name="Normal 3 3 6" xfId="25726" xr:uid="{00000000-0005-0000-0000-000062000000}"/>
    <cellStyle name="Normal 3 3 7" xfId="25807" xr:uid="{41F7AC20-186B-483C-96B6-2CEB20515CFC}"/>
    <cellStyle name="Normal 3 3 8" xfId="26158" xr:uid="{2F316218-FA5B-43B0-A484-F88778AE9A6C}"/>
    <cellStyle name="Normal 3 4" xfId="6809" xr:uid="{00000000-0005-0000-0000-000091250000}"/>
    <cellStyle name="Normal 3 4 2" xfId="25731" xr:uid="{00000000-0005-0000-0000-000064000000}"/>
    <cellStyle name="Normal 3 4 3" xfId="26181" xr:uid="{C7791007-E3A7-4E1C-B87D-47F8C6B11233}"/>
    <cellStyle name="Normal 3 4 4" xfId="29290" xr:uid="{B78B4167-BE67-44F8-9FDC-3C73BB496C08}"/>
    <cellStyle name="Normal 3 5" xfId="6831" xr:uid="{00000000-0005-0000-0000-000092250000}"/>
    <cellStyle name="Normal 3 5 2" xfId="25740" xr:uid="{00000000-0005-0000-0000-000066000000}"/>
    <cellStyle name="Normal 3 5 3" xfId="26123" xr:uid="{F9B79870-A0F6-4F75-8C3D-7EF45ACBB34D}"/>
    <cellStyle name="Normal 3 6" xfId="25610" xr:uid="{00000000-0005-0000-0000-000033000000}"/>
    <cellStyle name="Normal 3 6 2" xfId="25752" xr:uid="{00000000-0005-0000-0000-000068000000}"/>
    <cellStyle name="Normal 3 6 3" xfId="26018" xr:uid="{D4A113B2-60F6-4C59-A0D6-409260C63659}"/>
    <cellStyle name="Normal 3 6 4" xfId="29291" xr:uid="{40F57902-EAA8-4CA6-A3A0-F6E05C567C74}"/>
    <cellStyle name="Normal 3 7" xfId="25623" xr:uid="{00000000-0005-0000-0000-000034000000}"/>
    <cellStyle name="Normal 3 7 2" xfId="25765" xr:uid="{00000000-0005-0000-0000-00006A000000}"/>
    <cellStyle name="Normal 3 7 2 2" xfId="29292" xr:uid="{65AC748B-612E-4F3A-B435-DFF6B94B753D}"/>
    <cellStyle name="Normal 3 7 3" xfId="25899" xr:uid="{9AF8E4E5-F514-47A0-9DA2-FD6073C903C8}"/>
    <cellStyle name="Normal 3 7 3 2" xfId="29293" xr:uid="{1085B80E-DFF2-4410-A7F0-E1E6644021A1}"/>
    <cellStyle name="Normal 3 8" xfId="25595" xr:uid="{00000000-0005-0000-0000-000021000000}"/>
    <cellStyle name="Normal 3 8 2" xfId="26259" xr:uid="{192EEA4A-5F9A-4518-BE1B-BDD3F1C643DD}"/>
    <cellStyle name="Normal 3 9" xfId="25810" xr:uid="{2BDE0698-DDB8-4037-9BDE-905F0CD6771E}"/>
    <cellStyle name="Normal 3_Book1" xfId="29294" xr:uid="{430F19FE-FB13-4AA4-8BF5-146E4C3BC106}"/>
    <cellStyle name="Normal 30" xfId="25683" xr:uid="{00000000-0005-0000-0000-000006010000}"/>
    <cellStyle name="Normal 30 2" xfId="26261" xr:uid="{A70206E0-E78E-42E6-B25C-C6360ADB37C2}"/>
    <cellStyle name="Normal 31" xfId="25684" xr:uid="{00000000-0005-0000-0000-000007010000}"/>
    <cellStyle name="Normal 31 2" xfId="26264" xr:uid="{490914BE-BDD1-475C-B5D4-EF2631ADF6A5}"/>
    <cellStyle name="Normal 31 2 2" xfId="29296" xr:uid="{9DA618C1-0ABD-4AA3-92FE-D83784CDF0D1}"/>
    <cellStyle name="Normal 31 3" xfId="29297" xr:uid="{F9090602-6DBD-4598-91BA-C5457F714B54}"/>
    <cellStyle name="Normal 31 4" xfId="29298" xr:uid="{1EAA8323-FBA4-4753-BA57-5C474922506E}"/>
    <cellStyle name="Normal 31 5" xfId="29295" xr:uid="{2D652308-B96B-448E-BE84-01C0DAC7B1CB}"/>
    <cellStyle name="Normal 32" xfId="25576" xr:uid="{00000000-0005-0000-0000-000005640000}"/>
    <cellStyle name="Normal 32 2" xfId="25778" xr:uid="{00000000-0005-0000-0000-00004B010000}"/>
    <cellStyle name="Normal 33" xfId="25615" xr:uid="{00000000-0005-0000-0000-00005A640000}"/>
    <cellStyle name="Normal 33 2" xfId="26267" xr:uid="{B1208D0E-0B20-4075-90A4-322B454E664B}"/>
    <cellStyle name="Normal 33 3" xfId="29299" xr:uid="{37DF7402-FA49-41CB-81AC-C860A95EE595}"/>
    <cellStyle name="Normal 338" xfId="26045" xr:uid="{3CF44050-94CA-4DC9-B258-0B175CAFAF56}"/>
    <cellStyle name="Normal 34" xfId="25686" xr:uid="{00000000-0005-0000-0000-000064640000}"/>
    <cellStyle name="Normal 34 2" xfId="26269" xr:uid="{FBCA5D71-C60B-42FA-9BC8-131E2547A5FE}"/>
    <cellStyle name="Normal 34 3" xfId="29300" xr:uid="{46EFBB9B-27F3-4034-800C-EF0F9C232159}"/>
    <cellStyle name="Normal 35" xfId="25692" xr:uid="{00000000-0005-0000-0000-000070640000}"/>
    <cellStyle name="Normal 35 2" xfId="26558" xr:uid="{E0F1BD2F-3714-4B27-8462-260F99D05DBE}"/>
    <cellStyle name="Normal 36" xfId="25705" xr:uid="{00000000-0005-0000-0000-00007B640000}"/>
    <cellStyle name="Normal 37" xfId="25711" xr:uid="{00000000-0005-0000-0000-0000BB640000}"/>
    <cellStyle name="Normal 37 2" xfId="29301" xr:uid="{A8673C88-5CA7-4B03-A43A-A58BCF44BB7B}"/>
    <cellStyle name="Normal 38" xfId="26049" xr:uid="{4B0E17D2-E67F-483D-9127-8DCC83E69D8A}"/>
    <cellStyle name="Normal 38 2" xfId="26195" xr:uid="{5BDE0315-6DB5-4071-9AA8-BCDA7746A546}"/>
    <cellStyle name="Normal 38 3" xfId="26156" xr:uid="{D1A2A193-0A0C-4978-8D6D-CBE6508A4955}"/>
    <cellStyle name="Normal 39" xfId="26055" xr:uid="{44A09FF8-EF6E-4C72-B2D1-E2B8A4EF3D76}"/>
    <cellStyle name="Normal 39 2" xfId="26196" xr:uid="{C62E4625-A9F2-4F5B-819D-46B0DE207793}"/>
    <cellStyle name="Normal 39 3" xfId="26157" xr:uid="{650607FB-D73A-4865-A43A-DEED989D25FA}"/>
    <cellStyle name="Normal 4" xfId="8" xr:uid="{00000000-0005-0000-0000-000093250000}"/>
    <cellStyle name="Normal 4 10" xfId="26484" xr:uid="{000B6BF5-1736-472B-90E5-FFB79ADC23C1}"/>
    <cellStyle name="Normal 4 10 2" xfId="29302" xr:uid="{8481881C-722A-45A3-BB12-3AC9D226875D}"/>
    <cellStyle name="Normal 4 11" xfId="29303" xr:uid="{A26425C2-225F-44E5-98CC-31C7883C39F4}"/>
    <cellStyle name="Normal 4 12" xfId="29304" xr:uid="{2BE78FC3-683C-46DE-8B1C-B846B68BB2D9}"/>
    <cellStyle name="Normal 4 13" xfId="29305" xr:uid="{903A4AA9-0BAC-4EFF-908C-1CD3FC76D4A3}"/>
    <cellStyle name="Normal 4 14" xfId="29306" xr:uid="{77F947A0-05DD-4753-91C2-587AA1452258}"/>
    <cellStyle name="Normal 4 15" xfId="29307" xr:uid="{1CF52882-FF99-4F21-9122-EDB361194B31}"/>
    <cellStyle name="Normal 4 2" xfId="15" xr:uid="{00000000-0005-0000-0000-000094250000}"/>
    <cellStyle name="Normal 4 2 2" xfId="132" xr:uid="{00000000-0005-0000-0000-000095250000}"/>
    <cellStyle name="Normal 4 2 2 2" xfId="25680" xr:uid="{00000000-0005-0000-0000-0000BB030000}"/>
    <cellStyle name="Normal 4 2 2 3" xfId="26037" xr:uid="{E8A60664-4514-4400-BD74-F299004ECB72}"/>
    <cellStyle name="Normal 4 2 2 4" xfId="29309" xr:uid="{E6ACFCA4-3522-47A1-9B2A-B499C3094548}"/>
    <cellStyle name="Normal 4 2 3" xfId="253" xr:uid="{00000000-0005-0000-0000-000096250000}"/>
    <cellStyle name="Normal 4 2 3 2" xfId="25670" xr:uid="{00000000-0005-0000-0000-000048030000}"/>
    <cellStyle name="Normal 4 2 4" xfId="6815" xr:uid="{00000000-0005-0000-0000-000097250000}"/>
    <cellStyle name="Normal 4 2 5" xfId="29308" xr:uid="{4D79BFE1-BC29-451B-94A1-BEEDF39275A7}"/>
    <cellStyle name="Normal 4 2_Summary" xfId="21553" xr:uid="{00000000-0005-0000-0000-000098250000}"/>
    <cellStyle name="Normal 4 25" xfId="29310" xr:uid="{CC65BE0E-438D-4597-8471-DB1F8741F187}"/>
    <cellStyle name="Normal 4 3" xfId="113" xr:uid="{00000000-0005-0000-0000-000099250000}"/>
    <cellStyle name="Normal 4 3 2" xfId="26022" xr:uid="{EFAF58AB-ABC8-449F-8DDD-39BE1481C917}"/>
    <cellStyle name="Normal 4 3 3" xfId="29311" xr:uid="{A5DC9858-5BFB-4A89-99D9-DABCAFA03D30}"/>
    <cellStyle name="Normal 4 4" xfId="250" xr:uid="{00000000-0005-0000-0000-00009A250000}"/>
    <cellStyle name="Normal 4 4 2" xfId="6823" xr:uid="{00000000-0005-0000-0000-00009B250000}"/>
    <cellStyle name="Normal 4 4 3" xfId="26178" xr:uid="{708EFFF1-DD14-4733-BD27-4B3C092D3A90}"/>
    <cellStyle name="Normal 4 4 4" xfId="29312" xr:uid="{166C3169-C5D5-4695-889F-2EDED6A8C43C}"/>
    <cellStyle name="Normal 4 4_Summary" xfId="21554" xr:uid="{00000000-0005-0000-0000-00009C250000}"/>
    <cellStyle name="Normal 4 5" xfId="6832" xr:uid="{00000000-0005-0000-0000-00009D250000}"/>
    <cellStyle name="Normal 4 5 2" xfId="25741" xr:uid="{00000000-0005-0000-0000-000072000000}"/>
    <cellStyle name="Normal 4 5 3" xfId="26094" xr:uid="{B98420E1-FF7C-4006-99E0-AF7D36E9FFDD}"/>
    <cellStyle name="Normal 4 5 4" xfId="29313" xr:uid="{C66E0EF5-F7A2-40E6-AC4A-8559EB262964}"/>
    <cellStyle name="Normal 4 6" xfId="25611" xr:uid="{00000000-0005-0000-0000-00003A000000}"/>
    <cellStyle name="Normal 4 6 2" xfId="25753" xr:uid="{00000000-0005-0000-0000-000074000000}"/>
    <cellStyle name="Normal 4 6 3" xfId="26008" xr:uid="{2759B1BE-7263-4E9C-A441-B6F9BE1E10DF}"/>
    <cellStyle name="Normal 4 6 4" xfId="29314" xr:uid="{FAB2A7AD-4D18-45A2-9CD2-DCDEF03FC4DC}"/>
    <cellStyle name="Normal 4 7" xfId="25624" xr:uid="{00000000-0005-0000-0000-00003B000000}"/>
    <cellStyle name="Normal 4 7 2" xfId="25766" xr:uid="{00000000-0005-0000-0000-000076000000}"/>
    <cellStyle name="Normal 4 7 3" xfId="26007" xr:uid="{135DF7A0-0EF8-4211-9D2C-2BF09EB1C81E}"/>
    <cellStyle name="Normal 4 7 4" xfId="29315" xr:uid="{9F035844-1171-485D-AAE2-88683EFA880F}"/>
    <cellStyle name="Normal 4 8" xfId="25596" xr:uid="{00000000-0005-0000-0000-000035000000}"/>
    <cellStyle name="Normal 4 8 2" xfId="25897" xr:uid="{4C2AFB9E-5F07-4065-8759-23EDAED5E9A6}"/>
    <cellStyle name="Normal 4 8 3" xfId="29316" xr:uid="{6C0850C2-2B87-43D2-994B-9A6F48702081}"/>
    <cellStyle name="Normal 4 9" xfId="26256" xr:uid="{20B3BCB7-1F4D-4D9C-B84F-0B875F2340AD}"/>
    <cellStyle name="Normal 4 9 2" xfId="29317" xr:uid="{F006B66A-8568-40D0-B908-501A1D77A962}"/>
    <cellStyle name="Normal 4_Resulting cPO Tracker" xfId="29318" xr:uid="{8F745C48-000A-4EFA-9024-F9BC1163E9C9}"/>
    <cellStyle name="Normal 40" xfId="26058" xr:uid="{15EC29DC-BC58-4D7B-8B10-636E4F4FB15D}"/>
    <cellStyle name="Normal 41" xfId="71" xr:uid="{00000000-0005-0000-0000-00009F250000}"/>
    <cellStyle name="Normal 41 2" xfId="26038" xr:uid="{5ED30586-52D6-4C35-B358-B10AD974D885}"/>
    <cellStyle name="Normal 42" xfId="26061" xr:uid="{8EE1E9C6-4535-4DA4-B866-0B96C16F9967}"/>
    <cellStyle name="Normal 43" xfId="26064" xr:uid="{FC86F690-A052-447F-B3D2-85D94123FACC}"/>
    <cellStyle name="Normal 44" xfId="26033" xr:uid="{B2DF41B4-6DFE-436C-86CC-8C562663B84C}"/>
    <cellStyle name="Normal 45" xfId="26067" xr:uid="{89F4E13A-2405-4CC0-9265-1419A247B10C}"/>
    <cellStyle name="Normal 46" xfId="26069" xr:uid="{94CF6E74-736B-4244-9FE8-85607D5AEB43}"/>
    <cellStyle name="Normal 47" xfId="26072" xr:uid="{255D7D8A-0A81-4384-800E-19573521FF5E}"/>
    <cellStyle name="Normal 47 2" xfId="29319" xr:uid="{87FA8DA9-9048-4295-B0FB-1196E3DFA17B}"/>
    <cellStyle name="Normal 48" xfId="26075" xr:uid="{626AA2B9-D178-4D8C-A2A0-035BF5CB627A}"/>
    <cellStyle name="Normal 48 2" xfId="29320" xr:uid="{F10490F6-CE68-44C9-8AF0-38053E7E8934}"/>
    <cellStyle name="Normal 49" xfId="27089" xr:uid="{D70B18FE-63E8-4F90-80F2-9F62A096D735}"/>
    <cellStyle name="Normal 49 2" xfId="29321" xr:uid="{D535CBBA-6D24-40EF-9017-0041EF4AD2A0}"/>
    <cellStyle name="Normal 5" xfId="17" xr:uid="{00000000-0005-0000-0000-0000A0250000}"/>
    <cellStyle name="Normal 5 10" xfId="29322" xr:uid="{3AAF8159-EDF3-4B05-8E2C-67B4E4B7BBAF}"/>
    <cellStyle name="Normal 5 11" xfId="29323" xr:uid="{4EADAB00-D9E9-4CD1-893E-9B9DF96987B7}"/>
    <cellStyle name="Normal 5 11 2" xfId="29324" xr:uid="{C53E5E75-4A5A-402B-A130-41DAAB6374B1}"/>
    <cellStyle name="Normal 5 12" xfId="29325" xr:uid="{AA515F6A-8655-4DC7-B001-00805620643B}"/>
    <cellStyle name="Normal 5 13" xfId="29326" xr:uid="{069CC65B-FBB3-4EFE-B43C-DA591262DA49}"/>
    <cellStyle name="Normal 5 2" xfId="114" xr:uid="{00000000-0005-0000-0000-0000A1250000}"/>
    <cellStyle name="Normal 5 2 2" xfId="6814" xr:uid="{00000000-0005-0000-0000-0000A2250000}"/>
    <cellStyle name="Normal 5 2 2 2" xfId="25736" xr:uid="{00000000-0005-0000-0000-00007B000000}"/>
    <cellStyle name="Normal 5 2 2 2 2" xfId="29330" xr:uid="{F99771F6-3DF8-4317-8F39-E41D50E1935F}"/>
    <cellStyle name="Normal 5 2 2 2 3" xfId="29331" xr:uid="{DBC77FB8-EF2A-4F06-A80E-3EDC44EDE30F}"/>
    <cellStyle name="Normal 5 2 2 2 4" xfId="29332" xr:uid="{5998BEEC-40AB-47FB-8215-30B4C34D8A49}"/>
    <cellStyle name="Normal 5 2 2 2 5" xfId="29329" xr:uid="{8CA9569E-08B2-4805-90C5-2ACB212DD070}"/>
    <cellStyle name="Normal 5 2 2 3" xfId="29333" xr:uid="{80D3D9E7-79BF-469A-9F44-55392379F7A3}"/>
    <cellStyle name="Normal 5 2 2 4" xfId="29334" xr:uid="{C99604E9-9E8B-4CF1-AF4A-DC7E9286C318}"/>
    <cellStyle name="Normal 5 2 2 5" xfId="29328" xr:uid="{D300702D-3AB2-44E6-AD89-3FA87E43AC34}"/>
    <cellStyle name="Normal 5 2 3" xfId="6838" xr:uid="{00000000-0005-0000-0000-0000A3250000}"/>
    <cellStyle name="Normal 5 2 3 2" xfId="25747" xr:uid="{00000000-0005-0000-0000-00007D000000}"/>
    <cellStyle name="Normal 5 2 3 3" xfId="26122" xr:uid="{B7BF9423-7006-48DE-987A-C0940683EE72}"/>
    <cellStyle name="Normal 5 2 3 4" xfId="29335" xr:uid="{278AD2B7-1CE9-45F0-9F2B-7A9EA4A63E01}"/>
    <cellStyle name="Normal 5 2 4" xfId="25618" xr:uid="{00000000-0005-0000-0000-000040000000}"/>
    <cellStyle name="Normal 5 2 4 2" xfId="25760" xr:uid="{00000000-0005-0000-0000-00007F000000}"/>
    <cellStyle name="Normal 5 2 4 3" xfId="29336" xr:uid="{5DBD9D53-94E6-4BF8-A9E4-E65DABC1F9D5}"/>
    <cellStyle name="Normal 5 2 5" xfId="25631" xr:uid="{00000000-0005-0000-0000-000041000000}"/>
    <cellStyle name="Normal 5 2 5 2" xfId="25773" xr:uid="{00000000-0005-0000-0000-000081000000}"/>
    <cellStyle name="Normal 5 2 5 3" xfId="29337" xr:uid="{33C8A8C9-3D0B-4EC1-8BB1-B67F85A2F19A}"/>
    <cellStyle name="Normal 5 2 6" xfId="25727" xr:uid="{00000000-0005-0000-0000-000082000000}"/>
    <cellStyle name="Normal 5 2 7" xfId="29327" xr:uid="{787ABB71-2B4E-4C35-ABD2-8B83DB66512B}"/>
    <cellStyle name="Normal 5 2_Summary" xfId="21556" xr:uid="{00000000-0005-0000-0000-0000A4250000}"/>
    <cellStyle name="Normal 5 3" xfId="255" xr:uid="{00000000-0005-0000-0000-0000A5250000}"/>
    <cellStyle name="Normal 5 3 2" xfId="6824" xr:uid="{00000000-0005-0000-0000-0000A6250000}"/>
    <cellStyle name="Normal 5 3 2 2" xfId="25732" xr:uid="{00000000-0005-0000-0000-000085000000}"/>
    <cellStyle name="Normal 5 3 3" xfId="6833" xr:uid="{00000000-0005-0000-0000-0000A7250000}"/>
    <cellStyle name="Normal 5 3 3 2" xfId="25742" xr:uid="{00000000-0005-0000-0000-000087000000}"/>
    <cellStyle name="Normal 5 3 4" xfId="25612" xr:uid="{00000000-0005-0000-0000-000045000000}"/>
    <cellStyle name="Normal 5 3 4 2" xfId="25754" xr:uid="{00000000-0005-0000-0000-000089000000}"/>
    <cellStyle name="Normal 5 3 5" xfId="25625" xr:uid="{00000000-0005-0000-0000-000046000000}"/>
    <cellStyle name="Normal 5 3 5 2" xfId="25767" xr:uid="{00000000-0005-0000-0000-00008B000000}"/>
    <cellStyle name="Normal 5 3 6" xfId="25724" xr:uid="{00000000-0005-0000-0000-00008C000000}"/>
    <cellStyle name="Normal 5 3 7" xfId="26184" xr:uid="{1E41D342-9E14-4609-853E-7DF20FCB1ECA}"/>
    <cellStyle name="Normal 5 3 8" xfId="29338" xr:uid="{B4FC8B80-64D6-4EB0-9D74-A0519C88B372}"/>
    <cellStyle name="Normal 5 3_Summary" xfId="21557" xr:uid="{00000000-0005-0000-0000-0000A8250000}"/>
    <cellStyle name="Normal 5 4" xfId="26220" xr:uid="{A5AFC8D9-C6DB-47F8-9D62-844B0B2F02AC}"/>
    <cellStyle name="Normal 5 4 2" xfId="29339" xr:uid="{822A957B-B246-4E03-977D-53F97F3FB4B0}"/>
    <cellStyle name="Normal 5 5" xfId="26089" xr:uid="{E8FE1B42-7B53-4B6E-8BE3-5220C7E51F5A}"/>
    <cellStyle name="Normal 5 5 2" xfId="29340" xr:uid="{BAAC0AA5-FED2-4C5B-90AF-F68D5182C692}"/>
    <cellStyle name="Normal 5 6" xfId="26024" xr:uid="{C7527AEA-B5ED-465F-AD7B-5267A370EF55}"/>
    <cellStyle name="Normal 5 6 2" xfId="29341" xr:uid="{76A3786E-7B69-48D8-84EE-1630180B7ED8}"/>
    <cellStyle name="Normal 5 7" xfId="29342" xr:uid="{570D8A7B-19D1-4254-8320-9AEF427C1BC3}"/>
    <cellStyle name="Normal 5 8" xfId="29343" xr:uid="{AE85AEC7-309D-4E0B-9E7F-350370B30352}"/>
    <cellStyle name="Normal 5 9" xfId="29344" xr:uid="{797D35E1-F25E-4E16-9BA9-8D3F12F3CF5A}"/>
    <cellStyle name="Normal 5_Summary" xfId="21555" xr:uid="{00000000-0005-0000-0000-0000A9250000}"/>
    <cellStyle name="Normal 50" xfId="27093" xr:uid="{99450DF4-67F5-470C-B9F2-2D121B90292C}"/>
    <cellStyle name="Normal 50 2" xfId="29345" xr:uid="{87771AA5-E3B5-4EFA-B59D-107F9BF05B46}"/>
    <cellStyle name="Normal 51" xfId="27096" xr:uid="{B0AB06BE-4D23-426E-AEFC-81C39D1D42FC}"/>
    <cellStyle name="Normal 51 2" xfId="29346" xr:uid="{3729C2D0-CE72-4E7F-B098-A3B773853BA7}"/>
    <cellStyle name="Normal 52" xfId="27097" xr:uid="{290D92A2-82B6-4A6C-80FD-60B397A6050B}"/>
    <cellStyle name="Normal 52 2" xfId="29347" xr:uid="{D62D4363-A30A-4EBC-938F-E2F67418E345}"/>
    <cellStyle name="Normal 53" xfId="27098" xr:uid="{79C6C0F5-9DA0-4B2B-A189-4F0B49D1A62E}"/>
    <cellStyle name="Normal 54" xfId="27087" xr:uid="{38452C2F-17F4-4E72-91C4-093F562C546B}"/>
    <cellStyle name="Normal 6" xfId="16" xr:uid="{00000000-0005-0000-0000-0000AA250000}"/>
    <cellStyle name="Normal 6 10" xfId="25715" xr:uid="{00000000-0005-0000-0000-00002F000000}"/>
    <cellStyle name="Normal 6 10 2" xfId="29349" xr:uid="{C47BC4E7-82B2-4925-B4C6-085D5F7C21DB}"/>
    <cellStyle name="Normal 6 11" xfId="29350" xr:uid="{19E5E0D5-85D4-4537-9CF8-0497D6182865}"/>
    <cellStyle name="Normal 6 12" xfId="29351" xr:uid="{DAC1CAA7-B47C-4AA9-A3F6-ED3078D90C76}"/>
    <cellStyle name="Normal 6 13" xfId="29352" xr:uid="{60EF10B4-7E28-4702-8CBC-D827BA69E756}"/>
    <cellStyle name="Normal 6 14" xfId="30063" xr:uid="{D4B6849C-1E76-4F95-8A82-E0870EC467D2}"/>
    <cellStyle name="Normal 6 15" xfId="29348" xr:uid="{530B3A26-18B1-4B39-B26B-2756BB4452E2}"/>
    <cellStyle name="Normal 6 2" xfId="18" xr:uid="{00000000-0005-0000-0000-0000AB250000}"/>
    <cellStyle name="Normal 6 2 2" xfId="171" xr:uid="{00000000-0005-0000-0000-0000AC250000}"/>
    <cellStyle name="Normal 6 2 2 2" xfId="25638" xr:uid="{00000000-0005-0000-0000-00003C000000}"/>
    <cellStyle name="Normal 6 2 2 2 2" xfId="29355" xr:uid="{33F8246B-C272-4F5B-9EF1-49EFB3F729D6}"/>
    <cellStyle name="Normal 6 2 2 3" xfId="29356" xr:uid="{5DC7AD3A-3464-47FF-A8CB-8465535FED8E}"/>
    <cellStyle name="Normal 6 2 2 4" xfId="29357" xr:uid="{3A4B6726-1E9E-40A6-BB18-3CB2FF9DCCDF}"/>
    <cellStyle name="Normal 6 2 2 5" xfId="29358" xr:uid="{984ED75D-7583-474E-B447-8DF0C74F9AF3}"/>
    <cellStyle name="Normal 6 2 2 6" xfId="29359" xr:uid="{C6FED7C6-FB3A-467C-A65D-5DDA376EE880}"/>
    <cellStyle name="Normal 6 2 2 7" xfId="29354" xr:uid="{D64AA3C4-5000-4911-95F4-65E157907A50}"/>
    <cellStyle name="Normal 6 2 3" xfId="256" xr:uid="{00000000-0005-0000-0000-0000AD250000}"/>
    <cellStyle name="Normal 6 2 3 2" xfId="26051" xr:uid="{50035D88-42A7-4E3F-BAFB-C6D085FC48ED}"/>
    <cellStyle name="Normal 6 2 3 3" xfId="29360" xr:uid="{4C568B41-9536-40D7-AB62-49B28CB818CE}"/>
    <cellStyle name="Normal 6 2 4" xfId="6889" xr:uid="{00000000-0005-0000-0000-0000AE250000}"/>
    <cellStyle name="Normal 6 2 4 2" xfId="29361" xr:uid="{E91037EA-69D3-4F1A-9532-0143C5E5AD75}"/>
    <cellStyle name="Normal 6 2 5" xfId="29362" xr:uid="{45A38188-CAC9-4F64-BEC3-00F4971BD3C7}"/>
    <cellStyle name="Normal 6 2 6" xfId="29363" xr:uid="{E749E923-F99A-4637-9FE4-E9C3E3A4AC87}"/>
    <cellStyle name="Normal 6 2 7" xfId="29364" xr:uid="{A1031943-BC24-4E59-B329-7F0A18963EFB}"/>
    <cellStyle name="Normal 6 2 8" xfId="29365" xr:uid="{00FEB518-D233-4C1D-ACE6-705B9E49B38B}"/>
    <cellStyle name="Normal 6 2 9" xfId="29353" xr:uid="{A8D82F02-03EC-4058-B37A-FD21C3B26CFA}"/>
    <cellStyle name="Normal 6 2_Summary" xfId="21558" xr:uid="{00000000-0005-0000-0000-0000AF250000}"/>
    <cellStyle name="Normal 6 3" xfId="121" xr:uid="{00000000-0005-0000-0000-0000B0250000}"/>
    <cellStyle name="Normal 6 3 2" xfId="6890" xr:uid="{00000000-0005-0000-0000-0000B1250000}"/>
    <cellStyle name="Normal 6 3 2 2" xfId="29367" xr:uid="{07BBCFA2-D002-49D0-8CCC-2746E0ACFE2B}"/>
    <cellStyle name="Normal 6 3 3" xfId="26029" xr:uid="{1A46061D-FF10-4971-AE3B-B4CA7C608F09}"/>
    <cellStyle name="Normal 6 3 3 2" xfId="29368" xr:uid="{DBA636F2-6E18-4E3E-84FA-D70741167EE0}"/>
    <cellStyle name="Normal 6 3 4" xfId="29369" xr:uid="{4A17BDA9-E196-45AF-9E9C-7ADEDAE553EE}"/>
    <cellStyle name="Normal 6 3 5" xfId="29366" xr:uid="{80CC04B0-1CB4-40ED-BBBF-E2E12604BF26}"/>
    <cellStyle name="Normal 6 3_Summary" xfId="21559" xr:uid="{00000000-0005-0000-0000-0000B2250000}"/>
    <cellStyle name="Normal 6 4" xfId="254" xr:uid="{00000000-0005-0000-0000-0000B3250000}"/>
    <cellStyle name="Normal 6 4 2" xfId="6891" xr:uid="{00000000-0005-0000-0000-0000B4250000}"/>
    <cellStyle name="Normal 6 4 2 2" xfId="29370" xr:uid="{6922ED5E-08AD-48D4-A854-770081C53027}"/>
    <cellStyle name="Normal 6 4 3" xfId="26188" xr:uid="{728951D8-E573-4716-8181-F8C72ED3C3FB}"/>
    <cellStyle name="Normal 6 4 3 2" xfId="29372" xr:uid="{57067D24-73BF-4371-A47D-113A142F6683}"/>
    <cellStyle name="Normal 6 4 3 3" xfId="29371" xr:uid="{AA626BB9-718D-414A-8F8D-C1017B2EAFB2}"/>
    <cellStyle name="Normal 6 4 4" xfId="29373" xr:uid="{75BAB2E0-11C1-4E7A-AA7F-C24457C684AC}"/>
    <cellStyle name="Normal 6 4_Summary" xfId="21560" xr:uid="{00000000-0005-0000-0000-0000B5250000}"/>
    <cellStyle name="Normal 6 5" xfId="25591" xr:uid="{00000000-0005-0000-0000-00002F000000}"/>
    <cellStyle name="Normal 6 5 2" xfId="26204" xr:uid="{525EA8B8-2CE7-4F80-82EE-B5CAD51D991C}"/>
    <cellStyle name="Normal 6 5 2 2" xfId="29376" xr:uid="{9E009F5C-2666-4831-8D1D-C02449F8A693}"/>
    <cellStyle name="Normal 6 5 2 3" xfId="29375" xr:uid="{41EC7080-233C-4331-B9CB-9B7B1C8FCCBD}"/>
    <cellStyle name="Normal 6 5 3" xfId="29377" xr:uid="{5DCD44A9-BF9E-4F61-992F-7D34B0FDA5A4}"/>
    <cellStyle name="Normal 6 5 3 2" xfId="29378" xr:uid="{314EBDAA-267D-438D-9180-401C7AF2253F}"/>
    <cellStyle name="Normal 6 5 4" xfId="29379" xr:uid="{FF186278-FDF8-4B37-A652-88DD5FA4EF1C}"/>
    <cellStyle name="Normal 6 5 5" xfId="29374" xr:uid="{56AD4C2B-ACB3-4A32-B571-9FCF53050F17}"/>
    <cellStyle name="Normal 6 6" xfId="25582" xr:uid="{00000000-0005-0000-0000-00002F000000}"/>
    <cellStyle name="Normal 6 6 2" xfId="26090" xr:uid="{29F98E24-00A4-42E5-AB39-914E02EEFDBB}"/>
    <cellStyle name="Normal 6 6 3" xfId="29380" xr:uid="{7F1A9FB5-1A75-4778-834E-491F29416BB4}"/>
    <cellStyle name="Normal 6 7" xfId="25580" xr:uid="{00000000-0005-0000-0000-00002F000000}"/>
    <cellStyle name="Normal 6 7 2" xfId="26012" xr:uid="{5BA0DA26-ECA4-4DE4-9DEB-FC963671F677}"/>
    <cellStyle name="Normal 6 7 3" xfId="29381" xr:uid="{21B7B94C-D951-49FF-B4A8-2B7A8DC50414}"/>
    <cellStyle name="Normal 6 8" xfId="25698" xr:uid="{00000000-0005-0000-0000-00002F000000}"/>
    <cellStyle name="Normal 6 8 2" xfId="29383" xr:uid="{6555832A-4849-4801-A2BB-BACA47FE5066}"/>
    <cellStyle name="Normal 6 8 3" xfId="29382" xr:uid="{AFE21881-06FF-4411-9B7D-E77B9477FAE2}"/>
    <cellStyle name="Normal 6 9" xfId="25712" xr:uid="{00000000-0005-0000-0000-00002F000000}"/>
    <cellStyle name="Normal 6 9 2" xfId="29385" xr:uid="{E4364CE2-A8C1-45AB-8EF8-C13BE092C4B2}"/>
    <cellStyle name="Normal 6 9 3" xfId="29384" xr:uid="{5FA1C20E-6F51-461D-B7F7-C4A8BE09D28C}"/>
    <cellStyle name="Normal 6_PO Creation" xfId="29386" xr:uid="{803EE14C-0EA2-4B12-BC8B-458C0DE5106B}"/>
    <cellStyle name="Normal 7" xfId="13" xr:uid="{00000000-0005-0000-0000-0000B7250000}"/>
    <cellStyle name="Normal 7 10" xfId="25808" xr:uid="{D5D55FDF-B721-477A-8353-23C15AF7DBBE}"/>
    <cellStyle name="Normal 7 2" xfId="73" xr:uid="{00000000-0005-0000-0000-0000B8250000}"/>
    <cellStyle name="Normal 7 2 2" xfId="6826" xr:uid="{00000000-0005-0000-0000-0000B9250000}"/>
    <cellStyle name="Normal 7 2 2 2" xfId="29387" xr:uid="{15D1F163-B7EA-4881-BB37-D7C495BEE662}"/>
    <cellStyle name="Normal 7 2 3" xfId="29388" xr:uid="{F9CC4B62-7AEB-4AE2-AB62-4354CE3693AD}"/>
    <cellStyle name="Normal 7 2 4" xfId="29389" xr:uid="{BE424F11-6BF5-4D08-8439-F64AA6BCEC27}"/>
    <cellStyle name="Normal 7 2_WBS Creation" xfId="29390" xr:uid="{22AF58D0-1C98-41AE-A6BF-5826BDDAE232}"/>
    <cellStyle name="Normal 7 3" xfId="252" xr:uid="{00000000-0005-0000-0000-0000BA250000}"/>
    <cellStyle name="Normal 7 3 2" xfId="6835" xr:uid="{00000000-0005-0000-0000-0000BB250000}"/>
    <cellStyle name="Normal 7 3 2 2" xfId="29391" xr:uid="{A738C29E-980A-419C-BFD9-B64049FDEC79}"/>
    <cellStyle name="Normal 7 3 3" xfId="26208" xr:uid="{854172AE-B296-4F05-A3AC-80C7014A3079}"/>
    <cellStyle name="Normal 7 3 3 2" xfId="29393" xr:uid="{034E37CE-8F4C-4699-953A-C70D84A8958C}"/>
    <cellStyle name="Normal 7 3 3 3" xfId="29392" xr:uid="{AA77E857-B8A1-430A-95FD-1AB8F2121EF3}"/>
    <cellStyle name="Normal 7 3 4" xfId="29394" xr:uid="{2E921BFB-2CB7-4426-A93B-C5F4B69F4063}"/>
    <cellStyle name="Normal 7 3_Summary" xfId="21562" xr:uid="{00000000-0005-0000-0000-0000BC250000}"/>
    <cellStyle name="Normal 7 4" xfId="6812" xr:uid="{00000000-0005-0000-0000-0000BD250000}"/>
    <cellStyle name="Normal 7 4 2" xfId="25757" xr:uid="{00000000-0005-0000-0000-000094000000}"/>
    <cellStyle name="Normal 7 4 2 2" xfId="26091" xr:uid="{10D8FDF4-2C8A-439B-BFC3-B0E3F15E5560}"/>
    <cellStyle name="Normal 7 4 2 2 2" xfId="29395" xr:uid="{4D38CBAC-858F-4417-A3C9-8F053BDBBFD9}"/>
    <cellStyle name="Normal 7 4 3" xfId="29396" xr:uid="{8C4C04F2-2C0A-4D3B-BB10-3D0516C3E3A8}"/>
    <cellStyle name="Normal 7 4 3 2" xfId="29397" xr:uid="{CA7A1D5E-1B2B-4759-81AE-D464BA40F9A7}"/>
    <cellStyle name="Normal 7 4 4" xfId="29398" xr:uid="{51A9D502-0C09-4457-855F-139EE0E2968B}"/>
    <cellStyle name="Normal 7 5" xfId="25628" xr:uid="{00000000-0005-0000-0000-00004C000000}"/>
    <cellStyle name="Normal 7 5 2" xfId="25770" xr:uid="{00000000-0005-0000-0000-000096000000}"/>
    <cellStyle name="Normal 7 6" xfId="25598" xr:uid="{00000000-0005-0000-0000-000048000000}"/>
    <cellStyle name="Normal 7 6 2" xfId="25988" xr:uid="{22AED834-3A50-42C5-96F9-BEF70B99EDE0}"/>
    <cellStyle name="Normal 7 6 2 2" xfId="29399" xr:uid="{16C33C4D-F1A8-4EF7-95D5-13B3B6DB702C}"/>
    <cellStyle name="Normal 7 7" xfId="25671" xr:uid="{00000000-0005-0000-0000-00004C030000}"/>
    <cellStyle name="Normal 7 7 2" xfId="26337" xr:uid="{8D73C897-FD3C-45AE-85F4-B0835119E463}"/>
    <cellStyle name="Normal 7 7 2 2" xfId="29401" xr:uid="{35166EF5-B068-4D9E-B2D4-CC69A49BDD30}"/>
    <cellStyle name="Normal 7 7 3" xfId="29400" xr:uid="{4EA304B4-DEED-4BC4-99FD-A53565108558}"/>
    <cellStyle name="Normal 7 8" xfId="25794" xr:uid="{C05E6BD3-1495-4928-813E-C83FBE1F36DC}"/>
    <cellStyle name="Normal 7 8 2" xfId="29403" xr:uid="{26D1612D-540C-47EA-A830-5F29EA56B72C}"/>
    <cellStyle name="Normal 7 8 3" xfId="29402" xr:uid="{BCB63710-4F75-43CF-9ED9-8D0BC25439A9}"/>
    <cellStyle name="Normal 7 9" xfId="25806" xr:uid="{84AA267A-FAEF-4A34-8138-F18C215C906D}"/>
    <cellStyle name="Normal 7 9 2" xfId="29404" xr:uid="{8F2C405D-79E5-4A68-9B6E-0DD136F0ABEF}"/>
    <cellStyle name="Normal 7_Summary" xfId="21561" xr:uid="{00000000-0005-0000-0000-0000BE250000}"/>
    <cellStyle name="Normal 77" xfId="29405" xr:uid="{91D61B95-A19A-46C0-8D04-DC86607098E8}"/>
    <cellStyle name="Normal 8" xfId="20" xr:uid="{00000000-0005-0000-0000-0000BF250000}"/>
    <cellStyle name="Normal 8 2" xfId="167" xr:uid="{00000000-0005-0000-0000-0000C0250000}"/>
    <cellStyle name="Normal 8 2 2" xfId="6893" xr:uid="{00000000-0005-0000-0000-0000C1250000}"/>
    <cellStyle name="Normal 8 2 2 2" xfId="26182" xr:uid="{F8596095-534D-4FEB-96B5-C3FF69E32C57}"/>
    <cellStyle name="Normal 8 2 2 3" xfId="29406" xr:uid="{7C8AD752-EE60-49B7-A2C7-5453F074AAF5}"/>
    <cellStyle name="Normal 8 2 3" xfId="25654" xr:uid="{00000000-0005-0000-0000-0000D5000000}"/>
    <cellStyle name="Normal 8 2 3 2" xfId="29407" xr:uid="{7E83E70C-1EB9-4F6B-A807-B3DD2814AEE1}"/>
    <cellStyle name="Normal 8 2 4" xfId="25594" xr:uid="{00000000-0005-0000-0000-00004D000000}"/>
    <cellStyle name="Normal 8 2 4 2" xfId="29409" xr:uid="{2F7DFCD8-BAFB-4F86-AC41-F6E371D45E83}"/>
    <cellStyle name="Normal 8 2 4 3" xfId="29408" xr:uid="{68474ADA-09AF-45B9-BFD2-D58DF1E8CA51}"/>
    <cellStyle name="Normal 8 2 5" xfId="29410" xr:uid="{DCB987F8-2F47-4EF0-A95F-8A6896CB3E88}"/>
    <cellStyle name="Normal 8 2 5 2" xfId="29411" xr:uid="{3F92DED6-AE25-42C8-97EB-F62F89600988}"/>
    <cellStyle name="Normal 8 2 6" xfId="29412" xr:uid="{E8A5198A-2F37-43B8-A734-48D625AB4F79}"/>
    <cellStyle name="Normal 8 2_Summary" xfId="21564" xr:uid="{00000000-0005-0000-0000-0000C2250000}"/>
    <cellStyle name="Normal 8 3" xfId="166" xr:uid="{00000000-0005-0000-0000-0000C3250000}"/>
    <cellStyle name="Normal 8 3 2" xfId="6894" xr:uid="{00000000-0005-0000-0000-0000C4250000}"/>
    <cellStyle name="Normal 8 3 2 2" xfId="29413" xr:uid="{47750AB3-5EF6-46B7-B1F4-F0663FD0483D}"/>
    <cellStyle name="Normal 8 3 3" xfId="26081" xr:uid="{E1E05B04-A8D6-4877-B0B3-07F65EDE0808}"/>
    <cellStyle name="Normal 8 3 3 2" xfId="29414" xr:uid="{5BC179A9-BFD2-4530-AAB2-DA52D7CEBD1F}"/>
    <cellStyle name="Normal 8 3 4" xfId="29415" xr:uid="{3C84D7EE-90E9-4EC4-8CAD-4EA8C54B75ED}"/>
    <cellStyle name="Normal 8 3 4 2" xfId="29416" xr:uid="{A7BC88EA-7B3E-418A-B00F-FA12F0C948A9}"/>
    <cellStyle name="Normal 8 3 5" xfId="29417" xr:uid="{5F9E5000-BCF3-447F-AB60-4784472B95B9}"/>
    <cellStyle name="Normal 8 3 5 2" xfId="29418" xr:uid="{6FD4BE63-A992-44A1-8A43-C571C413FB65}"/>
    <cellStyle name="Normal 8 3 6" xfId="29419" xr:uid="{8F0AEB03-B5D2-4C86-B176-4DBCA04EF704}"/>
    <cellStyle name="Normal 8 3_Summary" xfId="21565" xr:uid="{00000000-0005-0000-0000-0000C5250000}"/>
    <cellStyle name="Normal 8 4" xfId="134" xr:uid="{00000000-0005-0000-0000-0000C6250000}"/>
    <cellStyle name="Normal 8 4 2" xfId="25639" xr:uid="{00000000-0005-0000-0000-000042000000}"/>
    <cellStyle name="Normal 8 4 2 2" xfId="26159" xr:uid="{564DDB0E-C64B-435F-B660-63092333DF8E}"/>
    <cellStyle name="Normal 8 4 3" xfId="29420" xr:uid="{364DD9A3-4477-459C-A2EF-41CDFA3984B8}"/>
    <cellStyle name="Normal 8 5" xfId="257" xr:uid="{00000000-0005-0000-0000-0000C7250000}"/>
    <cellStyle name="Normal 8 5 2" xfId="26027" xr:uid="{4410E90D-4FCC-4D69-8BB5-3D238385AB84}"/>
    <cellStyle name="Normal 8 5 3" xfId="29421" xr:uid="{DA3EEEBA-8511-4ED8-A7F5-943FDEC4F75A}"/>
    <cellStyle name="Normal 8 6" xfId="6892" xr:uid="{00000000-0005-0000-0000-0000C8250000}"/>
    <cellStyle name="Normal 8 6 2" xfId="29422" xr:uid="{554C20E7-C2E3-4B4B-AE50-18E47B4A85D6}"/>
    <cellStyle name="Normal 8 7" xfId="25592" xr:uid="{00000000-0005-0000-0000-000069000000}"/>
    <cellStyle name="Normal 8 7 2" xfId="29424" xr:uid="{4F497250-0235-4F7E-B59A-FB267ED3BF15}"/>
    <cellStyle name="Normal 8 7 3" xfId="29423" xr:uid="{8F9E0E29-FF8D-4A36-907B-A1D6AABB888A}"/>
    <cellStyle name="Normal 8 8" xfId="29425" xr:uid="{3B249233-38CD-492D-B127-F211F40723D7}"/>
    <cellStyle name="Normal 8 8 2" xfId="29426" xr:uid="{4C97E0F1-585E-4880-8341-05A6F06ADA77}"/>
    <cellStyle name="Normal 8 9" xfId="29427" xr:uid="{91B417AB-5AD4-4EDF-9C69-1D38FA898291}"/>
    <cellStyle name="Normal 8_Summary" xfId="21563" xr:uid="{00000000-0005-0000-0000-0000C9250000}"/>
    <cellStyle name="Normal 9" xfId="203" xr:uid="{00000000-0005-0000-0000-0000CA250000}"/>
    <cellStyle name="Normal 9 2" xfId="335" xr:uid="{00000000-0005-0000-0000-0000CB250000}"/>
    <cellStyle name="Normal 9 2 2" xfId="6896" xr:uid="{00000000-0005-0000-0000-0000CC250000}"/>
    <cellStyle name="Normal 9 2 2 2" xfId="25681" xr:uid="{00000000-0005-0000-0000-0000D1030000}"/>
    <cellStyle name="Normal 9 2 2 3" xfId="29428" xr:uid="{BDBCECF1-F149-4E07-9C12-352C003F2989}"/>
    <cellStyle name="Normal 9 2 3" xfId="26179" xr:uid="{6ABDDE4C-187B-45FA-8B9D-CEB42F15BD6F}"/>
    <cellStyle name="Normal 9 2 3 2" xfId="29429" xr:uid="{F3E50AFB-2A09-40F6-B8DE-55C53CAFC368}"/>
    <cellStyle name="Normal 9 2 4" xfId="29430" xr:uid="{F727BFA5-CE17-4A97-92EA-CE57318C47A6}"/>
    <cellStyle name="Normal 9 2 4 2" xfId="29431" xr:uid="{3056E2FB-C23B-40E3-8B71-757AB01BFE2C}"/>
    <cellStyle name="Normal 9 2 5" xfId="29432" xr:uid="{0F4674F0-69CF-4C8A-970A-2EE1D5E9BE47}"/>
    <cellStyle name="Normal 9 2 5 2" xfId="29433" xr:uid="{1911CFFA-CE2E-4754-9D30-E2F16481255A}"/>
    <cellStyle name="Normal 9 2 6" xfId="29434" xr:uid="{6B73829A-FC17-43B4-82F1-783B3B0B33BA}"/>
    <cellStyle name="Normal 9 2_Summary" xfId="21567" xr:uid="{00000000-0005-0000-0000-0000CD250000}"/>
    <cellStyle name="Normal 9 3" xfId="6820" xr:uid="{00000000-0005-0000-0000-0000CE250000}"/>
    <cellStyle name="Normal 9 3 2" xfId="25640" xr:uid="{00000000-0005-0000-0000-000045000000}"/>
    <cellStyle name="Normal 9 3 2 2" xfId="26161" xr:uid="{0600AA4C-2B59-4531-A2FA-2180CC7E8379}"/>
    <cellStyle name="Normal 9 3 2 3" xfId="29435" xr:uid="{D6485193-A2D5-468C-9653-EAA06D89B761}"/>
    <cellStyle name="Normal 9 3 3" xfId="29436" xr:uid="{99E04351-0907-4DEF-AA86-4D0FF150E0C1}"/>
    <cellStyle name="Normal 9 3 4" xfId="29437" xr:uid="{1D160E43-0999-4168-88D2-BE03E560F73D}"/>
    <cellStyle name="Normal 9 3 4 2" xfId="29438" xr:uid="{29946BD2-1D6E-42BD-8A10-9BCA3F11F9AB}"/>
    <cellStyle name="Normal 9 3 5" xfId="29439" xr:uid="{0F2E1C34-8FF4-48CC-9666-DE19E554B581}"/>
    <cellStyle name="Normal 9 3 5 2" xfId="29440" xr:uid="{049D66A2-C610-4456-937F-1D58891CF88E}"/>
    <cellStyle name="Normal 9 3 6" xfId="29441" xr:uid="{59D9B186-043E-47B3-9130-88F48FF287EC}"/>
    <cellStyle name="Normal 9 4" xfId="6895" xr:uid="{00000000-0005-0000-0000-0000CF250000}"/>
    <cellStyle name="Normal 9 4 2" xfId="25673" xr:uid="{00000000-0005-0000-0000-000087030000}"/>
    <cellStyle name="Normal 9 4 3" xfId="26021" xr:uid="{982DDE67-24FE-4655-8908-E2B41C9508C4}"/>
    <cellStyle name="Normal 9 4 4" xfId="29442" xr:uid="{E87A072C-4D8E-425B-B1A4-D85DDFB2F852}"/>
    <cellStyle name="Normal 9 5" xfId="25600" xr:uid="{00000000-0005-0000-0000-00004E000000}"/>
    <cellStyle name="Normal 9 5 2" xfId="29443" xr:uid="{8D8E90D6-91DE-4876-A5DB-0748EE4E0167}"/>
    <cellStyle name="Normal 9 6" xfId="29444" xr:uid="{F4685097-5669-4D14-87FE-0A52AFE42238}"/>
    <cellStyle name="Normal 9 7" xfId="29445" xr:uid="{A2DEE507-0814-4020-92BE-01DD062D3852}"/>
    <cellStyle name="Normal 9 7 2" xfId="29446" xr:uid="{EDAC73B9-8E04-4DB6-816D-DEAF10CD9574}"/>
    <cellStyle name="Normal 9 8" xfId="29447" xr:uid="{A7AB5378-5124-4488-B872-5444ADF09594}"/>
    <cellStyle name="Normal 9 8 2" xfId="29448" xr:uid="{323CE4AE-DE73-41EB-A2DF-14B0E01618B6}"/>
    <cellStyle name="Normal 9 9" xfId="29449" xr:uid="{7D83A880-076C-43CE-929E-0E7E0D47A5AD}"/>
    <cellStyle name="Normal 9_Summary" xfId="21566" xr:uid="{00000000-0005-0000-0000-0000D0250000}"/>
    <cellStyle name="Normal 97" xfId="25828" xr:uid="{BE6E58B5-786E-4217-822E-20901587711F}"/>
    <cellStyle name="Normal 98" xfId="25829" xr:uid="{48B9F8AC-C66B-4482-97A2-7CFF0F128A59}"/>
    <cellStyle name="Normal 99" xfId="25830" xr:uid="{54D06321-5F62-4AA0-9CCC-0F9123DAFFA1}"/>
    <cellStyle name="Note" xfId="37" builtinId="10" customBuiltin="1"/>
    <cellStyle name="Note 2" xfId="115" xr:uid="{00000000-0005-0000-0000-0000D2250000}"/>
    <cellStyle name="Note 2 10" xfId="194" xr:uid="{00000000-0005-0000-0000-0000D3250000}"/>
    <cellStyle name="Note 2 10 10" xfId="2303" xr:uid="{00000000-0005-0000-0000-0000D4250000}"/>
    <cellStyle name="Note 2 10 10 2" xfId="4439" xr:uid="{00000000-0005-0000-0000-0000D5250000}"/>
    <cellStyle name="Note 2 10 10 2 2" xfId="11035" xr:uid="{00000000-0005-0000-0000-0000D6250000}"/>
    <cellStyle name="Note 2 10 10 2 3" xfId="17654" xr:uid="{00000000-0005-0000-0000-0000D7250000}"/>
    <cellStyle name="Note 2 10 10 2_Summary" xfId="21570" xr:uid="{00000000-0005-0000-0000-0000D8250000}"/>
    <cellStyle name="Note 2 10 10 3" xfId="6474" xr:uid="{00000000-0005-0000-0000-0000D9250000}"/>
    <cellStyle name="Note 2 10 10 3 2" xfId="13070" xr:uid="{00000000-0005-0000-0000-0000DA250000}"/>
    <cellStyle name="Note 2 10 10 3 3" xfId="19689" xr:uid="{00000000-0005-0000-0000-0000DB250000}"/>
    <cellStyle name="Note 2 10 10 3_Summary" xfId="21571" xr:uid="{00000000-0005-0000-0000-0000DC250000}"/>
    <cellStyle name="Note 2 10 10 4" xfId="8899" xr:uid="{00000000-0005-0000-0000-0000DD250000}"/>
    <cellStyle name="Note 2 10 10 5" xfId="15518" xr:uid="{00000000-0005-0000-0000-0000DE250000}"/>
    <cellStyle name="Note 2 10 10_Summary" xfId="21569" xr:uid="{00000000-0005-0000-0000-0000DF250000}"/>
    <cellStyle name="Note 2 10 11" xfId="2622" xr:uid="{00000000-0005-0000-0000-0000E0250000}"/>
    <cellStyle name="Note 2 10 11 2" xfId="9218" xr:uid="{00000000-0005-0000-0000-0000E1250000}"/>
    <cellStyle name="Note 2 10 11 3" xfId="15837" xr:uid="{00000000-0005-0000-0000-0000E2250000}"/>
    <cellStyle name="Note 2 10 11_Summary" xfId="21572" xr:uid="{00000000-0005-0000-0000-0000E3250000}"/>
    <cellStyle name="Note 2 10 12" xfId="2558" xr:uid="{00000000-0005-0000-0000-0000E4250000}"/>
    <cellStyle name="Note 2 10 12 2" xfId="9154" xr:uid="{00000000-0005-0000-0000-0000E5250000}"/>
    <cellStyle name="Note 2 10 12 3" xfId="15773" xr:uid="{00000000-0005-0000-0000-0000E6250000}"/>
    <cellStyle name="Note 2 10 12_Summary" xfId="21573" xr:uid="{00000000-0005-0000-0000-0000E7250000}"/>
    <cellStyle name="Note 2 10 13" xfId="511" xr:uid="{00000000-0005-0000-0000-0000E8250000}"/>
    <cellStyle name="Note 2 10 13 2" xfId="13726" xr:uid="{00000000-0005-0000-0000-0000E9250000}"/>
    <cellStyle name="Note 2 10 13_Summary" xfId="21574" xr:uid="{00000000-0005-0000-0000-0000EA250000}"/>
    <cellStyle name="Note 2 10 14" xfId="7102" xr:uid="{00000000-0005-0000-0000-0000EB250000}"/>
    <cellStyle name="Note 2 10 15" xfId="6988" xr:uid="{00000000-0005-0000-0000-0000EC250000}"/>
    <cellStyle name="Note 2 10 16" xfId="29451" xr:uid="{CCDBDD93-AFA0-4B5A-9882-6C934A6CECE9}"/>
    <cellStyle name="Note 2 10 17" xfId="31021" xr:uid="{C33D3704-C394-4E61-BD53-E34B8093DA0C}"/>
    <cellStyle name="Note 2 10 2" xfId="326" xr:uid="{00000000-0005-0000-0000-0000ED250000}"/>
    <cellStyle name="Note 2 10 2 10" xfId="4747" xr:uid="{00000000-0005-0000-0000-0000EE250000}"/>
    <cellStyle name="Note 2 10 2 10 2" xfId="11343" xr:uid="{00000000-0005-0000-0000-0000EF250000}"/>
    <cellStyle name="Note 2 10 2 10 3" xfId="17962" xr:uid="{00000000-0005-0000-0000-0000F0250000}"/>
    <cellStyle name="Note 2 10 2 10_Summary" xfId="21576" xr:uid="{00000000-0005-0000-0000-0000F1250000}"/>
    <cellStyle name="Note 2 10 2 11" xfId="576" xr:uid="{00000000-0005-0000-0000-0000F2250000}"/>
    <cellStyle name="Note 2 10 2 11 2" xfId="13791" xr:uid="{00000000-0005-0000-0000-0000F3250000}"/>
    <cellStyle name="Note 2 10 2 11_Summary" xfId="21577" xr:uid="{00000000-0005-0000-0000-0000F4250000}"/>
    <cellStyle name="Note 2 10 2 12" xfId="7220" xr:uid="{00000000-0005-0000-0000-0000F5250000}"/>
    <cellStyle name="Note 2 10 2 13" xfId="13542" xr:uid="{00000000-0005-0000-0000-0000F6250000}"/>
    <cellStyle name="Note 2 10 2 14" xfId="29452" xr:uid="{5DC81741-52B2-4AA2-B8D7-656FAEFF014F}"/>
    <cellStyle name="Note 2 10 2 15" xfId="31022" xr:uid="{FFDDE695-FC92-43EC-876A-2797EFC0475D}"/>
    <cellStyle name="Note 2 10 2 2" xfId="455" xr:uid="{00000000-0005-0000-0000-0000F7250000}"/>
    <cellStyle name="Note 2 10 2 2 10" xfId="849" xr:uid="{00000000-0005-0000-0000-0000F8250000}"/>
    <cellStyle name="Note 2 10 2 2 10 2" xfId="14064" xr:uid="{00000000-0005-0000-0000-0000F9250000}"/>
    <cellStyle name="Note 2 10 2 2 10_Summary" xfId="21579" xr:uid="{00000000-0005-0000-0000-0000FA250000}"/>
    <cellStyle name="Note 2 10 2 2 11" xfId="7348" xr:uid="{00000000-0005-0000-0000-0000FB250000}"/>
    <cellStyle name="Note 2 10 2 2 12" xfId="13670" xr:uid="{00000000-0005-0000-0000-0000FC250000}"/>
    <cellStyle name="Note 2 10 2 2 13" xfId="30307" xr:uid="{8C53D75D-4939-4224-A4F8-E0281807B8BC}"/>
    <cellStyle name="Note 2 10 2 2 14" xfId="31739" xr:uid="{7DE594F2-B08C-4B64-9187-2993C7B10786}"/>
    <cellStyle name="Note 2 10 2 2 2" xfId="1149" xr:uid="{00000000-0005-0000-0000-0000FD250000}"/>
    <cellStyle name="Note 2 10 2 2 2 2" xfId="3285" xr:uid="{00000000-0005-0000-0000-0000FE250000}"/>
    <cellStyle name="Note 2 10 2 2 2 2 2" xfId="9881" xr:uid="{00000000-0005-0000-0000-0000FF250000}"/>
    <cellStyle name="Note 2 10 2 2 2 2 3" xfId="16500" xr:uid="{00000000-0005-0000-0000-000000260000}"/>
    <cellStyle name="Note 2 10 2 2 2 2_Summary" xfId="21581" xr:uid="{00000000-0005-0000-0000-000001260000}"/>
    <cellStyle name="Note 2 10 2 2 2 3" xfId="5320" xr:uid="{00000000-0005-0000-0000-000002260000}"/>
    <cellStyle name="Note 2 10 2 2 2 3 2" xfId="11916" xr:uid="{00000000-0005-0000-0000-000003260000}"/>
    <cellStyle name="Note 2 10 2 2 2 3 3" xfId="18535" xr:uid="{00000000-0005-0000-0000-000004260000}"/>
    <cellStyle name="Note 2 10 2 2 2 3_Summary" xfId="21582" xr:uid="{00000000-0005-0000-0000-000005260000}"/>
    <cellStyle name="Note 2 10 2 2 2 4" xfId="7745" xr:uid="{00000000-0005-0000-0000-000006260000}"/>
    <cellStyle name="Note 2 10 2 2 2 5" xfId="14364" xr:uid="{00000000-0005-0000-0000-000007260000}"/>
    <cellStyle name="Note 2 10 2 2 2_Summary" xfId="21580" xr:uid="{00000000-0005-0000-0000-000008260000}"/>
    <cellStyle name="Note 2 10 2 2 3" xfId="1431" xr:uid="{00000000-0005-0000-0000-000009260000}"/>
    <cellStyle name="Note 2 10 2 2 3 2" xfId="3567" xr:uid="{00000000-0005-0000-0000-00000A260000}"/>
    <cellStyle name="Note 2 10 2 2 3 2 2" xfId="10163" xr:uid="{00000000-0005-0000-0000-00000B260000}"/>
    <cellStyle name="Note 2 10 2 2 3 2 3" xfId="16782" xr:uid="{00000000-0005-0000-0000-00000C260000}"/>
    <cellStyle name="Note 2 10 2 2 3 2_Summary" xfId="21584" xr:uid="{00000000-0005-0000-0000-00000D260000}"/>
    <cellStyle name="Note 2 10 2 2 3 3" xfId="5602" xr:uid="{00000000-0005-0000-0000-00000E260000}"/>
    <cellStyle name="Note 2 10 2 2 3 3 2" xfId="12198" xr:uid="{00000000-0005-0000-0000-00000F260000}"/>
    <cellStyle name="Note 2 10 2 2 3 3 3" xfId="18817" xr:uid="{00000000-0005-0000-0000-000010260000}"/>
    <cellStyle name="Note 2 10 2 2 3 3_Summary" xfId="21585" xr:uid="{00000000-0005-0000-0000-000011260000}"/>
    <cellStyle name="Note 2 10 2 2 3 4" xfId="8027" xr:uid="{00000000-0005-0000-0000-000012260000}"/>
    <cellStyle name="Note 2 10 2 2 3 5" xfId="14646" xr:uid="{00000000-0005-0000-0000-000013260000}"/>
    <cellStyle name="Note 2 10 2 2 3_Summary" xfId="21583" xr:uid="{00000000-0005-0000-0000-000014260000}"/>
    <cellStyle name="Note 2 10 2 2 4" xfId="1712" xr:uid="{00000000-0005-0000-0000-000015260000}"/>
    <cellStyle name="Note 2 10 2 2 4 2" xfId="3848" xr:uid="{00000000-0005-0000-0000-000016260000}"/>
    <cellStyle name="Note 2 10 2 2 4 2 2" xfId="10444" xr:uid="{00000000-0005-0000-0000-000017260000}"/>
    <cellStyle name="Note 2 10 2 2 4 2 3" xfId="17063" xr:uid="{00000000-0005-0000-0000-000018260000}"/>
    <cellStyle name="Note 2 10 2 2 4 2_Summary" xfId="21587" xr:uid="{00000000-0005-0000-0000-000019260000}"/>
    <cellStyle name="Note 2 10 2 2 4 3" xfId="5883" xr:uid="{00000000-0005-0000-0000-00001A260000}"/>
    <cellStyle name="Note 2 10 2 2 4 3 2" xfId="12479" xr:uid="{00000000-0005-0000-0000-00001B260000}"/>
    <cellStyle name="Note 2 10 2 2 4 3 3" xfId="19098" xr:uid="{00000000-0005-0000-0000-00001C260000}"/>
    <cellStyle name="Note 2 10 2 2 4 3_Summary" xfId="21588" xr:uid="{00000000-0005-0000-0000-00001D260000}"/>
    <cellStyle name="Note 2 10 2 2 4 4" xfId="8308" xr:uid="{00000000-0005-0000-0000-00001E260000}"/>
    <cellStyle name="Note 2 10 2 2 4 5" xfId="14927" xr:uid="{00000000-0005-0000-0000-00001F260000}"/>
    <cellStyle name="Note 2 10 2 2 4_Summary" xfId="21586" xr:uid="{00000000-0005-0000-0000-000020260000}"/>
    <cellStyle name="Note 2 10 2 2 5" xfId="1991" xr:uid="{00000000-0005-0000-0000-000021260000}"/>
    <cellStyle name="Note 2 10 2 2 5 2" xfId="4127" xr:uid="{00000000-0005-0000-0000-000022260000}"/>
    <cellStyle name="Note 2 10 2 2 5 2 2" xfId="10723" xr:uid="{00000000-0005-0000-0000-000023260000}"/>
    <cellStyle name="Note 2 10 2 2 5 2 3" xfId="17342" xr:uid="{00000000-0005-0000-0000-000024260000}"/>
    <cellStyle name="Note 2 10 2 2 5 2_Summary" xfId="21590" xr:uid="{00000000-0005-0000-0000-000025260000}"/>
    <cellStyle name="Note 2 10 2 2 5 3" xfId="6162" xr:uid="{00000000-0005-0000-0000-000026260000}"/>
    <cellStyle name="Note 2 10 2 2 5 3 2" xfId="12758" xr:uid="{00000000-0005-0000-0000-000027260000}"/>
    <cellStyle name="Note 2 10 2 2 5 3 3" xfId="19377" xr:uid="{00000000-0005-0000-0000-000028260000}"/>
    <cellStyle name="Note 2 10 2 2 5 3_Summary" xfId="21591" xr:uid="{00000000-0005-0000-0000-000029260000}"/>
    <cellStyle name="Note 2 10 2 2 5 4" xfId="8587" xr:uid="{00000000-0005-0000-0000-00002A260000}"/>
    <cellStyle name="Note 2 10 2 2 5 5" xfId="15206" xr:uid="{00000000-0005-0000-0000-00002B260000}"/>
    <cellStyle name="Note 2 10 2 2 5_Summary" xfId="21589" xr:uid="{00000000-0005-0000-0000-00002C260000}"/>
    <cellStyle name="Note 2 10 2 2 6" xfId="2266" xr:uid="{00000000-0005-0000-0000-00002D260000}"/>
    <cellStyle name="Note 2 10 2 2 6 2" xfId="4402" xr:uid="{00000000-0005-0000-0000-00002E260000}"/>
    <cellStyle name="Note 2 10 2 2 6 2 2" xfId="10998" xr:uid="{00000000-0005-0000-0000-00002F260000}"/>
    <cellStyle name="Note 2 10 2 2 6 2 3" xfId="17617" xr:uid="{00000000-0005-0000-0000-000030260000}"/>
    <cellStyle name="Note 2 10 2 2 6 2_Summary" xfId="21593" xr:uid="{00000000-0005-0000-0000-000031260000}"/>
    <cellStyle name="Note 2 10 2 2 6 3" xfId="6437" xr:uid="{00000000-0005-0000-0000-000032260000}"/>
    <cellStyle name="Note 2 10 2 2 6 3 2" xfId="13033" xr:uid="{00000000-0005-0000-0000-000033260000}"/>
    <cellStyle name="Note 2 10 2 2 6 3 3" xfId="19652" xr:uid="{00000000-0005-0000-0000-000034260000}"/>
    <cellStyle name="Note 2 10 2 2 6 3_Summary" xfId="21594" xr:uid="{00000000-0005-0000-0000-000035260000}"/>
    <cellStyle name="Note 2 10 2 2 6 4" xfId="8862" xr:uid="{00000000-0005-0000-0000-000036260000}"/>
    <cellStyle name="Note 2 10 2 2 6 5" xfId="15481" xr:uid="{00000000-0005-0000-0000-000037260000}"/>
    <cellStyle name="Note 2 10 2 2 6_Summary" xfId="21592" xr:uid="{00000000-0005-0000-0000-000038260000}"/>
    <cellStyle name="Note 2 10 2 2 7" xfId="2539" xr:uid="{00000000-0005-0000-0000-000039260000}"/>
    <cellStyle name="Note 2 10 2 2 7 2" xfId="4675" xr:uid="{00000000-0005-0000-0000-00003A260000}"/>
    <cellStyle name="Note 2 10 2 2 7 2 2" xfId="11271" xr:uid="{00000000-0005-0000-0000-00003B260000}"/>
    <cellStyle name="Note 2 10 2 2 7 2 3" xfId="17890" xr:uid="{00000000-0005-0000-0000-00003C260000}"/>
    <cellStyle name="Note 2 10 2 2 7 2_Summary" xfId="21596" xr:uid="{00000000-0005-0000-0000-00003D260000}"/>
    <cellStyle name="Note 2 10 2 2 7 3" xfId="6710" xr:uid="{00000000-0005-0000-0000-00003E260000}"/>
    <cellStyle name="Note 2 10 2 2 7 3 2" xfId="13306" xr:uid="{00000000-0005-0000-0000-00003F260000}"/>
    <cellStyle name="Note 2 10 2 2 7 3 3" xfId="19925" xr:uid="{00000000-0005-0000-0000-000040260000}"/>
    <cellStyle name="Note 2 10 2 2 7 3_Summary" xfId="21597" xr:uid="{00000000-0005-0000-0000-000041260000}"/>
    <cellStyle name="Note 2 10 2 2 7 4" xfId="9135" xr:uid="{00000000-0005-0000-0000-000042260000}"/>
    <cellStyle name="Note 2 10 2 2 7 5" xfId="15754" xr:uid="{00000000-0005-0000-0000-000043260000}"/>
    <cellStyle name="Note 2 10 2 2 7_Summary" xfId="21595" xr:uid="{00000000-0005-0000-0000-000044260000}"/>
    <cellStyle name="Note 2 10 2 2 8" xfId="2985" xr:uid="{00000000-0005-0000-0000-000045260000}"/>
    <cellStyle name="Note 2 10 2 2 8 2" xfId="9581" xr:uid="{00000000-0005-0000-0000-000046260000}"/>
    <cellStyle name="Note 2 10 2 2 8 3" xfId="16200" xr:uid="{00000000-0005-0000-0000-000047260000}"/>
    <cellStyle name="Note 2 10 2 2 8_Summary" xfId="21598" xr:uid="{00000000-0005-0000-0000-000048260000}"/>
    <cellStyle name="Note 2 10 2 2 9" xfId="5020" xr:uid="{00000000-0005-0000-0000-000049260000}"/>
    <cellStyle name="Note 2 10 2 2 9 2" xfId="11616" xr:uid="{00000000-0005-0000-0000-00004A260000}"/>
    <cellStyle name="Note 2 10 2 2 9 3" xfId="18235" xr:uid="{00000000-0005-0000-0000-00004B260000}"/>
    <cellStyle name="Note 2 10 2 2 9_Summary" xfId="21599" xr:uid="{00000000-0005-0000-0000-00004C260000}"/>
    <cellStyle name="Note 2 10 2 2_Summary" xfId="21578" xr:uid="{00000000-0005-0000-0000-00004D260000}"/>
    <cellStyle name="Note 2 10 2 3" xfId="1021" xr:uid="{00000000-0005-0000-0000-00004E260000}"/>
    <cellStyle name="Note 2 10 2 3 2" xfId="3157" xr:uid="{00000000-0005-0000-0000-00004F260000}"/>
    <cellStyle name="Note 2 10 2 3 2 2" xfId="9753" xr:uid="{00000000-0005-0000-0000-000050260000}"/>
    <cellStyle name="Note 2 10 2 3 2 3" xfId="16372" xr:uid="{00000000-0005-0000-0000-000051260000}"/>
    <cellStyle name="Note 2 10 2 3 2_Summary" xfId="21601" xr:uid="{00000000-0005-0000-0000-000052260000}"/>
    <cellStyle name="Note 2 10 2 3 3" xfId="5192" xr:uid="{00000000-0005-0000-0000-000053260000}"/>
    <cellStyle name="Note 2 10 2 3 3 2" xfId="11788" xr:uid="{00000000-0005-0000-0000-000054260000}"/>
    <cellStyle name="Note 2 10 2 3 3 3" xfId="18407" xr:uid="{00000000-0005-0000-0000-000055260000}"/>
    <cellStyle name="Note 2 10 2 3 3_Summary" xfId="21602" xr:uid="{00000000-0005-0000-0000-000056260000}"/>
    <cellStyle name="Note 2 10 2 3 4" xfId="7618" xr:uid="{00000000-0005-0000-0000-000057260000}"/>
    <cellStyle name="Note 2 10 2 3 5" xfId="14236" xr:uid="{00000000-0005-0000-0000-000058260000}"/>
    <cellStyle name="Note 2 10 2 3_Summary" xfId="21600" xr:uid="{00000000-0005-0000-0000-000059260000}"/>
    <cellStyle name="Note 2 10 2 4" xfId="1303" xr:uid="{00000000-0005-0000-0000-00005A260000}"/>
    <cellStyle name="Note 2 10 2 4 2" xfId="3439" xr:uid="{00000000-0005-0000-0000-00005B260000}"/>
    <cellStyle name="Note 2 10 2 4 2 2" xfId="10035" xr:uid="{00000000-0005-0000-0000-00005C260000}"/>
    <cellStyle name="Note 2 10 2 4 2 3" xfId="16654" xr:uid="{00000000-0005-0000-0000-00005D260000}"/>
    <cellStyle name="Note 2 10 2 4 2_Summary" xfId="21604" xr:uid="{00000000-0005-0000-0000-00005E260000}"/>
    <cellStyle name="Note 2 10 2 4 3" xfId="5474" xr:uid="{00000000-0005-0000-0000-00005F260000}"/>
    <cellStyle name="Note 2 10 2 4 3 2" xfId="12070" xr:uid="{00000000-0005-0000-0000-000060260000}"/>
    <cellStyle name="Note 2 10 2 4 3 3" xfId="18689" xr:uid="{00000000-0005-0000-0000-000061260000}"/>
    <cellStyle name="Note 2 10 2 4 3_Summary" xfId="21605" xr:uid="{00000000-0005-0000-0000-000062260000}"/>
    <cellStyle name="Note 2 10 2 4 4" xfId="7899" xr:uid="{00000000-0005-0000-0000-000063260000}"/>
    <cellStyle name="Note 2 10 2 4 5" xfId="14518" xr:uid="{00000000-0005-0000-0000-000064260000}"/>
    <cellStyle name="Note 2 10 2 4_Summary" xfId="21603" xr:uid="{00000000-0005-0000-0000-000065260000}"/>
    <cellStyle name="Note 2 10 2 5" xfId="1584" xr:uid="{00000000-0005-0000-0000-000066260000}"/>
    <cellStyle name="Note 2 10 2 5 2" xfId="3720" xr:uid="{00000000-0005-0000-0000-000067260000}"/>
    <cellStyle name="Note 2 10 2 5 2 2" xfId="10316" xr:uid="{00000000-0005-0000-0000-000068260000}"/>
    <cellStyle name="Note 2 10 2 5 2 3" xfId="16935" xr:uid="{00000000-0005-0000-0000-000069260000}"/>
    <cellStyle name="Note 2 10 2 5 2_Summary" xfId="21607" xr:uid="{00000000-0005-0000-0000-00006A260000}"/>
    <cellStyle name="Note 2 10 2 5 3" xfId="5755" xr:uid="{00000000-0005-0000-0000-00006B260000}"/>
    <cellStyle name="Note 2 10 2 5 3 2" xfId="12351" xr:uid="{00000000-0005-0000-0000-00006C260000}"/>
    <cellStyle name="Note 2 10 2 5 3 3" xfId="18970" xr:uid="{00000000-0005-0000-0000-00006D260000}"/>
    <cellStyle name="Note 2 10 2 5 3_Summary" xfId="21608" xr:uid="{00000000-0005-0000-0000-00006E260000}"/>
    <cellStyle name="Note 2 10 2 5 4" xfId="8180" xr:uid="{00000000-0005-0000-0000-00006F260000}"/>
    <cellStyle name="Note 2 10 2 5 5" xfId="14799" xr:uid="{00000000-0005-0000-0000-000070260000}"/>
    <cellStyle name="Note 2 10 2 5_Summary" xfId="21606" xr:uid="{00000000-0005-0000-0000-000071260000}"/>
    <cellStyle name="Note 2 10 2 6" xfId="1863" xr:uid="{00000000-0005-0000-0000-000072260000}"/>
    <cellStyle name="Note 2 10 2 6 2" xfId="3999" xr:uid="{00000000-0005-0000-0000-000073260000}"/>
    <cellStyle name="Note 2 10 2 6 2 2" xfId="10595" xr:uid="{00000000-0005-0000-0000-000074260000}"/>
    <cellStyle name="Note 2 10 2 6 2 3" xfId="17214" xr:uid="{00000000-0005-0000-0000-000075260000}"/>
    <cellStyle name="Note 2 10 2 6 2_Summary" xfId="21610" xr:uid="{00000000-0005-0000-0000-000076260000}"/>
    <cellStyle name="Note 2 10 2 6 3" xfId="6034" xr:uid="{00000000-0005-0000-0000-000077260000}"/>
    <cellStyle name="Note 2 10 2 6 3 2" xfId="12630" xr:uid="{00000000-0005-0000-0000-000078260000}"/>
    <cellStyle name="Note 2 10 2 6 3 3" xfId="19249" xr:uid="{00000000-0005-0000-0000-000079260000}"/>
    <cellStyle name="Note 2 10 2 6 3_Summary" xfId="21611" xr:uid="{00000000-0005-0000-0000-00007A260000}"/>
    <cellStyle name="Note 2 10 2 6 4" xfId="8459" xr:uid="{00000000-0005-0000-0000-00007B260000}"/>
    <cellStyle name="Note 2 10 2 6 5" xfId="15078" xr:uid="{00000000-0005-0000-0000-00007C260000}"/>
    <cellStyle name="Note 2 10 2 6_Summary" xfId="21609" xr:uid="{00000000-0005-0000-0000-00007D260000}"/>
    <cellStyle name="Note 2 10 2 7" xfId="2138" xr:uid="{00000000-0005-0000-0000-00007E260000}"/>
    <cellStyle name="Note 2 10 2 7 2" xfId="4274" xr:uid="{00000000-0005-0000-0000-00007F260000}"/>
    <cellStyle name="Note 2 10 2 7 2 2" xfId="10870" xr:uid="{00000000-0005-0000-0000-000080260000}"/>
    <cellStyle name="Note 2 10 2 7 2 3" xfId="17489" xr:uid="{00000000-0005-0000-0000-000081260000}"/>
    <cellStyle name="Note 2 10 2 7 2_Summary" xfId="21613" xr:uid="{00000000-0005-0000-0000-000082260000}"/>
    <cellStyle name="Note 2 10 2 7 3" xfId="6309" xr:uid="{00000000-0005-0000-0000-000083260000}"/>
    <cellStyle name="Note 2 10 2 7 3 2" xfId="12905" xr:uid="{00000000-0005-0000-0000-000084260000}"/>
    <cellStyle name="Note 2 10 2 7 3 3" xfId="19524" xr:uid="{00000000-0005-0000-0000-000085260000}"/>
    <cellStyle name="Note 2 10 2 7 3_Summary" xfId="21614" xr:uid="{00000000-0005-0000-0000-000086260000}"/>
    <cellStyle name="Note 2 10 2 7 4" xfId="8734" xr:uid="{00000000-0005-0000-0000-000087260000}"/>
    <cellStyle name="Note 2 10 2 7 5" xfId="15353" xr:uid="{00000000-0005-0000-0000-000088260000}"/>
    <cellStyle name="Note 2 10 2 7_Summary" xfId="21612" xr:uid="{00000000-0005-0000-0000-000089260000}"/>
    <cellStyle name="Note 2 10 2 8" xfId="2411" xr:uid="{00000000-0005-0000-0000-00008A260000}"/>
    <cellStyle name="Note 2 10 2 8 2" xfId="4547" xr:uid="{00000000-0005-0000-0000-00008B260000}"/>
    <cellStyle name="Note 2 10 2 8 2 2" xfId="11143" xr:uid="{00000000-0005-0000-0000-00008C260000}"/>
    <cellStyle name="Note 2 10 2 8 2 3" xfId="17762" xr:uid="{00000000-0005-0000-0000-00008D260000}"/>
    <cellStyle name="Note 2 10 2 8 2_Summary" xfId="21616" xr:uid="{00000000-0005-0000-0000-00008E260000}"/>
    <cellStyle name="Note 2 10 2 8 3" xfId="6582" xr:uid="{00000000-0005-0000-0000-00008F260000}"/>
    <cellStyle name="Note 2 10 2 8 3 2" xfId="13178" xr:uid="{00000000-0005-0000-0000-000090260000}"/>
    <cellStyle name="Note 2 10 2 8 3 3" xfId="19797" xr:uid="{00000000-0005-0000-0000-000091260000}"/>
    <cellStyle name="Note 2 10 2 8 3_Summary" xfId="21617" xr:uid="{00000000-0005-0000-0000-000092260000}"/>
    <cellStyle name="Note 2 10 2 8 4" xfId="9007" xr:uid="{00000000-0005-0000-0000-000093260000}"/>
    <cellStyle name="Note 2 10 2 8 5" xfId="15626" xr:uid="{00000000-0005-0000-0000-000094260000}"/>
    <cellStyle name="Note 2 10 2 8_Summary" xfId="21615" xr:uid="{00000000-0005-0000-0000-000095260000}"/>
    <cellStyle name="Note 2 10 2 9" xfId="2712" xr:uid="{00000000-0005-0000-0000-000096260000}"/>
    <cellStyle name="Note 2 10 2 9 2" xfId="9308" xr:uid="{00000000-0005-0000-0000-000097260000}"/>
    <cellStyle name="Note 2 10 2 9 3" xfId="15927" xr:uid="{00000000-0005-0000-0000-000098260000}"/>
    <cellStyle name="Note 2 10 2 9_Summary" xfId="21618" xr:uid="{00000000-0005-0000-0000-000099260000}"/>
    <cellStyle name="Note 2 10 2_Summary" xfId="21575" xr:uid="{00000000-0005-0000-0000-00009A260000}"/>
    <cellStyle name="Note 2 10 3" xfId="240" xr:uid="{00000000-0005-0000-0000-00009B260000}"/>
    <cellStyle name="Note 2 10 3 10" xfId="777" xr:uid="{00000000-0005-0000-0000-00009C260000}"/>
    <cellStyle name="Note 2 10 3 10 2" xfId="13992" xr:uid="{00000000-0005-0000-0000-00009D260000}"/>
    <cellStyle name="Note 2 10 3 10_Summary" xfId="21620" xr:uid="{00000000-0005-0000-0000-00009E260000}"/>
    <cellStyle name="Note 2 10 3 11" xfId="7147" xr:uid="{00000000-0005-0000-0000-00009F260000}"/>
    <cellStyle name="Note 2 10 3 12" xfId="6997" xr:uid="{00000000-0005-0000-0000-0000A0260000}"/>
    <cellStyle name="Note 2 10 3 13" xfId="29453" xr:uid="{34CB2DC0-1E68-43E8-A44E-15308B31648D}"/>
    <cellStyle name="Note 2 10 3 14" xfId="31023" xr:uid="{D13B5142-F09E-468B-A3E3-B2B50E4D0AC2}"/>
    <cellStyle name="Note 2 10 3 2" xfId="945" xr:uid="{00000000-0005-0000-0000-0000A1260000}"/>
    <cellStyle name="Note 2 10 3 2 2" xfId="3081" xr:uid="{00000000-0005-0000-0000-0000A2260000}"/>
    <cellStyle name="Note 2 10 3 2 2 2" xfId="9677" xr:uid="{00000000-0005-0000-0000-0000A3260000}"/>
    <cellStyle name="Note 2 10 3 2 2 3" xfId="16296" xr:uid="{00000000-0005-0000-0000-0000A4260000}"/>
    <cellStyle name="Note 2 10 3 2 2_Summary" xfId="21622" xr:uid="{00000000-0005-0000-0000-0000A5260000}"/>
    <cellStyle name="Note 2 10 3 2 3" xfId="5116" xr:uid="{00000000-0005-0000-0000-0000A6260000}"/>
    <cellStyle name="Note 2 10 3 2 3 2" xfId="11712" xr:uid="{00000000-0005-0000-0000-0000A7260000}"/>
    <cellStyle name="Note 2 10 3 2 3 3" xfId="18331" xr:uid="{00000000-0005-0000-0000-0000A8260000}"/>
    <cellStyle name="Note 2 10 3 2 3_Summary" xfId="21623" xr:uid="{00000000-0005-0000-0000-0000A9260000}"/>
    <cellStyle name="Note 2 10 3 2 4" xfId="7542" xr:uid="{00000000-0005-0000-0000-0000AA260000}"/>
    <cellStyle name="Note 2 10 3 2 5" xfId="14160" xr:uid="{00000000-0005-0000-0000-0000AB260000}"/>
    <cellStyle name="Note 2 10 3 2 6" xfId="30308" xr:uid="{854C2429-97BB-4904-84EA-E04544450FED}"/>
    <cellStyle name="Note 2 10 3 2 7" xfId="31740" xr:uid="{CEC38185-C869-4D26-A26D-37DAA2C7D0EA}"/>
    <cellStyle name="Note 2 10 3 2_Summary" xfId="21621" xr:uid="{00000000-0005-0000-0000-0000AC260000}"/>
    <cellStyle name="Note 2 10 3 3" xfId="1230" xr:uid="{00000000-0005-0000-0000-0000AD260000}"/>
    <cellStyle name="Note 2 10 3 3 2" xfId="3366" xr:uid="{00000000-0005-0000-0000-0000AE260000}"/>
    <cellStyle name="Note 2 10 3 3 2 2" xfId="9962" xr:uid="{00000000-0005-0000-0000-0000AF260000}"/>
    <cellStyle name="Note 2 10 3 3 2 3" xfId="16581" xr:uid="{00000000-0005-0000-0000-0000B0260000}"/>
    <cellStyle name="Note 2 10 3 3 2_Summary" xfId="21625" xr:uid="{00000000-0005-0000-0000-0000B1260000}"/>
    <cellStyle name="Note 2 10 3 3 3" xfId="5401" xr:uid="{00000000-0005-0000-0000-0000B2260000}"/>
    <cellStyle name="Note 2 10 3 3 3 2" xfId="11997" xr:uid="{00000000-0005-0000-0000-0000B3260000}"/>
    <cellStyle name="Note 2 10 3 3 3 3" xfId="18616" xr:uid="{00000000-0005-0000-0000-0000B4260000}"/>
    <cellStyle name="Note 2 10 3 3 3_Summary" xfId="21626" xr:uid="{00000000-0005-0000-0000-0000B5260000}"/>
    <cellStyle name="Note 2 10 3 3 4" xfId="7826" xr:uid="{00000000-0005-0000-0000-0000B6260000}"/>
    <cellStyle name="Note 2 10 3 3 5" xfId="14445" xr:uid="{00000000-0005-0000-0000-0000B7260000}"/>
    <cellStyle name="Note 2 10 3 3_Summary" xfId="21624" xr:uid="{00000000-0005-0000-0000-0000B8260000}"/>
    <cellStyle name="Note 2 10 3 4" xfId="1512" xr:uid="{00000000-0005-0000-0000-0000B9260000}"/>
    <cellStyle name="Note 2 10 3 4 2" xfId="3648" xr:uid="{00000000-0005-0000-0000-0000BA260000}"/>
    <cellStyle name="Note 2 10 3 4 2 2" xfId="10244" xr:uid="{00000000-0005-0000-0000-0000BB260000}"/>
    <cellStyle name="Note 2 10 3 4 2 3" xfId="16863" xr:uid="{00000000-0005-0000-0000-0000BC260000}"/>
    <cellStyle name="Note 2 10 3 4 2_Summary" xfId="21628" xr:uid="{00000000-0005-0000-0000-0000BD260000}"/>
    <cellStyle name="Note 2 10 3 4 3" xfId="5683" xr:uid="{00000000-0005-0000-0000-0000BE260000}"/>
    <cellStyle name="Note 2 10 3 4 3 2" xfId="12279" xr:uid="{00000000-0005-0000-0000-0000BF260000}"/>
    <cellStyle name="Note 2 10 3 4 3 3" xfId="18898" xr:uid="{00000000-0005-0000-0000-0000C0260000}"/>
    <cellStyle name="Note 2 10 3 4 3_Summary" xfId="21629" xr:uid="{00000000-0005-0000-0000-0000C1260000}"/>
    <cellStyle name="Note 2 10 3 4 4" xfId="8108" xr:uid="{00000000-0005-0000-0000-0000C2260000}"/>
    <cellStyle name="Note 2 10 3 4 5" xfId="14727" xr:uid="{00000000-0005-0000-0000-0000C3260000}"/>
    <cellStyle name="Note 2 10 3 4_Summary" xfId="21627" xr:uid="{00000000-0005-0000-0000-0000C4260000}"/>
    <cellStyle name="Note 2 10 3 5" xfId="1793" xr:uid="{00000000-0005-0000-0000-0000C5260000}"/>
    <cellStyle name="Note 2 10 3 5 2" xfId="3929" xr:uid="{00000000-0005-0000-0000-0000C6260000}"/>
    <cellStyle name="Note 2 10 3 5 2 2" xfId="10525" xr:uid="{00000000-0005-0000-0000-0000C7260000}"/>
    <cellStyle name="Note 2 10 3 5 2 3" xfId="17144" xr:uid="{00000000-0005-0000-0000-0000C8260000}"/>
    <cellStyle name="Note 2 10 3 5 2_Summary" xfId="21631" xr:uid="{00000000-0005-0000-0000-0000C9260000}"/>
    <cellStyle name="Note 2 10 3 5 3" xfId="5964" xr:uid="{00000000-0005-0000-0000-0000CA260000}"/>
    <cellStyle name="Note 2 10 3 5 3 2" xfId="12560" xr:uid="{00000000-0005-0000-0000-0000CB260000}"/>
    <cellStyle name="Note 2 10 3 5 3 3" xfId="19179" xr:uid="{00000000-0005-0000-0000-0000CC260000}"/>
    <cellStyle name="Note 2 10 3 5 3_Summary" xfId="21632" xr:uid="{00000000-0005-0000-0000-0000CD260000}"/>
    <cellStyle name="Note 2 10 3 5 4" xfId="8389" xr:uid="{00000000-0005-0000-0000-0000CE260000}"/>
    <cellStyle name="Note 2 10 3 5 5" xfId="15008" xr:uid="{00000000-0005-0000-0000-0000CF260000}"/>
    <cellStyle name="Note 2 10 3 5_Summary" xfId="21630" xr:uid="{00000000-0005-0000-0000-0000D0260000}"/>
    <cellStyle name="Note 2 10 3 6" xfId="2072" xr:uid="{00000000-0005-0000-0000-0000D1260000}"/>
    <cellStyle name="Note 2 10 3 6 2" xfId="4208" xr:uid="{00000000-0005-0000-0000-0000D2260000}"/>
    <cellStyle name="Note 2 10 3 6 2 2" xfId="10804" xr:uid="{00000000-0005-0000-0000-0000D3260000}"/>
    <cellStyle name="Note 2 10 3 6 2 3" xfId="17423" xr:uid="{00000000-0005-0000-0000-0000D4260000}"/>
    <cellStyle name="Note 2 10 3 6 2_Summary" xfId="21634" xr:uid="{00000000-0005-0000-0000-0000D5260000}"/>
    <cellStyle name="Note 2 10 3 6 3" xfId="6243" xr:uid="{00000000-0005-0000-0000-0000D6260000}"/>
    <cellStyle name="Note 2 10 3 6 3 2" xfId="12839" xr:uid="{00000000-0005-0000-0000-0000D7260000}"/>
    <cellStyle name="Note 2 10 3 6 3 3" xfId="19458" xr:uid="{00000000-0005-0000-0000-0000D8260000}"/>
    <cellStyle name="Note 2 10 3 6 3_Summary" xfId="21635" xr:uid="{00000000-0005-0000-0000-0000D9260000}"/>
    <cellStyle name="Note 2 10 3 6 4" xfId="8668" xr:uid="{00000000-0005-0000-0000-0000DA260000}"/>
    <cellStyle name="Note 2 10 3 6 5" xfId="15287" xr:uid="{00000000-0005-0000-0000-0000DB260000}"/>
    <cellStyle name="Note 2 10 3 6_Summary" xfId="21633" xr:uid="{00000000-0005-0000-0000-0000DC260000}"/>
    <cellStyle name="Note 2 10 3 7" xfId="2347" xr:uid="{00000000-0005-0000-0000-0000DD260000}"/>
    <cellStyle name="Note 2 10 3 7 2" xfId="4483" xr:uid="{00000000-0005-0000-0000-0000DE260000}"/>
    <cellStyle name="Note 2 10 3 7 2 2" xfId="11079" xr:uid="{00000000-0005-0000-0000-0000DF260000}"/>
    <cellStyle name="Note 2 10 3 7 2 3" xfId="17698" xr:uid="{00000000-0005-0000-0000-0000E0260000}"/>
    <cellStyle name="Note 2 10 3 7 2_Summary" xfId="21637" xr:uid="{00000000-0005-0000-0000-0000E1260000}"/>
    <cellStyle name="Note 2 10 3 7 3" xfId="6518" xr:uid="{00000000-0005-0000-0000-0000E2260000}"/>
    <cellStyle name="Note 2 10 3 7 3 2" xfId="13114" xr:uid="{00000000-0005-0000-0000-0000E3260000}"/>
    <cellStyle name="Note 2 10 3 7 3 3" xfId="19733" xr:uid="{00000000-0005-0000-0000-0000E4260000}"/>
    <cellStyle name="Note 2 10 3 7 3_Summary" xfId="21638" xr:uid="{00000000-0005-0000-0000-0000E5260000}"/>
    <cellStyle name="Note 2 10 3 7 4" xfId="8943" xr:uid="{00000000-0005-0000-0000-0000E6260000}"/>
    <cellStyle name="Note 2 10 3 7 5" xfId="15562" xr:uid="{00000000-0005-0000-0000-0000E7260000}"/>
    <cellStyle name="Note 2 10 3 7_Summary" xfId="21636" xr:uid="{00000000-0005-0000-0000-0000E8260000}"/>
    <cellStyle name="Note 2 10 3 8" xfId="2913" xr:uid="{00000000-0005-0000-0000-0000E9260000}"/>
    <cellStyle name="Note 2 10 3 8 2" xfId="9509" xr:uid="{00000000-0005-0000-0000-0000EA260000}"/>
    <cellStyle name="Note 2 10 3 8 3" xfId="16128" xr:uid="{00000000-0005-0000-0000-0000EB260000}"/>
    <cellStyle name="Note 2 10 3 8_Summary" xfId="21639" xr:uid="{00000000-0005-0000-0000-0000EC260000}"/>
    <cellStyle name="Note 2 10 3 9" xfId="4948" xr:uid="{00000000-0005-0000-0000-0000ED260000}"/>
    <cellStyle name="Note 2 10 3 9 2" xfId="11544" xr:uid="{00000000-0005-0000-0000-0000EE260000}"/>
    <cellStyle name="Note 2 10 3 9 3" xfId="18163" xr:uid="{00000000-0005-0000-0000-0000EF260000}"/>
    <cellStyle name="Note 2 10 3 9_Summary" xfId="21640" xr:uid="{00000000-0005-0000-0000-0000F0260000}"/>
    <cellStyle name="Note 2 10 3_Summary" xfId="21619" xr:uid="{00000000-0005-0000-0000-0000F1260000}"/>
    <cellStyle name="Note 2 10 4" xfId="394" xr:uid="{00000000-0005-0000-0000-0000F2260000}"/>
    <cellStyle name="Note 2 10 4 10" xfId="731" xr:uid="{00000000-0005-0000-0000-0000F3260000}"/>
    <cellStyle name="Note 2 10 4 10 2" xfId="13946" xr:uid="{00000000-0005-0000-0000-0000F4260000}"/>
    <cellStyle name="Note 2 10 4 10_Summary" xfId="21642" xr:uid="{00000000-0005-0000-0000-0000F5260000}"/>
    <cellStyle name="Note 2 10 4 11" xfId="7287" xr:uid="{00000000-0005-0000-0000-0000F6260000}"/>
    <cellStyle name="Note 2 10 4 12" xfId="13609" xr:uid="{00000000-0005-0000-0000-0000F7260000}"/>
    <cellStyle name="Note 2 10 4 13" xfId="30306" xr:uid="{DB8C646C-182E-4D82-8AF8-8F4D77D0CBFE}"/>
    <cellStyle name="Note 2 10 4 14" xfId="31738" xr:uid="{473A3FB0-6E5C-4E23-B8AC-2F369E149CDC}"/>
    <cellStyle name="Note 2 10 4 2" xfId="1088" xr:uid="{00000000-0005-0000-0000-0000F8260000}"/>
    <cellStyle name="Note 2 10 4 2 2" xfId="3224" xr:uid="{00000000-0005-0000-0000-0000F9260000}"/>
    <cellStyle name="Note 2 10 4 2 2 2" xfId="9820" xr:uid="{00000000-0005-0000-0000-0000FA260000}"/>
    <cellStyle name="Note 2 10 4 2 2 3" xfId="16439" xr:uid="{00000000-0005-0000-0000-0000FB260000}"/>
    <cellStyle name="Note 2 10 4 2 2_Summary" xfId="21644" xr:uid="{00000000-0005-0000-0000-0000FC260000}"/>
    <cellStyle name="Note 2 10 4 2 3" xfId="5259" xr:uid="{00000000-0005-0000-0000-0000FD260000}"/>
    <cellStyle name="Note 2 10 4 2 3 2" xfId="11855" xr:uid="{00000000-0005-0000-0000-0000FE260000}"/>
    <cellStyle name="Note 2 10 4 2 3 3" xfId="18474" xr:uid="{00000000-0005-0000-0000-0000FF260000}"/>
    <cellStyle name="Note 2 10 4 2 3_Summary" xfId="21645" xr:uid="{00000000-0005-0000-0000-000000270000}"/>
    <cellStyle name="Note 2 10 4 2 4" xfId="7685" xr:uid="{00000000-0005-0000-0000-000001270000}"/>
    <cellStyle name="Note 2 10 4 2 5" xfId="14303" xr:uid="{00000000-0005-0000-0000-000002270000}"/>
    <cellStyle name="Note 2 10 4 2_Summary" xfId="21643" xr:uid="{00000000-0005-0000-0000-000003270000}"/>
    <cellStyle name="Note 2 10 4 3" xfId="1370" xr:uid="{00000000-0005-0000-0000-000004270000}"/>
    <cellStyle name="Note 2 10 4 3 2" xfId="3506" xr:uid="{00000000-0005-0000-0000-000005270000}"/>
    <cellStyle name="Note 2 10 4 3 2 2" xfId="10102" xr:uid="{00000000-0005-0000-0000-000006270000}"/>
    <cellStyle name="Note 2 10 4 3 2 3" xfId="16721" xr:uid="{00000000-0005-0000-0000-000007270000}"/>
    <cellStyle name="Note 2 10 4 3 2_Summary" xfId="21647" xr:uid="{00000000-0005-0000-0000-000008270000}"/>
    <cellStyle name="Note 2 10 4 3 3" xfId="5541" xr:uid="{00000000-0005-0000-0000-000009270000}"/>
    <cellStyle name="Note 2 10 4 3 3 2" xfId="12137" xr:uid="{00000000-0005-0000-0000-00000A270000}"/>
    <cellStyle name="Note 2 10 4 3 3 3" xfId="18756" xr:uid="{00000000-0005-0000-0000-00000B270000}"/>
    <cellStyle name="Note 2 10 4 3 3_Summary" xfId="21648" xr:uid="{00000000-0005-0000-0000-00000C270000}"/>
    <cellStyle name="Note 2 10 4 3 4" xfId="7966" xr:uid="{00000000-0005-0000-0000-00000D270000}"/>
    <cellStyle name="Note 2 10 4 3 5" xfId="14585" xr:uid="{00000000-0005-0000-0000-00000E270000}"/>
    <cellStyle name="Note 2 10 4 3_Summary" xfId="21646" xr:uid="{00000000-0005-0000-0000-00000F270000}"/>
    <cellStyle name="Note 2 10 4 4" xfId="1651" xr:uid="{00000000-0005-0000-0000-000010270000}"/>
    <cellStyle name="Note 2 10 4 4 2" xfId="3787" xr:uid="{00000000-0005-0000-0000-000011270000}"/>
    <cellStyle name="Note 2 10 4 4 2 2" xfId="10383" xr:uid="{00000000-0005-0000-0000-000012270000}"/>
    <cellStyle name="Note 2 10 4 4 2 3" xfId="17002" xr:uid="{00000000-0005-0000-0000-000013270000}"/>
    <cellStyle name="Note 2 10 4 4 2_Summary" xfId="21650" xr:uid="{00000000-0005-0000-0000-000014270000}"/>
    <cellStyle name="Note 2 10 4 4 3" xfId="5822" xr:uid="{00000000-0005-0000-0000-000015270000}"/>
    <cellStyle name="Note 2 10 4 4 3 2" xfId="12418" xr:uid="{00000000-0005-0000-0000-000016270000}"/>
    <cellStyle name="Note 2 10 4 4 3 3" xfId="19037" xr:uid="{00000000-0005-0000-0000-000017270000}"/>
    <cellStyle name="Note 2 10 4 4 3_Summary" xfId="21651" xr:uid="{00000000-0005-0000-0000-000018270000}"/>
    <cellStyle name="Note 2 10 4 4 4" xfId="8247" xr:uid="{00000000-0005-0000-0000-000019270000}"/>
    <cellStyle name="Note 2 10 4 4 5" xfId="14866" xr:uid="{00000000-0005-0000-0000-00001A270000}"/>
    <cellStyle name="Note 2 10 4 4_Summary" xfId="21649" xr:uid="{00000000-0005-0000-0000-00001B270000}"/>
    <cellStyle name="Note 2 10 4 5" xfId="1930" xr:uid="{00000000-0005-0000-0000-00001C270000}"/>
    <cellStyle name="Note 2 10 4 5 2" xfId="4066" xr:uid="{00000000-0005-0000-0000-00001D270000}"/>
    <cellStyle name="Note 2 10 4 5 2 2" xfId="10662" xr:uid="{00000000-0005-0000-0000-00001E270000}"/>
    <cellStyle name="Note 2 10 4 5 2 3" xfId="17281" xr:uid="{00000000-0005-0000-0000-00001F270000}"/>
    <cellStyle name="Note 2 10 4 5 2_Summary" xfId="21653" xr:uid="{00000000-0005-0000-0000-000020270000}"/>
    <cellStyle name="Note 2 10 4 5 3" xfId="6101" xr:uid="{00000000-0005-0000-0000-000021270000}"/>
    <cellStyle name="Note 2 10 4 5 3 2" xfId="12697" xr:uid="{00000000-0005-0000-0000-000022270000}"/>
    <cellStyle name="Note 2 10 4 5 3 3" xfId="19316" xr:uid="{00000000-0005-0000-0000-000023270000}"/>
    <cellStyle name="Note 2 10 4 5 3_Summary" xfId="21654" xr:uid="{00000000-0005-0000-0000-000024270000}"/>
    <cellStyle name="Note 2 10 4 5 4" xfId="8526" xr:uid="{00000000-0005-0000-0000-000025270000}"/>
    <cellStyle name="Note 2 10 4 5 5" xfId="15145" xr:uid="{00000000-0005-0000-0000-000026270000}"/>
    <cellStyle name="Note 2 10 4 5_Summary" xfId="21652" xr:uid="{00000000-0005-0000-0000-000027270000}"/>
    <cellStyle name="Note 2 10 4 6" xfId="2205" xr:uid="{00000000-0005-0000-0000-000028270000}"/>
    <cellStyle name="Note 2 10 4 6 2" xfId="4341" xr:uid="{00000000-0005-0000-0000-000029270000}"/>
    <cellStyle name="Note 2 10 4 6 2 2" xfId="10937" xr:uid="{00000000-0005-0000-0000-00002A270000}"/>
    <cellStyle name="Note 2 10 4 6 2 3" xfId="17556" xr:uid="{00000000-0005-0000-0000-00002B270000}"/>
    <cellStyle name="Note 2 10 4 6 2_Summary" xfId="21656" xr:uid="{00000000-0005-0000-0000-00002C270000}"/>
    <cellStyle name="Note 2 10 4 6 3" xfId="6376" xr:uid="{00000000-0005-0000-0000-00002D270000}"/>
    <cellStyle name="Note 2 10 4 6 3 2" xfId="12972" xr:uid="{00000000-0005-0000-0000-00002E270000}"/>
    <cellStyle name="Note 2 10 4 6 3 3" xfId="19591" xr:uid="{00000000-0005-0000-0000-00002F270000}"/>
    <cellStyle name="Note 2 10 4 6 3_Summary" xfId="21657" xr:uid="{00000000-0005-0000-0000-000030270000}"/>
    <cellStyle name="Note 2 10 4 6 4" xfId="8801" xr:uid="{00000000-0005-0000-0000-000031270000}"/>
    <cellStyle name="Note 2 10 4 6 5" xfId="15420" xr:uid="{00000000-0005-0000-0000-000032270000}"/>
    <cellStyle name="Note 2 10 4 6_Summary" xfId="21655" xr:uid="{00000000-0005-0000-0000-000033270000}"/>
    <cellStyle name="Note 2 10 4 7" xfId="2478" xr:uid="{00000000-0005-0000-0000-000034270000}"/>
    <cellStyle name="Note 2 10 4 7 2" xfId="4614" xr:uid="{00000000-0005-0000-0000-000035270000}"/>
    <cellStyle name="Note 2 10 4 7 2 2" xfId="11210" xr:uid="{00000000-0005-0000-0000-000036270000}"/>
    <cellStyle name="Note 2 10 4 7 2 3" xfId="17829" xr:uid="{00000000-0005-0000-0000-000037270000}"/>
    <cellStyle name="Note 2 10 4 7 2_Summary" xfId="21659" xr:uid="{00000000-0005-0000-0000-000038270000}"/>
    <cellStyle name="Note 2 10 4 7 3" xfId="6649" xr:uid="{00000000-0005-0000-0000-000039270000}"/>
    <cellStyle name="Note 2 10 4 7 3 2" xfId="13245" xr:uid="{00000000-0005-0000-0000-00003A270000}"/>
    <cellStyle name="Note 2 10 4 7 3 3" xfId="19864" xr:uid="{00000000-0005-0000-0000-00003B270000}"/>
    <cellStyle name="Note 2 10 4 7 3_Summary" xfId="21660" xr:uid="{00000000-0005-0000-0000-00003C270000}"/>
    <cellStyle name="Note 2 10 4 7 4" xfId="9074" xr:uid="{00000000-0005-0000-0000-00003D270000}"/>
    <cellStyle name="Note 2 10 4 7 5" xfId="15693" xr:uid="{00000000-0005-0000-0000-00003E270000}"/>
    <cellStyle name="Note 2 10 4 7_Summary" xfId="21658" xr:uid="{00000000-0005-0000-0000-00003F270000}"/>
    <cellStyle name="Note 2 10 4 8" xfId="2867" xr:uid="{00000000-0005-0000-0000-000040270000}"/>
    <cellStyle name="Note 2 10 4 8 2" xfId="9463" xr:uid="{00000000-0005-0000-0000-000041270000}"/>
    <cellStyle name="Note 2 10 4 8 3" xfId="16082" xr:uid="{00000000-0005-0000-0000-000042270000}"/>
    <cellStyle name="Note 2 10 4 8_Summary" xfId="21661" xr:uid="{00000000-0005-0000-0000-000043270000}"/>
    <cellStyle name="Note 2 10 4 9" xfId="4902" xr:uid="{00000000-0005-0000-0000-000044270000}"/>
    <cellStyle name="Note 2 10 4 9 2" xfId="11498" xr:uid="{00000000-0005-0000-0000-000045270000}"/>
    <cellStyle name="Note 2 10 4 9 3" xfId="18117" xr:uid="{00000000-0005-0000-0000-000046270000}"/>
    <cellStyle name="Note 2 10 4 9_Summary" xfId="21662" xr:uid="{00000000-0005-0000-0000-000047270000}"/>
    <cellStyle name="Note 2 10 4_Summary" xfId="21641" xr:uid="{00000000-0005-0000-0000-000048270000}"/>
    <cellStyle name="Note 2 10 5" xfId="901" xr:uid="{00000000-0005-0000-0000-000049270000}"/>
    <cellStyle name="Note 2 10 5 2" xfId="3037" xr:uid="{00000000-0005-0000-0000-00004A270000}"/>
    <cellStyle name="Note 2 10 5 2 2" xfId="9633" xr:uid="{00000000-0005-0000-0000-00004B270000}"/>
    <cellStyle name="Note 2 10 5 2 3" xfId="16252" xr:uid="{00000000-0005-0000-0000-00004C270000}"/>
    <cellStyle name="Note 2 10 5 2_Summary" xfId="21664" xr:uid="{00000000-0005-0000-0000-00004D270000}"/>
    <cellStyle name="Note 2 10 5 3" xfId="5072" xr:uid="{00000000-0005-0000-0000-00004E270000}"/>
    <cellStyle name="Note 2 10 5 3 2" xfId="11668" xr:uid="{00000000-0005-0000-0000-00004F270000}"/>
    <cellStyle name="Note 2 10 5 3 3" xfId="18287" xr:uid="{00000000-0005-0000-0000-000050270000}"/>
    <cellStyle name="Note 2 10 5 3_Summary" xfId="21665" xr:uid="{00000000-0005-0000-0000-000051270000}"/>
    <cellStyle name="Note 2 10 5 4" xfId="7498" xr:uid="{00000000-0005-0000-0000-000052270000}"/>
    <cellStyle name="Note 2 10 5 5" xfId="14116" xr:uid="{00000000-0005-0000-0000-000053270000}"/>
    <cellStyle name="Note 2 10 5_Summary" xfId="21663" xr:uid="{00000000-0005-0000-0000-000054270000}"/>
    <cellStyle name="Note 2 10 6" xfId="1186" xr:uid="{00000000-0005-0000-0000-000055270000}"/>
    <cellStyle name="Note 2 10 6 2" xfId="3322" xr:uid="{00000000-0005-0000-0000-000056270000}"/>
    <cellStyle name="Note 2 10 6 2 2" xfId="9918" xr:uid="{00000000-0005-0000-0000-000057270000}"/>
    <cellStyle name="Note 2 10 6 2 3" xfId="16537" xr:uid="{00000000-0005-0000-0000-000058270000}"/>
    <cellStyle name="Note 2 10 6 2_Summary" xfId="21667" xr:uid="{00000000-0005-0000-0000-000059270000}"/>
    <cellStyle name="Note 2 10 6 3" xfId="5357" xr:uid="{00000000-0005-0000-0000-00005A270000}"/>
    <cellStyle name="Note 2 10 6 3 2" xfId="11953" xr:uid="{00000000-0005-0000-0000-00005B270000}"/>
    <cellStyle name="Note 2 10 6 3 3" xfId="18572" xr:uid="{00000000-0005-0000-0000-00005C270000}"/>
    <cellStyle name="Note 2 10 6 3_Summary" xfId="21668" xr:uid="{00000000-0005-0000-0000-00005D270000}"/>
    <cellStyle name="Note 2 10 6 4" xfId="7782" xr:uid="{00000000-0005-0000-0000-00005E270000}"/>
    <cellStyle name="Note 2 10 6 5" xfId="14401" xr:uid="{00000000-0005-0000-0000-00005F270000}"/>
    <cellStyle name="Note 2 10 6_Summary" xfId="21666" xr:uid="{00000000-0005-0000-0000-000060270000}"/>
    <cellStyle name="Note 2 10 7" xfId="1468" xr:uid="{00000000-0005-0000-0000-000061270000}"/>
    <cellStyle name="Note 2 10 7 2" xfId="3604" xr:uid="{00000000-0005-0000-0000-000062270000}"/>
    <cellStyle name="Note 2 10 7 2 2" xfId="10200" xr:uid="{00000000-0005-0000-0000-000063270000}"/>
    <cellStyle name="Note 2 10 7 2 3" xfId="16819" xr:uid="{00000000-0005-0000-0000-000064270000}"/>
    <cellStyle name="Note 2 10 7 2_Summary" xfId="21670" xr:uid="{00000000-0005-0000-0000-000065270000}"/>
    <cellStyle name="Note 2 10 7 3" xfId="5639" xr:uid="{00000000-0005-0000-0000-000066270000}"/>
    <cellStyle name="Note 2 10 7 3 2" xfId="12235" xr:uid="{00000000-0005-0000-0000-000067270000}"/>
    <cellStyle name="Note 2 10 7 3 3" xfId="18854" xr:uid="{00000000-0005-0000-0000-000068270000}"/>
    <cellStyle name="Note 2 10 7 3_Summary" xfId="21671" xr:uid="{00000000-0005-0000-0000-000069270000}"/>
    <cellStyle name="Note 2 10 7 4" xfId="8064" xr:uid="{00000000-0005-0000-0000-00006A270000}"/>
    <cellStyle name="Note 2 10 7 5" xfId="14683" xr:uid="{00000000-0005-0000-0000-00006B270000}"/>
    <cellStyle name="Note 2 10 7_Summary" xfId="21669" xr:uid="{00000000-0005-0000-0000-00006C270000}"/>
    <cellStyle name="Note 2 10 8" xfId="1749" xr:uid="{00000000-0005-0000-0000-00006D270000}"/>
    <cellStyle name="Note 2 10 8 2" xfId="3885" xr:uid="{00000000-0005-0000-0000-00006E270000}"/>
    <cellStyle name="Note 2 10 8 2 2" xfId="10481" xr:uid="{00000000-0005-0000-0000-00006F270000}"/>
    <cellStyle name="Note 2 10 8 2 3" xfId="17100" xr:uid="{00000000-0005-0000-0000-000070270000}"/>
    <cellStyle name="Note 2 10 8 2_Summary" xfId="21673" xr:uid="{00000000-0005-0000-0000-000071270000}"/>
    <cellStyle name="Note 2 10 8 3" xfId="5920" xr:uid="{00000000-0005-0000-0000-000072270000}"/>
    <cellStyle name="Note 2 10 8 3 2" xfId="12516" xr:uid="{00000000-0005-0000-0000-000073270000}"/>
    <cellStyle name="Note 2 10 8 3 3" xfId="19135" xr:uid="{00000000-0005-0000-0000-000074270000}"/>
    <cellStyle name="Note 2 10 8 3_Summary" xfId="21674" xr:uid="{00000000-0005-0000-0000-000075270000}"/>
    <cellStyle name="Note 2 10 8 4" xfId="8345" xr:uid="{00000000-0005-0000-0000-000076270000}"/>
    <cellStyle name="Note 2 10 8 5" xfId="14964" xr:uid="{00000000-0005-0000-0000-000077270000}"/>
    <cellStyle name="Note 2 10 8_Summary" xfId="21672" xr:uid="{00000000-0005-0000-0000-000078270000}"/>
    <cellStyle name="Note 2 10 9" xfId="2028" xr:uid="{00000000-0005-0000-0000-000079270000}"/>
    <cellStyle name="Note 2 10 9 2" xfId="4164" xr:uid="{00000000-0005-0000-0000-00007A270000}"/>
    <cellStyle name="Note 2 10 9 2 2" xfId="10760" xr:uid="{00000000-0005-0000-0000-00007B270000}"/>
    <cellStyle name="Note 2 10 9 2 3" xfId="17379" xr:uid="{00000000-0005-0000-0000-00007C270000}"/>
    <cellStyle name="Note 2 10 9 2_Summary" xfId="21676" xr:uid="{00000000-0005-0000-0000-00007D270000}"/>
    <cellStyle name="Note 2 10 9 3" xfId="6199" xr:uid="{00000000-0005-0000-0000-00007E270000}"/>
    <cellStyle name="Note 2 10 9 3 2" xfId="12795" xr:uid="{00000000-0005-0000-0000-00007F270000}"/>
    <cellStyle name="Note 2 10 9 3 3" xfId="19414" xr:uid="{00000000-0005-0000-0000-000080270000}"/>
    <cellStyle name="Note 2 10 9 3_Summary" xfId="21677" xr:uid="{00000000-0005-0000-0000-000081270000}"/>
    <cellStyle name="Note 2 10 9 4" xfId="8624" xr:uid="{00000000-0005-0000-0000-000082270000}"/>
    <cellStyle name="Note 2 10 9 5" xfId="15243" xr:uid="{00000000-0005-0000-0000-000083270000}"/>
    <cellStyle name="Note 2 10 9_Summary" xfId="21675" xr:uid="{00000000-0005-0000-0000-000084270000}"/>
    <cellStyle name="Note 2 10_Summary" xfId="21568" xr:uid="{00000000-0005-0000-0000-000085270000}"/>
    <cellStyle name="Note 2 11" xfId="197" xr:uid="{00000000-0005-0000-0000-000086270000}"/>
    <cellStyle name="Note 2 11 10" xfId="2306" xr:uid="{00000000-0005-0000-0000-000087270000}"/>
    <cellStyle name="Note 2 11 10 2" xfId="4442" xr:uid="{00000000-0005-0000-0000-000088270000}"/>
    <cellStyle name="Note 2 11 10 2 2" xfId="11038" xr:uid="{00000000-0005-0000-0000-000089270000}"/>
    <cellStyle name="Note 2 11 10 2 3" xfId="17657" xr:uid="{00000000-0005-0000-0000-00008A270000}"/>
    <cellStyle name="Note 2 11 10 2_Summary" xfId="21680" xr:uid="{00000000-0005-0000-0000-00008B270000}"/>
    <cellStyle name="Note 2 11 10 3" xfId="6477" xr:uid="{00000000-0005-0000-0000-00008C270000}"/>
    <cellStyle name="Note 2 11 10 3 2" xfId="13073" xr:uid="{00000000-0005-0000-0000-00008D270000}"/>
    <cellStyle name="Note 2 11 10 3 3" xfId="19692" xr:uid="{00000000-0005-0000-0000-00008E270000}"/>
    <cellStyle name="Note 2 11 10 3_Summary" xfId="21681" xr:uid="{00000000-0005-0000-0000-00008F270000}"/>
    <cellStyle name="Note 2 11 10 4" xfId="8902" xr:uid="{00000000-0005-0000-0000-000090270000}"/>
    <cellStyle name="Note 2 11 10 5" xfId="15521" xr:uid="{00000000-0005-0000-0000-000091270000}"/>
    <cellStyle name="Note 2 11 10_Summary" xfId="21679" xr:uid="{00000000-0005-0000-0000-000092270000}"/>
    <cellStyle name="Note 2 11 11" xfId="2625" xr:uid="{00000000-0005-0000-0000-000093270000}"/>
    <cellStyle name="Note 2 11 11 2" xfId="9221" xr:uid="{00000000-0005-0000-0000-000094270000}"/>
    <cellStyle name="Note 2 11 11 3" xfId="15840" xr:uid="{00000000-0005-0000-0000-000095270000}"/>
    <cellStyle name="Note 2 11 11_Summary" xfId="21682" xr:uid="{00000000-0005-0000-0000-000096270000}"/>
    <cellStyle name="Note 2 11 12" xfId="2645" xr:uid="{00000000-0005-0000-0000-000097270000}"/>
    <cellStyle name="Note 2 11 12 2" xfId="9241" xr:uid="{00000000-0005-0000-0000-000098270000}"/>
    <cellStyle name="Note 2 11 12 3" xfId="15860" xr:uid="{00000000-0005-0000-0000-000099270000}"/>
    <cellStyle name="Note 2 11 12_Summary" xfId="21683" xr:uid="{00000000-0005-0000-0000-00009A270000}"/>
    <cellStyle name="Note 2 11 13" xfId="514" xr:uid="{00000000-0005-0000-0000-00009B270000}"/>
    <cellStyle name="Note 2 11 13 2" xfId="13729" xr:uid="{00000000-0005-0000-0000-00009C270000}"/>
    <cellStyle name="Note 2 11 13_Summary" xfId="21684" xr:uid="{00000000-0005-0000-0000-00009D270000}"/>
    <cellStyle name="Note 2 11 14" xfId="7105" xr:uid="{00000000-0005-0000-0000-00009E270000}"/>
    <cellStyle name="Note 2 11 15" xfId="7022" xr:uid="{00000000-0005-0000-0000-00009F270000}"/>
    <cellStyle name="Note 2 11 16" xfId="29454" xr:uid="{54D0B015-5D6D-4295-867D-F89651B57FFB}"/>
    <cellStyle name="Note 2 11 17" xfId="31024" xr:uid="{FD17DE13-15D1-4F15-8A48-63B1C4D90D5A}"/>
    <cellStyle name="Note 2 11 2" xfId="329" xr:uid="{00000000-0005-0000-0000-0000A0270000}"/>
    <cellStyle name="Note 2 11 2 10" xfId="4750" xr:uid="{00000000-0005-0000-0000-0000A1270000}"/>
    <cellStyle name="Note 2 11 2 10 2" xfId="11346" xr:uid="{00000000-0005-0000-0000-0000A2270000}"/>
    <cellStyle name="Note 2 11 2 10 3" xfId="17965" xr:uid="{00000000-0005-0000-0000-0000A3270000}"/>
    <cellStyle name="Note 2 11 2 10_Summary" xfId="21686" xr:uid="{00000000-0005-0000-0000-0000A4270000}"/>
    <cellStyle name="Note 2 11 2 11" xfId="579" xr:uid="{00000000-0005-0000-0000-0000A5270000}"/>
    <cellStyle name="Note 2 11 2 11 2" xfId="13794" xr:uid="{00000000-0005-0000-0000-0000A6270000}"/>
    <cellStyle name="Note 2 11 2 11_Summary" xfId="21687" xr:uid="{00000000-0005-0000-0000-0000A7270000}"/>
    <cellStyle name="Note 2 11 2 12" xfId="7223" xr:uid="{00000000-0005-0000-0000-0000A8270000}"/>
    <cellStyle name="Note 2 11 2 13" xfId="13545" xr:uid="{00000000-0005-0000-0000-0000A9270000}"/>
    <cellStyle name="Note 2 11 2 14" xfId="30309" xr:uid="{833204AD-E62D-4CDC-99B2-821CCF61F4C7}"/>
    <cellStyle name="Note 2 11 2 15" xfId="31741" xr:uid="{E756C79F-EFA6-4CCC-973B-8670B1DA34B1}"/>
    <cellStyle name="Note 2 11 2 2" xfId="458" xr:uid="{00000000-0005-0000-0000-0000AA270000}"/>
    <cellStyle name="Note 2 11 2 2 10" xfId="852" xr:uid="{00000000-0005-0000-0000-0000AB270000}"/>
    <cellStyle name="Note 2 11 2 2 10 2" xfId="14067" xr:uid="{00000000-0005-0000-0000-0000AC270000}"/>
    <cellStyle name="Note 2 11 2 2 10_Summary" xfId="21689" xr:uid="{00000000-0005-0000-0000-0000AD270000}"/>
    <cellStyle name="Note 2 11 2 2 11" xfId="7351" xr:uid="{00000000-0005-0000-0000-0000AE270000}"/>
    <cellStyle name="Note 2 11 2 2 12" xfId="13673" xr:uid="{00000000-0005-0000-0000-0000AF270000}"/>
    <cellStyle name="Note 2 11 2 2 2" xfId="1152" xr:uid="{00000000-0005-0000-0000-0000B0270000}"/>
    <cellStyle name="Note 2 11 2 2 2 2" xfId="3288" xr:uid="{00000000-0005-0000-0000-0000B1270000}"/>
    <cellStyle name="Note 2 11 2 2 2 2 2" xfId="9884" xr:uid="{00000000-0005-0000-0000-0000B2270000}"/>
    <cellStyle name="Note 2 11 2 2 2 2 3" xfId="16503" xr:uid="{00000000-0005-0000-0000-0000B3270000}"/>
    <cellStyle name="Note 2 11 2 2 2 2_Summary" xfId="21691" xr:uid="{00000000-0005-0000-0000-0000B4270000}"/>
    <cellStyle name="Note 2 11 2 2 2 3" xfId="5323" xr:uid="{00000000-0005-0000-0000-0000B5270000}"/>
    <cellStyle name="Note 2 11 2 2 2 3 2" xfId="11919" xr:uid="{00000000-0005-0000-0000-0000B6270000}"/>
    <cellStyle name="Note 2 11 2 2 2 3 3" xfId="18538" xr:uid="{00000000-0005-0000-0000-0000B7270000}"/>
    <cellStyle name="Note 2 11 2 2 2 3_Summary" xfId="21692" xr:uid="{00000000-0005-0000-0000-0000B8270000}"/>
    <cellStyle name="Note 2 11 2 2 2 4" xfId="7748" xr:uid="{00000000-0005-0000-0000-0000B9270000}"/>
    <cellStyle name="Note 2 11 2 2 2 5" xfId="14367" xr:uid="{00000000-0005-0000-0000-0000BA270000}"/>
    <cellStyle name="Note 2 11 2 2 2_Summary" xfId="21690" xr:uid="{00000000-0005-0000-0000-0000BB270000}"/>
    <cellStyle name="Note 2 11 2 2 3" xfId="1434" xr:uid="{00000000-0005-0000-0000-0000BC270000}"/>
    <cellStyle name="Note 2 11 2 2 3 2" xfId="3570" xr:uid="{00000000-0005-0000-0000-0000BD270000}"/>
    <cellStyle name="Note 2 11 2 2 3 2 2" xfId="10166" xr:uid="{00000000-0005-0000-0000-0000BE270000}"/>
    <cellStyle name="Note 2 11 2 2 3 2 3" xfId="16785" xr:uid="{00000000-0005-0000-0000-0000BF270000}"/>
    <cellStyle name="Note 2 11 2 2 3 2_Summary" xfId="21694" xr:uid="{00000000-0005-0000-0000-0000C0270000}"/>
    <cellStyle name="Note 2 11 2 2 3 3" xfId="5605" xr:uid="{00000000-0005-0000-0000-0000C1270000}"/>
    <cellStyle name="Note 2 11 2 2 3 3 2" xfId="12201" xr:uid="{00000000-0005-0000-0000-0000C2270000}"/>
    <cellStyle name="Note 2 11 2 2 3 3 3" xfId="18820" xr:uid="{00000000-0005-0000-0000-0000C3270000}"/>
    <cellStyle name="Note 2 11 2 2 3 3_Summary" xfId="21695" xr:uid="{00000000-0005-0000-0000-0000C4270000}"/>
    <cellStyle name="Note 2 11 2 2 3 4" xfId="8030" xr:uid="{00000000-0005-0000-0000-0000C5270000}"/>
    <cellStyle name="Note 2 11 2 2 3 5" xfId="14649" xr:uid="{00000000-0005-0000-0000-0000C6270000}"/>
    <cellStyle name="Note 2 11 2 2 3_Summary" xfId="21693" xr:uid="{00000000-0005-0000-0000-0000C7270000}"/>
    <cellStyle name="Note 2 11 2 2 4" xfId="1715" xr:uid="{00000000-0005-0000-0000-0000C8270000}"/>
    <cellStyle name="Note 2 11 2 2 4 2" xfId="3851" xr:uid="{00000000-0005-0000-0000-0000C9270000}"/>
    <cellStyle name="Note 2 11 2 2 4 2 2" xfId="10447" xr:uid="{00000000-0005-0000-0000-0000CA270000}"/>
    <cellStyle name="Note 2 11 2 2 4 2 3" xfId="17066" xr:uid="{00000000-0005-0000-0000-0000CB270000}"/>
    <cellStyle name="Note 2 11 2 2 4 2_Summary" xfId="21697" xr:uid="{00000000-0005-0000-0000-0000CC270000}"/>
    <cellStyle name="Note 2 11 2 2 4 3" xfId="5886" xr:uid="{00000000-0005-0000-0000-0000CD270000}"/>
    <cellStyle name="Note 2 11 2 2 4 3 2" xfId="12482" xr:uid="{00000000-0005-0000-0000-0000CE270000}"/>
    <cellStyle name="Note 2 11 2 2 4 3 3" xfId="19101" xr:uid="{00000000-0005-0000-0000-0000CF270000}"/>
    <cellStyle name="Note 2 11 2 2 4 3_Summary" xfId="21698" xr:uid="{00000000-0005-0000-0000-0000D0270000}"/>
    <cellStyle name="Note 2 11 2 2 4 4" xfId="8311" xr:uid="{00000000-0005-0000-0000-0000D1270000}"/>
    <cellStyle name="Note 2 11 2 2 4 5" xfId="14930" xr:uid="{00000000-0005-0000-0000-0000D2270000}"/>
    <cellStyle name="Note 2 11 2 2 4_Summary" xfId="21696" xr:uid="{00000000-0005-0000-0000-0000D3270000}"/>
    <cellStyle name="Note 2 11 2 2 5" xfId="1994" xr:uid="{00000000-0005-0000-0000-0000D4270000}"/>
    <cellStyle name="Note 2 11 2 2 5 2" xfId="4130" xr:uid="{00000000-0005-0000-0000-0000D5270000}"/>
    <cellStyle name="Note 2 11 2 2 5 2 2" xfId="10726" xr:uid="{00000000-0005-0000-0000-0000D6270000}"/>
    <cellStyle name="Note 2 11 2 2 5 2 3" xfId="17345" xr:uid="{00000000-0005-0000-0000-0000D7270000}"/>
    <cellStyle name="Note 2 11 2 2 5 2_Summary" xfId="21700" xr:uid="{00000000-0005-0000-0000-0000D8270000}"/>
    <cellStyle name="Note 2 11 2 2 5 3" xfId="6165" xr:uid="{00000000-0005-0000-0000-0000D9270000}"/>
    <cellStyle name="Note 2 11 2 2 5 3 2" xfId="12761" xr:uid="{00000000-0005-0000-0000-0000DA270000}"/>
    <cellStyle name="Note 2 11 2 2 5 3 3" xfId="19380" xr:uid="{00000000-0005-0000-0000-0000DB270000}"/>
    <cellStyle name="Note 2 11 2 2 5 3_Summary" xfId="21701" xr:uid="{00000000-0005-0000-0000-0000DC270000}"/>
    <cellStyle name="Note 2 11 2 2 5 4" xfId="8590" xr:uid="{00000000-0005-0000-0000-0000DD270000}"/>
    <cellStyle name="Note 2 11 2 2 5 5" xfId="15209" xr:uid="{00000000-0005-0000-0000-0000DE270000}"/>
    <cellStyle name="Note 2 11 2 2 5_Summary" xfId="21699" xr:uid="{00000000-0005-0000-0000-0000DF270000}"/>
    <cellStyle name="Note 2 11 2 2 6" xfId="2269" xr:uid="{00000000-0005-0000-0000-0000E0270000}"/>
    <cellStyle name="Note 2 11 2 2 6 2" xfId="4405" xr:uid="{00000000-0005-0000-0000-0000E1270000}"/>
    <cellStyle name="Note 2 11 2 2 6 2 2" xfId="11001" xr:uid="{00000000-0005-0000-0000-0000E2270000}"/>
    <cellStyle name="Note 2 11 2 2 6 2 3" xfId="17620" xr:uid="{00000000-0005-0000-0000-0000E3270000}"/>
    <cellStyle name="Note 2 11 2 2 6 2_Summary" xfId="21703" xr:uid="{00000000-0005-0000-0000-0000E4270000}"/>
    <cellStyle name="Note 2 11 2 2 6 3" xfId="6440" xr:uid="{00000000-0005-0000-0000-0000E5270000}"/>
    <cellStyle name="Note 2 11 2 2 6 3 2" xfId="13036" xr:uid="{00000000-0005-0000-0000-0000E6270000}"/>
    <cellStyle name="Note 2 11 2 2 6 3 3" xfId="19655" xr:uid="{00000000-0005-0000-0000-0000E7270000}"/>
    <cellStyle name="Note 2 11 2 2 6 3_Summary" xfId="21704" xr:uid="{00000000-0005-0000-0000-0000E8270000}"/>
    <cellStyle name="Note 2 11 2 2 6 4" xfId="8865" xr:uid="{00000000-0005-0000-0000-0000E9270000}"/>
    <cellStyle name="Note 2 11 2 2 6 5" xfId="15484" xr:uid="{00000000-0005-0000-0000-0000EA270000}"/>
    <cellStyle name="Note 2 11 2 2 6_Summary" xfId="21702" xr:uid="{00000000-0005-0000-0000-0000EB270000}"/>
    <cellStyle name="Note 2 11 2 2 7" xfId="2542" xr:uid="{00000000-0005-0000-0000-0000EC270000}"/>
    <cellStyle name="Note 2 11 2 2 7 2" xfId="4678" xr:uid="{00000000-0005-0000-0000-0000ED270000}"/>
    <cellStyle name="Note 2 11 2 2 7 2 2" xfId="11274" xr:uid="{00000000-0005-0000-0000-0000EE270000}"/>
    <cellStyle name="Note 2 11 2 2 7 2 3" xfId="17893" xr:uid="{00000000-0005-0000-0000-0000EF270000}"/>
    <cellStyle name="Note 2 11 2 2 7 2_Summary" xfId="21706" xr:uid="{00000000-0005-0000-0000-0000F0270000}"/>
    <cellStyle name="Note 2 11 2 2 7 3" xfId="6713" xr:uid="{00000000-0005-0000-0000-0000F1270000}"/>
    <cellStyle name="Note 2 11 2 2 7 3 2" xfId="13309" xr:uid="{00000000-0005-0000-0000-0000F2270000}"/>
    <cellStyle name="Note 2 11 2 2 7 3 3" xfId="19928" xr:uid="{00000000-0005-0000-0000-0000F3270000}"/>
    <cellStyle name="Note 2 11 2 2 7 3_Summary" xfId="21707" xr:uid="{00000000-0005-0000-0000-0000F4270000}"/>
    <cellStyle name="Note 2 11 2 2 7 4" xfId="9138" xr:uid="{00000000-0005-0000-0000-0000F5270000}"/>
    <cellStyle name="Note 2 11 2 2 7 5" xfId="15757" xr:uid="{00000000-0005-0000-0000-0000F6270000}"/>
    <cellStyle name="Note 2 11 2 2 7_Summary" xfId="21705" xr:uid="{00000000-0005-0000-0000-0000F7270000}"/>
    <cellStyle name="Note 2 11 2 2 8" xfId="2988" xr:uid="{00000000-0005-0000-0000-0000F8270000}"/>
    <cellStyle name="Note 2 11 2 2 8 2" xfId="9584" xr:uid="{00000000-0005-0000-0000-0000F9270000}"/>
    <cellStyle name="Note 2 11 2 2 8 3" xfId="16203" xr:uid="{00000000-0005-0000-0000-0000FA270000}"/>
    <cellStyle name="Note 2 11 2 2 8_Summary" xfId="21708" xr:uid="{00000000-0005-0000-0000-0000FB270000}"/>
    <cellStyle name="Note 2 11 2 2 9" xfId="5023" xr:uid="{00000000-0005-0000-0000-0000FC270000}"/>
    <cellStyle name="Note 2 11 2 2 9 2" xfId="11619" xr:uid="{00000000-0005-0000-0000-0000FD270000}"/>
    <cellStyle name="Note 2 11 2 2 9 3" xfId="18238" xr:uid="{00000000-0005-0000-0000-0000FE270000}"/>
    <cellStyle name="Note 2 11 2 2 9_Summary" xfId="21709" xr:uid="{00000000-0005-0000-0000-0000FF270000}"/>
    <cellStyle name="Note 2 11 2 2_Summary" xfId="21688" xr:uid="{00000000-0005-0000-0000-000000280000}"/>
    <cellStyle name="Note 2 11 2 3" xfId="1024" xr:uid="{00000000-0005-0000-0000-000001280000}"/>
    <cellStyle name="Note 2 11 2 3 2" xfId="3160" xr:uid="{00000000-0005-0000-0000-000002280000}"/>
    <cellStyle name="Note 2 11 2 3 2 2" xfId="9756" xr:uid="{00000000-0005-0000-0000-000003280000}"/>
    <cellStyle name="Note 2 11 2 3 2 3" xfId="16375" xr:uid="{00000000-0005-0000-0000-000004280000}"/>
    <cellStyle name="Note 2 11 2 3 2_Summary" xfId="21711" xr:uid="{00000000-0005-0000-0000-000005280000}"/>
    <cellStyle name="Note 2 11 2 3 3" xfId="5195" xr:uid="{00000000-0005-0000-0000-000006280000}"/>
    <cellStyle name="Note 2 11 2 3 3 2" xfId="11791" xr:uid="{00000000-0005-0000-0000-000007280000}"/>
    <cellStyle name="Note 2 11 2 3 3 3" xfId="18410" xr:uid="{00000000-0005-0000-0000-000008280000}"/>
    <cellStyle name="Note 2 11 2 3 3_Summary" xfId="21712" xr:uid="{00000000-0005-0000-0000-000009280000}"/>
    <cellStyle name="Note 2 11 2 3 4" xfId="7621" xr:uid="{00000000-0005-0000-0000-00000A280000}"/>
    <cellStyle name="Note 2 11 2 3 5" xfId="14239" xr:uid="{00000000-0005-0000-0000-00000B280000}"/>
    <cellStyle name="Note 2 11 2 3_Summary" xfId="21710" xr:uid="{00000000-0005-0000-0000-00000C280000}"/>
    <cellStyle name="Note 2 11 2 4" xfId="1306" xr:uid="{00000000-0005-0000-0000-00000D280000}"/>
    <cellStyle name="Note 2 11 2 4 2" xfId="3442" xr:uid="{00000000-0005-0000-0000-00000E280000}"/>
    <cellStyle name="Note 2 11 2 4 2 2" xfId="10038" xr:uid="{00000000-0005-0000-0000-00000F280000}"/>
    <cellStyle name="Note 2 11 2 4 2 3" xfId="16657" xr:uid="{00000000-0005-0000-0000-000010280000}"/>
    <cellStyle name="Note 2 11 2 4 2_Summary" xfId="21714" xr:uid="{00000000-0005-0000-0000-000011280000}"/>
    <cellStyle name="Note 2 11 2 4 3" xfId="5477" xr:uid="{00000000-0005-0000-0000-000012280000}"/>
    <cellStyle name="Note 2 11 2 4 3 2" xfId="12073" xr:uid="{00000000-0005-0000-0000-000013280000}"/>
    <cellStyle name="Note 2 11 2 4 3 3" xfId="18692" xr:uid="{00000000-0005-0000-0000-000014280000}"/>
    <cellStyle name="Note 2 11 2 4 3_Summary" xfId="21715" xr:uid="{00000000-0005-0000-0000-000015280000}"/>
    <cellStyle name="Note 2 11 2 4 4" xfId="7902" xr:uid="{00000000-0005-0000-0000-000016280000}"/>
    <cellStyle name="Note 2 11 2 4 5" xfId="14521" xr:uid="{00000000-0005-0000-0000-000017280000}"/>
    <cellStyle name="Note 2 11 2 4_Summary" xfId="21713" xr:uid="{00000000-0005-0000-0000-000018280000}"/>
    <cellStyle name="Note 2 11 2 5" xfId="1587" xr:uid="{00000000-0005-0000-0000-000019280000}"/>
    <cellStyle name="Note 2 11 2 5 2" xfId="3723" xr:uid="{00000000-0005-0000-0000-00001A280000}"/>
    <cellStyle name="Note 2 11 2 5 2 2" xfId="10319" xr:uid="{00000000-0005-0000-0000-00001B280000}"/>
    <cellStyle name="Note 2 11 2 5 2 3" xfId="16938" xr:uid="{00000000-0005-0000-0000-00001C280000}"/>
    <cellStyle name="Note 2 11 2 5 2_Summary" xfId="21717" xr:uid="{00000000-0005-0000-0000-00001D280000}"/>
    <cellStyle name="Note 2 11 2 5 3" xfId="5758" xr:uid="{00000000-0005-0000-0000-00001E280000}"/>
    <cellStyle name="Note 2 11 2 5 3 2" xfId="12354" xr:uid="{00000000-0005-0000-0000-00001F280000}"/>
    <cellStyle name="Note 2 11 2 5 3 3" xfId="18973" xr:uid="{00000000-0005-0000-0000-000020280000}"/>
    <cellStyle name="Note 2 11 2 5 3_Summary" xfId="21718" xr:uid="{00000000-0005-0000-0000-000021280000}"/>
    <cellStyle name="Note 2 11 2 5 4" xfId="8183" xr:uid="{00000000-0005-0000-0000-000022280000}"/>
    <cellStyle name="Note 2 11 2 5 5" xfId="14802" xr:uid="{00000000-0005-0000-0000-000023280000}"/>
    <cellStyle name="Note 2 11 2 5_Summary" xfId="21716" xr:uid="{00000000-0005-0000-0000-000024280000}"/>
    <cellStyle name="Note 2 11 2 6" xfId="1866" xr:uid="{00000000-0005-0000-0000-000025280000}"/>
    <cellStyle name="Note 2 11 2 6 2" xfId="4002" xr:uid="{00000000-0005-0000-0000-000026280000}"/>
    <cellStyle name="Note 2 11 2 6 2 2" xfId="10598" xr:uid="{00000000-0005-0000-0000-000027280000}"/>
    <cellStyle name="Note 2 11 2 6 2 3" xfId="17217" xr:uid="{00000000-0005-0000-0000-000028280000}"/>
    <cellStyle name="Note 2 11 2 6 2_Summary" xfId="21720" xr:uid="{00000000-0005-0000-0000-000029280000}"/>
    <cellStyle name="Note 2 11 2 6 3" xfId="6037" xr:uid="{00000000-0005-0000-0000-00002A280000}"/>
    <cellStyle name="Note 2 11 2 6 3 2" xfId="12633" xr:uid="{00000000-0005-0000-0000-00002B280000}"/>
    <cellStyle name="Note 2 11 2 6 3 3" xfId="19252" xr:uid="{00000000-0005-0000-0000-00002C280000}"/>
    <cellStyle name="Note 2 11 2 6 3_Summary" xfId="21721" xr:uid="{00000000-0005-0000-0000-00002D280000}"/>
    <cellStyle name="Note 2 11 2 6 4" xfId="8462" xr:uid="{00000000-0005-0000-0000-00002E280000}"/>
    <cellStyle name="Note 2 11 2 6 5" xfId="15081" xr:uid="{00000000-0005-0000-0000-00002F280000}"/>
    <cellStyle name="Note 2 11 2 6_Summary" xfId="21719" xr:uid="{00000000-0005-0000-0000-000030280000}"/>
    <cellStyle name="Note 2 11 2 7" xfId="2141" xr:uid="{00000000-0005-0000-0000-000031280000}"/>
    <cellStyle name="Note 2 11 2 7 2" xfId="4277" xr:uid="{00000000-0005-0000-0000-000032280000}"/>
    <cellStyle name="Note 2 11 2 7 2 2" xfId="10873" xr:uid="{00000000-0005-0000-0000-000033280000}"/>
    <cellStyle name="Note 2 11 2 7 2 3" xfId="17492" xr:uid="{00000000-0005-0000-0000-000034280000}"/>
    <cellStyle name="Note 2 11 2 7 2_Summary" xfId="21723" xr:uid="{00000000-0005-0000-0000-000035280000}"/>
    <cellStyle name="Note 2 11 2 7 3" xfId="6312" xr:uid="{00000000-0005-0000-0000-000036280000}"/>
    <cellStyle name="Note 2 11 2 7 3 2" xfId="12908" xr:uid="{00000000-0005-0000-0000-000037280000}"/>
    <cellStyle name="Note 2 11 2 7 3 3" xfId="19527" xr:uid="{00000000-0005-0000-0000-000038280000}"/>
    <cellStyle name="Note 2 11 2 7 3_Summary" xfId="21724" xr:uid="{00000000-0005-0000-0000-000039280000}"/>
    <cellStyle name="Note 2 11 2 7 4" xfId="8737" xr:uid="{00000000-0005-0000-0000-00003A280000}"/>
    <cellStyle name="Note 2 11 2 7 5" xfId="15356" xr:uid="{00000000-0005-0000-0000-00003B280000}"/>
    <cellStyle name="Note 2 11 2 7_Summary" xfId="21722" xr:uid="{00000000-0005-0000-0000-00003C280000}"/>
    <cellStyle name="Note 2 11 2 8" xfId="2414" xr:uid="{00000000-0005-0000-0000-00003D280000}"/>
    <cellStyle name="Note 2 11 2 8 2" xfId="4550" xr:uid="{00000000-0005-0000-0000-00003E280000}"/>
    <cellStyle name="Note 2 11 2 8 2 2" xfId="11146" xr:uid="{00000000-0005-0000-0000-00003F280000}"/>
    <cellStyle name="Note 2 11 2 8 2 3" xfId="17765" xr:uid="{00000000-0005-0000-0000-000040280000}"/>
    <cellStyle name="Note 2 11 2 8 2_Summary" xfId="21726" xr:uid="{00000000-0005-0000-0000-000041280000}"/>
    <cellStyle name="Note 2 11 2 8 3" xfId="6585" xr:uid="{00000000-0005-0000-0000-000042280000}"/>
    <cellStyle name="Note 2 11 2 8 3 2" xfId="13181" xr:uid="{00000000-0005-0000-0000-000043280000}"/>
    <cellStyle name="Note 2 11 2 8 3 3" xfId="19800" xr:uid="{00000000-0005-0000-0000-000044280000}"/>
    <cellStyle name="Note 2 11 2 8 3_Summary" xfId="21727" xr:uid="{00000000-0005-0000-0000-000045280000}"/>
    <cellStyle name="Note 2 11 2 8 4" xfId="9010" xr:uid="{00000000-0005-0000-0000-000046280000}"/>
    <cellStyle name="Note 2 11 2 8 5" xfId="15629" xr:uid="{00000000-0005-0000-0000-000047280000}"/>
    <cellStyle name="Note 2 11 2 8_Summary" xfId="21725" xr:uid="{00000000-0005-0000-0000-000048280000}"/>
    <cellStyle name="Note 2 11 2 9" xfId="2715" xr:uid="{00000000-0005-0000-0000-000049280000}"/>
    <cellStyle name="Note 2 11 2 9 2" xfId="9311" xr:uid="{00000000-0005-0000-0000-00004A280000}"/>
    <cellStyle name="Note 2 11 2 9 3" xfId="15930" xr:uid="{00000000-0005-0000-0000-00004B280000}"/>
    <cellStyle name="Note 2 11 2 9_Summary" xfId="21728" xr:uid="{00000000-0005-0000-0000-00004C280000}"/>
    <cellStyle name="Note 2 11 2_Summary" xfId="21685" xr:uid="{00000000-0005-0000-0000-00004D280000}"/>
    <cellStyle name="Note 2 11 3" xfId="243" xr:uid="{00000000-0005-0000-0000-00004E280000}"/>
    <cellStyle name="Note 2 11 3 10" xfId="780" xr:uid="{00000000-0005-0000-0000-00004F280000}"/>
    <cellStyle name="Note 2 11 3 10 2" xfId="13995" xr:uid="{00000000-0005-0000-0000-000050280000}"/>
    <cellStyle name="Note 2 11 3 10_Summary" xfId="21730" xr:uid="{00000000-0005-0000-0000-000051280000}"/>
    <cellStyle name="Note 2 11 3 11" xfId="7150" xr:uid="{00000000-0005-0000-0000-000052280000}"/>
    <cellStyle name="Note 2 11 3 12" xfId="6993" xr:uid="{00000000-0005-0000-0000-000053280000}"/>
    <cellStyle name="Note 2 11 3 2" xfId="948" xr:uid="{00000000-0005-0000-0000-000054280000}"/>
    <cellStyle name="Note 2 11 3 2 2" xfId="3084" xr:uid="{00000000-0005-0000-0000-000055280000}"/>
    <cellStyle name="Note 2 11 3 2 2 2" xfId="9680" xr:uid="{00000000-0005-0000-0000-000056280000}"/>
    <cellStyle name="Note 2 11 3 2 2 3" xfId="16299" xr:uid="{00000000-0005-0000-0000-000057280000}"/>
    <cellStyle name="Note 2 11 3 2 2_Summary" xfId="21732" xr:uid="{00000000-0005-0000-0000-000058280000}"/>
    <cellStyle name="Note 2 11 3 2 3" xfId="5119" xr:uid="{00000000-0005-0000-0000-000059280000}"/>
    <cellStyle name="Note 2 11 3 2 3 2" xfId="11715" xr:uid="{00000000-0005-0000-0000-00005A280000}"/>
    <cellStyle name="Note 2 11 3 2 3 3" xfId="18334" xr:uid="{00000000-0005-0000-0000-00005B280000}"/>
    <cellStyle name="Note 2 11 3 2 3_Summary" xfId="21733" xr:uid="{00000000-0005-0000-0000-00005C280000}"/>
    <cellStyle name="Note 2 11 3 2 4" xfId="7545" xr:uid="{00000000-0005-0000-0000-00005D280000}"/>
    <cellStyle name="Note 2 11 3 2 5" xfId="14163" xr:uid="{00000000-0005-0000-0000-00005E280000}"/>
    <cellStyle name="Note 2 11 3 2_Summary" xfId="21731" xr:uid="{00000000-0005-0000-0000-00005F280000}"/>
    <cellStyle name="Note 2 11 3 3" xfId="1233" xr:uid="{00000000-0005-0000-0000-000060280000}"/>
    <cellStyle name="Note 2 11 3 3 2" xfId="3369" xr:uid="{00000000-0005-0000-0000-000061280000}"/>
    <cellStyle name="Note 2 11 3 3 2 2" xfId="9965" xr:uid="{00000000-0005-0000-0000-000062280000}"/>
    <cellStyle name="Note 2 11 3 3 2 3" xfId="16584" xr:uid="{00000000-0005-0000-0000-000063280000}"/>
    <cellStyle name="Note 2 11 3 3 2_Summary" xfId="21735" xr:uid="{00000000-0005-0000-0000-000064280000}"/>
    <cellStyle name="Note 2 11 3 3 3" xfId="5404" xr:uid="{00000000-0005-0000-0000-000065280000}"/>
    <cellStyle name="Note 2 11 3 3 3 2" xfId="12000" xr:uid="{00000000-0005-0000-0000-000066280000}"/>
    <cellStyle name="Note 2 11 3 3 3 3" xfId="18619" xr:uid="{00000000-0005-0000-0000-000067280000}"/>
    <cellStyle name="Note 2 11 3 3 3_Summary" xfId="21736" xr:uid="{00000000-0005-0000-0000-000068280000}"/>
    <cellStyle name="Note 2 11 3 3 4" xfId="7829" xr:uid="{00000000-0005-0000-0000-000069280000}"/>
    <cellStyle name="Note 2 11 3 3 5" xfId="14448" xr:uid="{00000000-0005-0000-0000-00006A280000}"/>
    <cellStyle name="Note 2 11 3 3_Summary" xfId="21734" xr:uid="{00000000-0005-0000-0000-00006B280000}"/>
    <cellStyle name="Note 2 11 3 4" xfId="1515" xr:uid="{00000000-0005-0000-0000-00006C280000}"/>
    <cellStyle name="Note 2 11 3 4 2" xfId="3651" xr:uid="{00000000-0005-0000-0000-00006D280000}"/>
    <cellStyle name="Note 2 11 3 4 2 2" xfId="10247" xr:uid="{00000000-0005-0000-0000-00006E280000}"/>
    <cellStyle name="Note 2 11 3 4 2 3" xfId="16866" xr:uid="{00000000-0005-0000-0000-00006F280000}"/>
    <cellStyle name="Note 2 11 3 4 2_Summary" xfId="21738" xr:uid="{00000000-0005-0000-0000-000070280000}"/>
    <cellStyle name="Note 2 11 3 4 3" xfId="5686" xr:uid="{00000000-0005-0000-0000-000071280000}"/>
    <cellStyle name="Note 2 11 3 4 3 2" xfId="12282" xr:uid="{00000000-0005-0000-0000-000072280000}"/>
    <cellStyle name="Note 2 11 3 4 3 3" xfId="18901" xr:uid="{00000000-0005-0000-0000-000073280000}"/>
    <cellStyle name="Note 2 11 3 4 3_Summary" xfId="21739" xr:uid="{00000000-0005-0000-0000-000074280000}"/>
    <cellStyle name="Note 2 11 3 4 4" xfId="8111" xr:uid="{00000000-0005-0000-0000-000075280000}"/>
    <cellStyle name="Note 2 11 3 4 5" xfId="14730" xr:uid="{00000000-0005-0000-0000-000076280000}"/>
    <cellStyle name="Note 2 11 3 4_Summary" xfId="21737" xr:uid="{00000000-0005-0000-0000-000077280000}"/>
    <cellStyle name="Note 2 11 3 5" xfId="1796" xr:uid="{00000000-0005-0000-0000-000078280000}"/>
    <cellStyle name="Note 2 11 3 5 2" xfId="3932" xr:uid="{00000000-0005-0000-0000-000079280000}"/>
    <cellStyle name="Note 2 11 3 5 2 2" xfId="10528" xr:uid="{00000000-0005-0000-0000-00007A280000}"/>
    <cellStyle name="Note 2 11 3 5 2 3" xfId="17147" xr:uid="{00000000-0005-0000-0000-00007B280000}"/>
    <cellStyle name="Note 2 11 3 5 2_Summary" xfId="21741" xr:uid="{00000000-0005-0000-0000-00007C280000}"/>
    <cellStyle name="Note 2 11 3 5 3" xfId="5967" xr:uid="{00000000-0005-0000-0000-00007D280000}"/>
    <cellStyle name="Note 2 11 3 5 3 2" xfId="12563" xr:uid="{00000000-0005-0000-0000-00007E280000}"/>
    <cellStyle name="Note 2 11 3 5 3 3" xfId="19182" xr:uid="{00000000-0005-0000-0000-00007F280000}"/>
    <cellStyle name="Note 2 11 3 5 3_Summary" xfId="21742" xr:uid="{00000000-0005-0000-0000-000080280000}"/>
    <cellStyle name="Note 2 11 3 5 4" xfId="8392" xr:uid="{00000000-0005-0000-0000-000081280000}"/>
    <cellStyle name="Note 2 11 3 5 5" xfId="15011" xr:uid="{00000000-0005-0000-0000-000082280000}"/>
    <cellStyle name="Note 2 11 3 5_Summary" xfId="21740" xr:uid="{00000000-0005-0000-0000-000083280000}"/>
    <cellStyle name="Note 2 11 3 6" xfId="2075" xr:uid="{00000000-0005-0000-0000-000084280000}"/>
    <cellStyle name="Note 2 11 3 6 2" xfId="4211" xr:uid="{00000000-0005-0000-0000-000085280000}"/>
    <cellStyle name="Note 2 11 3 6 2 2" xfId="10807" xr:uid="{00000000-0005-0000-0000-000086280000}"/>
    <cellStyle name="Note 2 11 3 6 2 3" xfId="17426" xr:uid="{00000000-0005-0000-0000-000087280000}"/>
    <cellStyle name="Note 2 11 3 6 2_Summary" xfId="21744" xr:uid="{00000000-0005-0000-0000-000088280000}"/>
    <cellStyle name="Note 2 11 3 6 3" xfId="6246" xr:uid="{00000000-0005-0000-0000-000089280000}"/>
    <cellStyle name="Note 2 11 3 6 3 2" xfId="12842" xr:uid="{00000000-0005-0000-0000-00008A280000}"/>
    <cellStyle name="Note 2 11 3 6 3 3" xfId="19461" xr:uid="{00000000-0005-0000-0000-00008B280000}"/>
    <cellStyle name="Note 2 11 3 6 3_Summary" xfId="21745" xr:uid="{00000000-0005-0000-0000-00008C280000}"/>
    <cellStyle name="Note 2 11 3 6 4" xfId="8671" xr:uid="{00000000-0005-0000-0000-00008D280000}"/>
    <cellStyle name="Note 2 11 3 6 5" xfId="15290" xr:uid="{00000000-0005-0000-0000-00008E280000}"/>
    <cellStyle name="Note 2 11 3 6_Summary" xfId="21743" xr:uid="{00000000-0005-0000-0000-00008F280000}"/>
    <cellStyle name="Note 2 11 3 7" xfId="2350" xr:uid="{00000000-0005-0000-0000-000090280000}"/>
    <cellStyle name="Note 2 11 3 7 2" xfId="4486" xr:uid="{00000000-0005-0000-0000-000091280000}"/>
    <cellStyle name="Note 2 11 3 7 2 2" xfId="11082" xr:uid="{00000000-0005-0000-0000-000092280000}"/>
    <cellStyle name="Note 2 11 3 7 2 3" xfId="17701" xr:uid="{00000000-0005-0000-0000-000093280000}"/>
    <cellStyle name="Note 2 11 3 7 2_Summary" xfId="21747" xr:uid="{00000000-0005-0000-0000-000094280000}"/>
    <cellStyle name="Note 2 11 3 7 3" xfId="6521" xr:uid="{00000000-0005-0000-0000-000095280000}"/>
    <cellStyle name="Note 2 11 3 7 3 2" xfId="13117" xr:uid="{00000000-0005-0000-0000-000096280000}"/>
    <cellStyle name="Note 2 11 3 7 3 3" xfId="19736" xr:uid="{00000000-0005-0000-0000-000097280000}"/>
    <cellStyle name="Note 2 11 3 7 3_Summary" xfId="21748" xr:uid="{00000000-0005-0000-0000-000098280000}"/>
    <cellStyle name="Note 2 11 3 7 4" xfId="8946" xr:uid="{00000000-0005-0000-0000-000099280000}"/>
    <cellStyle name="Note 2 11 3 7 5" xfId="15565" xr:uid="{00000000-0005-0000-0000-00009A280000}"/>
    <cellStyle name="Note 2 11 3 7_Summary" xfId="21746" xr:uid="{00000000-0005-0000-0000-00009B280000}"/>
    <cellStyle name="Note 2 11 3 8" xfId="2916" xr:uid="{00000000-0005-0000-0000-00009C280000}"/>
    <cellStyle name="Note 2 11 3 8 2" xfId="9512" xr:uid="{00000000-0005-0000-0000-00009D280000}"/>
    <cellStyle name="Note 2 11 3 8 3" xfId="16131" xr:uid="{00000000-0005-0000-0000-00009E280000}"/>
    <cellStyle name="Note 2 11 3 8_Summary" xfId="21749" xr:uid="{00000000-0005-0000-0000-00009F280000}"/>
    <cellStyle name="Note 2 11 3 9" xfId="4951" xr:uid="{00000000-0005-0000-0000-0000A0280000}"/>
    <cellStyle name="Note 2 11 3 9 2" xfId="11547" xr:uid="{00000000-0005-0000-0000-0000A1280000}"/>
    <cellStyle name="Note 2 11 3 9 3" xfId="18166" xr:uid="{00000000-0005-0000-0000-0000A2280000}"/>
    <cellStyle name="Note 2 11 3 9_Summary" xfId="21750" xr:uid="{00000000-0005-0000-0000-0000A3280000}"/>
    <cellStyle name="Note 2 11 3_Summary" xfId="21729" xr:uid="{00000000-0005-0000-0000-0000A4280000}"/>
    <cellStyle name="Note 2 11 4" xfId="397" xr:uid="{00000000-0005-0000-0000-0000A5280000}"/>
    <cellStyle name="Note 2 11 4 10" xfId="734" xr:uid="{00000000-0005-0000-0000-0000A6280000}"/>
    <cellStyle name="Note 2 11 4 10 2" xfId="13949" xr:uid="{00000000-0005-0000-0000-0000A7280000}"/>
    <cellStyle name="Note 2 11 4 10_Summary" xfId="21752" xr:uid="{00000000-0005-0000-0000-0000A8280000}"/>
    <cellStyle name="Note 2 11 4 11" xfId="7290" xr:uid="{00000000-0005-0000-0000-0000A9280000}"/>
    <cellStyle name="Note 2 11 4 12" xfId="13612" xr:uid="{00000000-0005-0000-0000-0000AA280000}"/>
    <cellStyle name="Note 2 11 4 2" xfId="1091" xr:uid="{00000000-0005-0000-0000-0000AB280000}"/>
    <cellStyle name="Note 2 11 4 2 2" xfId="3227" xr:uid="{00000000-0005-0000-0000-0000AC280000}"/>
    <cellStyle name="Note 2 11 4 2 2 2" xfId="9823" xr:uid="{00000000-0005-0000-0000-0000AD280000}"/>
    <cellStyle name="Note 2 11 4 2 2 3" xfId="16442" xr:uid="{00000000-0005-0000-0000-0000AE280000}"/>
    <cellStyle name="Note 2 11 4 2 2_Summary" xfId="21754" xr:uid="{00000000-0005-0000-0000-0000AF280000}"/>
    <cellStyle name="Note 2 11 4 2 3" xfId="5262" xr:uid="{00000000-0005-0000-0000-0000B0280000}"/>
    <cellStyle name="Note 2 11 4 2 3 2" xfId="11858" xr:uid="{00000000-0005-0000-0000-0000B1280000}"/>
    <cellStyle name="Note 2 11 4 2 3 3" xfId="18477" xr:uid="{00000000-0005-0000-0000-0000B2280000}"/>
    <cellStyle name="Note 2 11 4 2 3_Summary" xfId="21755" xr:uid="{00000000-0005-0000-0000-0000B3280000}"/>
    <cellStyle name="Note 2 11 4 2 4" xfId="7688" xr:uid="{00000000-0005-0000-0000-0000B4280000}"/>
    <cellStyle name="Note 2 11 4 2 5" xfId="14306" xr:uid="{00000000-0005-0000-0000-0000B5280000}"/>
    <cellStyle name="Note 2 11 4 2_Summary" xfId="21753" xr:uid="{00000000-0005-0000-0000-0000B6280000}"/>
    <cellStyle name="Note 2 11 4 3" xfId="1373" xr:uid="{00000000-0005-0000-0000-0000B7280000}"/>
    <cellStyle name="Note 2 11 4 3 2" xfId="3509" xr:uid="{00000000-0005-0000-0000-0000B8280000}"/>
    <cellStyle name="Note 2 11 4 3 2 2" xfId="10105" xr:uid="{00000000-0005-0000-0000-0000B9280000}"/>
    <cellStyle name="Note 2 11 4 3 2 3" xfId="16724" xr:uid="{00000000-0005-0000-0000-0000BA280000}"/>
    <cellStyle name="Note 2 11 4 3 2_Summary" xfId="21757" xr:uid="{00000000-0005-0000-0000-0000BB280000}"/>
    <cellStyle name="Note 2 11 4 3 3" xfId="5544" xr:uid="{00000000-0005-0000-0000-0000BC280000}"/>
    <cellStyle name="Note 2 11 4 3 3 2" xfId="12140" xr:uid="{00000000-0005-0000-0000-0000BD280000}"/>
    <cellStyle name="Note 2 11 4 3 3 3" xfId="18759" xr:uid="{00000000-0005-0000-0000-0000BE280000}"/>
    <cellStyle name="Note 2 11 4 3 3_Summary" xfId="21758" xr:uid="{00000000-0005-0000-0000-0000BF280000}"/>
    <cellStyle name="Note 2 11 4 3 4" xfId="7969" xr:uid="{00000000-0005-0000-0000-0000C0280000}"/>
    <cellStyle name="Note 2 11 4 3 5" xfId="14588" xr:uid="{00000000-0005-0000-0000-0000C1280000}"/>
    <cellStyle name="Note 2 11 4 3_Summary" xfId="21756" xr:uid="{00000000-0005-0000-0000-0000C2280000}"/>
    <cellStyle name="Note 2 11 4 4" xfId="1654" xr:uid="{00000000-0005-0000-0000-0000C3280000}"/>
    <cellStyle name="Note 2 11 4 4 2" xfId="3790" xr:uid="{00000000-0005-0000-0000-0000C4280000}"/>
    <cellStyle name="Note 2 11 4 4 2 2" xfId="10386" xr:uid="{00000000-0005-0000-0000-0000C5280000}"/>
    <cellStyle name="Note 2 11 4 4 2 3" xfId="17005" xr:uid="{00000000-0005-0000-0000-0000C6280000}"/>
    <cellStyle name="Note 2 11 4 4 2_Summary" xfId="21760" xr:uid="{00000000-0005-0000-0000-0000C7280000}"/>
    <cellStyle name="Note 2 11 4 4 3" xfId="5825" xr:uid="{00000000-0005-0000-0000-0000C8280000}"/>
    <cellStyle name="Note 2 11 4 4 3 2" xfId="12421" xr:uid="{00000000-0005-0000-0000-0000C9280000}"/>
    <cellStyle name="Note 2 11 4 4 3 3" xfId="19040" xr:uid="{00000000-0005-0000-0000-0000CA280000}"/>
    <cellStyle name="Note 2 11 4 4 3_Summary" xfId="21761" xr:uid="{00000000-0005-0000-0000-0000CB280000}"/>
    <cellStyle name="Note 2 11 4 4 4" xfId="8250" xr:uid="{00000000-0005-0000-0000-0000CC280000}"/>
    <cellStyle name="Note 2 11 4 4 5" xfId="14869" xr:uid="{00000000-0005-0000-0000-0000CD280000}"/>
    <cellStyle name="Note 2 11 4 4_Summary" xfId="21759" xr:uid="{00000000-0005-0000-0000-0000CE280000}"/>
    <cellStyle name="Note 2 11 4 5" xfId="1933" xr:uid="{00000000-0005-0000-0000-0000CF280000}"/>
    <cellStyle name="Note 2 11 4 5 2" xfId="4069" xr:uid="{00000000-0005-0000-0000-0000D0280000}"/>
    <cellStyle name="Note 2 11 4 5 2 2" xfId="10665" xr:uid="{00000000-0005-0000-0000-0000D1280000}"/>
    <cellStyle name="Note 2 11 4 5 2 3" xfId="17284" xr:uid="{00000000-0005-0000-0000-0000D2280000}"/>
    <cellStyle name="Note 2 11 4 5 2_Summary" xfId="21763" xr:uid="{00000000-0005-0000-0000-0000D3280000}"/>
    <cellStyle name="Note 2 11 4 5 3" xfId="6104" xr:uid="{00000000-0005-0000-0000-0000D4280000}"/>
    <cellStyle name="Note 2 11 4 5 3 2" xfId="12700" xr:uid="{00000000-0005-0000-0000-0000D5280000}"/>
    <cellStyle name="Note 2 11 4 5 3 3" xfId="19319" xr:uid="{00000000-0005-0000-0000-0000D6280000}"/>
    <cellStyle name="Note 2 11 4 5 3_Summary" xfId="21764" xr:uid="{00000000-0005-0000-0000-0000D7280000}"/>
    <cellStyle name="Note 2 11 4 5 4" xfId="8529" xr:uid="{00000000-0005-0000-0000-0000D8280000}"/>
    <cellStyle name="Note 2 11 4 5 5" xfId="15148" xr:uid="{00000000-0005-0000-0000-0000D9280000}"/>
    <cellStyle name="Note 2 11 4 5_Summary" xfId="21762" xr:uid="{00000000-0005-0000-0000-0000DA280000}"/>
    <cellStyle name="Note 2 11 4 6" xfId="2208" xr:uid="{00000000-0005-0000-0000-0000DB280000}"/>
    <cellStyle name="Note 2 11 4 6 2" xfId="4344" xr:uid="{00000000-0005-0000-0000-0000DC280000}"/>
    <cellStyle name="Note 2 11 4 6 2 2" xfId="10940" xr:uid="{00000000-0005-0000-0000-0000DD280000}"/>
    <cellStyle name="Note 2 11 4 6 2 3" xfId="17559" xr:uid="{00000000-0005-0000-0000-0000DE280000}"/>
    <cellStyle name="Note 2 11 4 6 2_Summary" xfId="21766" xr:uid="{00000000-0005-0000-0000-0000DF280000}"/>
    <cellStyle name="Note 2 11 4 6 3" xfId="6379" xr:uid="{00000000-0005-0000-0000-0000E0280000}"/>
    <cellStyle name="Note 2 11 4 6 3 2" xfId="12975" xr:uid="{00000000-0005-0000-0000-0000E1280000}"/>
    <cellStyle name="Note 2 11 4 6 3 3" xfId="19594" xr:uid="{00000000-0005-0000-0000-0000E2280000}"/>
    <cellStyle name="Note 2 11 4 6 3_Summary" xfId="21767" xr:uid="{00000000-0005-0000-0000-0000E3280000}"/>
    <cellStyle name="Note 2 11 4 6 4" xfId="8804" xr:uid="{00000000-0005-0000-0000-0000E4280000}"/>
    <cellStyle name="Note 2 11 4 6 5" xfId="15423" xr:uid="{00000000-0005-0000-0000-0000E5280000}"/>
    <cellStyle name="Note 2 11 4 6_Summary" xfId="21765" xr:uid="{00000000-0005-0000-0000-0000E6280000}"/>
    <cellStyle name="Note 2 11 4 7" xfId="2481" xr:uid="{00000000-0005-0000-0000-0000E7280000}"/>
    <cellStyle name="Note 2 11 4 7 2" xfId="4617" xr:uid="{00000000-0005-0000-0000-0000E8280000}"/>
    <cellStyle name="Note 2 11 4 7 2 2" xfId="11213" xr:uid="{00000000-0005-0000-0000-0000E9280000}"/>
    <cellStyle name="Note 2 11 4 7 2 3" xfId="17832" xr:uid="{00000000-0005-0000-0000-0000EA280000}"/>
    <cellStyle name="Note 2 11 4 7 2_Summary" xfId="21769" xr:uid="{00000000-0005-0000-0000-0000EB280000}"/>
    <cellStyle name="Note 2 11 4 7 3" xfId="6652" xr:uid="{00000000-0005-0000-0000-0000EC280000}"/>
    <cellStyle name="Note 2 11 4 7 3 2" xfId="13248" xr:uid="{00000000-0005-0000-0000-0000ED280000}"/>
    <cellStyle name="Note 2 11 4 7 3 3" xfId="19867" xr:uid="{00000000-0005-0000-0000-0000EE280000}"/>
    <cellStyle name="Note 2 11 4 7 3_Summary" xfId="21770" xr:uid="{00000000-0005-0000-0000-0000EF280000}"/>
    <cellStyle name="Note 2 11 4 7 4" xfId="9077" xr:uid="{00000000-0005-0000-0000-0000F0280000}"/>
    <cellStyle name="Note 2 11 4 7 5" xfId="15696" xr:uid="{00000000-0005-0000-0000-0000F1280000}"/>
    <cellStyle name="Note 2 11 4 7_Summary" xfId="21768" xr:uid="{00000000-0005-0000-0000-0000F2280000}"/>
    <cellStyle name="Note 2 11 4 8" xfId="2870" xr:uid="{00000000-0005-0000-0000-0000F3280000}"/>
    <cellStyle name="Note 2 11 4 8 2" xfId="9466" xr:uid="{00000000-0005-0000-0000-0000F4280000}"/>
    <cellStyle name="Note 2 11 4 8 3" xfId="16085" xr:uid="{00000000-0005-0000-0000-0000F5280000}"/>
    <cellStyle name="Note 2 11 4 8_Summary" xfId="21771" xr:uid="{00000000-0005-0000-0000-0000F6280000}"/>
    <cellStyle name="Note 2 11 4 9" xfId="4905" xr:uid="{00000000-0005-0000-0000-0000F7280000}"/>
    <cellStyle name="Note 2 11 4 9 2" xfId="11501" xr:uid="{00000000-0005-0000-0000-0000F8280000}"/>
    <cellStyle name="Note 2 11 4 9 3" xfId="18120" xr:uid="{00000000-0005-0000-0000-0000F9280000}"/>
    <cellStyle name="Note 2 11 4 9_Summary" xfId="21772" xr:uid="{00000000-0005-0000-0000-0000FA280000}"/>
    <cellStyle name="Note 2 11 4_Summary" xfId="21751" xr:uid="{00000000-0005-0000-0000-0000FB280000}"/>
    <cellStyle name="Note 2 11 5" xfId="904" xr:uid="{00000000-0005-0000-0000-0000FC280000}"/>
    <cellStyle name="Note 2 11 5 2" xfId="3040" xr:uid="{00000000-0005-0000-0000-0000FD280000}"/>
    <cellStyle name="Note 2 11 5 2 2" xfId="9636" xr:uid="{00000000-0005-0000-0000-0000FE280000}"/>
    <cellStyle name="Note 2 11 5 2 3" xfId="16255" xr:uid="{00000000-0005-0000-0000-0000FF280000}"/>
    <cellStyle name="Note 2 11 5 2_Summary" xfId="21774" xr:uid="{00000000-0005-0000-0000-000000290000}"/>
    <cellStyle name="Note 2 11 5 3" xfId="5075" xr:uid="{00000000-0005-0000-0000-000001290000}"/>
    <cellStyle name="Note 2 11 5 3 2" xfId="11671" xr:uid="{00000000-0005-0000-0000-000002290000}"/>
    <cellStyle name="Note 2 11 5 3 3" xfId="18290" xr:uid="{00000000-0005-0000-0000-000003290000}"/>
    <cellStyle name="Note 2 11 5 3_Summary" xfId="21775" xr:uid="{00000000-0005-0000-0000-000004290000}"/>
    <cellStyle name="Note 2 11 5 4" xfId="7501" xr:uid="{00000000-0005-0000-0000-000005290000}"/>
    <cellStyle name="Note 2 11 5 5" xfId="14119" xr:uid="{00000000-0005-0000-0000-000006290000}"/>
    <cellStyle name="Note 2 11 5_Summary" xfId="21773" xr:uid="{00000000-0005-0000-0000-000007290000}"/>
    <cellStyle name="Note 2 11 6" xfId="1189" xr:uid="{00000000-0005-0000-0000-000008290000}"/>
    <cellStyle name="Note 2 11 6 2" xfId="3325" xr:uid="{00000000-0005-0000-0000-000009290000}"/>
    <cellStyle name="Note 2 11 6 2 2" xfId="9921" xr:uid="{00000000-0005-0000-0000-00000A290000}"/>
    <cellStyle name="Note 2 11 6 2 3" xfId="16540" xr:uid="{00000000-0005-0000-0000-00000B290000}"/>
    <cellStyle name="Note 2 11 6 2_Summary" xfId="21777" xr:uid="{00000000-0005-0000-0000-00000C290000}"/>
    <cellStyle name="Note 2 11 6 3" xfId="5360" xr:uid="{00000000-0005-0000-0000-00000D290000}"/>
    <cellStyle name="Note 2 11 6 3 2" xfId="11956" xr:uid="{00000000-0005-0000-0000-00000E290000}"/>
    <cellStyle name="Note 2 11 6 3 3" xfId="18575" xr:uid="{00000000-0005-0000-0000-00000F290000}"/>
    <cellStyle name="Note 2 11 6 3_Summary" xfId="21778" xr:uid="{00000000-0005-0000-0000-000010290000}"/>
    <cellStyle name="Note 2 11 6 4" xfId="7785" xr:uid="{00000000-0005-0000-0000-000011290000}"/>
    <cellStyle name="Note 2 11 6 5" xfId="14404" xr:uid="{00000000-0005-0000-0000-000012290000}"/>
    <cellStyle name="Note 2 11 6_Summary" xfId="21776" xr:uid="{00000000-0005-0000-0000-000013290000}"/>
    <cellStyle name="Note 2 11 7" xfId="1471" xr:uid="{00000000-0005-0000-0000-000014290000}"/>
    <cellStyle name="Note 2 11 7 2" xfId="3607" xr:uid="{00000000-0005-0000-0000-000015290000}"/>
    <cellStyle name="Note 2 11 7 2 2" xfId="10203" xr:uid="{00000000-0005-0000-0000-000016290000}"/>
    <cellStyle name="Note 2 11 7 2 3" xfId="16822" xr:uid="{00000000-0005-0000-0000-000017290000}"/>
    <cellStyle name="Note 2 11 7 2_Summary" xfId="21780" xr:uid="{00000000-0005-0000-0000-000018290000}"/>
    <cellStyle name="Note 2 11 7 3" xfId="5642" xr:uid="{00000000-0005-0000-0000-000019290000}"/>
    <cellStyle name="Note 2 11 7 3 2" xfId="12238" xr:uid="{00000000-0005-0000-0000-00001A290000}"/>
    <cellStyle name="Note 2 11 7 3 3" xfId="18857" xr:uid="{00000000-0005-0000-0000-00001B290000}"/>
    <cellStyle name="Note 2 11 7 3_Summary" xfId="21781" xr:uid="{00000000-0005-0000-0000-00001C290000}"/>
    <cellStyle name="Note 2 11 7 4" xfId="8067" xr:uid="{00000000-0005-0000-0000-00001D290000}"/>
    <cellStyle name="Note 2 11 7 5" xfId="14686" xr:uid="{00000000-0005-0000-0000-00001E290000}"/>
    <cellStyle name="Note 2 11 7_Summary" xfId="21779" xr:uid="{00000000-0005-0000-0000-00001F290000}"/>
    <cellStyle name="Note 2 11 8" xfId="1752" xr:uid="{00000000-0005-0000-0000-000020290000}"/>
    <cellStyle name="Note 2 11 8 2" xfId="3888" xr:uid="{00000000-0005-0000-0000-000021290000}"/>
    <cellStyle name="Note 2 11 8 2 2" xfId="10484" xr:uid="{00000000-0005-0000-0000-000022290000}"/>
    <cellStyle name="Note 2 11 8 2 3" xfId="17103" xr:uid="{00000000-0005-0000-0000-000023290000}"/>
    <cellStyle name="Note 2 11 8 2_Summary" xfId="21783" xr:uid="{00000000-0005-0000-0000-000024290000}"/>
    <cellStyle name="Note 2 11 8 3" xfId="5923" xr:uid="{00000000-0005-0000-0000-000025290000}"/>
    <cellStyle name="Note 2 11 8 3 2" xfId="12519" xr:uid="{00000000-0005-0000-0000-000026290000}"/>
    <cellStyle name="Note 2 11 8 3 3" xfId="19138" xr:uid="{00000000-0005-0000-0000-000027290000}"/>
    <cellStyle name="Note 2 11 8 3_Summary" xfId="21784" xr:uid="{00000000-0005-0000-0000-000028290000}"/>
    <cellStyle name="Note 2 11 8 4" xfId="8348" xr:uid="{00000000-0005-0000-0000-000029290000}"/>
    <cellStyle name="Note 2 11 8 5" xfId="14967" xr:uid="{00000000-0005-0000-0000-00002A290000}"/>
    <cellStyle name="Note 2 11 8_Summary" xfId="21782" xr:uid="{00000000-0005-0000-0000-00002B290000}"/>
    <cellStyle name="Note 2 11 9" xfId="2031" xr:uid="{00000000-0005-0000-0000-00002C290000}"/>
    <cellStyle name="Note 2 11 9 2" xfId="4167" xr:uid="{00000000-0005-0000-0000-00002D290000}"/>
    <cellStyle name="Note 2 11 9 2 2" xfId="10763" xr:uid="{00000000-0005-0000-0000-00002E290000}"/>
    <cellStyle name="Note 2 11 9 2 3" xfId="17382" xr:uid="{00000000-0005-0000-0000-00002F290000}"/>
    <cellStyle name="Note 2 11 9 2_Summary" xfId="21786" xr:uid="{00000000-0005-0000-0000-000030290000}"/>
    <cellStyle name="Note 2 11 9 3" xfId="6202" xr:uid="{00000000-0005-0000-0000-000031290000}"/>
    <cellStyle name="Note 2 11 9 3 2" xfId="12798" xr:uid="{00000000-0005-0000-0000-000032290000}"/>
    <cellStyle name="Note 2 11 9 3 3" xfId="19417" xr:uid="{00000000-0005-0000-0000-000033290000}"/>
    <cellStyle name="Note 2 11 9 3_Summary" xfId="21787" xr:uid="{00000000-0005-0000-0000-000034290000}"/>
    <cellStyle name="Note 2 11 9 4" xfId="8627" xr:uid="{00000000-0005-0000-0000-000035290000}"/>
    <cellStyle name="Note 2 11 9 5" xfId="15246" xr:uid="{00000000-0005-0000-0000-000036290000}"/>
    <cellStyle name="Note 2 11 9_Summary" xfId="21785" xr:uid="{00000000-0005-0000-0000-000037290000}"/>
    <cellStyle name="Note 2 11_Summary" xfId="21678" xr:uid="{00000000-0005-0000-0000-000038290000}"/>
    <cellStyle name="Note 2 12" xfId="199" xr:uid="{00000000-0005-0000-0000-000039290000}"/>
    <cellStyle name="Note 2 12 10" xfId="2308" xr:uid="{00000000-0005-0000-0000-00003A290000}"/>
    <cellStyle name="Note 2 12 10 2" xfId="4444" xr:uid="{00000000-0005-0000-0000-00003B290000}"/>
    <cellStyle name="Note 2 12 10 2 2" xfId="11040" xr:uid="{00000000-0005-0000-0000-00003C290000}"/>
    <cellStyle name="Note 2 12 10 2 3" xfId="17659" xr:uid="{00000000-0005-0000-0000-00003D290000}"/>
    <cellStyle name="Note 2 12 10 2_Summary" xfId="21790" xr:uid="{00000000-0005-0000-0000-00003E290000}"/>
    <cellStyle name="Note 2 12 10 3" xfId="6479" xr:uid="{00000000-0005-0000-0000-00003F290000}"/>
    <cellStyle name="Note 2 12 10 3 2" xfId="13075" xr:uid="{00000000-0005-0000-0000-000040290000}"/>
    <cellStyle name="Note 2 12 10 3 3" xfId="19694" xr:uid="{00000000-0005-0000-0000-000041290000}"/>
    <cellStyle name="Note 2 12 10 3_Summary" xfId="21791" xr:uid="{00000000-0005-0000-0000-000042290000}"/>
    <cellStyle name="Note 2 12 10 4" xfId="8904" xr:uid="{00000000-0005-0000-0000-000043290000}"/>
    <cellStyle name="Note 2 12 10 5" xfId="15523" xr:uid="{00000000-0005-0000-0000-000044290000}"/>
    <cellStyle name="Note 2 12 10_Summary" xfId="21789" xr:uid="{00000000-0005-0000-0000-000045290000}"/>
    <cellStyle name="Note 2 12 11" xfId="2627" xr:uid="{00000000-0005-0000-0000-000046290000}"/>
    <cellStyle name="Note 2 12 11 2" xfId="9223" xr:uid="{00000000-0005-0000-0000-000047290000}"/>
    <cellStyle name="Note 2 12 11 3" xfId="15842" xr:uid="{00000000-0005-0000-0000-000048290000}"/>
    <cellStyle name="Note 2 12 11_Summary" xfId="21792" xr:uid="{00000000-0005-0000-0000-000049290000}"/>
    <cellStyle name="Note 2 12 12" xfId="2556" xr:uid="{00000000-0005-0000-0000-00004A290000}"/>
    <cellStyle name="Note 2 12 12 2" xfId="9152" xr:uid="{00000000-0005-0000-0000-00004B290000}"/>
    <cellStyle name="Note 2 12 12 3" xfId="15771" xr:uid="{00000000-0005-0000-0000-00004C290000}"/>
    <cellStyle name="Note 2 12 12_Summary" xfId="21793" xr:uid="{00000000-0005-0000-0000-00004D290000}"/>
    <cellStyle name="Note 2 12 13" xfId="516" xr:uid="{00000000-0005-0000-0000-00004E290000}"/>
    <cellStyle name="Note 2 12 13 2" xfId="13731" xr:uid="{00000000-0005-0000-0000-00004F290000}"/>
    <cellStyle name="Note 2 12 13_Summary" xfId="21794" xr:uid="{00000000-0005-0000-0000-000050290000}"/>
    <cellStyle name="Note 2 12 14" xfId="7107" xr:uid="{00000000-0005-0000-0000-000051290000}"/>
    <cellStyle name="Note 2 12 15" xfId="7162" xr:uid="{00000000-0005-0000-0000-000052290000}"/>
    <cellStyle name="Note 2 12 16" xfId="29455" xr:uid="{186A0E91-DECF-4EB3-998F-F3A6A716CAB3}"/>
    <cellStyle name="Note 2 12 17" xfId="31025" xr:uid="{2CD0B8EC-261B-4C46-8B2B-8D5B7D299246}"/>
    <cellStyle name="Note 2 12 2" xfId="331" xr:uid="{00000000-0005-0000-0000-000053290000}"/>
    <cellStyle name="Note 2 12 2 10" xfId="4752" xr:uid="{00000000-0005-0000-0000-000054290000}"/>
    <cellStyle name="Note 2 12 2 10 2" xfId="11348" xr:uid="{00000000-0005-0000-0000-000055290000}"/>
    <cellStyle name="Note 2 12 2 10 3" xfId="17967" xr:uid="{00000000-0005-0000-0000-000056290000}"/>
    <cellStyle name="Note 2 12 2 10_Summary" xfId="21796" xr:uid="{00000000-0005-0000-0000-000057290000}"/>
    <cellStyle name="Note 2 12 2 11" xfId="581" xr:uid="{00000000-0005-0000-0000-000058290000}"/>
    <cellStyle name="Note 2 12 2 11 2" xfId="13796" xr:uid="{00000000-0005-0000-0000-000059290000}"/>
    <cellStyle name="Note 2 12 2 11_Summary" xfId="21797" xr:uid="{00000000-0005-0000-0000-00005A290000}"/>
    <cellStyle name="Note 2 12 2 12" xfId="7225" xr:uid="{00000000-0005-0000-0000-00005B290000}"/>
    <cellStyle name="Note 2 12 2 13" xfId="13547" xr:uid="{00000000-0005-0000-0000-00005C290000}"/>
    <cellStyle name="Note 2 12 2 14" xfId="30310" xr:uid="{2B8A13E4-DE22-436C-8574-A2714815D408}"/>
    <cellStyle name="Note 2 12 2 15" xfId="31742" xr:uid="{CC6F6399-E283-4543-9994-A8419960AC0D}"/>
    <cellStyle name="Note 2 12 2 2" xfId="460" xr:uid="{00000000-0005-0000-0000-00005D290000}"/>
    <cellStyle name="Note 2 12 2 2 10" xfId="854" xr:uid="{00000000-0005-0000-0000-00005E290000}"/>
    <cellStyle name="Note 2 12 2 2 10 2" xfId="14069" xr:uid="{00000000-0005-0000-0000-00005F290000}"/>
    <cellStyle name="Note 2 12 2 2 10_Summary" xfId="21799" xr:uid="{00000000-0005-0000-0000-000060290000}"/>
    <cellStyle name="Note 2 12 2 2 11" xfId="7353" xr:uid="{00000000-0005-0000-0000-000061290000}"/>
    <cellStyle name="Note 2 12 2 2 12" xfId="13675" xr:uid="{00000000-0005-0000-0000-000062290000}"/>
    <cellStyle name="Note 2 12 2 2 2" xfId="1154" xr:uid="{00000000-0005-0000-0000-000063290000}"/>
    <cellStyle name="Note 2 12 2 2 2 2" xfId="3290" xr:uid="{00000000-0005-0000-0000-000064290000}"/>
    <cellStyle name="Note 2 12 2 2 2 2 2" xfId="9886" xr:uid="{00000000-0005-0000-0000-000065290000}"/>
    <cellStyle name="Note 2 12 2 2 2 2 3" xfId="16505" xr:uid="{00000000-0005-0000-0000-000066290000}"/>
    <cellStyle name="Note 2 12 2 2 2 2_Summary" xfId="21801" xr:uid="{00000000-0005-0000-0000-000067290000}"/>
    <cellStyle name="Note 2 12 2 2 2 3" xfId="5325" xr:uid="{00000000-0005-0000-0000-000068290000}"/>
    <cellStyle name="Note 2 12 2 2 2 3 2" xfId="11921" xr:uid="{00000000-0005-0000-0000-000069290000}"/>
    <cellStyle name="Note 2 12 2 2 2 3 3" xfId="18540" xr:uid="{00000000-0005-0000-0000-00006A290000}"/>
    <cellStyle name="Note 2 12 2 2 2 3_Summary" xfId="21802" xr:uid="{00000000-0005-0000-0000-00006B290000}"/>
    <cellStyle name="Note 2 12 2 2 2 4" xfId="7750" xr:uid="{00000000-0005-0000-0000-00006C290000}"/>
    <cellStyle name="Note 2 12 2 2 2 5" xfId="14369" xr:uid="{00000000-0005-0000-0000-00006D290000}"/>
    <cellStyle name="Note 2 12 2 2 2_Summary" xfId="21800" xr:uid="{00000000-0005-0000-0000-00006E290000}"/>
    <cellStyle name="Note 2 12 2 2 3" xfId="1436" xr:uid="{00000000-0005-0000-0000-00006F290000}"/>
    <cellStyle name="Note 2 12 2 2 3 2" xfId="3572" xr:uid="{00000000-0005-0000-0000-000070290000}"/>
    <cellStyle name="Note 2 12 2 2 3 2 2" xfId="10168" xr:uid="{00000000-0005-0000-0000-000071290000}"/>
    <cellStyle name="Note 2 12 2 2 3 2 3" xfId="16787" xr:uid="{00000000-0005-0000-0000-000072290000}"/>
    <cellStyle name="Note 2 12 2 2 3 2_Summary" xfId="21804" xr:uid="{00000000-0005-0000-0000-000073290000}"/>
    <cellStyle name="Note 2 12 2 2 3 3" xfId="5607" xr:uid="{00000000-0005-0000-0000-000074290000}"/>
    <cellStyle name="Note 2 12 2 2 3 3 2" xfId="12203" xr:uid="{00000000-0005-0000-0000-000075290000}"/>
    <cellStyle name="Note 2 12 2 2 3 3 3" xfId="18822" xr:uid="{00000000-0005-0000-0000-000076290000}"/>
    <cellStyle name="Note 2 12 2 2 3 3_Summary" xfId="21805" xr:uid="{00000000-0005-0000-0000-000077290000}"/>
    <cellStyle name="Note 2 12 2 2 3 4" xfId="8032" xr:uid="{00000000-0005-0000-0000-000078290000}"/>
    <cellStyle name="Note 2 12 2 2 3 5" xfId="14651" xr:uid="{00000000-0005-0000-0000-000079290000}"/>
    <cellStyle name="Note 2 12 2 2 3_Summary" xfId="21803" xr:uid="{00000000-0005-0000-0000-00007A290000}"/>
    <cellStyle name="Note 2 12 2 2 4" xfId="1717" xr:uid="{00000000-0005-0000-0000-00007B290000}"/>
    <cellStyle name="Note 2 12 2 2 4 2" xfId="3853" xr:uid="{00000000-0005-0000-0000-00007C290000}"/>
    <cellStyle name="Note 2 12 2 2 4 2 2" xfId="10449" xr:uid="{00000000-0005-0000-0000-00007D290000}"/>
    <cellStyle name="Note 2 12 2 2 4 2 3" xfId="17068" xr:uid="{00000000-0005-0000-0000-00007E290000}"/>
    <cellStyle name="Note 2 12 2 2 4 2_Summary" xfId="21807" xr:uid="{00000000-0005-0000-0000-00007F290000}"/>
    <cellStyle name="Note 2 12 2 2 4 3" xfId="5888" xr:uid="{00000000-0005-0000-0000-000080290000}"/>
    <cellStyle name="Note 2 12 2 2 4 3 2" xfId="12484" xr:uid="{00000000-0005-0000-0000-000081290000}"/>
    <cellStyle name="Note 2 12 2 2 4 3 3" xfId="19103" xr:uid="{00000000-0005-0000-0000-000082290000}"/>
    <cellStyle name="Note 2 12 2 2 4 3_Summary" xfId="21808" xr:uid="{00000000-0005-0000-0000-000083290000}"/>
    <cellStyle name="Note 2 12 2 2 4 4" xfId="8313" xr:uid="{00000000-0005-0000-0000-000084290000}"/>
    <cellStyle name="Note 2 12 2 2 4 5" xfId="14932" xr:uid="{00000000-0005-0000-0000-000085290000}"/>
    <cellStyle name="Note 2 12 2 2 4_Summary" xfId="21806" xr:uid="{00000000-0005-0000-0000-000086290000}"/>
    <cellStyle name="Note 2 12 2 2 5" xfId="1996" xr:uid="{00000000-0005-0000-0000-000087290000}"/>
    <cellStyle name="Note 2 12 2 2 5 2" xfId="4132" xr:uid="{00000000-0005-0000-0000-000088290000}"/>
    <cellStyle name="Note 2 12 2 2 5 2 2" xfId="10728" xr:uid="{00000000-0005-0000-0000-000089290000}"/>
    <cellStyle name="Note 2 12 2 2 5 2 3" xfId="17347" xr:uid="{00000000-0005-0000-0000-00008A290000}"/>
    <cellStyle name="Note 2 12 2 2 5 2_Summary" xfId="21810" xr:uid="{00000000-0005-0000-0000-00008B290000}"/>
    <cellStyle name="Note 2 12 2 2 5 3" xfId="6167" xr:uid="{00000000-0005-0000-0000-00008C290000}"/>
    <cellStyle name="Note 2 12 2 2 5 3 2" xfId="12763" xr:uid="{00000000-0005-0000-0000-00008D290000}"/>
    <cellStyle name="Note 2 12 2 2 5 3 3" xfId="19382" xr:uid="{00000000-0005-0000-0000-00008E290000}"/>
    <cellStyle name="Note 2 12 2 2 5 3_Summary" xfId="21811" xr:uid="{00000000-0005-0000-0000-00008F290000}"/>
    <cellStyle name="Note 2 12 2 2 5 4" xfId="8592" xr:uid="{00000000-0005-0000-0000-000090290000}"/>
    <cellStyle name="Note 2 12 2 2 5 5" xfId="15211" xr:uid="{00000000-0005-0000-0000-000091290000}"/>
    <cellStyle name="Note 2 12 2 2 5_Summary" xfId="21809" xr:uid="{00000000-0005-0000-0000-000092290000}"/>
    <cellStyle name="Note 2 12 2 2 6" xfId="2271" xr:uid="{00000000-0005-0000-0000-000093290000}"/>
    <cellStyle name="Note 2 12 2 2 6 2" xfId="4407" xr:uid="{00000000-0005-0000-0000-000094290000}"/>
    <cellStyle name="Note 2 12 2 2 6 2 2" xfId="11003" xr:uid="{00000000-0005-0000-0000-000095290000}"/>
    <cellStyle name="Note 2 12 2 2 6 2 3" xfId="17622" xr:uid="{00000000-0005-0000-0000-000096290000}"/>
    <cellStyle name="Note 2 12 2 2 6 2_Summary" xfId="21813" xr:uid="{00000000-0005-0000-0000-000097290000}"/>
    <cellStyle name="Note 2 12 2 2 6 3" xfId="6442" xr:uid="{00000000-0005-0000-0000-000098290000}"/>
    <cellStyle name="Note 2 12 2 2 6 3 2" xfId="13038" xr:uid="{00000000-0005-0000-0000-000099290000}"/>
    <cellStyle name="Note 2 12 2 2 6 3 3" xfId="19657" xr:uid="{00000000-0005-0000-0000-00009A290000}"/>
    <cellStyle name="Note 2 12 2 2 6 3_Summary" xfId="21814" xr:uid="{00000000-0005-0000-0000-00009B290000}"/>
    <cellStyle name="Note 2 12 2 2 6 4" xfId="8867" xr:uid="{00000000-0005-0000-0000-00009C290000}"/>
    <cellStyle name="Note 2 12 2 2 6 5" xfId="15486" xr:uid="{00000000-0005-0000-0000-00009D290000}"/>
    <cellStyle name="Note 2 12 2 2 6_Summary" xfId="21812" xr:uid="{00000000-0005-0000-0000-00009E290000}"/>
    <cellStyle name="Note 2 12 2 2 7" xfId="2544" xr:uid="{00000000-0005-0000-0000-00009F290000}"/>
    <cellStyle name="Note 2 12 2 2 7 2" xfId="4680" xr:uid="{00000000-0005-0000-0000-0000A0290000}"/>
    <cellStyle name="Note 2 12 2 2 7 2 2" xfId="11276" xr:uid="{00000000-0005-0000-0000-0000A1290000}"/>
    <cellStyle name="Note 2 12 2 2 7 2 3" xfId="17895" xr:uid="{00000000-0005-0000-0000-0000A2290000}"/>
    <cellStyle name="Note 2 12 2 2 7 2_Summary" xfId="21816" xr:uid="{00000000-0005-0000-0000-0000A3290000}"/>
    <cellStyle name="Note 2 12 2 2 7 3" xfId="6715" xr:uid="{00000000-0005-0000-0000-0000A4290000}"/>
    <cellStyle name="Note 2 12 2 2 7 3 2" xfId="13311" xr:uid="{00000000-0005-0000-0000-0000A5290000}"/>
    <cellStyle name="Note 2 12 2 2 7 3 3" xfId="19930" xr:uid="{00000000-0005-0000-0000-0000A6290000}"/>
    <cellStyle name="Note 2 12 2 2 7 3_Summary" xfId="21817" xr:uid="{00000000-0005-0000-0000-0000A7290000}"/>
    <cellStyle name="Note 2 12 2 2 7 4" xfId="9140" xr:uid="{00000000-0005-0000-0000-0000A8290000}"/>
    <cellStyle name="Note 2 12 2 2 7 5" xfId="15759" xr:uid="{00000000-0005-0000-0000-0000A9290000}"/>
    <cellStyle name="Note 2 12 2 2 7_Summary" xfId="21815" xr:uid="{00000000-0005-0000-0000-0000AA290000}"/>
    <cellStyle name="Note 2 12 2 2 8" xfId="2990" xr:uid="{00000000-0005-0000-0000-0000AB290000}"/>
    <cellStyle name="Note 2 12 2 2 8 2" xfId="9586" xr:uid="{00000000-0005-0000-0000-0000AC290000}"/>
    <cellStyle name="Note 2 12 2 2 8 3" xfId="16205" xr:uid="{00000000-0005-0000-0000-0000AD290000}"/>
    <cellStyle name="Note 2 12 2 2 8_Summary" xfId="21818" xr:uid="{00000000-0005-0000-0000-0000AE290000}"/>
    <cellStyle name="Note 2 12 2 2 9" xfId="5025" xr:uid="{00000000-0005-0000-0000-0000AF290000}"/>
    <cellStyle name="Note 2 12 2 2 9 2" xfId="11621" xr:uid="{00000000-0005-0000-0000-0000B0290000}"/>
    <cellStyle name="Note 2 12 2 2 9 3" xfId="18240" xr:uid="{00000000-0005-0000-0000-0000B1290000}"/>
    <cellStyle name="Note 2 12 2 2 9_Summary" xfId="21819" xr:uid="{00000000-0005-0000-0000-0000B2290000}"/>
    <cellStyle name="Note 2 12 2 2_Summary" xfId="21798" xr:uid="{00000000-0005-0000-0000-0000B3290000}"/>
    <cellStyle name="Note 2 12 2 3" xfId="1026" xr:uid="{00000000-0005-0000-0000-0000B4290000}"/>
    <cellStyle name="Note 2 12 2 3 2" xfId="3162" xr:uid="{00000000-0005-0000-0000-0000B5290000}"/>
    <cellStyle name="Note 2 12 2 3 2 2" xfId="9758" xr:uid="{00000000-0005-0000-0000-0000B6290000}"/>
    <cellStyle name="Note 2 12 2 3 2 3" xfId="16377" xr:uid="{00000000-0005-0000-0000-0000B7290000}"/>
    <cellStyle name="Note 2 12 2 3 2_Summary" xfId="21821" xr:uid="{00000000-0005-0000-0000-0000B8290000}"/>
    <cellStyle name="Note 2 12 2 3 3" xfId="5197" xr:uid="{00000000-0005-0000-0000-0000B9290000}"/>
    <cellStyle name="Note 2 12 2 3 3 2" xfId="11793" xr:uid="{00000000-0005-0000-0000-0000BA290000}"/>
    <cellStyle name="Note 2 12 2 3 3 3" xfId="18412" xr:uid="{00000000-0005-0000-0000-0000BB290000}"/>
    <cellStyle name="Note 2 12 2 3 3_Summary" xfId="21822" xr:uid="{00000000-0005-0000-0000-0000BC290000}"/>
    <cellStyle name="Note 2 12 2 3 4" xfId="7623" xr:uid="{00000000-0005-0000-0000-0000BD290000}"/>
    <cellStyle name="Note 2 12 2 3 5" xfId="14241" xr:uid="{00000000-0005-0000-0000-0000BE290000}"/>
    <cellStyle name="Note 2 12 2 3_Summary" xfId="21820" xr:uid="{00000000-0005-0000-0000-0000BF290000}"/>
    <cellStyle name="Note 2 12 2 4" xfId="1308" xr:uid="{00000000-0005-0000-0000-0000C0290000}"/>
    <cellStyle name="Note 2 12 2 4 2" xfId="3444" xr:uid="{00000000-0005-0000-0000-0000C1290000}"/>
    <cellStyle name="Note 2 12 2 4 2 2" xfId="10040" xr:uid="{00000000-0005-0000-0000-0000C2290000}"/>
    <cellStyle name="Note 2 12 2 4 2 3" xfId="16659" xr:uid="{00000000-0005-0000-0000-0000C3290000}"/>
    <cellStyle name="Note 2 12 2 4 2_Summary" xfId="21824" xr:uid="{00000000-0005-0000-0000-0000C4290000}"/>
    <cellStyle name="Note 2 12 2 4 3" xfId="5479" xr:uid="{00000000-0005-0000-0000-0000C5290000}"/>
    <cellStyle name="Note 2 12 2 4 3 2" xfId="12075" xr:uid="{00000000-0005-0000-0000-0000C6290000}"/>
    <cellStyle name="Note 2 12 2 4 3 3" xfId="18694" xr:uid="{00000000-0005-0000-0000-0000C7290000}"/>
    <cellStyle name="Note 2 12 2 4 3_Summary" xfId="21825" xr:uid="{00000000-0005-0000-0000-0000C8290000}"/>
    <cellStyle name="Note 2 12 2 4 4" xfId="7904" xr:uid="{00000000-0005-0000-0000-0000C9290000}"/>
    <cellStyle name="Note 2 12 2 4 5" xfId="14523" xr:uid="{00000000-0005-0000-0000-0000CA290000}"/>
    <cellStyle name="Note 2 12 2 4_Summary" xfId="21823" xr:uid="{00000000-0005-0000-0000-0000CB290000}"/>
    <cellStyle name="Note 2 12 2 5" xfId="1589" xr:uid="{00000000-0005-0000-0000-0000CC290000}"/>
    <cellStyle name="Note 2 12 2 5 2" xfId="3725" xr:uid="{00000000-0005-0000-0000-0000CD290000}"/>
    <cellStyle name="Note 2 12 2 5 2 2" xfId="10321" xr:uid="{00000000-0005-0000-0000-0000CE290000}"/>
    <cellStyle name="Note 2 12 2 5 2 3" xfId="16940" xr:uid="{00000000-0005-0000-0000-0000CF290000}"/>
    <cellStyle name="Note 2 12 2 5 2_Summary" xfId="21827" xr:uid="{00000000-0005-0000-0000-0000D0290000}"/>
    <cellStyle name="Note 2 12 2 5 3" xfId="5760" xr:uid="{00000000-0005-0000-0000-0000D1290000}"/>
    <cellStyle name="Note 2 12 2 5 3 2" xfId="12356" xr:uid="{00000000-0005-0000-0000-0000D2290000}"/>
    <cellStyle name="Note 2 12 2 5 3 3" xfId="18975" xr:uid="{00000000-0005-0000-0000-0000D3290000}"/>
    <cellStyle name="Note 2 12 2 5 3_Summary" xfId="21828" xr:uid="{00000000-0005-0000-0000-0000D4290000}"/>
    <cellStyle name="Note 2 12 2 5 4" xfId="8185" xr:uid="{00000000-0005-0000-0000-0000D5290000}"/>
    <cellStyle name="Note 2 12 2 5 5" xfId="14804" xr:uid="{00000000-0005-0000-0000-0000D6290000}"/>
    <cellStyle name="Note 2 12 2 5_Summary" xfId="21826" xr:uid="{00000000-0005-0000-0000-0000D7290000}"/>
    <cellStyle name="Note 2 12 2 6" xfId="1868" xr:uid="{00000000-0005-0000-0000-0000D8290000}"/>
    <cellStyle name="Note 2 12 2 6 2" xfId="4004" xr:uid="{00000000-0005-0000-0000-0000D9290000}"/>
    <cellStyle name="Note 2 12 2 6 2 2" xfId="10600" xr:uid="{00000000-0005-0000-0000-0000DA290000}"/>
    <cellStyle name="Note 2 12 2 6 2 3" xfId="17219" xr:uid="{00000000-0005-0000-0000-0000DB290000}"/>
    <cellStyle name="Note 2 12 2 6 2_Summary" xfId="21830" xr:uid="{00000000-0005-0000-0000-0000DC290000}"/>
    <cellStyle name="Note 2 12 2 6 3" xfId="6039" xr:uid="{00000000-0005-0000-0000-0000DD290000}"/>
    <cellStyle name="Note 2 12 2 6 3 2" xfId="12635" xr:uid="{00000000-0005-0000-0000-0000DE290000}"/>
    <cellStyle name="Note 2 12 2 6 3 3" xfId="19254" xr:uid="{00000000-0005-0000-0000-0000DF290000}"/>
    <cellStyle name="Note 2 12 2 6 3_Summary" xfId="21831" xr:uid="{00000000-0005-0000-0000-0000E0290000}"/>
    <cellStyle name="Note 2 12 2 6 4" xfId="8464" xr:uid="{00000000-0005-0000-0000-0000E1290000}"/>
    <cellStyle name="Note 2 12 2 6 5" xfId="15083" xr:uid="{00000000-0005-0000-0000-0000E2290000}"/>
    <cellStyle name="Note 2 12 2 6_Summary" xfId="21829" xr:uid="{00000000-0005-0000-0000-0000E3290000}"/>
    <cellStyle name="Note 2 12 2 7" xfId="2143" xr:uid="{00000000-0005-0000-0000-0000E4290000}"/>
    <cellStyle name="Note 2 12 2 7 2" xfId="4279" xr:uid="{00000000-0005-0000-0000-0000E5290000}"/>
    <cellStyle name="Note 2 12 2 7 2 2" xfId="10875" xr:uid="{00000000-0005-0000-0000-0000E6290000}"/>
    <cellStyle name="Note 2 12 2 7 2 3" xfId="17494" xr:uid="{00000000-0005-0000-0000-0000E7290000}"/>
    <cellStyle name="Note 2 12 2 7 2_Summary" xfId="21833" xr:uid="{00000000-0005-0000-0000-0000E8290000}"/>
    <cellStyle name="Note 2 12 2 7 3" xfId="6314" xr:uid="{00000000-0005-0000-0000-0000E9290000}"/>
    <cellStyle name="Note 2 12 2 7 3 2" xfId="12910" xr:uid="{00000000-0005-0000-0000-0000EA290000}"/>
    <cellStyle name="Note 2 12 2 7 3 3" xfId="19529" xr:uid="{00000000-0005-0000-0000-0000EB290000}"/>
    <cellStyle name="Note 2 12 2 7 3_Summary" xfId="21834" xr:uid="{00000000-0005-0000-0000-0000EC290000}"/>
    <cellStyle name="Note 2 12 2 7 4" xfId="8739" xr:uid="{00000000-0005-0000-0000-0000ED290000}"/>
    <cellStyle name="Note 2 12 2 7 5" xfId="15358" xr:uid="{00000000-0005-0000-0000-0000EE290000}"/>
    <cellStyle name="Note 2 12 2 7_Summary" xfId="21832" xr:uid="{00000000-0005-0000-0000-0000EF290000}"/>
    <cellStyle name="Note 2 12 2 8" xfId="2416" xr:uid="{00000000-0005-0000-0000-0000F0290000}"/>
    <cellStyle name="Note 2 12 2 8 2" xfId="4552" xr:uid="{00000000-0005-0000-0000-0000F1290000}"/>
    <cellStyle name="Note 2 12 2 8 2 2" xfId="11148" xr:uid="{00000000-0005-0000-0000-0000F2290000}"/>
    <cellStyle name="Note 2 12 2 8 2 3" xfId="17767" xr:uid="{00000000-0005-0000-0000-0000F3290000}"/>
    <cellStyle name="Note 2 12 2 8 2_Summary" xfId="21836" xr:uid="{00000000-0005-0000-0000-0000F4290000}"/>
    <cellStyle name="Note 2 12 2 8 3" xfId="6587" xr:uid="{00000000-0005-0000-0000-0000F5290000}"/>
    <cellStyle name="Note 2 12 2 8 3 2" xfId="13183" xr:uid="{00000000-0005-0000-0000-0000F6290000}"/>
    <cellStyle name="Note 2 12 2 8 3 3" xfId="19802" xr:uid="{00000000-0005-0000-0000-0000F7290000}"/>
    <cellStyle name="Note 2 12 2 8 3_Summary" xfId="21837" xr:uid="{00000000-0005-0000-0000-0000F8290000}"/>
    <cellStyle name="Note 2 12 2 8 4" xfId="9012" xr:uid="{00000000-0005-0000-0000-0000F9290000}"/>
    <cellStyle name="Note 2 12 2 8 5" xfId="15631" xr:uid="{00000000-0005-0000-0000-0000FA290000}"/>
    <cellStyle name="Note 2 12 2 8_Summary" xfId="21835" xr:uid="{00000000-0005-0000-0000-0000FB290000}"/>
    <cellStyle name="Note 2 12 2 9" xfId="2717" xr:uid="{00000000-0005-0000-0000-0000FC290000}"/>
    <cellStyle name="Note 2 12 2 9 2" xfId="9313" xr:uid="{00000000-0005-0000-0000-0000FD290000}"/>
    <cellStyle name="Note 2 12 2 9 3" xfId="15932" xr:uid="{00000000-0005-0000-0000-0000FE290000}"/>
    <cellStyle name="Note 2 12 2 9_Summary" xfId="21838" xr:uid="{00000000-0005-0000-0000-0000FF290000}"/>
    <cellStyle name="Note 2 12 2_Summary" xfId="21795" xr:uid="{00000000-0005-0000-0000-0000002A0000}"/>
    <cellStyle name="Note 2 12 3" xfId="245" xr:uid="{00000000-0005-0000-0000-0000012A0000}"/>
    <cellStyle name="Note 2 12 3 10" xfId="782" xr:uid="{00000000-0005-0000-0000-0000022A0000}"/>
    <cellStyle name="Note 2 12 3 10 2" xfId="13997" xr:uid="{00000000-0005-0000-0000-0000032A0000}"/>
    <cellStyle name="Note 2 12 3 10_Summary" xfId="21840" xr:uid="{00000000-0005-0000-0000-0000042A0000}"/>
    <cellStyle name="Note 2 12 3 11" xfId="7152" xr:uid="{00000000-0005-0000-0000-0000052A0000}"/>
    <cellStyle name="Note 2 12 3 12" xfId="7007" xr:uid="{00000000-0005-0000-0000-0000062A0000}"/>
    <cellStyle name="Note 2 12 3 2" xfId="950" xr:uid="{00000000-0005-0000-0000-0000072A0000}"/>
    <cellStyle name="Note 2 12 3 2 2" xfId="3086" xr:uid="{00000000-0005-0000-0000-0000082A0000}"/>
    <cellStyle name="Note 2 12 3 2 2 2" xfId="9682" xr:uid="{00000000-0005-0000-0000-0000092A0000}"/>
    <cellStyle name="Note 2 12 3 2 2 3" xfId="16301" xr:uid="{00000000-0005-0000-0000-00000A2A0000}"/>
    <cellStyle name="Note 2 12 3 2 2_Summary" xfId="21842" xr:uid="{00000000-0005-0000-0000-00000B2A0000}"/>
    <cellStyle name="Note 2 12 3 2 3" xfId="5121" xr:uid="{00000000-0005-0000-0000-00000C2A0000}"/>
    <cellStyle name="Note 2 12 3 2 3 2" xfId="11717" xr:uid="{00000000-0005-0000-0000-00000D2A0000}"/>
    <cellStyle name="Note 2 12 3 2 3 3" xfId="18336" xr:uid="{00000000-0005-0000-0000-00000E2A0000}"/>
    <cellStyle name="Note 2 12 3 2 3_Summary" xfId="21843" xr:uid="{00000000-0005-0000-0000-00000F2A0000}"/>
    <cellStyle name="Note 2 12 3 2 4" xfId="7547" xr:uid="{00000000-0005-0000-0000-0000102A0000}"/>
    <cellStyle name="Note 2 12 3 2 5" xfId="14165" xr:uid="{00000000-0005-0000-0000-0000112A0000}"/>
    <cellStyle name="Note 2 12 3 2_Summary" xfId="21841" xr:uid="{00000000-0005-0000-0000-0000122A0000}"/>
    <cellStyle name="Note 2 12 3 3" xfId="1235" xr:uid="{00000000-0005-0000-0000-0000132A0000}"/>
    <cellStyle name="Note 2 12 3 3 2" xfId="3371" xr:uid="{00000000-0005-0000-0000-0000142A0000}"/>
    <cellStyle name="Note 2 12 3 3 2 2" xfId="9967" xr:uid="{00000000-0005-0000-0000-0000152A0000}"/>
    <cellStyle name="Note 2 12 3 3 2 3" xfId="16586" xr:uid="{00000000-0005-0000-0000-0000162A0000}"/>
    <cellStyle name="Note 2 12 3 3 2_Summary" xfId="21845" xr:uid="{00000000-0005-0000-0000-0000172A0000}"/>
    <cellStyle name="Note 2 12 3 3 3" xfId="5406" xr:uid="{00000000-0005-0000-0000-0000182A0000}"/>
    <cellStyle name="Note 2 12 3 3 3 2" xfId="12002" xr:uid="{00000000-0005-0000-0000-0000192A0000}"/>
    <cellStyle name="Note 2 12 3 3 3 3" xfId="18621" xr:uid="{00000000-0005-0000-0000-00001A2A0000}"/>
    <cellStyle name="Note 2 12 3 3 3_Summary" xfId="21846" xr:uid="{00000000-0005-0000-0000-00001B2A0000}"/>
    <cellStyle name="Note 2 12 3 3 4" xfId="7831" xr:uid="{00000000-0005-0000-0000-00001C2A0000}"/>
    <cellStyle name="Note 2 12 3 3 5" xfId="14450" xr:uid="{00000000-0005-0000-0000-00001D2A0000}"/>
    <cellStyle name="Note 2 12 3 3_Summary" xfId="21844" xr:uid="{00000000-0005-0000-0000-00001E2A0000}"/>
    <cellStyle name="Note 2 12 3 4" xfId="1517" xr:uid="{00000000-0005-0000-0000-00001F2A0000}"/>
    <cellStyle name="Note 2 12 3 4 2" xfId="3653" xr:uid="{00000000-0005-0000-0000-0000202A0000}"/>
    <cellStyle name="Note 2 12 3 4 2 2" xfId="10249" xr:uid="{00000000-0005-0000-0000-0000212A0000}"/>
    <cellStyle name="Note 2 12 3 4 2 3" xfId="16868" xr:uid="{00000000-0005-0000-0000-0000222A0000}"/>
    <cellStyle name="Note 2 12 3 4 2_Summary" xfId="21848" xr:uid="{00000000-0005-0000-0000-0000232A0000}"/>
    <cellStyle name="Note 2 12 3 4 3" xfId="5688" xr:uid="{00000000-0005-0000-0000-0000242A0000}"/>
    <cellStyle name="Note 2 12 3 4 3 2" xfId="12284" xr:uid="{00000000-0005-0000-0000-0000252A0000}"/>
    <cellStyle name="Note 2 12 3 4 3 3" xfId="18903" xr:uid="{00000000-0005-0000-0000-0000262A0000}"/>
    <cellStyle name="Note 2 12 3 4 3_Summary" xfId="21849" xr:uid="{00000000-0005-0000-0000-0000272A0000}"/>
    <cellStyle name="Note 2 12 3 4 4" xfId="8113" xr:uid="{00000000-0005-0000-0000-0000282A0000}"/>
    <cellStyle name="Note 2 12 3 4 5" xfId="14732" xr:uid="{00000000-0005-0000-0000-0000292A0000}"/>
    <cellStyle name="Note 2 12 3 4_Summary" xfId="21847" xr:uid="{00000000-0005-0000-0000-00002A2A0000}"/>
    <cellStyle name="Note 2 12 3 5" xfId="1798" xr:uid="{00000000-0005-0000-0000-00002B2A0000}"/>
    <cellStyle name="Note 2 12 3 5 2" xfId="3934" xr:uid="{00000000-0005-0000-0000-00002C2A0000}"/>
    <cellStyle name="Note 2 12 3 5 2 2" xfId="10530" xr:uid="{00000000-0005-0000-0000-00002D2A0000}"/>
    <cellStyle name="Note 2 12 3 5 2 3" xfId="17149" xr:uid="{00000000-0005-0000-0000-00002E2A0000}"/>
    <cellStyle name="Note 2 12 3 5 2_Summary" xfId="21851" xr:uid="{00000000-0005-0000-0000-00002F2A0000}"/>
    <cellStyle name="Note 2 12 3 5 3" xfId="5969" xr:uid="{00000000-0005-0000-0000-0000302A0000}"/>
    <cellStyle name="Note 2 12 3 5 3 2" xfId="12565" xr:uid="{00000000-0005-0000-0000-0000312A0000}"/>
    <cellStyle name="Note 2 12 3 5 3 3" xfId="19184" xr:uid="{00000000-0005-0000-0000-0000322A0000}"/>
    <cellStyle name="Note 2 12 3 5 3_Summary" xfId="21852" xr:uid="{00000000-0005-0000-0000-0000332A0000}"/>
    <cellStyle name="Note 2 12 3 5 4" xfId="8394" xr:uid="{00000000-0005-0000-0000-0000342A0000}"/>
    <cellStyle name="Note 2 12 3 5 5" xfId="15013" xr:uid="{00000000-0005-0000-0000-0000352A0000}"/>
    <cellStyle name="Note 2 12 3 5_Summary" xfId="21850" xr:uid="{00000000-0005-0000-0000-0000362A0000}"/>
    <cellStyle name="Note 2 12 3 6" xfId="2077" xr:uid="{00000000-0005-0000-0000-0000372A0000}"/>
    <cellStyle name="Note 2 12 3 6 2" xfId="4213" xr:uid="{00000000-0005-0000-0000-0000382A0000}"/>
    <cellStyle name="Note 2 12 3 6 2 2" xfId="10809" xr:uid="{00000000-0005-0000-0000-0000392A0000}"/>
    <cellStyle name="Note 2 12 3 6 2 3" xfId="17428" xr:uid="{00000000-0005-0000-0000-00003A2A0000}"/>
    <cellStyle name="Note 2 12 3 6 2_Summary" xfId="21854" xr:uid="{00000000-0005-0000-0000-00003B2A0000}"/>
    <cellStyle name="Note 2 12 3 6 3" xfId="6248" xr:uid="{00000000-0005-0000-0000-00003C2A0000}"/>
    <cellStyle name="Note 2 12 3 6 3 2" xfId="12844" xr:uid="{00000000-0005-0000-0000-00003D2A0000}"/>
    <cellStyle name="Note 2 12 3 6 3 3" xfId="19463" xr:uid="{00000000-0005-0000-0000-00003E2A0000}"/>
    <cellStyle name="Note 2 12 3 6 3_Summary" xfId="21855" xr:uid="{00000000-0005-0000-0000-00003F2A0000}"/>
    <cellStyle name="Note 2 12 3 6 4" xfId="8673" xr:uid="{00000000-0005-0000-0000-0000402A0000}"/>
    <cellStyle name="Note 2 12 3 6 5" xfId="15292" xr:uid="{00000000-0005-0000-0000-0000412A0000}"/>
    <cellStyle name="Note 2 12 3 6_Summary" xfId="21853" xr:uid="{00000000-0005-0000-0000-0000422A0000}"/>
    <cellStyle name="Note 2 12 3 7" xfId="2352" xr:uid="{00000000-0005-0000-0000-0000432A0000}"/>
    <cellStyle name="Note 2 12 3 7 2" xfId="4488" xr:uid="{00000000-0005-0000-0000-0000442A0000}"/>
    <cellStyle name="Note 2 12 3 7 2 2" xfId="11084" xr:uid="{00000000-0005-0000-0000-0000452A0000}"/>
    <cellStyle name="Note 2 12 3 7 2 3" xfId="17703" xr:uid="{00000000-0005-0000-0000-0000462A0000}"/>
    <cellStyle name="Note 2 12 3 7 2_Summary" xfId="21857" xr:uid="{00000000-0005-0000-0000-0000472A0000}"/>
    <cellStyle name="Note 2 12 3 7 3" xfId="6523" xr:uid="{00000000-0005-0000-0000-0000482A0000}"/>
    <cellStyle name="Note 2 12 3 7 3 2" xfId="13119" xr:uid="{00000000-0005-0000-0000-0000492A0000}"/>
    <cellStyle name="Note 2 12 3 7 3 3" xfId="19738" xr:uid="{00000000-0005-0000-0000-00004A2A0000}"/>
    <cellStyle name="Note 2 12 3 7 3_Summary" xfId="21858" xr:uid="{00000000-0005-0000-0000-00004B2A0000}"/>
    <cellStyle name="Note 2 12 3 7 4" xfId="8948" xr:uid="{00000000-0005-0000-0000-00004C2A0000}"/>
    <cellStyle name="Note 2 12 3 7 5" xfId="15567" xr:uid="{00000000-0005-0000-0000-00004D2A0000}"/>
    <cellStyle name="Note 2 12 3 7_Summary" xfId="21856" xr:uid="{00000000-0005-0000-0000-00004E2A0000}"/>
    <cellStyle name="Note 2 12 3 8" xfId="2918" xr:uid="{00000000-0005-0000-0000-00004F2A0000}"/>
    <cellStyle name="Note 2 12 3 8 2" xfId="9514" xr:uid="{00000000-0005-0000-0000-0000502A0000}"/>
    <cellStyle name="Note 2 12 3 8 3" xfId="16133" xr:uid="{00000000-0005-0000-0000-0000512A0000}"/>
    <cellStyle name="Note 2 12 3 8_Summary" xfId="21859" xr:uid="{00000000-0005-0000-0000-0000522A0000}"/>
    <cellStyle name="Note 2 12 3 9" xfId="4953" xr:uid="{00000000-0005-0000-0000-0000532A0000}"/>
    <cellStyle name="Note 2 12 3 9 2" xfId="11549" xr:uid="{00000000-0005-0000-0000-0000542A0000}"/>
    <cellStyle name="Note 2 12 3 9 3" xfId="18168" xr:uid="{00000000-0005-0000-0000-0000552A0000}"/>
    <cellStyle name="Note 2 12 3 9_Summary" xfId="21860" xr:uid="{00000000-0005-0000-0000-0000562A0000}"/>
    <cellStyle name="Note 2 12 3_Summary" xfId="21839" xr:uid="{00000000-0005-0000-0000-0000572A0000}"/>
    <cellStyle name="Note 2 12 4" xfId="399" xr:uid="{00000000-0005-0000-0000-0000582A0000}"/>
    <cellStyle name="Note 2 12 4 10" xfId="736" xr:uid="{00000000-0005-0000-0000-0000592A0000}"/>
    <cellStyle name="Note 2 12 4 10 2" xfId="13951" xr:uid="{00000000-0005-0000-0000-00005A2A0000}"/>
    <cellStyle name="Note 2 12 4 10_Summary" xfId="21862" xr:uid="{00000000-0005-0000-0000-00005B2A0000}"/>
    <cellStyle name="Note 2 12 4 11" xfId="7292" xr:uid="{00000000-0005-0000-0000-00005C2A0000}"/>
    <cellStyle name="Note 2 12 4 12" xfId="13614" xr:uid="{00000000-0005-0000-0000-00005D2A0000}"/>
    <cellStyle name="Note 2 12 4 2" xfId="1093" xr:uid="{00000000-0005-0000-0000-00005E2A0000}"/>
    <cellStyle name="Note 2 12 4 2 2" xfId="3229" xr:uid="{00000000-0005-0000-0000-00005F2A0000}"/>
    <cellStyle name="Note 2 12 4 2 2 2" xfId="9825" xr:uid="{00000000-0005-0000-0000-0000602A0000}"/>
    <cellStyle name="Note 2 12 4 2 2 3" xfId="16444" xr:uid="{00000000-0005-0000-0000-0000612A0000}"/>
    <cellStyle name="Note 2 12 4 2 2_Summary" xfId="21864" xr:uid="{00000000-0005-0000-0000-0000622A0000}"/>
    <cellStyle name="Note 2 12 4 2 3" xfId="5264" xr:uid="{00000000-0005-0000-0000-0000632A0000}"/>
    <cellStyle name="Note 2 12 4 2 3 2" xfId="11860" xr:uid="{00000000-0005-0000-0000-0000642A0000}"/>
    <cellStyle name="Note 2 12 4 2 3 3" xfId="18479" xr:uid="{00000000-0005-0000-0000-0000652A0000}"/>
    <cellStyle name="Note 2 12 4 2 3_Summary" xfId="21865" xr:uid="{00000000-0005-0000-0000-0000662A0000}"/>
    <cellStyle name="Note 2 12 4 2 4" xfId="7690" xr:uid="{00000000-0005-0000-0000-0000672A0000}"/>
    <cellStyle name="Note 2 12 4 2 5" xfId="14308" xr:uid="{00000000-0005-0000-0000-0000682A0000}"/>
    <cellStyle name="Note 2 12 4 2_Summary" xfId="21863" xr:uid="{00000000-0005-0000-0000-0000692A0000}"/>
    <cellStyle name="Note 2 12 4 3" xfId="1375" xr:uid="{00000000-0005-0000-0000-00006A2A0000}"/>
    <cellStyle name="Note 2 12 4 3 2" xfId="3511" xr:uid="{00000000-0005-0000-0000-00006B2A0000}"/>
    <cellStyle name="Note 2 12 4 3 2 2" xfId="10107" xr:uid="{00000000-0005-0000-0000-00006C2A0000}"/>
    <cellStyle name="Note 2 12 4 3 2 3" xfId="16726" xr:uid="{00000000-0005-0000-0000-00006D2A0000}"/>
    <cellStyle name="Note 2 12 4 3 2_Summary" xfId="21867" xr:uid="{00000000-0005-0000-0000-00006E2A0000}"/>
    <cellStyle name="Note 2 12 4 3 3" xfId="5546" xr:uid="{00000000-0005-0000-0000-00006F2A0000}"/>
    <cellStyle name="Note 2 12 4 3 3 2" xfId="12142" xr:uid="{00000000-0005-0000-0000-0000702A0000}"/>
    <cellStyle name="Note 2 12 4 3 3 3" xfId="18761" xr:uid="{00000000-0005-0000-0000-0000712A0000}"/>
    <cellStyle name="Note 2 12 4 3 3_Summary" xfId="21868" xr:uid="{00000000-0005-0000-0000-0000722A0000}"/>
    <cellStyle name="Note 2 12 4 3 4" xfId="7971" xr:uid="{00000000-0005-0000-0000-0000732A0000}"/>
    <cellStyle name="Note 2 12 4 3 5" xfId="14590" xr:uid="{00000000-0005-0000-0000-0000742A0000}"/>
    <cellStyle name="Note 2 12 4 3_Summary" xfId="21866" xr:uid="{00000000-0005-0000-0000-0000752A0000}"/>
    <cellStyle name="Note 2 12 4 4" xfId="1656" xr:uid="{00000000-0005-0000-0000-0000762A0000}"/>
    <cellStyle name="Note 2 12 4 4 2" xfId="3792" xr:uid="{00000000-0005-0000-0000-0000772A0000}"/>
    <cellStyle name="Note 2 12 4 4 2 2" xfId="10388" xr:uid="{00000000-0005-0000-0000-0000782A0000}"/>
    <cellStyle name="Note 2 12 4 4 2 3" xfId="17007" xr:uid="{00000000-0005-0000-0000-0000792A0000}"/>
    <cellStyle name="Note 2 12 4 4 2_Summary" xfId="21870" xr:uid="{00000000-0005-0000-0000-00007A2A0000}"/>
    <cellStyle name="Note 2 12 4 4 3" xfId="5827" xr:uid="{00000000-0005-0000-0000-00007B2A0000}"/>
    <cellStyle name="Note 2 12 4 4 3 2" xfId="12423" xr:uid="{00000000-0005-0000-0000-00007C2A0000}"/>
    <cellStyle name="Note 2 12 4 4 3 3" xfId="19042" xr:uid="{00000000-0005-0000-0000-00007D2A0000}"/>
    <cellStyle name="Note 2 12 4 4 3_Summary" xfId="21871" xr:uid="{00000000-0005-0000-0000-00007E2A0000}"/>
    <cellStyle name="Note 2 12 4 4 4" xfId="8252" xr:uid="{00000000-0005-0000-0000-00007F2A0000}"/>
    <cellStyle name="Note 2 12 4 4 5" xfId="14871" xr:uid="{00000000-0005-0000-0000-0000802A0000}"/>
    <cellStyle name="Note 2 12 4 4_Summary" xfId="21869" xr:uid="{00000000-0005-0000-0000-0000812A0000}"/>
    <cellStyle name="Note 2 12 4 5" xfId="1935" xr:uid="{00000000-0005-0000-0000-0000822A0000}"/>
    <cellStyle name="Note 2 12 4 5 2" xfId="4071" xr:uid="{00000000-0005-0000-0000-0000832A0000}"/>
    <cellStyle name="Note 2 12 4 5 2 2" xfId="10667" xr:uid="{00000000-0005-0000-0000-0000842A0000}"/>
    <cellStyle name="Note 2 12 4 5 2 3" xfId="17286" xr:uid="{00000000-0005-0000-0000-0000852A0000}"/>
    <cellStyle name="Note 2 12 4 5 2_Summary" xfId="21873" xr:uid="{00000000-0005-0000-0000-0000862A0000}"/>
    <cellStyle name="Note 2 12 4 5 3" xfId="6106" xr:uid="{00000000-0005-0000-0000-0000872A0000}"/>
    <cellStyle name="Note 2 12 4 5 3 2" xfId="12702" xr:uid="{00000000-0005-0000-0000-0000882A0000}"/>
    <cellStyle name="Note 2 12 4 5 3 3" xfId="19321" xr:uid="{00000000-0005-0000-0000-0000892A0000}"/>
    <cellStyle name="Note 2 12 4 5 3_Summary" xfId="21874" xr:uid="{00000000-0005-0000-0000-00008A2A0000}"/>
    <cellStyle name="Note 2 12 4 5 4" xfId="8531" xr:uid="{00000000-0005-0000-0000-00008B2A0000}"/>
    <cellStyle name="Note 2 12 4 5 5" xfId="15150" xr:uid="{00000000-0005-0000-0000-00008C2A0000}"/>
    <cellStyle name="Note 2 12 4 5_Summary" xfId="21872" xr:uid="{00000000-0005-0000-0000-00008D2A0000}"/>
    <cellStyle name="Note 2 12 4 6" xfId="2210" xr:uid="{00000000-0005-0000-0000-00008E2A0000}"/>
    <cellStyle name="Note 2 12 4 6 2" xfId="4346" xr:uid="{00000000-0005-0000-0000-00008F2A0000}"/>
    <cellStyle name="Note 2 12 4 6 2 2" xfId="10942" xr:uid="{00000000-0005-0000-0000-0000902A0000}"/>
    <cellStyle name="Note 2 12 4 6 2 3" xfId="17561" xr:uid="{00000000-0005-0000-0000-0000912A0000}"/>
    <cellStyle name="Note 2 12 4 6 2_Summary" xfId="21876" xr:uid="{00000000-0005-0000-0000-0000922A0000}"/>
    <cellStyle name="Note 2 12 4 6 3" xfId="6381" xr:uid="{00000000-0005-0000-0000-0000932A0000}"/>
    <cellStyle name="Note 2 12 4 6 3 2" xfId="12977" xr:uid="{00000000-0005-0000-0000-0000942A0000}"/>
    <cellStyle name="Note 2 12 4 6 3 3" xfId="19596" xr:uid="{00000000-0005-0000-0000-0000952A0000}"/>
    <cellStyle name="Note 2 12 4 6 3_Summary" xfId="21877" xr:uid="{00000000-0005-0000-0000-0000962A0000}"/>
    <cellStyle name="Note 2 12 4 6 4" xfId="8806" xr:uid="{00000000-0005-0000-0000-0000972A0000}"/>
    <cellStyle name="Note 2 12 4 6 5" xfId="15425" xr:uid="{00000000-0005-0000-0000-0000982A0000}"/>
    <cellStyle name="Note 2 12 4 6_Summary" xfId="21875" xr:uid="{00000000-0005-0000-0000-0000992A0000}"/>
    <cellStyle name="Note 2 12 4 7" xfId="2483" xr:uid="{00000000-0005-0000-0000-00009A2A0000}"/>
    <cellStyle name="Note 2 12 4 7 2" xfId="4619" xr:uid="{00000000-0005-0000-0000-00009B2A0000}"/>
    <cellStyle name="Note 2 12 4 7 2 2" xfId="11215" xr:uid="{00000000-0005-0000-0000-00009C2A0000}"/>
    <cellStyle name="Note 2 12 4 7 2 3" xfId="17834" xr:uid="{00000000-0005-0000-0000-00009D2A0000}"/>
    <cellStyle name="Note 2 12 4 7 2_Summary" xfId="21879" xr:uid="{00000000-0005-0000-0000-00009E2A0000}"/>
    <cellStyle name="Note 2 12 4 7 3" xfId="6654" xr:uid="{00000000-0005-0000-0000-00009F2A0000}"/>
    <cellStyle name="Note 2 12 4 7 3 2" xfId="13250" xr:uid="{00000000-0005-0000-0000-0000A02A0000}"/>
    <cellStyle name="Note 2 12 4 7 3 3" xfId="19869" xr:uid="{00000000-0005-0000-0000-0000A12A0000}"/>
    <cellStyle name="Note 2 12 4 7 3_Summary" xfId="21880" xr:uid="{00000000-0005-0000-0000-0000A22A0000}"/>
    <cellStyle name="Note 2 12 4 7 4" xfId="9079" xr:uid="{00000000-0005-0000-0000-0000A32A0000}"/>
    <cellStyle name="Note 2 12 4 7 5" xfId="15698" xr:uid="{00000000-0005-0000-0000-0000A42A0000}"/>
    <cellStyle name="Note 2 12 4 7_Summary" xfId="21878" xr:uid="{00000000-0005-0000-0000-0000A52A0000}"/>
    <cellStyle name="Note 2 12 4 8" xfId="2872" xr:uid="{00000000-0005-0000-0000-0000A62A0000}"/>
    <cellStyle name="Note 2 12 4 8 2" xfId="9468" xr:uid="{00000000-0005-0000-0000-0000A72A0000}"/>
    <cellStyle name="Note 2 12 4 8 3" xfId="16087" xr:uid="{00000000-0005-0000-0000-0000A82A0000}"/>
    <cellStyle name="Note 2 12 4 8_Summary" xfId="21881" xr:uid="{00000000-0005-0000-0000-0000A92A0000}"/>
    <cellStyle name="Note 2 12 4 9" xfId="4907" xr:uid="{00000000-0005-0000-0000-0000AA2A0000}"/>
    <cellStyle name="Note 2 12 4 9 2" xfId="11503" xr:uid="{00000000-0005-0000-0000-0000AB2A0000}"/>
    <cellStyle name="Note 2 12 4 9 3" xfId="18122" xr:uid="{00000000-0005-0000-0000-0000AC2A0000}"/>
    <cellStyle name="Note 2 12 4 9_Summary" xfId="21882" xr:uid="{00000000-0005-0000-0000-0000AD2A0000}"/>
    <cellStyle name="Note 2 12 4_Summary" xfId="21861" xr:uid="{00000000-0005-0000-0000-0000AE2A0000}"/>
    <cellStyle name="Note 2 12 5" xfId="906" xr:uid="{00000000-0005-0000-0000-0000AF2A0000}"/>
    <cellStyle name="Note 2 12 5 2" xfId="3042" xr:uid="{00000000-0005-0000-0000-0000B02A0000}"/>
    <cellStyle name="Note 2 12 5 2 2" xfId="9638" xr:uid="{00000000-0005-0000-0000-0000B12A0000}"/>
    <cellStyle name="Note 2 12 5 2 3" xfId="16257" xr:uid="{00000000-0005-0000-0000-0000B22A0000}"/>
    <cellStyle name="Note 2 12 5 2_Summary" xfId="21884" xr:uid="{00000000-0005-0000-0000-0000B32A0000}"/>
    <cellStyle name="Note 2 12 5 3" xfId="5077" xr:uid="{00000000-0005-0000-0000-0000B42A0000}"/>
    <cellStyle name="Note 2 12 5 3 2" xfId="11673" xr:uid="{00000000-0005-0000-0000-0000B52A0000}"/>
    <cellStyle name="Note 2 12 5 3 3" xfId="18292" xr:uid="{00000000-0005-0000-0000-0000B62A0000}"/>
    <cellStyle name="Note 2 12 5 3_Summary" xfId="21885" xr:uid="{00000000-0005-0000-0000-0000B72A0000}"/>
    <cellStyle name="Note 2 12 5 4" xfId="7503" xr:uid="{00000000-0005-0000-0000-0000B82A0000}"/>
    <cellStyle name="Note 2 12 5 5" xfId="14121" xr:uid="{00000000-0005-0000-0000-0000B92A0000}"/>
    <cellStyle name="Note 2 12 5_Summary" xfId="21883" xr:uid="{00000000-0005-0000-0000-0000BA2A0000}"/>
    <cellStyle name="Note 2 12 6" xfId="1191" xr:uid="{00000000-0005-0000-0000-0000BB2A0000}"/>
    <cellStyle name="Note 2 12 6 2" xfId="3327" xr:uid="{00000000-0005-0000-0000-0000BC2A0000}"/>
    <cellStyle name="Note 2 12 6 2 2" xfId="9923" xr:uid="{00000000-0005-0000-0000-0000BD2A0000}"/>
    <cellStyle name="Note 2 12 6 2 3" xfId="16542" xr:uid="{00000000-0005-0000-0000-0000BE2A0000}"/>
    <cellStyle name="Note 2 12 6 2_Summary" xfId="21887" xr:uid="{00000000-0005-0000-0000-0000BF2A0000}"/>
    <cellStyle name="Note 2 12 6 3" xfId="5362" xr:uid="{00000000-0005-0000-0000-0000C02A0000}"/>
    <cellStyle name="Note 2 12 6 3 2" xfId="11958" xr:uid="{00000000-0005-0000-0000-0000C12A0000}"/>
    <cellStyle name="Note 2 12 6 3 3" xfId="18577" xr:uid="{00000000-0005-0000-0000-0000C22A0000}"/>
    <cellStyle name="Note 2 12 6 3_Summary" xfId="21888" xr:uid="{00000000-0005-0000-0000-0000C32A0000}"/>
    <cellStyle name="Note 2 12 6 4" xfId="7787" xr:uid="{00000000-0005-0000-0000-0000C42A0000}"/>
    <cellStyle name="Note 2 12 6 5" xfId="14406" xr:uid="{00000000-0005-0000-0000-0000C52A0000}"/>
    <cellStyle name="Note 2 12 6_Summary" xfId="21886" xr:uid="{00000000-0005-0000-0000-0000C62A0000}"/>
    <cellStyle name="Note 2 12 7" xfId="1473" xr:uid="{00000000-0005-0000-0000-0000C72A0000}"/>
    <cellStyle name="Note 2 12 7 2" xfId="3609" xr:uid="{00000000-0005-0000-0000-0000C82A0000}"/>
    <cellStyle name="Note 2 12 7 2 2" xfId="10205" xr:uid="{00000000-0005-0000-0000-0000C92A0000}"/>
    <cellStyle name="Note 2 12 7 2 3" xfId="16824" xr:uid="{00000000-0005-0000-0000-0000CA2A0000}"/>
    <cellStyle name="Note 2 12 7 2_Summary" xfId="21890" xr:uid="{00000000-0005-0000-0000-0000CB2A0000}"/>
    <cellStyle name="Note 2 12 7 3" xfId="5644" xr:uid="{00000000-0005-0000-0000-0000CC2A0000}"/>
    <cellStyle name="Note 2 12 7 3 2" xfId="12240" xr:uid="{00000000-0005-0000-0000-0000CD2A0000}"/>
    <cellStyle name="Note 2 12 7 3 3" xfId="18859" xr:uid="{00000000-0005-0000-0000-0000CE2A0000}"/>
    <cellStyle name="Note 2 12 7 3_Summary" xfId="21891" xr:uid="{00000000-0005-0000-0000-0000CF2A0000}"/>
    <cellStyle name="Note 2 12 7 4" xfId="8069" xr:uid="{00000000-0005-0000-0000-0000D02A0000}"/>
    <cellStyle name="Note 2 12 7 5" xfId="14688" xr:uid="{00000000-0005-0000-0000-0000D12A0000}"/>
    <cellStyle name="Note 2 12 7_Summary" xfId="21889" xr:uid="{00000000-0005-0000-0000-0000D22A0000}"/>
    <cellStyle name="Note 2 12 8" xfId="1754" xr:uid="{00000000-0005-0000-0000-0000D32A0000}"/>
    <cellStyle name="Note 2 12 8 2" xfId="3890" xr:uid="{00000000-0005-0000-0000-0000D42A0000}"/>
    <cellStyle name="Note 2 12 8 2 2" xfId="10486" xr:uid="{00000000-0005-0000-0000-0000D52A0000}"/>
    <cellStyle name="Note 2 12 8 2 3" xfId="17105" xr:uid="{00000000-0005-0000-0000-0000D62A0000}"/>
    <cellStyle name="Note 2 12 8 2_Summary" xfId="21893" xr:uid="{00000000-0005-0000-0000-0000D72A0000}"/>
    <cellStyle name="Note 2 12 8 3" xfId="5925" xr:uid="{00000000-0005-0000-0000-0000D82A0000}"/>
    <cellStyle name="Note 2 12 8 3 2" xfId="12521" xr:uid="{00000000-0005-0000-0000-0000D92A0000}"/>
    <cellStyle name="Note 2 12 8 3 3" xfId="19140" xr:uid="{00000000-0005-0000-0000-0000DA2A0000}"/>
    <cellStyle name="Note 2 12 8 3_Summary" xfId="21894" xr:uid="{00000000-0005-0000-0000-0000DB2A0000}"/>
    <cellStyle name="Note 2 12 8 4" xfId="8350" xr:uid="{00000000-0005-0000-0000-0000DC2A0000}"/>
    <cellStyle name="Note 2 12 8 5" xfId="14969" xr:uid="{00000000-0005-0000-0000-0000DD2A0000}"/>
    <cellStyle name="Note 2 12 8_Summary" xfId="21892" xr:uid="{00000000-0005-0000-0000-0000DE2A0000}"/>
    <cellStyle name="Note 2 12 9" xfId="2033" xr:uid="{00000000-0005-0000-0000-0000DF2A0000}"/>
    <cellStyle name="Note 2 12 9 2" xfId="4169" xr:uid="{00000000-0005-0000-0000-0000E02A0000}"/>
    <cellStyle name="Note 2 12 9 2 2" xfId="10765" xr:uid="{00000000-0005-0000-0000-0000E12A0000}"/>
    <cellStyle name="Note 2 12 9 2 3" xfId="17384" xr:uid="{00000000-0005-0000-0000-0000E22A0000}"/>
    <cellStyle name="Note 2 12 9 2_Summary" xfId="21896" xr:uid="{00000000-0005-0000-0000-0000E32A0000}"/>
    <cellStyle name="Note 2 12 9 3" xfId="6204" xr:uid="{00000000-0005-0000-0000-0000E42A0000}"/>
    <cellStyle name="Note 2 12 9 3 2" xfId="12800" xr:uid="{00000000-0005-0000-0000-0000E52A0000}"/>
    <cellStyle name="Note 2 12 9 3 3" xfId="19419" xr:uid="{00000000-0005-0000-0000-0000E62A0000}"/>
    <cellStyle name="Note 2 12 9 3_Summary" xfId="21897" xr:uid="{00000000-0005-0000-0000-0000E72A0000}"/>
    <cellStyle name="Note 2 12 9 4" xfId="8629" xr:uid="{00000000-0005-0000-0000-0000E82A0000}"/>
    <cellStyle name="Note 2 12 9 5" xfId="15248" xr:uid="{00000000-0005-0000-0000-0000E92A0000}"/>
    <cellStyle name="Note 2 12 9_Summary" xfId="21895" xr:uid="{00000000-0005-0000-0000-0000EA2A0000}"/>
    <cellStyle name="Note 2 12_Summary" xfId="21788" xr:uid="{00000000-0005-0000-0000-0000EB2A0000}"/>
    <cellStyle name="Note 2 13" xfId="127" xr:uid="{00000000-0005-0000-0000-0000EC2A0000}"/>
    <cellStyle name="Note 2 13 10" xfId="2667" xr:uid="{00000000-0005-0000-0000-0000ED2A0000}"/>
    <cellStyle name="Note 2 13 10 2" xfId="9263" xr:uid="{00000000-0005-0000-0000-0000EE2A0000}"/>
    <cellStyle name="Note 2 13 10 3" xfId="15882" xr:uid="{00000000-0005-0000-0000-0000EF2A0000}"/>
    <cellStyle name="Note 2 13 10_Summary" xfId="21899" xr:uid="{00000000-0005-0000-0000-0000F02A0000}"/>
    <cellStyle name="Note 2 13 11" xfId="4702" xr:uid="{00000000-0005-0000-0000-0000F12A0000}"/>
    <cellStyle name="Note 2 13 11 2" xfId="11298" xr:uid="{00000000-0005-0000-0000-0000F22A0000}"/>
    <cellStyle name="Note 2 13 11 3" xfId="17917" xr:uid="{00000000-0005-0000-0000-0000F32A0000}"/>
    <cellStyle name="Note 2 13 11_Summary" xfId="21900" xr:uid="{00000000-0005-0000-0000-0000F42A0000}"/>
    <cellStyle name="Note 2 13 12" xfId="531" xr:uid="{00000000-0005-0000-0000-0000F52A0000}"/>
    <cellStyle name="Note 2 13 12 2" xfId="13746" xr:uid="{00000000-0005-0000-0000-0000F62A0000}"/>
    <cellStyle name="Note 2 13 12_Summary" xfId="21901" xr:uid="{00000000-0005-0000-0000-0000F72A0000}"/>
    <cellStyle name="Note 2 13 13" xfId="7045" xr:uid="{00000000-0005-0000-0000-0000F82A0000}"/>
    <cellStyle name="Note 2 13 14" xfId="7163" xr:uid="{00000000-0005-0000-0000-0000F92A0000}"/>
    <cellStyle name="Note 2 13 2" xfId="282" xr:uid="{00000000-0005-0000-0000-0000FA2A0000}"/>
    <cellStyle name="Note 2 13 2 10" xfId="805" xr:uid="{00000000-0005-0000-0000-0000FB2A0000}"/>
    <cellStyle name="Note 2 13 2 10 2" xfId="14020" xr:uid="{00000000-0005-0000-0000-0000FC2A0000}"/>
    <cellStyle name="Note 2 13 2 10_Summary" xfId="21903" xr:uid="{00000000-0005-0000-0000-0000FD2A0000}"/>
    <cellStyle name="Note 2 13 2 11" xfId="7176" xr:uid="{00000000-0005-0000-0000-0000FE2A0000}"/>
    <cellStyle name="Note 2 13 2 12" xfId="13498" xr:uid="{00000000-0005-0000-0000-0000FF2A0000}"/>
    <cellStyle name="Note 2 13 2 2" xfId="977" xr:uid="{00000000-0005-0000-0000-0000002B0000}"/>
    <cellStyle name="Note 2 13 2 2 2" xfId="3113" xr:uid="{00000000-0005-0000-0000-0000012B0000}"/>
    <cellStyle name="Note 2 13 2 2 2 2" xfId="9709" xr:uid="{00000000-0005-0000-0000-0000022B0000}"/>
    <cellStyle name="Note 2 13 2 2 2 3" xfId="16328" xr:uid="{00000000-0005-0000-0000-0000032B0000}"/>
    <cellStyle name="Note 2 13 2 2 2_Summary" xfId="21905" xr:uid="{00000000-0005-0000-0000-0000042B0000}"/>
    <cellStyle name="Note 2 13 2 2 3" xfId="5148" xr:uid="{00000000-0005-0000-0000-0000052B0000}"/>
    <cellStyle name="Note 2 13 2 2 3 2" xfId="11744" xr:uid="{00000000-0005-0000-0000-0000062B0000}"/>
    <cellStyle name="Note 2 13 2 2 3 3" xfId="18363" xr:uid="{00000000-0005-0000-0000-0000072B0000}"/>
    <cellStyle name="Note 2 13 2 2 3_Summary" xfId="21906" xr:uid="{00000000-0005-0000-0000-0000082B0000}"/>
    <cellStyle name="Note 2 13 2 2 4" xfId="7574" xr:uid="{00000000-0005-0000-0000-0000092B0000}"/>
    <cellStyle name="Note 2 13 2 2 5" xfId="14192" xr:uid="{00000000-0005-0000-0000-00000A2B0000}"/>
    <cellStyle name="Note 2 13 2 2_Summary" xfId="21904" xr:uid="{00000000-0005-0000-0000-00000B2B0000}"/>
    <cellStyle name="Note 2 13 2 3" xfId="1259" xr:uid="{00000000-0005-0000-0000-00000C2B0000}"/>
    <cellStyle name="Note 2 13 2 3 2" xfId="3395" xr:uid="{00000000-0005-0000-0000-00000D2B0000}"/>
    <cellStyle name="Note 2 13 2 3 2 2" xfId="9991" xr:uid="{00000000-0005-0000-0000-00000E2B0000}"/>
    <cellStyle name="Note 2 13 2 3 2 3" xfId="16610" xr:uid="{00000000-0005-0000-0000-00000F2B0000}"/>
    <cellStyle name="Note 2 13 2 3 2_Summary" xfId="21908" xr:uid="{00000000-0005-0000-0000-0000102B0000}"/>
    <cellStyle name="Note 2 13 2 3 3" xfId="5430" xr:uid="{00000000-0005-0000-0000-0000112B0000}"/>
    <cellStyle name="Note 2 13 2 3 3 2" xfId="12026" xr:uid="{00000000-0005-0000-0000-0000122B0000}"/>
    <cellStyle name="Note 2 13 2 3 3 3" xfId="18645" xr:uid="{00000000-0005-0000-0000-0000132B0000}"/>
    <cellStyle name="Note 2 13 2 3 3_Summary" xfId="21909" xr:uid="{00000000-0005-0000-0000-0000142B0000}"/>
    <cellStyle name="Note 2 13 2 3 4" xfId="7855" xr:uid="{00000000-0005-0000-0000-0000152B0000}"/>
    <cellStyle name="Note 2 13 2 3 5" xfId="14474" xr:uid="{00000000-0005-0000-0000-0000162B0000}"/>
    <cellStyle name="Note 2 13 2 3_Summary" xfId="21907" xr:uid="{00000000-0005-0000-0000-0000172B0000}"/>
    <cellStyle name="Note 2 13 2 4" xfId="1540" xr:uid="{00000000-0005-0000-0000-0000182B0000}"/>
    <cellStyle name="Note 2 13 2 4 2" xfId="3676" xr:uid="{00000000-0005-0000-0000-0000192B0000}"/>
    <cellStyle name="Note 2 13 2 4 2 2" xfId="10272" xr:uid="{00000000-0005-0000-0000-00001A2B0000}"/>
    <cellStyle name="Note 2 13 2 4 2 3" xfId="16891" xr:uid="{00000000-0005-0000-0000-00001B2B0000}"/>
    <cellStyle name="Note 2 13 2 4 2_Summary" xfId="21911" xr:uid="{00000000-0005-0000-0000-00001C2B0000}"/>
    <cellStyle name="Note 2 13 2 4 3" xfId="5711" xr:uid="{00000000-0005-0000-0000-00001D2B0000}"/>
    <cellStyle name="Note 2 13 2 4 3 2" xfId="12307" xr:uid="{00000000-0005-0000-0000-00001E2B0000}"/>
    <cellStyle name="Note 2 13 2 4 3 3" xfId="18926" xr:uid="{00000000-0005-0000-0000-00001F2B0000}"/>
    <cellStyle name="Note 2 13 2 4 3_Summary" xfId="21912" xr:uid="{00000000-0005-0000-0000-0000202B0000}"/>
    <cellStyle name="Note 2 13 2 4 4" xfId="8136" xr:uid="{00000000-0005-0000-0000-0000212B0000}"/>
    <cellStyle name="Note 2 13 2 4 5" xfId="14755" xr:uid="{00000000-0005-0000-0000-0000222B0000}"/>
    <cellStyle name="Note 2 13 2 4_Summary" xfId="21910" xr:uid="{00000000-0005-0000-0000-0000232B0000}"/>
    <cellStyle name="Note 2 13 2 5" xfId="1819" xr:uid="{00000000-0005-0000-0000-0000242B0000}"/>
    <cellStyle name="Note 2 13 2 5 2" xfId="3955" xr:uid="{00000000-0005-0000-0000-0000252B0000}"/>
    <cellStyle name="Note 2 13 2 5 2 2" xfId="10551" xr:uid="{00000000-0005-0000-0000-0000262B0000}"/>
    <cellStyle name="Note 2 13 2 5 2 3" xfId="17170" xr:uid="{00000000-0005-0000-0000-0000272B0000}"/>
    <cellStyle name="Note 2 13 2 5 2_Summary" xfId="21914" xr:uid="{00000000-0005-0000-0000-0000282B0000}"/>
    <cellStyle name="Note 2 13 2 5 3" xfId="5990" xr:uid="{00000000-0005-0000-0000-0000292B0000}"/>
    <cellStyle name="Note 2 13 2 5 3 2" xfId="12586" xr:uid="{00000000-0005-0000-0000-00002A2B0000}"/>
    <cellStyle name="Note 2 13 2 5 3 3" xfId="19205" xr:uid="{00000000-0005-0000-0000-00002B2B0000}"/>
    <cellStyle name="Note 2 13 2 5 3_Summary" xfId="21915" xr:uid="{00000000-0005-0000-0000-00002C2B0000}"/>
    <cellStyle name="Note 2 13 2 5 4" xfId="8415" xr:uid="{00000000-0005-0000-0000-00002D2B0000}"/>
    <cellStyle name="Note 2 13 2 5 5" xfId="15034" xr:uid="{00000000-0005-0000-0000-00002E2B0000}"/>
    <cellStyle name="Note 2 13 2 5_Summary" xfId="21913" xr:uid="{00000000-0005-0000-0000-00002F2B0000}"/>
    <cellStyle name="Note 2 13 2 6" xfId="2094" xr:uid="{00000000-0005-0000-0000-0000302B0000}"/>
    <cellStyle name="Note 2 13 2 6 2" xfId="4230" xr:uid="{00000000-0005-0000-0000-0000312B0000}"/>
    <cellStyle name="Note 2 13 2 6 2 2" xfId="10826" xr:uid="{00000000-0005-0000-0000-0000322B0000}"/>
    <cellStyle name="Note 2 13 2 6 2 3" xfId="17445" xr:uid="{00000000-0005-0000-0000-0000332B0000}"/>
    <cellStyle name="Note 2 13 2 6 2_Summary" xfId="21917" xr:uid="{00000000-0005-0000-0000-0000342B0000}"/>
    <cellStyle name="Note 2 13 2 6 3" xfId="6265" xr:uid="{00000000-0005-0000-0000-0000352B0000}"/>
    <cellStyle name="Note 2 13 2 6 3 2" xfId="12861" xr:uid="{00000000-0005-0000-0000-0000362B0000}"/>
    <cellStyle name="Note 2 13 2 6 3 3" xfId="19480" xr:uid="{00000000-0005-0000-0000-0000372B0000}"/>
    <cellStyle name="Note 2 13 2 6 3_Summary" xfId="21918" xr:uid="{00000000-0005-0000-0000-0000382B0000}"/>
    <cellStyle name="Note 2 13 2 6 4" xfId="8690" xr:uid="{00000000-0005-0000-0000-0000392B0000}"/>
    <cellStyle name="Note 2 13 2 6 5" xfId="15309" xr:uid="{00000000-0005-0000-0000-00003A2B0000}"/>
    <cellStyle name="Note 2 13 2 6_Summary" xfId="21916" xr:uid="{00000000-0005-0000-0000-00003B2B0000}"/>
    <cellStyle name="Note 2 13 2 7" xfId="2367" xr:uid="{00000000-0005-0000-0000-00003C2B0000}"/>
    <cellStyle name="Note 2 13 2 7 2" xfId="4503" xr:uid="{00000000-0005-0000-0000-00003D2B0000}"/>
    <cellStyle name="Note 2 13 2 7 2 2" xfId="11099" xr:uid="{00000000-0005-0000-0000-00003E2B0000}"/>
    <cellStyle name="Note 2 13 2 7 2 3" xfId="17718" xr:uid="{00000000-0005-0000-0000-00003F2B0000}"/>
    <cellStyle name="Note 2 13 2 7 2_Summary" xfId="21920" xr:uid="{00000000-0005-0000-0000-0000402B0000}"/>
    <cellStyle name="Note 2 13 2 7 3" xfId="6538" xr:uid="{00000000-0005-0000-0000-0000412B0000}"/>
    <cellStyle name="Note 2 13 2 7 3 2" xfId="13134" xr:uid="{00000000-0005-0000-0000-0000422B0000}"/>
    <cellStyle name="Note 2 13 2 7 3 3" xfId="19753" xr:uid="{00000000-0005-0000-0000-0000432B0000}"/>
    <cellStyle name="Note 2 13 2 7 3_Summary" xfId="21921" xr:uid="{00000000-0005-0000-0000-0000442B0000}"/>
    <cellStyle name="Note 2 13 2 7 4" xfId="8963" xr:uid="{00000000-0005-0000-0000-0000452B0000}"/>
    <cellStyle name="Note 2 13 2 7 5" xfId="15582" xr:uid="{00000000-0005-0000-0000-0000462B0000}"/>
    <cellStyle name="Note 2 13 2 7_Summary" xfId="21919" xr:uid="{00000000-0005-0000-0000-0000472B0000}"/>
    <cellStyle name="Note 2 13 2 8" xfId="2941" xr:uid="{00000000-0005-0000-0000-0000482B0000}"/>
    <cellStyle name="Note 2 13 2 8 2" xfId="9537" xr:uid="{00000000-0005-0000-0000-0000492B0000}"/>
    <cellStyle name="Note 2 13 2 8 3" xfId="16156" xr:uid="{00000000-0005-0000-0000-00004A2B0000}"/>
    <cellStyle name="Note 2 13 2 8_Summary" xfId="21922" xr:uid="{00000000-0005-0000-0000-00004B2B0000}"/>
    <cellStyle name="Note 2 13 2 9" xfId="4976" xr:uid="{00000000-0005-0000-0000-00004C2B0000}"/>
    <cellStyle name="Note 2 13 2 9 2" xfId="11572" xr:uid="{00000000-0005-0000-0000-00004D2B0000}"/>
    <cellStyle name="Note 2 13 2 9 3" xfId="18191" xr:uid="{00000000-0005-0000-0000-00004E2B0000}"/>
    <cellStyle name="Note 2 13 2 9_Summary" xfId="21923" xr:uid="{00000000-0005-0000-0000-00004F2B0000}"/>
    <cellStyle name="Note 2 13 2_Summary" xfId="21902" xr:uid="{00000000-0005-0000-0000-0000502B0000}"/>
    <cellStyle name="Note 2 13 3" xfId="349" xr:uid="{00000000-0005-0000-0000-0000512B0000}"/>
    <cellStyle name="Note 2 13 3 10" xfId="673" xr:uid="{00000000-0005-0000-0000-0000522B0000}"/>
    <cellStyle name="Note 2 13 3 10 2" xfId="13888" xr:uid="{00000000-0005-0000-0000-0000532B0000}"/>
    <cellStyle name="Note 2 13 3 10_Summary" xfId="21925" xr:uid="{00000000-0005-0000-0000-0000542B0000}"/>
    <cellStyle name="Note 2 13 3 11" xfId="7242" xr:uid="{00000000-0005-0000-0000-0000552B0000}"/>
    <cellStyle name="Note 2 13 3 12" xfId="13564" xr:uid="{00000000-0005-0000-0000-0000562B0000}"/>
    <cellStyle name="Note 2 13 3 2" xfId="1043" xr:uid="{00000000-0005-0000-0000-0000572B0000}"/>
    <cellStyle name="Note 2 13 3 2 2" xfId="3179" xr:uid="{00000000-0005-0000-0000-0000582B0000}"/>
    <cellStyle name="Note 2 13 3 2 2 2" xfId="9775" xr:uid="{00000000-0005-0000-0000-0000592B0000}"/>
    <cellStyle name="Note 2 13 3 2 2 3" xfId="16394" xr:uid="{00000000-0005-0000-0000-00005A2B0000}"/>
    <cellStyle name="Note 2 13 3 2 2_Summary" xfId="21927" xr:uid="{00000000-0005-0000-0000-00005B2B0000}"/>
    <cellStyle name="Note 2 13 3 2 3" xfId="5214" xr:uid="{00000000-0005-0000-0000-00005C2B0000}"/>
    <cellStyle name="Note 2 13 3 2 3 2" xfId="11810" xr:uid="{00000000-0005-0000-0000-00005D2B0000}"/>
    <cellStyle name="Note 2 13 3 2 3 3" xfId="18429" xr:uid="{00000000-0005-0000-0000-00005E2B0000}"/>
    <cellStyle name="Note 2 13 3 2 3_Summary" xfId="21928" xr:uid="{00000000-0005-0000-0000-00005F2B0000}"/>
    <cellStyle name="Note 2 13 3 2 4" xfId="7640" xr:uid="{00000000-0005-0000-0000-0000602B0000}"/>
    <cellStyle name="Note 2 13 3 2 5" xfId="14258" xr:uid="{00000000-0005-0000-0000-0000612B0000}"/>
    <cellStyle name="Note 2 13 3 2_Summary" xfId="21926" xr:uid="{00000000-0005-0000-0000-0000622B0000}"/>
    <cellStyle name="Note 2 13 3 3" xfId="1325" xr:uid="{00000000-0005-0000-0000-0000632B0000}"/>
    <cellStyle name="Note 2 13 3 3 2" xfId="3461" xr:uid="{00000000-0005-0000-0000-0000642B0000}"/>
    <cellStyle name="Note 2 13 3 3 2 2" xfId="10057" xr:uid="{00000000-0005-0000-0000-0000652B0000}"/>
    <cellStyle name="Note 2 13 3 3 2 3" xfId="16676" xr:uid="{00000000-0005-0000-0000-0000662B0000}"/>
    <cellStyle name="Note 2 13 3 3 2_Summary" xfId="21930" xr:uid="{00000000-0005-0000-0000-0000672B0000}"/>
    <cellStyle name="Note 2 13 3 3 3" xfId="5496" xr:uid="{00000000-0005-0000-0000-0000682B0000}"/>
    <cellStyle name="Note 2 13 3 3 3 2" xfId="12092" xr:uid="{00000000-0005-0000-0000-0000692B0000}"/>
    <cellStyle name="Note 2 13 3 3 3 3" xfId="18711" xr:uid="{00000000-0005-0000-0000-00006A2B0000}"/>
    <cellStyle name="Note 2 13 3 3 3_Summary" xfId="21931" xr:uid="{00000000-0005-0000-0000-00006B2B0000}"/>
    <cellStyle name="Note 2 13 3 3 4" xfId="7921" xr:uid="{00000000-0005-0000-0000-00006C2B0000}"/>
    <cellStyle name="Note 2 13 3 3 5" xfId="14540" xr:uid="{00000000-0005-0000-0000-00006D2B0000}"/>
    <cellStyle name="Note 2 13 3 3_Summary" xfId="21929" xr:uid="{00000000-0005-0000-0000-00006E2B0000}"/>
    <cellStyle name="Note 2 13 3 4" xfId="1606" xr:uid="{00000000-0005-0000-0000-00006F2B0000}"/>
    <cellStyle name="Note 2 13 3 4 2" xfId="3742" xr:uid="{00000000-0005-0000-0000-0000702B0000}"/>
    <cellStyle name="Note 2 13 3 4 2 2" xfId="10338" xr:uid="{00000000-0005-0000-0000-0000712B0000}"/>
    <cellStyle name="Note 2 13 3 4 2 3" xfId="16957" xr:uid="{00000000-0005-0000-0000-0000722B0000}"/>
    <cellStyle name="Note 2 13 3 4 2_Summary" xfId="21933" xr:uid="{00000000-0005-0000-0000-0000732B0000}"/>
    <cellStyle name="Note 2 13 3 4 3" xfId="5777" xr:uid="{00000000-0005-0000-0000-0000742B0000}"/>
    <cellStyle name="Note 2 13 3 4 3 2" xfId="12373" xr:uid="{00000000-0005-0000-0000-0000752B0000}"/>
    <cellStyle name="Note 2 13 3 4 3 3" xfId="18992" xr:uid="{00000000-0005-0000-0000-0000762B0000}"/>
    <cellStyle name="Note 2 13 3 4 3_Summary" xfId="21934" xr:uid="{00000000-0005-0000-0000-0000772B0000}"/>
    <cellStyle name="Note 2 13 3 4 4" xfId="8202" xr:uid="{00000000-0005-0000-0000-0000782B0000}"/>
    <cellStyle name="Note 2 13 3 4 5" xfId="14821" xr:uid="{00000000-0005-0000-0000-0000792B0000}"/>
    <cellStyle name="Note 2 13 3 4_Summary" xfId="21932" xr:uid="{00000000-0005-0000-0000-00007A2B0000}"/>
    <cellStyle name="Note 2 13 3 5" xfId="1885" xr:uid="{00000000-0005-0000-0000-00007B2B0000}"/>
    <cellStyle name="Note 2 13 3 5 2" xfId="4021" xr:uid="{00000000-0005-0000-0000-00007C2B0000}"/>
    <cellStyle name="Note 2 13 3 5 2 2" xfId="10617" xr:uid="{00000000-0005-0000-0000-00007D2B0000}"/>
    <cellStyle name="Note 2 13 3 5 2 3" xfId="17236" xr:uid="{00000000-0005-0000-0000-00007E2B0000}"/>
    <cellStyle name="Note 2 13 3 5 2_Summary" xfId="21936" xr:uid="{00000000-0005-0000-0000-00007F2B0000}"/>
    <cellStyle name="Note 2 13 3 5 3" xfId="6056" xr:uid="{00000000-0005-0000-0000-0000802B0000}"/>
    <cellStyle name="Note 2 13 3 5 3 2" xfId="12652" xr:uid="{00000000-0005-0000-0000-0000812B0000}"/>
    <cellStyle name="Note 2 13 3 5 3 3" xfId="19271" xr:uid="{00000000-0005-0000-0000-0000822B0000}"/>
    <cellStyle name="Note 2 13 3 5 3_Summary" xfId="21937" xr:uid="{00000000-0005-0000-0000-0000832B0000}"/>
    <cellStyle name="Note 2 13 3 5 4" xfId="8481" xr:uid="{00000000-0005-0000-0000-0000842B0000}"/>
    <cellStyle name="Note 2 13 3 5 5" xfId="15100" xr:uid="{00000000-0005-0000-0000-0000852B0000}"/>
    <cellStyle name="Note 2 13 3 5_Summary" xfId="21935" xr:uid="{00000000-0005-0000-0000-0000862B0000}"/>
    <cellStyle name="Note 2 13 3 6" xfId="2160" xr:uid="{00000000-0005-0000-0000-0000872B0000}"/>
    <cellStyle name="Note 2 13 3 6 2" xfId="4296" xr:uid="{00000000-0005-0000-0000-0000882B0000}"/>
    <cellStyle name="Note 2 13 3 6 2 2" xfId="10892" xr:uid="{00000000-0005-0000-0000-0000892B0000}"/>
    <cellStyle name="Note 2 13 3 6 2 3" xfId="17511" xr:uid="{00000000-0005-0000-0000-00008A2B0000}"/>
    <cellStyle name="Note 2 13 3 6 2_Summary" xfId="21939" xr:uid="{00000000-0005-0000-0000-00008B2B0000}"/>
    <cellStyle name="Note 2 13 3 6 3" xfId="6331" xr:uid="{00000000-0005-0000-0000-00008C2B0000}"/>
    <cellStyle name="Note 2 13 3 6 3 2" xfId="12927" xr:uid="{00000000-0005-0000-0000-00008D2B0000}"/>
    <cellStyle name="Note 2 13 3 6 3 3" xfId="19546" xr:uid="{00000000-0005-0000-0000-00008E2B0000}"/>
    <cellStyle name="Note 2 13 3 6 3_Summary" xfId="21940" xr:uid="{00000000-0005-0000-0000-00008F2B0000}"/>
    <cellStyle name="Note 2 13 3 6 4" xfId="8756" xr:uid="{00000000-0005-0000-0000-0000902B0000}"/>
    <cellStyle name="Note 2 13 3 6 5" xfId="15375" xr:uid="{00000000-0005-0000-0000-0000912B0000}"/>
    <cellStyle name="Note 2 13 3 6_Summary" xfId="21938" xr:uid="{00000000-0005-0000-0000-0000922B0000}"/>
    <cellStyle name="Note 2 13 3 7" xfId="2433" xr:uid="{00000000-0005-0000-0000-0000932B0000}"/>
    <cellStyle name="Note 2 13 3 7 2" xfId="4569" xr:uid="{00000000-0005-0000-0000-0000942B0000}"/>
    <cellStyle name="Note 2 13 3 7 2 2" xfId="11165" xr:uid="{00000000-0005-0000-0000-0000952B0000}"/>
    <cellStyle name="Note 2 13 3 7 2 3" xfId="17784" xr:uid="{00000000-0005-0000-0000-0000962B0000}"/>
    <cellStyle name="Note 2 13 3 7 2_Summary" xfId="21942" xr:uid="{00000000-0005-0000-0000-0000972B0000}"/>
    <cellStyle name="Note 2 13 3 7 3" xfId="6604" xr:uid="{00000000-0005-0000-0000-0000982B0000}"/>
    <cellStyle name="Note 2 13 3 7 3 2" xfId="13200" xr:uid="{00000000-0005-0000-0000-0000992B0000}"/>
    <cellStyle name="Note 2 13 3 7 3 3" xfId="19819" xr:uid="{00000000-0005-0000-0000-00009A2B0000}"/>
    <cellStyle name="Note 2 13 3 7 3_Summary" xfId="21943" xr:uid="{00000000-0005-0000-0000-00009B2B0000}"/>
    <cellStyle name="Note 2 13 3 7 4" xfId="9029" xr:uid="{00000000-0005-0000-0000-00009C2B0000}"/>
    <cellStyle name="Note 2 13 3 7 5" xfId="15648" xr:uid="{00000000-0005-0000-0000-00009D2B0000}"/>
    <cellStyle name="Note 2 13 3 7_Summary" xfId="21941" xr:uid="{00000000-0005-0000-0000-00009E2B0000}"/>
    <cellStyle name="Note 2 13 3 8" xfId="2809" xr:uid="{00000000-0005-0000-0000-00009F2B0000}"/>
    <cellStyle name="Note 2 13 3 8 2" xfId="9405" xr:uid="{00000000-0005-0000-0000-0000A02B0000}"/>
    <cellStyle name="Note 2 13 3 8 3" xfId="16024" xr:uid="{00000000-0005-0000-0000-0000A12B0000}"/>
    <cellStyle name="Note 2 13 3 8_Summary" xfId="21944" xr:uid="{00000000-0005-0000-0000-0000A22B0000}"/>
    <cellStyle name="Note 2 13 3 9" xfId="4844" xr:uid="{00000000-0005-0000-0000-0000A32B0000}"/>
    <cellStyle name="Note 2 13 3 9 2" xfId="11440" xr:uid="{00000000-0005-0000-0000-0000A42B0000}"/>
    <cellStyle name="Note 2 13 3 9 3" xfId="18059" xr:uid="{00000000-0005-0000-0000-0000A52B0000}"/>
    <cellStyle name="Note 2 13 3 9_Summary" xfId="21945" xr:uid="{00000000-0005-0000-0000-0000A62B0000}"/>
    <cellStyle name="Note 2 13 3_Summary" xfId="21924" xr:uid="{00000000-0005-0000-0000-0000A72B0000}"/>
    <cellStyle name="Note 2 13 4" xfId="623" xr:uid="{00000000-0005-0000-0000-0000A82B0000}"/>
    <cellStyle name="Note 2 13 4 2" xfId="2759" xr:uid="{00000000-0005-0000-0000-0000A92B0000}"/>
    <cellStyle name="Note 2 13 4 2 2" xfId="9355" xr:uid="{00000000-0005-0000-0000-0000AA2B0000}"/>
    <cellStyle name="Note 2 13 4 2 3" xfId="15974" xr:uid="{00000000-0005-0000-0000-0000AB2B0000}"/>
    <cellStyle name="Note 2 13 4 2_Summary" xfId="21947" xr:uid="{00000000-0005-0000-0000-0000AC2B0000}"/>
    <cellStyle name="Note 2 13 4 3" xfId="4794" xr:uid="{00000000-0005-0000-0000-0000AD2B0000}"/>
    <cellStyle name="Note 2 13 4 3 2" xfId="11390" xr:uid="{00000000-0005-0000-0000-0000AE2B0000}"/>
    <cellStyle name="Note 2 13 4 3 3" xfId="18009" xr:uid="{00000000-0005-0000-0000-0000AF2B0000}"/>
    <cellStyle name="Note 2 13 4 3_Summary" xfId="21948" xr:uid="{00000000-0005-0000-0000-0000B02B0000}"/>
    <cellStyle name="Note 2 13 4 4" xfId="7395" xr:uid="{00000000-0005-0000-0000-0000B12B0000}"/>
    <cellStyle name="Note 2 13 4 5" xfId="13838" xr:uid="{00000000-0005-0000-0000-0000B22B0000}"/>
    <cellStyle name="Note 2 13 4_Summary" xfId="21946" xr:uid="{00000000-0005-0000-0000-0000B32B0000}"/>
    <cellStyle name="Note 2 13 5" xfId="614" xr:uid="{00000000-0005-0000-0000-0000B42B0000}"/>
    <cellStyle name="Note 2 13 5 2" xfId="2750" xr:uid="{00000000-0005-0000-0000-0000B52B0000}"/>
    <cellStyle name="Note 2 13 5 2 2" xfId="9346" xr:uid="{00000000-0005-0000-0000-0000B62B0000}"/>
    <cellStyle name="Note 2 13 5 2 3" xfId="15965" xr:uid="{00000000-0005-0000-0000-0000B72B0000}"/>
    <cellStyle name="Note 2 13 5 2_Summary" xfId="21950" xr:uid="{00000000-0005-0000-0000-0000B82B0000}"/>
    <cellStyle name="Note 2 13 5 3" xfId="4785" xr:uid="{00000000-0005-0000-0000-0000B92B0000}"/>
    <cellStyle name="Note 2 13 5 3 2" xfId="11381" xr:uid="{00000000-0005-0000-0000-0000BA2B0000}"/>
    <cellStyle name="Note 2 13 5 3 3" xfId="18000" xr:uid="{00000000-0005-0000-0000-0000BB2B0000}"/>
    <cellStyle name="Note 2 13 5 3_Summary" xfId="21951" xr:uid="{00000000-0005-0000-0000-0000BC2B0000}"/>
    <cellStyle name="Note 2 13 5 4" xfId="7386" xr:uid="{00000000-0005-0000-0000-0000BD2B0000}"/>
    <cellStyle name="Note 2 13 5 5" xfId="13829" xr:uid="{00000000-0005-0000-0000-0000BE2B0000}"/>
    <cellStyle name="Note 2 13 5_Summary" xfId="21949" xr:uid="{00000000-0005-0000-0000-0000BF2B0000}"/>
    <cellStyle name="Note 2 13 6" xfId="608" xr:uid="{00000000-0005-0000-0000-0000C02B0000}"/>
    <cellStyle name="Note 2 13 6 2" xfId="2744" xr:uid="{00000000-0005-0000-0000-0000C12B0000}"/>
    <cellStyle name="Note 2 13 6 2 2" xfId="9340" xr:uid="{00000000-0005-0000-0000-0000C22B0000}"/>
    <cellStyle name="Note 2 13 6 2 3" xfId="15959" xr:uid="{00000000-0005-0000-0000-0000C32B0000}"/>
    <cellStyle name="Note 2 13 6 2_Summary" xfId="21953" xr:uid="{00000000-0005-0000-0000-0000C42B0000}"/>
    <cellStyle name="Note 2 13 6 3" xfId="4779" xr:uid="{00000000-0005-0000-0000-0000C52B0000}"/>
    <cellStyle name="Note 2 13 6 3 2" xfId="11375" xr:uid="{00000000-0005-0000-0000-0000C62B0000}"/>
    <cellStyle name="Note 2 13 6 3 3" xfId="17994" xr:uid="{00000000-0005-0000-0000-0000C72B0000}"/>
    <cellStyle name="Note 2 13 6 3_Summary" xfId="21954" xr:uid="{00000000-0005-0000-0000-0000C82B0000}"/>
    <cellStyle name="Note 2 13 6 4" xfId="7380" xr:uid="{00000000-0005-0000-0000-0000C92B0000}"/>
    <cellStyle name="Note 2 13 6 5" xfId="13823" xr:uid="{00000000-0005-0000-0000-0000CA2B0000}"/>
    <cellStyle name="Note 2 13 6_Summary" xfId="21952" xr:uid="{00000000-0005-0000-0000-0000CB2B0000}"/>
    <cellStyle name="Note 2 13 7" xfId="794" xr:uid="{00000000-0005-0000-0000-0000CC2B0000}"/>
    <cellStyle name="Note 2 13 7 2" xfId="2930" xr:uid="{00000000-0005-0000-0000-0000CD2B0000}"/>
    <cellStyle name="Note 2 13 7 2 2" xfId="9526" xr:uid="{00000000-0005-0000-0000-0000CE2B0000}"/>
    <cellStyle name="Note 2 13 7 2 3" xfId="16145" xr:uid="{00000000-0005-0000-0000-0000CF2B0000}"/>
    <cellStyle name="Note 2 13 7 2_Summary" xfId="21956" xr:uid="{00000000-0005-0000-0000-0000D02B0000}"/>
    <cellStyle name="Note 2 13 7 3" xfId="4965" xr:uid="{00000000-0005-0000-0000-0000D12B0000}"/>
    <cellStyle name="Note 2 13 7 3 2" xfId="11561" xr:uid="{00000000-0005-0000-0000-0000D22B0000}"/>
    <cellStyle name="Note 2 13 7 3 3" xfId="18180" xr:uid="{00000000-0005-0000-0000-0000D32B0000}"/>
    <cellStyle name="Note 2 13 7 3_Summary" xfId="21957" xr:uid="{00000000-0005-0000-0000-0000D42B0000}"/>
    <cellStyle name="Note 2 13 7 4" xfId="7460" xr:uid="{00000000-0005-0000-0000-0000D52B0000}"/>
    <cellStyle name="Note 2 13 7 5" xfId="14009" xr:uid="{00000000-0005-0000-0000-0000D62B0000}"/>
    <cellStyle name="Note 2 13 7_Summary" xfId="21955" xr:uid="{00000000-0005-0000-0000-0000D72B0000}"/>
    <cellStyle name="Note 2 13 8" xfId="666" xr:uid="{00000000-0005-0000-0000-0000D82B0000}"/>
    <cellStyle name="Note 2 13 8 2" xfId="2802" xr:uid="{00000000-0005-0000-0000-0000D92B0000}"/>
    <cellStyle name="Note 2 13 8 2 2" xfId="9398" xr:uid="{00000000-0005-0000-0000-0000DA2B0000}"/>
    <cellStyle name="Note 2 13 8 2 3" xfId="16017" xr:uid="{00000000-0005-0000-0000-0000DB2B0000}"/>
    <cellStyle name="Note 2 13 8 2_Summary" xfId="21959" xr:uid="{00000000-0005-0000-0000-0000DC2B0000}"/>
    <cellStyle name="Note 2 13 8 3" xfId="4837" xr:uid="{00000000-0005-0000-0000-0000DD2B0000}"/>
    <cellStyle name="Note 2 13 8 3 2" xfId="11433" xr:uid="{00000000-0005-0000-0000-0000DE2B0000}"/>
    <cellStyle name="Note 2 13 8 3 3" xfId="18052" xr:uid="{00000000-0005-0000-0000-0000DF2B0000}"/>
    <cellStyle name="Note 2 13 8 3_Summary" xfId="21960" xr:uid="{00000000-0005-0000-0000-0000E02B0000}"/>
    <cellStyle name="Note 2 13 8 4" xfId="7436" xr:uid="{00000000-0005-0000-0000-0000E12B0000}"/>
    <cellStyle name="Note 2 13 8 5" xfId="13881" xr:uid="{00000000-0005-0000-0000-0000E22B0000}"/>
    <cellStyle name="Note 2 13 8_Summary" xfId="21958" xr:uid="{00000000-0005-0000-0000-0000E32B0000}"/>
    <cellStyle name="Note 2 13 9" xfId="958" xr:uid="{00000000-0005-0000-0000-0000E42B0000}"/>
    <cellStyle name="Note 2 13 9 2" xfId="3094" xr:uid="{00000000-0005-0000-0000-0000E52B0000}"/>
    <cellStyle name="Note 2 13 9 2 2" xfId="9690" xr:uid="{00000000-0005-0000-0000-0000E62B0000}"/>
    <cellStyle name="Note 2 13 9 2 3" xfId="16309" xr:uid="{00000000-0005-0000-0000-0000E72B0000}"/>
    <cellStyle name="Note 2 13 9 2_Summary" xfId="21962" xr:uid="{00000000-0005-0000-0000-0000E82B0000}"/>
    <cellStyle name="Note 2 13 9 3" xfId="5129" xr:uid="{00000000-0005-0000-0000-0000E92B0000}"/>
    <cellStyle name="Note 2 13 9 3 2" xfId="11725" xr:uid="{00000000-0005-0000-0000-0000EA2B0000}"/>
    <cellStyle name="Note 2 13 9 3 3" xfId="18344" xr:uid="{00000000-0005-0000-0000-0000EB2B0000}"/>
    <cellStyle name="Note 2 13 9 3_Summary" xfId="21963" xr:uid="{00000000-0005-0000-0000-0000EC2B0000}"/>
    <cellStyle name="Note 2 13 9 4" xfId="7555" xr:uid="{00000000-0005-0000-0000-0000ED2B0000}"/>
    <cellStyle name="Note 2 13 9 5" xfId="14173" xr:uid="{00000000-0005-0000-0000-0000EE2B0000}"/>
    <cellStyle name="Note 2 13 9_Summary" xfId="21961" xr:uid="{00000000-0005-0000-0000-0000EF2B0000}"/>
    <cellStyle name="Note 2 13_Summary" xfId="21898" xr:uid="{00000000-0005-0000-0000-0000F02B0000}"/>
    <cellStyle name="Note 2 14" xfId="276" xr:uid="{00000000-0005-0000-0000-0000F12B0000}"/>
    <cellStyle name="Note 2 14 10" xfId="4697" xr:uid="{00000000-0005-0000-0000-0000F22B0000}"/>
    <cellStyle name="Note 2 14 10 2" xfId="11293" xr:uid="{00000000-0005-0000-0000-0000F32B0000}"/>
    <cellStyle name="Note 2 14 10 3" xfId="17912" xr:uid="{00000000-0005-0000-0000-0000F42B0000}"/>
    <cellStyle name="Note 2 14 10_Summary" xfId="21965" xr:uid="{00000000-0005-0000-0000-0000F52B0000}"/>
    <cellStyle name="Note 2 14 11" xfId="526" xr:uid="{00000000-0005-0000-0000-0000F62B0000}"/>
    <cellStyle name="Note 2 14 11 2" xfId="13741" xr:uid="{00000000-0005-0000-0000-0000F72B0000}"/>
    <cellStyle name="Note 2 14 11_Summary" xfId="21966" xr:uid="{00000000-0005-0000-0000-0000F82B0000}"/>
    <cellStyle name="Note 2 14 12" xfId="7170" xr:uid="{00000000-0005-0000-0000-0000F92B0000}"/>
    <cellStyle name="Note 2 14 13" xfId="13493" xr:uid="{00000000-0005-0000-0000-0000FA2B0000}"/>
    <cellStyle name="Note 2 14 2" xfId="410" xr:uid="{00000000-0005-0000-0000-0000FB2B0000}"/>
    <cellStyle name="Note 2 14 2 10" xfId="800" xr:uid="{00000000-0005-0000-0000-0000FC2B0000}"/>
    <cellStyle name="Note 2 14 2 10 2" xfId="14015" xr:uid="{00000000-0005-0000-0000-0000FD2B0000}"/>
    <cellStyle name="Note 2 14 2 10_Summary" xfId="21968" xr:uid="{00000000-0005-0000-0000-0000FE2B0000}"/>
    <cellStyle name="Note 2 14 2 11" xfId="7303" xr:uid="{00000000-0005-0000-0000-0000FF2B0000}"/>
    <cellStyle name="Note 2 14 2 12" xfId="13625" xr:uid="{00000000-0005-0000-0000-0000002C0000}"/>
    <cellStyle name="Note 2 14 2 2" xfId="1104" xr:uid="{00000000-0005-0000-0000-0000012C0000}"/>
    <cellStyle name="Note 2 14 2 2 2" xfId="3240" xr:uid="{00000000-0005-0000-0000-0000022C0000}"/>
    <cellStyle name="Note 2 14 2 2 2 2" xfId="9836" xr:uid="{00000000-0005-0000-0000-0000032C0000}"/>
    <cellStyle name="Note 2 14 2 2 2 3" xfId="16455" xr:uid="{00000000-0005-0000-0000-0000042C0000}"/>
    <cellStyle name="Note 2 14 2 2 2_Summary" xfId="21970" xr:uid="{00000000-0005-0000-0000-0000052C0000}"/>
    <cellStyle name="Note 2 14 2 2 3" xfId="5275" xr:uid="{00000000-0005-0000-0000-0000062C0000}"/>
    <cellStyle name="Note 2 14 2 2 3 2" xfId="11871" xr:uid="{00000000-0005-0000-0000-0000072C0000}"/>
    <cellStyle name="Note 2 14 2 2 3 3" xfId="18490" xr:uid="{00000000-0005-0000-0000-0000082C0000}"/>
    <cellStyle name="Note 2 14 2 2 3_Summary" xfId="21971" xr:uid="{00000000-0005-0000-0000-0000092C0000}"/>
    <cellStyle name="Note 2 14 2 2 4" xfId="7700" xr:uid="{00000000-0005-0000-0000-00000A2C0000}"/>
    <cellStyle name="Note 2 14 2 2 5" xfId="14319" xr:uid="{00000000-0005-0000-0000-00000B2C0000}"/>
    <cellStyle name="Note 2 14 2 2_Summary" xfId="21969" xr:uid="{00000000-0005-0000-0000-00000C2C0000}"/>
    <cellStyle name="Note 2 14 2 3" xfId="1386" xr:uid="{00000000-0005-0000-0000-00000D2C0000}"/>
    <cellStyle name="Note 2 14 2 3 2" xfId="3522" xr:uid="{00000000-0005-0000-0000-00000E2C0000}"/>
    <cellStyle name="Note 2 14 2 3 2 2" xfId="10118" xr:uid="{00000000-0005-0000-0000-00000F2C0000}"/>
    <cellStyle name="Note 2 14 2 3 2 3" xfId="16737" xr:uid="{00000000-0005-0000-0000-0000102C0000}"/>
    <cellStyle name="Note 2 14 2 3 2_Summary" xfId="21973" xr:uid="{00000000-0005-0000-0000-0000112C0000}"/>
    <cellStyle name="Note 2 14 2 3 3" xfId="5557" xr:uid="{00000000-0005-0000-0000-0000122C0000}"/>
    <cellStyle name="Note 2 14 2 3 3 2" xfId="12153" xr:uid="{00000000-0005-0000-0000-0000132C0000}"/>
    <cellStyle name="Note 2 14 2 3 3 3" xfId="18772" xr:uid="{00000000-0005-0000-0000-0000142C0000}"/>
    <cellStyle name="Note 2 14 2 3 3_Summary" xfId="21974" xr:uid="{00000000-0005-0000-0000-0000152C0000}"/>
    <cellStyle name="Note 2 14 2 3 4" xfId="7982" xr:uid="{00000000-0005-0000-0000-0000162C0000}"/>
    <cellStyle name="Note 2 14 2 3 5" xfId="14601" xr:uid="{00000000-0005-0000-0000-0000172C0000}"/>
    <cellStyle name="Note 2 14 2 3_Summary" xfId="21972" xr:uid="{00000000-0005-0000-0000-0000182C0000}"/>
    <cellStyle name="Note 2 14 2 4" xfId="1667" xr:uid="{00000000-0005-0000-0000-0000192C0000}"/>
    <cellStyle name="Note 2 14 2 4 2" xfId="3803" xr:uid="{00000000-0005-0000-0000-00001A2C0000}"/>
    <cellStyle name="Note 2 14 2 4 2 2" xfId="10399" xr:uid="{00000000-0005-0000-0000-00001B2C0000}"/>
    <cellStyle name="Note 2 14 2 4 2 3" xfId="17018" xr:uid="{00000000-0005-0000-0000-00001C2C0000}"/>
    <cellStyle name="Note 2 14 2 4 2_Summary" xfId="21976" xr:uid="{00000000-0005-0000-0000-00001D2C0000}"/>
    <cellStyle name="Note 2 14 2 4 3" xfId="5838" xr:uid="{00000000-0005-0000-0000-00001E2C0000}"/>
    <cellStyle name="Note 2 14 2 4 3 2" xfId="12434" xr:uid="{00000000-0005-0000-0000-00001F2C0000}"/>
    <cellStyle name="Note 2 14 2 4 3 3" xfId="19053" xr:uid="{00000000-0005-0000-0000-0000202C0000}"/>
    <cellStyle name="Note 2 14 2 4 3_Summary" xfId="21977" xr:uid="{00000000-0005-0000-0000-0000212C0000}"/>
    <cellStyle name="Note 2 14 2 4 4" xfId="8263" xr:uid="{00000000-0005-0000-0000-0000222C0000}"/>
    <cellStyle name="Note 2 14 2 4 5" xfId="14882" xr:uid="{00000000-0005-0000-0000-0000232C0000}"/>
    <cellStyle name="Note 2 14 2 4_Summary" xfId="21975" xr:uid="{00000000-0005-0000-0000-0000242C0000}"/>
    <cellStyle name="Note 2 14 2 5" xfId="1946" xr:uid="{00000000-0005-0000-0000-0000252C0000}"/>
    <cellStyle name="Note 2 14 2 5 2" xfId="4082" xr:uid="{00000000-0005-0000-0000-0000262C0000}"/>
    <cellStyle name="Note 2 14 2 5 2 2" xfId="10678" xr:uid="{00000000-0005-0000-0000-0000272C0000}"/>
    <cellStyle name="Note 2 14 2 5 2 3" xfId="17297" xr:uid="{00000000-0005-0000-0000-0000282C0000}"/>
    <cellStyle name="Note 2 14 2 5 2_Summary" xfId="21979" xr:uid="{00000000-0005-0000-0000-0000292C0000}"/>
    <cellStyle name="Note 2 14 2 5 3" xfId="6117" xr:uid="{00000000-0005-0000-0000-00002A2C0000}"/>
    <cellStyle name="Note 2 14 2 5 3 2" xfId="12713" xr:uid="{00000000-0005-0000-0000-00002B2C0000}"/>
    <cellStyle name="Note 2 14 2 5 3 3" xfId="19332" xr:uid="{00000000-0005-0000-0000-00002C2C0000}"/>
    <cellStyle name="Note 2 14 2 5 3_Summary" xfId="21980" xr:uid="{00000000-0005-0000-0000-00002D2C0000}"/>
    <cellStyle name="Note 2 14 2 5 4" xfId="8542" xr:uid="{00000000-0005-0000-0000-00002E2C0000}"/>
    <cellStyle name="Note 2 14 2 5 5" xfId="15161" xr:uid="{00000000-0005-0000-0000-00002F2C0000}"/>
    <cellStyle name="Note 2 14 2 5_Summary" xfId="21978" xr:uid="{00000000-0005-0000-0000-0000302C0000}"/>
    <cellStyle name="Note 2 14 2 6" xfId="2221" xr:uid="{00000000-0005-0000-0000-0000312C0000}"/>
    <cellStyle name="Note 2 14 2 6 2" xfId="4357" xr:uid="{00000000-0005-0000-0000-0000322C0000}"/>
    <cellStyle name="Note 2 14 2 6 2 2" xfId="10953" xr:uid="{00000000-0005-0000-0000-0000332C0000}"/>
    <cellStyle name="Note 2 14 2 6 2 3" xfId="17572" xr:uid="{00000000-0005-0000-0000-0000342C0000}"/>
    <cellStyle name="Note 2 14 2 6 2_Summary" xfId="21982" xr:uid="{00000000-0005-0000-0000-0000352C0000}"/>
    <cellStyle name="Note 2 14 2 6 3" xfId="6392" xr:uid="{00000000-0005-0000-0000-0000362C0000}"/>
    <cellStyle name="Note 2 14 2 6 3 2" xfId="12988" xr:uid="{00000000-0005-0000-0000-0000372C0000}"/>
    <cellStyle name="Note 2 14 2 6 3 3" xfId="19607" xr:uid="{00000000-0005-0000-0000-0000382C0000}"/>
    <cellStyle name="Note 2 14 2 6 3_Summary" xfId="21983" xr:uid="{00000000-0005-0000-0000-0000392C0000}"/>
    <cellStyle name="Note 2 14 2 6 4" xfId="8817" xr:uid="{00000000-0005-0000-0000-00003A2C0000}"/>
    <cellStyle name="Note 2 14 2 6 5" xfId="15436" xr:uid="{00000000-0005-0000-0000-00003B2C0000}"/>
    <cellStyle name="Note 2 14 2 6_Summary" xfId="21981" xr:uid="{00000000-0005-0000-0000-00003C2C0000}"/>
    <cellStyle name="Note 2 14 2 7" xfId="2494" xr:uid="{00000000-0005-0000-0000-00003D2C0000}"/>
    <cellStyle name="Note 2 14 2 7 2" xfId="4630" xr:uid="{00000000-0005-0000-0000-00003E2C0000}"/>
    <cellStyle name="Note 2 14 2 7 2 2" xfId="11226" xr:uid="{00000000-0005-0000-0000-00003F2C0000}"/>
    <cellStyle name="Note 2 14 2 7 2 3" xfId="17845" xr:uid="{00000000-0005-0000-0000-0000402C0000}"/>
    <cellStyle name="Note 2 14 2 7 2_Summary" xfId="21985" xr:uid="{00000000-0005-0000-0000-0000412C0000}"/>
    <cellStyle name="Note 2 14 2 7 3" xfId="6665" xr:uid="{00000000-0005-0000-0000-0000422C0000}"/>
    <cellStyle name="Note 2 14 2 7 3 2" xfId="13261" xr:uid="{00000000-0005-0000-0000-0000432C0000}"/>
    <cellStyle name="Note 2 14 2 7 3 3" xfId="19880" xr:uid="{00000000-0005-0000-0000-0000442C0000}"/>
    <cellStyle name="Note 2 14 2 7 3_Summary" xfId="21986" xr:uid="{00000000-0005-0000-0000-0000452C0000}"/>
    <cellStyle name="Note 2 14 2 7 4" xfId="9090" xr:uid="{00000000-0005-0000-0000-0000462C0000}"/>
    <cellStyle name="Note 2 14 2 7 5" xfId="15709" xr:uid="{00000000-0005-0000-0000-0000472C0000}"/>
    <cellStyle name="Note 2 14 2 7_Summary" xfId="21984" xr:uid="{00000000-0005-0000-0000-0000482C0000}"/>
    <cellStyle name="Note 2 14 2 8" xfId="2936" xr:uid="{00000000-0005-0000-0000-0000492C0000}"/>
    <cellStyle name="Note 2 14 2 8 2" xfId="9532" xr:uid="{00000000-0005-0000-0000-00004A2C0000}"/>
    <cellStyle name="Note 2 14 2 8 3" xfId="16151" xr:uid="{00000000-0005-0000-0000-00004B2C0000}"/>
    <cellStyle name="Note 2 14 2 8_Summary" xfId="21987" xr:uid="{00000000-0005-0000-0000-00004C2C0000}"/>
    <cellStyle name="Note 2 14 2 9" xfId="4971" xr:uid="{00000000-0005-0000-0000-00004D2C0000}"/>
    <cellStyle name="Note 2 14 2 9 2" xfId="11567" xr:uid="{00000000-0005-0000-0000-00004E2C0000}"/>
    <cellStyle name="Note 2 14 2 9 3" xfId="18186" xr:uid="{00000000-0005-0000-0000-00004F2C0000}"/>
    <cellStyle name="Note 2 14 2 9_Summary" xfId="21988" xr:uid="{00000000-0005-0000-0000-0000502C0000}"/>
    <cellStyle name="Note 2 14 2_Summary" xfId="21967" xr:uid="{00000000-0005-0000-0000-0000512C0000}"/>
    <cellStyle name="Note 2 14 3" xfId="971" xr:uid="{00000000-0005-0000-0000-0000522C0000}"/>
    <cellStyle name="Note 2 14 3 2" xfId="3107" xr:uid="{00000000-0005-0000-0000-0000532C0000}"/>
    <cellStyle name="Note 2 14 3 2 2" xfId="9703" xr:uid="{00000000-0005-0000-0000-0000542C0000}"/>
    <cellStyle name="Note 2 14 3 2 3" xfId="16322" xr:uid="{00000000-0005-0000-0000-0000552C0000}"/>
    <cellStyle name="Note 2 14 3 2_Summary" xfId="21990" xr:uid="{00000000-0005-0000-0000-0000562C0000}"/>
    <cellStyle name="Note 2 14 3 3" xfId="5142" xr:uid="{00000000-0005-0000-0000-0000572C0000}"/>
    <cellStyle name="Note 2 14 3 3 2" xfId="11738" xr:uid="{00000000-0005-0000-0000-0000582C0000}"/>
    <cellStyle name="Note 2 14 3 3 3" xfId="18357" xr:uid="{00000000-0005-0000-0000-0000592C0000}"/>
    <cellStyle name="Note 2 14 3 3_Summary" xfId="21991" xr:uid="{00000000-0005-0000-0000-00005A2C0000}"/>
    <cellStyle name="Note 2 14 3 4" xfId="7568" xr:uid="{00000000-0005-0000-0000-00005B2C0000}"/>
    <cellStyle name="Note 2 14 3 5" xfId="14186" xr:uid="{00000000-0005-0000-0000-00005C2C0000}"/>
    <cellStyle name="Note 2 14 3_Summary" xfId="21989" xr:uid="{00000000-0005-0000-0000-00005D2C0000}"/>
    <cellStyle name="Note 2 14 4" xfId="1253" xr:uid="{00000000-0005-0000-0000-00005E2C0000}"/>
    <cellStyle name="Note 2 14 4 2" xfId="3389" xr:uid="{00000000-0005-0000-0000-00005F2C0000}"/>
    <cellStyle name="Note 2 14 4 2 2" xfId="9985" xr:uid="{00000000-0005-0000-0000-0000602C0000}"/>
    <cellStyle name="Note 2 14 4 2 3" xfId="16604" xr:uid="{00000000-0005-0000-0000-0000612C0000}"/>
    <cellStyle name="Note 2 14 4 2_Summary" xfId="21993" xr:uid="{00000000-0005-0000-0000-0000622C0000}"/>
    <cellStyle name="Note 2 14 4 3" xfId="5424" xr:uid="{00000000-0005-0000-0000-0000632C0000}"/>
    <cellStyle name="Note 2 14 4 3 2" xfId="12020" xr:uid="{00000000-0005-0000-0000-0000642C0000}"/>
    <cellStyle name="Note 2 14 4 3 3" xfId="18639" xr:uid="{00000000-0005-0000-0000-0000652C0000}"/>
    <cellStyle name="Note 2 14 4 3_Summary" xfId="21994" xr:uid="{00000000-0005-0000-0000-0000662C0000}"/>
    <cellStyle name="Note 2 14 4 4" xfId="7849" xr:uid="{00000000-0005-0000-0000-0000672C0000}"/>
    <cellStyle name="Note 2 14 4 5" xfId="14468" xr:uid="{00000000-0005-0000-0000-0000682C0000}"/>
    <cellStyle name="Note 2 14 4_Summary" xfId="21992" xr:uid="{00000000-0005-0000-0000-0000692C0000}"/>
    <cellStyle name="Note 2 14 5" xfId="1534" xr:uid="{00000000-0005-0000-0000-00006A2C0000}"/>
    <cellStyle name="Note 2 14 5 2" xfId="3670" xr:uid="{00000000-0005-0000-0000-00006B2C0000}"/>
    <cellStyle name="Note 2 14 5 2 2" xfId="10266" xr:uid="{00000000-0005-0000-0000-00006C2C0000}"/>
    <cellStyle name="Note 2 14 5 2 3" xfId="16885" xr:uid="{00000000-0005-0000-0000-00006D2C0000}"/>
    <cellStyle name="Note 2 14 5 2_Summary" xfId="21996" xr:uid="{00000000-0005-0000-0000-00006E2C0000}"/>
    <cellStyle name="Note 2 14 5 3" xfId="5705" xr:uid="{00000000-0005-0000-0000-00006F2C0000}"/>
    <cellStyle name="Note 2 14 5 3 2" xfId="12301" xr:uid="{00000000-0005-0000-0000-0000702C0000}"/>
    <cellStyle name="Note 2 14 5 3 3" xfId="18920" xr:uid="{00000000-0005-0000-0000-0000712C0000}"/>
    <cellStyle name="Note 2 14 5 3_Summary" xfId="21997" xr:uid="{00000000-0005-0000-0000-0000722C0000}"/>
    <cellStyle name="Note 2 14 5 4" xfId="8130" xr:uid="{00000000-0005-0000-0000-0000732C0000}"/>
    <cellStyle name="Note 2 14 5 5" xfId="14749" xr:uid="{00000000-0005-0000-0000-0000742C0000}"/>
    <cellStyle name="Note 2 14 5_Summary" xfId="21995" xr:uid="{00000000-0005-0000-0000-0000752C0000}"/>
    <cellStyle name="Note 2 14 6" xfId="1813" xr:uid="{00000000-0005-0000-0000-0000762C0000}"/>
    <cellStyle name="Note 2 14 6 2" xfId="3949" xr:uid="{00000000-0005-0000-0000-0000772C0000}"/>
    <cellStyle name="Note 2 14 6 2 2" xfId="10545" xr:uid="{00000000-0005-0000-0000-0000782C0000}"/>
    <cellStyle name="Note 2 14 6 2 3" xfId="17164" xr:uid="{00000000-0005-0000-0000-0000792C0000}"/>
    <cellStyle name="Note 2 14 6 2_Summary" xfId="21999" xr:uid="{00000000-0005-0000-0000-00007A2C0000}"/>
    <cellStyle name="Note 2 14 6 3" xfId="5984" xr:uid="{00000000-0005-0000-0000-00007B2C0000}"/>
    <cellStyle name="Note 2 14 6 3 2" xfId="12580" xr:uid="{00000000-0005-0000-0000-00007C2C0000}"/>
    <cellStyle name="Note 2 14 6 3 3" xfId="19199" xr:uid="{00000000-0005-0000-0000-00007D2C0000}"/>
    <cellStyle name="Note 2 14 6 3_Summary" xfId="22000" xr:uid="{00000000-0005-0000-0000-00007E2C0000}"/>
    <cellStyle name="Note 2 14 6 4" xfId="8409" xr:uid="{00000000-0005-0000-0000-00007F2C0000}"/>
    <cellStyle name="Note 2 14 6 5" xfId="15028" xr:uid="{00000000-0005-0000-0000-0000802C0000}"/>
    <cellStyle name="Note 2 14 6_Summary" xfId="21998" xr:uid="{00000000-0005-0000-0000-0000812C0000}"/>
    <cellStyle name="Note 2 14 7" xfId="2089" xr:uid="{00000000-0005-0000-0000-0000822C0000}"/>
    <cellStyle name="Note 2 14 7 2" xfId="4225" xr:uid="{00000000-0005-0000-0000-0000832C0000}"/>
    <cellStyle name="Note 2 14 7 2 2" xfId="10821" xr:uid="{00000000-0005-0000-0000-0000842C0000}"/>
    <cellStyle name="Note 2 14 7 2 3" xfId="17440" xr:uid="{00000000-0005-0000-0000-0000852C0000}"/>
    <cellStyle name="Note 2 14 7 2_Summary" xfId="22002" xr:uid="{00000000-0005-0000-0000-0000862C0000}"/>
    <cellStyle name="Note 2 14 7 3" xfId="6260" xr:uid="{00000000-0005-0000-0000-0000872C0000}"/>
    <cellStyle name="Note 2 14 7 3 2" xfId="12856" xr:uid="{00000000-0005-0000-0000-0000882C0000}"/>
    <cellStyle name="Note 2 14 7 3 3" xfId="19475" xr:uid="{00000000-0005-0000-0000-0000892C0000}"/>
    <cellStyle name="Note 2 14 7 3_Summary" xfId="22003" xr:uid="{00000000-0005-0000-0000-00008A2C0000}"/>
    <cellStyle name="Note 2 14 7 4" xfId="8685" xr:uid="{00000000-0005-0000-0000-00008B2C0000}"/>
    <cellStyle name="Note 2 14 7 5" xfId="15304" xr:uid="{00000000-0005-0000-0000-00008C2C0000}"/>
    <cellStyle name="Note 2 14 7_Summary" xfId="22001" xr:uid="{00000000-0005-0000-0000-00008D2C0000}"/>
    <cellStyle name="Note 2 14 8" xfId="2362" xr:uid="{00000000-0005-0000-0000-00008E2C0000}"/>
    <cellStyle name="Note 2 14 8 2" xfId="4498" xr:uid="{00000000-0005-0000-0000-00008F2C0000}"/>
    <cellStyle name="Note 2 14 8 2 2" xfId="11094" xr:uid="{00000000-0005-0000-0000-0000902C0000}"/>
    <cellStyle name="Note 2 14 8 2 3" xfId="17713" xr:uid="{00000000-0005-0000-0000-0000912C0000}"/>
    <cellStyle name="Note 2 14 8 2_Summary" xfId="22005" xr:uid="{00000000-0005-0000-0000-0000922C0000}"/>
    <cellStyle name="Note 2 14 8 3" xfId="6533" xr:uid="{00000000-0005-0000-0000-0000932C0000}"/>
    <cellStyle name="Note 2 14 8 3 2" xfId="13129" xr:uid="{00000000-0005-0000-0000-0000942C0000}"/>
    <cellStyle name="Note 2 14 8 3 3" xfId="19748" xr:uid="{00000000-0005-0000-0000-0000952C0000}"/>
    <cellStyle name="Note 2 14 8 3_Summary" xfId="22006" xr:uid="{00000000-0005-0000-0000-0000962C0000}"/>
    <cellStyle name="Note 2 14 8 4" xfId="8958" xr:uid="{00000000-0005-0000-0000-0000972C0000}"/>
    <cellStyle name="Note 2 14 8 5" xfId="15577" xr:uid="{00000000-0005-0000-0000-0000982C0000}"/>
    <cellStyle name="Note 2 14 8_Summary" xfId="22004" xr:uid="{00000000-0005-0000-0000-0000992C0000}"/>
    <cellStyle name="Note 2 14 9" xfId="2662" xr:uid="{00000000-0005-0000-0000-00009A2C0000}"/>
    <cellStyle name="Note 2 14 9 2" xfId="9258" xr:uid="{00000000-0005-0000-0000-00009B2C0000}"/>
    <cellStyle name="Note 2 14 9 3" xfId="15877" xr:uid="{00000000-0005-0000-0000-00009C2C0000}"/>
    <cellStyle name="Note 2 14 9_Summary" xfId="22007" xr:uid="{00000000-0005-0000-0000-00009D2C0000}"/>
    <cellStyle name="Note 2 14_Summary" xfId="21964" xr:uid="{00000000-0005-0000-0000-00009E2C0000}"/>
    <cellStyle name="Note 2 15" xfId="338" xr:uid="{00000000-0005-0000-0000-00009F2C0000}"/>
    <cellStyle name="Note 2 15 10" xfId="4758" xr:uid="{00000000-0005-0000-0000-0000A02C0000}"/>
    <cellStyle name="Note 2 15 10 2" xfId="11354" xr:uid="{00000000-0005-0000-0000-0000A12C0000}"/>
    <cellStyle name="Note 2 15 10 3" xfId="17973" xr:uid="{00000000-0005-0000-0000-0000A22C0000}"/>
    <cellStyle name="Note 2 15 10_Summary" xfId="22009" xr:uid="{00000000-0005-0000-0000-0000A32C0000}"/>
    <cellStyle name="Note 2 15 11" xfId="587" xr:uid="{00000000-0005-0000-0000-0000A42C0000}"/>
    <cellStyle name="Note 2 15 11 2" xfId="13802" xr:uid="{00000000-0005-0000-0000-0000A52C0000}"/>
    <cellStyle name="Note 2 15 11_Summary" xfId="22010" xr:uid="{00000000-0005-0000-0000-0000A62C0000}"/>
    <cellStyle name="Note 2 15 12" xfId="7231" xr:uid="{00000000-0005-0000-0000-0000A72C0000}"/>
    <cellStyle name="Note 2 15 13" xfId="13553" xr:uid="{00000000-0005-0000-0000-0000A82C0000}"/>
    <cellStyle name="Note 2 15 2" xfId="466" xr:uid="{00000000-0005-0000-0000-0000A92C0000}"/>
    <cellStyle name="Note 2 15 2 10" xfId="860" xr:uid="{00000000-0005-0000-0000-0000AA2C0000}"/>
    <cellStyle name="Note 2 15 2 10 2" xfId="14075" xr:uid="{00000000-0005-0000-0000-0000AB2C0000}"/>
    <cellStyle name="Note 2 15 2 10_Summary" xfId="22012" xr:uid="{00000000-0005-0000-0000-0000AC2C0000}"/>
    <cellStyle name="Note 2 15 2 11" xfId="7359" xr:uid="{00000000-0005-0000-0000-0000AD2C0000}"/>
    <cellStyle name="Note 2 15 2 12" xfId="13681" xr:uid="{00000000-0005-0000-0000-0000AE2C0000}"/>
    <cellStyle name="Note 2 15 2 2" xfId="1160" xr:uid="{00000000-0005-0000-0000-0000AF2C0000}"/>
    <cellStyle name="Note 2 15 2 2 2" xfId="3296" xr:uid="{00000000-0005-0000-0000-0000B02C0000}"/>
    <cellStyle name="Note 2 15 2 2 2 2" xfId="9892" xr:uid="{00000000-0005-0000-0000-0000B12C0000}"/>
    <cellStyle name="Note 2 15 2 2 2 3" xfId="16511" xr:uid="{00000000-0005-0000-0000-0000B22C0000}"/>
    <cellStyle name="Note 2 15 2 2 2_Summary" xfId="22014" xr:uid="{00000000-0005-0000-0000-0000B32C0000}"/>
    <cellStyle name="Note 2 15 2 2 3" xfId="5331" xr:uid="{00000000-0005-0000-0000-0000B42C0000}"/>
    <cellStyle name="Note 2 15 2 2 3 2" xfId="11927" xr:uid="{00000000-0005-0000-0000-0000B52C0000}"/>
    <cellStyle name="Note 2 15 2 2 3 3" xfId="18546" xr:uid="{00000000-0005-0000-0000-0000B62C0000}"/>
    <cellStyle name="Note 2 15 2 2 3_Summary" xfId="22015" xr:uid="{00000000-0005-0000-0000-0000B72C0000}"/>
    <cellStyle name="Note 2 15 2 2 4" xfId="7756" xr:uid="{00000000-0005-0000-0000-0000B82C0000}"/>
    <cellStyle name="Note 2 15 2 2 5" xfId="14375" xr:uid="{00000000-0005-0000-0000-0000B92C0000}"/>
    <cellStyle name="Note 2 15 2 2_Summary" xfId="22013" xr:uid="{00000000-0005-0000-0000-0000BA2C0000}"/>
    <cellStyle name="Note 2 15 2 3" xfId="1442" xr:uid="{00000000-0005-0000-0000-0000BB2C0000}"/>
    <cellStyle name="Note 2 15 2 3 2" xfId="3578" xr:uid="{00000000-0005-0000-0000-0000BC2C0000}"/>
    <cellStyle name="Note 2 15 2 3 2 2" xfId="10174" xr:uid="{00000000-0005-0000-0000-0000BD2C0000}"/>
    <cellStyle name="Note 2 15 2 3 2 3" xfId="16793" xr:uid="{00000000-0005-0000-0000-0000BE2C0000}"/>
    <cellStyle name="Note 2 15 2 3 2_Summary" xfId="22017" xr:uid="{00000000-0005-0000-0000-0000BF2C0000}"/>
    <cellStyle name="Note 2 15 2 3 3" xfId="5613" xr:uid="{00000000-0005-0000-0000-0000C02C0000}"/>
    <cellStyle name="Note 2 15 2 3 3 2" xfId="12209" xr:uid="{00000000-0005-0000-0000-0000C12C0000}"/>
    <cellStyle name="Note 2 15 2 3 3 3" xfId="18828" xr:uid="{00000000-0005-0000-0000-0000C22C0000}"/>
    <cellStyle name="Note 2 15 2 3 3_Summary" xfId="22018" xr:uid="{00000000-0005-0000-0000-0000C32C0000}"/>
    <cellStyle name="Note 2 15 2 3 4" xfId="8038" xr:uid="{00000000-0005-0000-0000-0000C42C0000}"/>
    <cellStyle name="Note 2 15 2 3 5" xfId="14657" xr:uid="{00000000-0005-0000-0000-0000C52C0000}"/>
    <cellStyle name="Note 2 15 2 3_Summary" xfId="22016" xr:uid="{00000000-0005-0000-0000-0000C62C0000}"/>
    <cellStyle name="Note 2 15 2 4" xfId="1723" xr:uid="{00000000-0005-0000-0000-0000C72C0000}"/>
    <cellStyle name="Note 2 15 2 4 2" xfId="3859" xr:uid="{00000000-0005-0000-0000-0000C82C0000}"/>
    <cellStyle name="Note 2 15 2 4 2 2" xfId="10455" xr:uid="{00000000-0005-0000-0000-0000C92C0000}"/>
    <cellStyle name="Note 2 15 2 4 2 3" xfId="17074" xr:uid="{00000000-0005-0000-0000-0000CA2C0000}"/>
    <cellStyle name="Note 2 15 2 4 2_Summary" xfId="22020" xr:uid="{00000000-0005-0000-0000-0000CB2C0000}"/>
    <cellStyle name="Note 2 15 2 4 3" xfId="5894" xr:uid="{00000000-0005-0000-0000-0000CC2C0000}"/>
    <cellStyle name="Note 2 15 2 4 3 2" xfId="12490" xr:uid="{00000000-0005-0000-0000-0000CD2C0000}"/>
    <cellStyle name="Note 2 15 2 4 3 3" xfId="19109" xr:uid="{00000000-0005-0000-0000-0000CE2C0000}"/>
    <cellStyle name="Note 2 15 2 4 3_Summary" xfId="22021" xr:uid="{00000000-0005-0000-0000-0000CF2C0000}"/>
    <cellStyle name="Note 2 15 2 4 4" xfId="8319" xr:uid="{00000000-0005-0000-0000-0000D02C0000}"/>
    <cellStyle name="Note 2 15 2 4 5" xfId="14938" xr:uid="{00000000-0005-0000-0000-0000D12C0000}"/>
    <cellStyle name="Note 2 15 2 4_Summary" xfId="22019" xr:uid="{00000000-0005-0000-0000-0000D22C0000}"/>
    <cellStyle name="Note 2 15 2 5" xfId="2002" xr:uid="{00000000-0005-0000-0000-0000D32C0000}"/>
    <cellStyle name="Note 2 15 2 5 2" xfId="4138" xr:uid="{00000000-0005-0000-0000-0000D42C0000}"/>
    <cellStyle name="Note 2 15 2 5 2 2" xfId="10734" xr:uid="{00000000-0005-0000-0000-0000D52C0000}"/>
    <cellStyle name="Note 2 15 2 5 2 3" xfId="17353" xr:uid="{00000000-0005-0000-0000-0000D62C0000}"/>
    <cellStyle name="Note 2 15 2 5 2_Summary" xfId="22023" xr:uid="{00000000-0005-0000-0000-0000D72C0000}"/>
    <cellStyle name="Note 2 15 2 5 3" xfId="6173" xr:uid="{00000000-0005-0000-0000-0000D82C0000}"/>
    <cellStyle name="Note 2 15 2 5 3 2" xfId="12769" xr:uid="{00000000-0005-0000-0000-0000D92C0000}"/>
    <cellStyle name="Note 2 15 2 5 3 3" xfId="19388" xr:uid="{00000000-0005-0000-0000-0000DA2C0000}"/>
    <cellStyle name="Note 2 15 2 5 3_Summary" xfId="22024" xr:uid="{00000000-0005-0000-0000-0000DB2C0000}"/>
    <cellStyle name="Note 2 15 2 5 4" xfId="8598" xr:uid="{00000000-0005-0000-0000-0000DC2C0000}"/>
    <cellStyle name="Note 2 15 2 5 5" xfId="15217" xr:uid="{00000000-0005-0000-0000-0000DD2C0000}"/>
    <cellStyle name="Note 2 15 2 5_Summary" xfId="22022" xr:uid="{00000000-0005-0000-0000-0000DE2C0000}"/>
    <cellStyle name="Note 2 15 2 6" xfId="2277" xr:uid="{00000000-0005-0000-0000-0000DF2C0000}"/>
    <cellStyle name="Note 2 15 2 6 2" xfId="4413" xr:uid="{00000000-0005-0000-0000-0000E02C0000}"/>
    <cellStyle name="Note 2 15 2 6 2 2" xfId="11009" xr:uid="{00000000-0005-0000-0000-0000E12C0000}"/>
    <cellStyle name="Note 2 15 2 6 2 3" xfId="17628" xr:uid="{00000000-0005-0000-0000-0000E22C0000}"/>
    <cellStyle name="Note 2 15 2 6 2_Summary" xfId="22026" xr:uid="{00000000-0005-0000-0000-0000E32C0000}"/>
    <cellStyle name="Note 2 15 2 6 3" xfId="6448" xr:uid="{00000000-0005-0000-0000-0000E42C0000}"/>
    <cellStyle name="Note 2 15 2 6 3 2" xfId="13044" xr:uid="{00000000-0005-0000-0000-0000E52C0000}"/>
    <cellStyle name="Note 2 15 2 6 3 3" xfId="19663" xr:uid="{00000000-0005-0000-0000-0000E62C0000}"/>
    <cellStyle name="Note 2 15 2 6 3_Summary" xfId="22027" xr:uid="{00000000-0005-0000-0000-0000E72C0000}"/>
    <cellStyle name="Note 2 15 2 6 4" xfId="8873" xr:uid="{00000000-0005-0000-0000-0000E82C0000}"/>
    <cellStyle name="Note 2 15 2 6 5" xfId="15492" xr:uid="{00000000-0005-0000-0000-0000E92C0000}"/>
    <cellStyle name="Note 2 15 2 6_Summary" xfId="22025" xr:uid="{00000000-0005-0000-0000-0000EA2C0000}"/>
    <cellStyle name="Note 2 15 2 7" xfId="2550" xr:uid="{00000000-0005-0000-0000-0000EB2C0000}"/>
    <cellStyle name="Note 2 15 2 7 2" xfId="4686" xr:uid="{00000000-0005-0000-0000-0000EC2C0000}"/>
    <cellStyle name="Note 2 15 2 7 2 2" xfId="11282" xr:uid="{00000000-0005-0000-0000-0000ED2C0000}"/>
    <cellStyle name="Note 2 15 2 7 2 3" xfId="17901" xr:uid="{00000000-0005-0000-0000-0000EE2C0000}"/>
    <cellStyle name="Note 2 15 2 7 2_Summary" xfId="22029" xr:uid="{00000000-0005-0000-0000-0000EF2C0000}"/>
    <cellStyle name="Note 2 15 2 7 3" xfId="6721" xr:uid="{00000000-0005-0000-0000-0000F02C0000}"/>
    <cellStyle name="Note 2 15 2 7 3 2" xfId="13317" xr:uid="{00000000-0005-0000-0000-0000F12C0000}"/>
    <cellStyle name="Note 2 15 2 7 3 3" xfId="19936" xr:uid="{00000000-0005-0000-0000-0000F22C0000}"/>
    <cellStyle name="Note 2 15 2 7 3_Summary" xfId="22030" xr:uid="{00000000-0005-0000-0000-0000F32C0000}"/>
    <cellStyle name="Note 2 15 2 7 4" xfId="9146" xr:uid="{00000000-0005-0000-0000-0000F42C0000}"/>
    <cellStyle name="Note 2 15 2 7 5" xfId="15765" xr:uid="{00000000-0005-0000-0000-0000F52C0000}"/>
    <cellStyle name="Note 2 15 2 7_Summary" xfId="22028" xr:uid="{00000000-0005-0000-0000-0000F62C0000}"/>
    <cellStyle name="Note 2 15 2 8" xfId="2996" xr:uid="{00000000-0005-0000-0000-0000F72C0000}"/>
    <cellStyle name="Note 2 15 2 8 2" xfId="9592" xr:uid="{00000000-0005-0000-0000-0000F82C0000}"/>
    <cellStyle name="Note 2 15 2 8 3" xfId="16211" xr:uid="{00000000-0005-0000-0000-0000F92C0000}"/>
    <cellStyle name="Note 2 15 2 8_Summary" xfId="22031" xr:uid="{00000000-0005-0000-0000-0000FA2C0000}"/>
    <cellStyle name="Note 2 15 2 9" xfId="5031" xr:uid="{00000000-0005-0000-0000-0000FB2C0000}"/>
    <cellStyle name="Note 2 15 2 9 2" xfId="11627" xr:uid="{00000000-0005-0000-0000-0000FC2C0000}"/>
    <cellStyle name="Note 2 15 2 9 3" xfId="18246" xr:uid="{00000000-0005-0000-0000-0000FD2C0000}"/>
    <cellStyle name="Note 2 15 2 9_Summary" xfId="22032" xr:uid="{00000000-0005-0000-0000-0000FE2C0000}"/>
    <cellStyle name="Note 2 15 2_Summary" xfId="22011" xr:uid="{00000000-0005-0000-0000-0000FF2C0000}"/>
    <cellStyle name="Note 2 15 3" xfId="1032" xr:uid="{00000000-0005-0000-0000-0000002D0000}"/>
    <cellStyle name="Note 2 15 3 2" xfId="3168" xr:uid="{00000000-0005-0000-0000-0000012D0000}"/>
    <cellStyle name="Note 2 15 3 2 2" xfId="9764" xr:uid="{00000000-0005-0000-0000-0000022D0000}"/>
    <cellStyle name="Note 2 15 3 2 3" xfId="16383" xr:uid="{00000000-0005-0000-0000-0000032D0000}"/>
    <cellStyle name="Note 2 15 3 2_Summary" xfId="22034" xr:uid="{00000000-0005-0000-0000-0000042D0000}"/>
    <cellStyle name="Note 2 15 3 3" xfId="5203" xr:uid="{00000000-0005-0000-0000-0000052D0000}"/>
    <cellStyle name="Note 2 15 3 3 2" xfId="11799" xr:uid="{00000000-0005-0000-0000-0000062D0000}"/>
    <cellStyle name="Note 2 15 3 3 3" xfId="18418" xr:uid="{00000000-0005-0000-0000-0000072D0000}"/>
    <cellStyle name="Note 2 15 3 3_Summary" xfId="22035" xr:uid="{00000000-0005-0000-0000-0000082D0000}"/>
    <cellStyle name="Note 2 15 3 4" xfId="7629" xr:uid="{00000000-0005-0000-0000-0000092D0000}"/>
    <cellStyle name="Note 2 15 3 5" xfId="14247" xr:uid="{00000000-0005-0000-0000-00000A2D0000}"/>
    <cellStyle name="Note 2 15 3_Summary" xfId="22033" xr:uid="{00000000-0005-0000-0000-00000B2D0000}"/>
    <cellStyle name="Note 2 15 4" xfId="1314" xr:uid="{00000000-0005-0000-0000-00000C2D0000}"/>
    <cellStyle name="Note 2 15 4 2" xfId="3450" xr:uid="{00000000-0005-0000-0000-00000D2D0000}"/>
    <cellStyle name="Note 2 15 4 2 2" xfId="10046" xr:uid="{00000000-0005-0000-0000-00000E2D0000}"/>
    <cellStyle name="Note 2 15 4 2 3" xfId="16665" xr:uid="{00000000-0005-0000-0000-00000F2D0000}"/>
    <cellStyle name="Note 2 15 4 2_Summary" xfId="22037" xr:uid="{00000000-0005-0000-0000-0000102D0000}"/>
    <cellStyle name="Note 2 15 4 3" xfId="5485" xr:uid="{00000000-0005-0000-0000-0000112D0000}"/>
    <cellStyle name="Note 2 15 4 3 2" xfId="12081" xr:uid="{00000000-0005-0000-0000-0000122D0000}"/>
    <cellStyle name="Note 2 15 4 3 3" xfId="18700" xr:uid="{00000000-0005-0000-0000-0000132D0000}"/>
    <cellStyle name="Note 2 15 4 3_Summary" xfId="22038" xr:uid="{00000000-0005-0000-0000-0000142D0000}"/>
    <cellStyle name="Note 2 15 4 4" xfId="7910" xr:uid="{00000000-0005-0000-0000-0000152D0000}"/>
    <cellStyle name="Note 2 15 4 5" xfId="14529" xr:uid="{00000000-0005-0000-0000-0000162D0000}"/>
    <cellStyle name="Note 2 15 4_Summary" xfId="22036" xr:uid="{00000000-0005-0000-0000-0000172D0000}"/>
    <cellStyle name="Note 2 15 5" xfId="1595" xr:uid="{00000000-0005-0000-0000-0000182D0000}"/>
    <cellStyle name="Note 2 15 5 2" xfId="3731" xr:uid="{00000000-0005-0000-0000-0000192D0000}"/>
    <cellStyle name="Note 2 15 5 2 2" xfId="10327" xr:uid="{00000000-0005-0000-0000-00001A2D0000}"/>
    <cellStyle name="Note 2 15 5 2 3" xfId="16946" xr:uid="{00000000-0005-0000-0000-00001B2D0000}"/>
    <cellStyle name="Note 2 15 5 2_Summary" xfId="22040" xr:uid="{00000000-0005-0000-0000-00001C2D0000}"/>
    <cellStyle name="Note 2 15 5 3" xfId="5766" xr:uid="{00000000-0005-0000-0000-00001D2D0000}"/>
    <cellStyle name="Note 2 15 5 3 2" xfId="12362" xr:uid="{00000000-0005-0000-0000-00001E2D0000}"/>
    <cellStyle name="Note 2 15 5 3 3" xfId="18981" xr:uid="{00000000-0005-0000-0000-00001F2D0000}"/>
    <cellStyle name="Note 2 15 5 3_Summary" xfId="22041" xr:uid="{00000000-0005-0000-0000-0000202D0000}"/>
    <cellStyle name="Note 2 15 5 4" xfId="8191" xr:uid="{00000000-0005-0000-0000-0000212D0000}"/>
    <cellStyle name="Note 2 15 5 5" xfId="14810" xr:uid="{00000000-0005-0000-0000-0000222D0000}"/>
    <cellStyle name="Note 2 15 5_Summary" xfId="22039" xr:uid="{00000000-0005-0000-0000-0000232D0000}"/>
    <cellStyle name="Note 2 15 6" xfId="1874" xr:uid="{00000000-0005-0000-0000-0000242D0000}"/>
    <cellStyle name="Note 2 15 6 2" xfId="4010" xr:uid="{00000000-0005-0000-0000-0000252D0000}"/>
    <cellStyle name="Note 2 15 6 2 2" xfId="10606" xr:uid="{00000000-0005-0000-0000-0000262D0000}"/>
    <cellStyle name="Note 2 15 6 2 3" xfId="17225" xr:uid="{00000000-0005-0000-0000-0000272D0000}"/>
    <cellStyle name="Note 2 15 6 2_Summary" xfId="22043" xr:uid="{00000000-0005-0000-0000-0000282D0000}"/>
    <cellStyle name="Note 2 15 6 3" xfId="6045" xr:uid="{00000000-0005-0000-0000-0000292D0000}"/>
    <cellStyle name="Note 2 15 6 3 2" xfId="12641" xr:uid="{00000000-0005-0000-0000-00002A2D0000}"/>
    <cellStyle name="Note 2 15 6 3 3" xfId="19260" xr:uid="{00000000-0005-0000-0000-00002B2D0000}"/>
    <cellStyle name="Note 2 15 6 3_Summary" xfId="22044" xr:uid="{00000000-0005-0000-0000-00002C2D0000}"/>
    <cellStyle name="Note 2 15 6 4" xfId="8470" xr:uid="{00000000-0005-0000-0000-00002D2D0000}"/>
    <cellStyle name="Note 2 15 6 5" xfId="15089" xr:uid="{00000000-0005-0000-0000-00002E2D0000}"/>
    <cellStyle name="Note 2 15 6_Summary" xfId="22042" xr:uid="{00000000-0005-0000-0000-00002F2D0000}"/>
    <cellStyle name="Note 2 15 7" xfId="2149" xr:uid="{00000000-0005-0000-0000-0000302D0000}"/>
    <cellStyle name="Note 2 15 7 2" xfId="4285" xr:uid="{00000000-0005-0000-0000-0000312D0000}"/>
    <cellStyle name="Note 2 15 7 2 2" xfId="10881" xr:uid="{00000000-0005-0000-0000-0000322D0000}"/>
    <cellStyle name="Note 2 15 7 2 3" xfId="17500" xr:uid="{00000000-0005-0000-0000-0000332D0000}"/>
    <cellStyle name="Note 2 15 7 2_Summary" xfId="22046" xr:uid="{00000000-0005-0000-0000-0000342D0000}"/>
    <cellStyle name="Note 2 15 7 3" xfId="6320" xr:uid="{00000000-0005-0000-0000-0000352D0000}"/>
    <cellStyle name="Note 2 15 7 3 2" xfId="12916" xr:uid="{00000000-0005-0000-0000-0000362D0000}"/>
    <cellStyle name="Note 2 15 7 3 3" xfId="19535" xr:uid="{00000000-0005-0000-0000-0000372D0000}"/>
    <cellStyle name="Note 2 15 7 3_Summary" xfId="22047" xr:uid="{00000000-0005-0000-0000-0000382D0000}"/>
    <cellStyle name="Note 2 15 7 4" xfId="8745" xr:uid="{00000000-0005-0000-0000-0000392D0000}"/>
    <cellStyle name="Note 2 15 7 5" xfId="15364" xr:uid="{00000000-0005-0000-0000-00003A2D0000}"/>
    <cellStyle name="Note 2 15 7_Summary" xfId="22045" xr:uid="{00000000-0005-0000-0000-00003B2D0000}"/>
    <cellStyle name="Note 2 15 8" xfId="2422" xr:uid="{00000000-0005-0000-0000-00003C2D0000}"/>
    <cellStyle name="Note 2 15 8 2" xfId="4558" xr:uid="{00000000-0005-0000-0000-00003D2D0000}"/>
    <cellStyle name="Note 2 15 8 2 2" xfId="11154" xr:uid="{00000000-0005-0000-0000-00003E2D0000}"/>
    <cellStyle name="Note 2 15 8 2 3" xfId="17773" xr:uid="{00000000-0005-0000-0000-00003F2D0000}"/>
    <cellStyle name="Note 2 15 8 2_Summary" xfId="22049" xr:uid="{00000000-0005-0000-0000-0000402D0000}"/>
    <cellStyle name="Note 2 15 8 3" xfId="6593" xr:uid="{00000000-0005-0000-0000-0000412D0000}"/>
    <cellStyle name="Note 2 15 8 3 2" xfId="13189" xr:uid="{00000000-0005-0000-0000-0000422D0000}"/>
    <cellStyle name="Note 2 15 8 3 3" xfId="19808" xr:uid="{00000000-0005-0000-0000-0000432D0000}"/>
    <cellStyle name="Note 2 15 8 3_Summary" xfId="22050" xr:uid="{00000000-0005-0000-0000-0000442D0000}"/>
    <cellStyle name="Note 2 15 8 4" xfId="9018" xr:uid="{00000000-0005-0000-0000-0000452D0000}"/>
    <cellStyle name="Note 2 15 8 5" xfId="15637" xr:uid="{00000000-0005-0000-0000-0000462D0000}"/>
    <cellStyle name="Note 2 15 8_Summary" xfId="22048" xr:uid="{00000000-0005-0000-0000-0000472D0000}"/>
    <cellStyle name="Note 2 15 9" xfId="2723" xr:uid="{00000000-0005-0000-0000-0000482D0000}"/>
    <cellStyle name="Note 2 15 9 2" xfId="9319" xr:uid="{00000000-0005-0000-0000-0000492D0000}"/>
    <cellStyle name="Note 2 15 9 3" xfId="15938" xr:uid="{00000000-0005-0000-0000-00004A2D0000}"/>
    <cellStyle name="Note 2 15 9_Summary" xfId="22051" xr:uid="{00000000-0005-0000-0000-00004B2D0000}"/>
    <cellStyle name="Note 2 15_Summary" xfId="22008" xr:uid="{00000000-0005-0000-0000-00004C2D0000}"/>
    <cellStyle name="Note 2 16" xfId="271" xr:uid="{00000000-0005-0000-0000-00004D2D0000}"/>
    <cellStyle name="Note 2 16 10" xfId="4691" xr:uid="{00000000-0005-0000-0000-00004E2D0000}"/>
    <cellStyle name="Note 2 16 10 2" xfId="11287" xr:uid="{00000000-0005-0000-0000-00004F2D0000}"/>
    <cellStyle name="Note 2 16 10 3" xfId="17906" xr:uid="{00000000-0005-0000-0000-0000502D0000}"/>
    <cellStyle name="Note 2 16 10_Summary" xfId="22053" xr:uid="{00000000-0005-0000-0000-0000512D0000}"/>
    <cellStyle name="Note 2 16 11" xfId="521" xr:uid="{00000000-0005-0000-0000-0000522D0000}"/>
    <cellStyle name="Note 2 16 11 2" xfId="13736" xr:uid="{00000000-0005-0000-0000-0000532D0000}"/>
    <cellStyle name="Note 2 16 11_Summary" xfId="22054" xr:uid="{00000000-0005-0000-0000-0000542D0000}"/>
    <cellStyle name="Note 2 16 12" xfId="7165" xr:uid="{00000000-0005-0000-0000-0000552D0000}"/>
    <cellStyle name="Note 2 16 13" xfId="13488" xr:uid="{00000000-0005-0000-0000-0000562D0000}"/>
    <cellStyle name="Note 2 16 2" xfId="405" xr:uid="{00000000-0005-0000-0000-0000572D0000}"/>
    <cellStyle name="Note 2 16 2 10" xfId="795" xr:uid="{00000000-0005-0000-0000-0000582D0000}"/>
    <cellStyle name="Note 2 16 2 10 2" xfId="14010" xr:uid="{00000000-0005-0000-0000-0000592D0000}"/>
    <cellStyle name="Note 2 16 2 10_Summary" xfId="22056" xr:uid="{00000000-0005-0000-0000-00005A2D0000}"/>
    <cellStyle name="Note 2 16 2 11" xfId="7298" xr:uid="{00000000-0005-0000-0000-00005B2D0000}"/>
    <cellStyle name="Note 2 16 2 12" xfId="13620" xr:uid="{00000000-0005-0000-0000-00005C2D0000}"/>
    <cellStyle name="Note 2 16 2 2" xfId="1099" xr:uid="{00000000-0005-0000-0000-00005D2D0000}"/>
    <cellStyle name="Note 2 16 2 2 2" xfId="3235" xr:uid="{00000000-0005-0000-0000-00005E2D0000}"/>
    <cellStyle name="Note 2 16 2 2 2 2" xfId="9831" xr:uid="{00000000-0005-0000-0000-00005F2D0000}"/>
    <cellStyle name="Note 2 16 2 2 2 3" xfId="16450" xr:uid="{00000000-0005-0000-0000-0000602D0000}"/>
    <cellStyle name="Note 2 16 2 2 2_Summary" xfId="22058" xr:uid="{00000000-0005-0000-0000-0000612D0000}"/>
    <cellStyle name="Note 2 16 2 2 3" xfId="5270" xr:uid="{00000000-0005-0000-0000-0000622D0000}"/>
    <cellStyle name="Note 2 16 2 2 3 2" xfId="11866" xr:uid="{00000000-0005-0000-0000-0000632D0000}"/>
    <cellStyle name="Note 2 16 2 2 3 3" xfId="18485" xr:uid="{00000000-0005-0000-0000-0000642D0000}"/>
    <cellStyle name="Note 2 16 2 2 3_Summary" xfId="22059" xr:uid="{00000000-0005-0000-0000-0000652D0000}"/>
    <cellStyle name="Note 2 16 2 2 4" xfId="7695" xr:uid="{00000000-0005-0000-0000-0000662D0000}"/>
    <cellStyle name="Note 2 16 2 2 5" xfId="14314" xr:uid="{00000000-0005-0000-0000-0000672D0000}"/>
    <cellStyle name="Note 2 16 2 2_Summary" xfId="22057" xr:uid="{00000000-0005-0000-0000-0000682D0000}"/>
    <cellStyle name="Note 2 16 2 3" xfId="1381" xr:uid="{00000000-0005-0000-0000-0000692D0000}"/>
    <cellStyle name="Note 2 16 2 3 2" xfId="3517" xr:uid="{00000000-0005-0000-0000-00006A2D0000}"/>
    <cellStyle name="Note 2 16 2 3 2 2" xfId="10113" xr:uid="{00000000-0005-0000-0000-00006B2D0000}"/>
    <cellStyle name="Note 2 16 2 3 2 3" xfId="16732" xr:uid="{00000000-0005-0000-0000-00006C2D0000}"/>
    <cellStyle name="Note 2 16 2 3 2_Summary" xfId="22061" xr:uid="{00000000-0005-0000-0000-00006D2D0000}"/>
    <cellStyle name="Note 2 16 2 3 3" xfId="5552" xr:uid="{00000000-0005-0000-0000-00006E2D0000}"/>
    <cellStyle name="Note 2 16 2 3 3 2" xfId="12148" xr:uid="{00000000-0005-0000-0000-00006F2D0000}"/>
    <cellStyle name="Note 2 16 2 3 3 3" xfId="18767" xr:uid="{00000000-0005-0000-0000-0000702D0000}"/>
    <cellStyle name="Note 2 16 2 3 3_Summary" xfId="22062" xr:uid="{00000000-0005-0000-0000-0000712D0000}"/>
    <cellStyle name="Note 2 16 2 3 4" xfId="7977" xr:uid="{00000000-0005-0000-0000-0000722D0000}"/>
    <cellStyle name="Note 2 16 2 3 5" xfId="14596" xr:uid="{00000000-0005-0000-0000-0000732D0000}"/>
    <cellStyle name="Note 2 16 2 3_Summary" xfId="22060" xr:uid="{00000000-0005-0000-0000-0000742D0000}"/>
    <cellStyle name="Note 2 16 2 4" xfId="1662" xr:uid="{00000000-0005-0000-0000-0000752D0000}"/>
    <cellStyle name="Note 2 16 2 4 2" xfId="3798" xr:uid="{00000000-0005-0000-0000-0000762D0000}"/>
    <cellStyle name="Note 2 16 2 4 2 2" xfId="10394" xr:uid="{00000000-0005-0000-0000-0000772D0000}"/>
    <cellStyle name="Note 2 16 2 4 2 3" xfId="17013" xr:uid="{00000000-0005-0000-0000-0000782D0000}"/>
    <cellStyle name="Note 2 16 2 4 2_Summary" xfId="22064" xr:uid="{00000000-0005-0000-0000-0000792D0000}"/>
    <cellStyle name="Note 2 16 2 4 3" xfId="5833" xr:uid="{00000000-0005-0000-0000-00007A2D0000}"/>
    <cellStyle name="Note 2 16 2 4 3 2" xfId="12429" xr:uid="{00000000-0005-0000-0000-00007B2D0000}"/>
    <cellStyle name="Note 2 16 2 4 3 3" xfId="19048" xr:uid="{00000000-0005-0000-0000-00007C2D0000}"/>
    <cellStyle name="Note 2 16 2 4 3_Summary" xfId="22065" xr:uid="{00000000-0005-0000-0000-00007D2D0000}"/>
    <cellStyle name="Note 2 16 2 4 4" xfId="8258" xr:uid="{00000000-0005-0000-0000-00007E2D0000}"/>
    <cellStyle name="Note 2 16 2 4 5" xfId="14877" xr:uid="{00000000-0005-0000-0000-00007F2D0000}"/>
    <cellStyle name="Note 2 16 2 4_Summary" xfId="22063" xr:uid="{00000000-0005-0000-0000-0000802D0000}"/>
    <cellStyle name="Note 2 16 2 5" xfId="1941" xr:uid="{00000000-0005-0000-0000-0000812D0000}"/>
    <cellStyle name="Note 2 16 2 5 2" xfId="4077" xr:uid="{00000000-0005-0000-0000-0000822D0000}"/>
    <cellStyle name="Note 2 16 2 5 2 2" xfId="10673" xr:uid="{00000000-0005-0000-0000-0000832D0000}"/>
    <cellStyle name="Note 2 16 2 5 2 3" xfId="17292" xr:uid="{00000000-0005-0000-0000-0000842D0000}"/>
    <cellStyle name="Note 2 16 2 5 2_Summary" xfId="22067" xr:uid="{00000000-0005-0000-0000-0000852D0000}"/>
    <cellStyle name="Note 2 16 2 5 3" xfId="6112" xr:uid="{00000000-0005-0000-0000-0000862D0000}"/>
    <cellStyle name="Note 2 16 2 5 3 2" xfId="12708" xr:uid="{00000000-0005-0000-0000-0000872D0000}"/>
    <cellStyle name="Note 2 16 2 5 3 3" xfId="19327" xr:uid="{00000000-0005-0000-0000-0000882D0000}"/>
    <cellStyle name="Note 2 16 2 5 3_Summary" xfId="22068" xr:uid="{00000000-0005-0000-0000-0000892D0000}"/>
    <cellStyle name="Note 2 16 2 5 4" xfId="8537" xr:uid="{00000000-0005-0000-0000-00008A2D0000}"/>
    <cellStyle name="Note 2 16 2 5 5" xfId="15156" xr:uid="{00000000-0005-0000-0000-00008B2D0000}"/>
    <cellStyle name="Note 2 16 2 5_Summary" xfId="22066" xr:uid="{00000000-0005-0000-0000-00008C2D0000}"/>
    <cellStyle name="Note 2 16 2 6" xfId="2216" xr:uid="{00000000-0005-0000-0000-00008D2D0000}"/>
    <cellStyle name="Note 2 16 2 6 2" xfId="4352" xr:uid="{00000000-0005-0000-0000-00008E2D0000}"/>
    <cellStyle name="Note 2 16 2 6 2 2" xfId="10948" xr:uid="{00000000-0005-0000-0000-00008F2D0000}"/>
    <cellStyle name="Note 2 16 2 6 2 3" xfId="17567" xr:uid="{00000000-0005-0000-0000-0000902D0000}"/>
    <cellStyle name="Note 2 16 2 6 2_Summary" xfId="22070" xr:uid="{00000000-0005-0000-0000-0000912D0000}"/>
    <cellStyle name="Note 2 16 2 6 3" xfId="6387" xr:uid="{00000000-0005-0000-0000-0000922D0000}"/>
    <cellStyle name="Note 2 16 2 6 3 2" xfId="12983" xr:uid="{00000000-0005-0000-0000-0000932D0000}"/>
    <cellStyle name="Note 2 16 2 6 3 3" xfId="19602" xr:uid="{00000000-0005-0000-0000-0000942D0000}"/>
    <cellStyle name="Note 2 16 2 6 3_Summary" xfId="22071" xr:uid="{00000000-0005-0000-0000-0000952D0000}"/>
    <cellStyle name="Note 2 16 2 6 4" xfId="8812" xr:uid="{00000000-0005-0000-0000-0000962D0000}"/>
    <cellStyle name="Note 2 16 2 6 5" xfId="15431" xr:uid="{00000000-0005-0000-0000-0000972D0000}"/>
    <cellStyle name="Note 2 16 2 6_Summary" xfId="22069" xr:uid="{00000000-0005-0000-0000-0000982D0000}"/>
    <cellStyle name="Note 2 16 2 7" xfId="2489" xr:uid="{00000000-0005-0000-0000-0000992D0000}"/>
    <cellStyle name="Note 2 16 2 7 2" xfId="4625" xr:uid="{00000000-0005-0000-0000-00009A2D0000}"/>
    <cellStyle name="Note 2 16 2 7 2 2" xfId="11221" xr:uid="{00000000-0005-0000-0000-00009B2D0000}"/>
    <cellStyle name="Note 2 16 2 7 2 3" xfId="17840" xr:uid="{00000000-0005-0000-0000-00009C2D0000}"/>
    <cellStyle name="Note 2 16 2 7 2_Summary" xfId="22073" xr:uid="{00000000-0005-0000-0000-00009D2D0000}"/>
    <cellStyle name="Note 2 16 2 7 3" xfId="6660" xr:uid="{00000000-0005-0000-0000-00009E2D0000}"/>
    <cellStyle name="Note 2 16 2 7 3 2" xfId="13256" xr:uid="{00000000-0005-0000-0000-00009F2D0000}"/>
    <cellStyle name="Note 2 16 2 7 3 3" xfId="19875" xr:uid="{00000000-0005-0000-0000-0000A02D0000}"/>
    <cellStyle name="Note 2 16 2 7 3_Summary" xfId="22074" xr:uid="{00000000-0005-0000-0000-0000A12D0000}"/>
    <cellStyle name="Note 2 16 2 7 4" xfId="9085" xr:uid="{00000000-0005-0000-0000-0000A22D0000}"/>
    <cellStyle name="Note 2 16 2 7 5" xfId="15704" xr:uid="{00000000-0005-0000-0000-0000A32D0000}"/>
    <cellStyle name="Note 2 16 2 7_Summary" xfId="22072" xr:uid="{00000000-0005-0000-0000-0000A42D0000}"/>
    <cellStyle name="Note 2 16 2 8" xfId="2931" xr:uid="{00000000-0005-0000-0000-0000A52D0000}"/>
    <cellStyle name="Note 2 16 2 8 2" xfId="9527" xr:uid="{00000000-0005-0000-0000-0000A62D0000}"/>
    <cellStyle name="Note 2 16 2 8 3" xfId="16146" xr:uid="{00000000-0005-0000-0000-0000A72D0000}"/>
    <cellStyle name="Note 2 16 2 8_Summary" xfId="22075" xr:uid="{00000000-0005-0000-0000-0000A82D0000}"/>
    <cellStyle name="Note 2 16 2 9" xfId="4966" xr:uid="{00000000-0005-0000-0000-0000A92D0000}"/>
    <cellStyle name="Note 2 16 2 9 2" xfId="11562" xr:uid="{00000000-0005-0000-0000-0000AA2D0000}"/>
    <cellStyle name="Note 2 16 2 9 3" xfId="18181" xr:uid="{00000000-0005-0000-0000-0000AB2D0000}"/>
    <cellStyle name="Note 2 16 2 9_Summary" xfId="22076" xr:uid="{00000000-0005-0000-0000-0000AC2D0000}"/>
    <cellStyle name="Note 2 16 2_Summary" xfId="22055" xr:uid="{00000000-0005-0000-0000-0000AD2D0000}"/>
    <cellStyle name="Note 2 16 3" xfId="966" xr:uid="{00000000-0005-0000-0000-0000AE2D0000}"/>
    <cellStyle name="Note 2 16 3 2" xfId="3102" xr:uid="{00000000-0005-0000-0000-0000AF2D0000}"/>
    <cellStyle name="Note 2 16 3 2 2" xfId="9698" xr:uid="{00000000-0005-0000-0000-0000B02D0000}"/>
    <cellStyle name="Note 2 16 3 2 3" xfId="16317" xr:uid="{00000000-0005-0000-0000-0000B12D0000}"/>
    <cellStyle name="Note 2 16 3 2_Summary" xfId="22078" xr:uid="{00000000-0005-0000-0000-0000B22D0000}"/>
    <cellStyle name="Note 2 16 3 3" xfId="5137" xr:uid="{00000000-0005-0000-0000-0000B32D0000}"/>
    <cellStyle name="Note 2 16 3 3 2" xfId="11733" xr:uid="{00000000-0005-0000-0000-0000B42D0000}"/>
    <cellStyle name="Note 2 16 3 3 3" xfId="18352" xr:uid="{00000000-0005-0000-0000-0000B52D0000}"/>
    <cellStyle name="Note 2 16 3 3_Summary" xfId="22079" xr:uid="{00000000-0005-0000-0000-0000B62D0000}"/>
    <cellStyle name="Note 2 16 3 4" xfId="7563" xr:uid="{00000000-0005-0000-0000-0000B72D0000}"/>
    <cellStyle name="Note 2 16 3 5" xfId="14181" xr:uid="{00000000-0005-0000-0000-0000B82D0000}"/>
    <cellStyle name="Note 2 16 3_Summary" xfId="22077" xr:uid="{00000000-0005-0000-0000-0000B92D0000}"/>
    <cellStyle name="Note 2 16 4" xfId="1248" xr:uid="{00000000-0005-0000-0000-0000BA2D0000}"/>
    <cellStyle name="Note 2 16 4 2" xfId="3384" xr:uid="{00000000-0005-0000-0000-0000BB2D0000}"/>
    <cellStyle name="Note 2 16 4 2 2" xfId="9980" xr:uid="{00000000-0005-0000-0000-0000BC2D0000}"/>
    <cellStyle name="Note 2 16 4 2 3" xfId="16599" xr:uid="{00000000-0005-0000-0000-0000BD2D0000}"/>
    <cellStyle name="Note 2 16 4 2_Summary" xfId="22081" xr:uid="{00000000-0005-0000-0000-0000BE2D0000}"/>
    <cellStyle name="Note 2 16 4 3" xfId="5419" xr:uid="{00000000-0005-0000-0000-0000BF2D0000}"/>
    <cellStyle name="Note 2 16 4 3 2" xfId="12015" xr:uid="{00000000-0005-0000-0000-0000C02D0000}"/>
    <cellStyle name="Note 2 16 4 3 3" xfId="18634" xr:uid="{00000000-0005-0000-0000-0000C12D0000}"/>
    <cellStyle name="Note 2 16 4 3_Summary" xfId="22082" xr:uid="{00000000-0005-0000-0000-0000C22D0000}"/>
    <cellStyle name="Note 2 16 4 4" xfId="7844" xr:uid="{00000000-0005-0000-0000-0000C32D0000}"/>
    <cellStyle name="Note 2 16 4 5" xfId="14463" xr:uid="{00000000-0005-0000-0000-0000C42D0000}"/>
    <cellStyle name="Note 2 16 4_Summary" xfId="22080" xr:uid="{00000000-0005-0000-0000-0000C52D0000}"/>
    <cellStyle name="Note 2 16 5" xfId="1529" xr:uid="{00000000-0005-0000-0000-0000C62D0000}"/>
    <cellStyle name="Note 2 16 5 2" xfId="3665" xr:uid="{00000000-0005-0000-0000-0000C72D0000}"/>
    <cellStyle name="Note 2 16 5 2 2" xfId="10261" xr:uid="{00000000-0005-0000-0000-0000C82D0000}"/>
    <cellStyle name="Note 2 16 5 2 3" xfId="16880" xr:uid="{00000000-0005-0000-0000-0000C92D0000}"/>
    <cellStyle name="Note 2 16 5 2_Summary" xfId="22084" xr:uid="{00000000-0005-0000-0000-0000CA2D0000}"/>
    <cellStyle name="Note 2 16 5 3" xfId="5700" xr:uid="{00000000-0005-0000-0000-0000CB2D0000}"/>
    <cellStyle name="Note 2 16 5 3 2" xfId="12296" xr:uid="{00000000-0005-0000-0000-0000CC2D0000}"/>
    <cellStyle name="Note 2 16 5 3 3" xfId="18915" xr:uid="{00000000-0005-0000-0000-0000CD2D0000}"/>
    <cellStyle name="Note 2 16 5 3_Summary" xfId="22085" xr:uid="{00000000-0005-0000-0000-0000CE2D0000}"/>
    <cellStyle name="Note 2 16 5 4" xfId="8125" xr:uid="{00000000-0005-0000-0000-0000CF2D0000}"/>
    <cellStyle name="Note 2 16 5 5" xfId="14744" xr:uid="{00000000-0005-0000-0000-0000D02D0000}"/>
    <cellStyle name="Note 2 16 5_Summary" xfId="22083" xr:uid="{00000000-0005-0000-0000-0000D12D0000}"/>
    <cellStyle name="Note 2 16 6" xfId="1808" xr:uid="{00000000-0005-0000-0000-0000D22D0000}"/>
    <cellStyle name="Note 2 16 6 2" xfId="3944" xr:uid="{00000000-0005-0000-0000-0000D32D0000}"/>
    <cellStyle name="Note 2 16 6 2 2" xfId="10540" xr:uid="{00000000-0005-0000-0000-0000D42D0000}"/>
    <cellStyle name="Note 2 16 6 2 3" xfId="17159" xr:uid="{00000000-0005-0000-0000-0000D52D0000}"/>
    <cellStyle name="Note 2 16 6 2_Summary" xfId="22087" xr:uid="{00000000-0005-0000-0000-0000D62D0000}"/>
    <cellStyle name="Note 2 16 6 3" xfId="5979" xr:uid="{00000000-0005-0000-0000-0000D72D0000}"/>
    <cellStyle name="Note 2 16 6 3 2" xfId="12575" xr:uid="{00000000-0005-0000-0000-0000D82D0000}"/>
    <cellStyle name="Note 2 16 6 3 3" xfId="19194" xr:uid="{00000000-0005-0000-0000-0000D92D0000}"/>
    <cellStyle name="Note 2 16 6 3_Summary" xfId="22088" xr:uid="{00000000-0005-0000-0000-0000DA2D0000}"/>
    <cellStyle name="Note 2 16 6 4" xfId="8404" xr:uid="{00000000-0005-0000-0000-0000DB2D0000}"/>
    <cellStyle name="Note 2 16 6 5" xfId="15023" xr:uid="{00000000-0005-0000-0000-0000DC2D0000}"/>
    <cellStyle name="Note 2 16 6_Summary" xfId="22086" xr:uid="{00000000-0005-0000-0000-0000DD2D0000}"/>
    <cellStyle name="Note 2 16 7" xfId="2084" xr:uid="{00000000-0005-0000-0000-0000DE2D0000}"/>
    <cellStyle name="Note 2 16 7 2" xfId="4220" xr:uid="{00000000-0005-0000-0000-0000DF2D0000}"/>
    <cellStyle name="Note 2 16 7 2 2" xfId="10816" xr:uid="{00000000-0005-0000-0000-0000E02D0000}"/>
    <cellStyle name="Note 2 16 7 2 3" xfId="17435" xr:uid="{00000000-0005-0000-0000-0000E12D0000}"/>
    <cellStyle name="Note 2 16 7 2_Summary" xfId="22090" xr:uid="{00000000-0005-0000-0000-0000E22D0000}"/>
    <cellStyle name="Note 2 16 7 3" xfId="6255" xr:uid="{00000000-0005-0000-0000-0000E32D0000}"/>
    <cellStyle name="Note 2 16 7 3 2" xfId="12851" xr:uid="{00000000-0005-0000-0000-0000E42D0000}"/>
    <cellStyle name="Note 2 16 7 3 3" xfId="19470" xr:uid="{00000000-0005-0000-0000-0000E52D0000}"/>
    <cellStyle name="Note 2 16 7 3_Summary" xfId="22091" xr:uid="{00000000-0005-0000-0000-0000E62D0000}"/>
    <cellStyle name="Note 2 16 7 4" xfId="8680" xr:uid="{00000000-0005-0000-0000-0000E72D0000}"/>
    <cellStyle name="Note 2 16 7 5" xfId="15299" xr:uid="{00000000-0005-0000-0000-0000E82D0000}"/>
    <cellStyle name="Note 2 16 7_Summary" xfId="22089" xr:uid="{00000000-0005-0000-0000-0000E92D0000}"/>
    <cellStyle name="Note 2 16 8" xfId="2357" xr:uid="{00000000-0005-0000-0000-0000EA2D0000}"/>
    <cellStyle name="Note 2 16 8 2" xfId="4493" xr:uid="{00000000-0005-0000-0000-0000EB2D0000}"/>
    <cellStyle name="Note 2 16 8 2 2" xfId="11089" xr:uid="{00000000-0005-0000-0000-0000EC2D0000}"/>
    <cellStyle name="Note 2 16 8 2 3" xfId="17708" xr:uid="{00000000-0005-0000-0000-0000ED2D0000}"/>
    <cellStyle name="Note 2 16 8 2_Summary" xfId="22093" xr:uid="{00000000-0005-0000-0000-0000EE2D0000}"/>
    <cellStyle name="Note 2 16 8 3" xfId="6528" xr:uid="{00000000-0005-0000-0000-0000EF2D0000}"/>
    <cellStyle name="Note 2 16 8 3 2" xfId="13124" xr:uid="{00000000-0005-0000-0000-0000F02D0000}"/>
    <cellStyle name="Note 2 16 8 3 3" xfId="19743" xr:uid="{00000000-0005-0000-0000-0000F12D0000}"/>
    <cellStyle name="Note 2 16 8 3_Summary" xfId="22094" xr:uid="{00000000-0005-0000-0000-0000F22D0000}"/>
    <cellStyle name="Note 2 16 8 4" xfId="8953" xr:uid="{00000000-0005-0000-0000-0000F32D0000}"/>
    <cellStyle name="Note 2 16 8 5" xfId="15572" xr:uid="{00000000-0005-0000-0000-0000F42D0000}"/>
    <cellStyle name="Note 2 16 8_Summary" xfId="22092" xr:uid="{00000000-0005-0000-0000-0000F52D0000}"/>
    <cellStyle name="Note 2 16 9" xfId="2657" xr:uid="{00000000-0005-0000-0000-0000F62D0000}"/>
    <cellStyle name="Note 2 16 9 2" xfId="9253" xr:uid="{00000000-0005-0000-0000-0000F72D0000}"/>
    <cellStyle name="Note 2 16 9 3" xfId="15872" xr:uid="{00000000-0005-0000-0000-0000F82D0000}"/>
    <cellStyle name="Note 2 16 9_Summary" xfId="22095" xr:uid="{00000000-0005-0000-0000-0000F92D0000}"/>
    <cellStyle name="Note 2 16_Summary" xfId="22052" xr:uid="{00000000-0005-0000-0000-0000FA2D0000}"/>
    <cellStyle name="Note 2 17" xfId="205" xr:uid="{00000000-0005-0000-0000-0000FB2D0000}"/>
    <cellStyle name="Note 2 17 10" xfId="742" xr:uid="{00000000-0005-0000-0000-0000FC2D0000}"/>
    <cellStyle name="Note 2 17 10 2" xfId="13957" xr:uid="{00000000-0005-0000-0000-0000FD2D0000}"/>
    <cellStyle name="Note 2 17 10_Summary" xfId="22097" xr:uid="{00000000-0005-0000-0000-0000FE2D0000}"/>
    <cellStyle name="Note 2 17 11" xfId="7112" xr:uid="{00000000-0005-0000-0000-0000FF2D0000}"/>
    <cellStyle name="Note 2 17 12" xfId="7160" xr:uid="{00000000-0005-0000-0000-0000002E0000}"/>
    <cellStyle name="Note 2 17 2" xfId="910" xr:uid="{00000000-0005-0000-0000-0000012E0000}"/>
    <cellStyle name="Note 2 17 2 2" xfId="3046" xr:uid="{00000000-0005-0000-0000-0000022E0000}"/>
    <cellStyle name="Note 2 17 2 2 2" xfId="9642" xr:uid="{00000000-0005-0000-0000-0000032E0000}"/>
    <cellStyle name="Note 2 17 2 2 3" xfId="16261" xr:uid="{00000000-0005-0000-0000-0000042E0000}"/>
    <cellStyle name="Note 2 17 2 2_Summary" xfId="22099" xr:uid="{00000000-0005-0000-0000-0000052E0000}"/>
    <cellStyle name="Note 2 17 2 3" xfId="5081" xr:uid="{00000000-0005-0000-0000-0000062E0000}"/>
    <cellStyle name="Note 2 17 2 3 2" xfId="11677" xr:uid="{00000000-0005-0000-0000-0000072E0000}"/>
    <cellStyle name="Note 2 17 2 3 3" xfId="18296" xr:uid="{00000000-0005-0000-0000-0000082E0000}"/>
    <cellStyle name="Note 2 17 2 3_Summary" xfId="22100" xr:uid="{00000000-0005-0000-0000-0000092E0000}"/>
    <cellStyle name="Note 2 17 2 4" xfId="7507" xr:uid="{00000000-0005-0000-0000-00000A2E0000}"/>
    <cellStyle name="Note 2 17 2 5" xfId="14125" xr:uid="{00000000-0005-0000-0000-00000B2E0000}"/>
    <cellStyle name="Note 2 17 2_Summary" xfId="22098" xr:uid="{00000000-0005-0000-0000-00000C2E0000}"/>
    <cellStyle name="Note 2 17 3" xfId="1195" xr:uid="{00000000-0005-0000-0000-00000D2E0000}"/>
    <cellStyle name="Note 2 17 3 2" xfId="3331" xr:uid="{00000000-0005-0000-0000-00000E2E0000}"/>
    <cellStyle name="Note 2 17 3 2 2" xfId="9927" xr:uid="{00000000-0005-0000-0000-00000F2E0000}"/>
    <cellStyle name="Note 2 17 3 2 3" xfId="16546" xr:uid="{00000000-0005-0000-0000-0000102E0000}"/>
    <cellStyle name="Note 2 17 3 2_Summary" xfId="22102" xr:uid="{00000000-0005-0000-0000-0000112E0000}"/>
    <cellStyle name="Note 2 17 3 3" xfId="5366" xr:uid="{00000000-0005-0000-0000-0000122E0000}"/>
    <cellStyle name="Note 2 17 3 3 2" xfId="11962" xr:uid="{00000000-0005-0000-0000-0000132E0000}"/>
    <cellStyle name="Note 2 17 3 3 3" xfId="18581" xr:uid="{00000000-0005-0000-0000-0000142E0000}"/>
    <cellStyle name="Note 2 17 3 3_Summary" xfId="22103" xr:uid="{00000000-0005-0000-0000-0000152E0000}"/>
    <cellStyle name="Note 2 17 3 4" xfId="7791" xr:uid="{00000000-0005-0000-0000-0000162E0000}"/>
    <cellStyle name="Note 2 17 3 5" xfId="14410" xr:uid="{00000000-0005-0000-0000-0000172E0000}"/>
    <cellStyle name="Note 2 17 3_Summary" xfId="22101" xr:uid="{00000000-0005-0000-0000-0000182E0000}"/>
    <cellStyle name="Note 2 17 4" xfId="1477" xr:uid="{00000000-0005-0000-0000-0000192E0000}"/>
    <cellStyle name="Note 2 17 4 2" xfId="3613" xr:uid="{00000000-0005-0000-0000-00001A2E0000}"/>
    <cellStyle name="Note 2 17 4 2 2" xfId="10209" xr:uid="{00000000-0005-0000-0000-00001B2E0000}"/>
    <cellStyle name="Note 2 17 4 2 3" xfId="16828" xr:uid="{00000000-0005-0000-0000-00001C2E0000}"/>
    <cellStyle name="Note 2 17 4 2_Summary" xfId="22105" xr:uid="{00000000-0005-0000-0000-00001D2E0000}"/>
    <cellStyle name="Note 2 17 4 3" xfId="5648" xr:uid="{00000000-0005-0000-0000-00001E2E0000}"/>
    <cellStyle name="Note 2 17 4 3 2" xfId="12244" xr:uid="{00000000-0005-0000-0000-00001F2E0000}"/>
    <cellStyle name="Note 2 17 4 3 3" xfId="18863" xr:uid="{00000000-0005-0000-0000-0000202E0000}"/>
    <cellStyle name="Note 2 17 4 3_Summary" xfId="22106" xr:uid="{00000000-0005-0000-0000-0000212E0000}"/>
    <cellStyle name="Note 2 17 4 4" xfId="8073" xr:uid="{00000000-0005-0000-0000-0000222E0000}"/>
    <cellStyle name="Note 2 17 4 5" xfId="14692" xr:uid="{00000000-0005-0000-0000-0000232E0000}"/>
    <cellStyle name="Note 2 17 4_Summary" xfId="22104" xr:uid="{00000000-0005-0000-0000-0000242E0000}"/>
    <cellStyle name="Note 2 17 5" xfId="1758" xr:uid="{00000000-0005-0000-0000-0000252E0000}"/>
    <cellStyle name="Note 2 17 5 2" xfId="3894" xr:uid="{00000000-0005-0000-0000-0000262E0000}"/>
    <cellStyle name="Note 2 17 5 2 2" xfId="10490" xr:uid="{00000000-0005-0000-0000-0000272E0000}"/>
    <cellStyle name="Note 2 17 5 2 3" xfId="17109" xr:uid="{00000000-0005-0000-0000-0000282E0000}"/>
    <cellStyle name="Note 2 17 5 2_Summary" xfId="22108" xr:uid="{00000000-0005-0000-0000-0000292E0000}"/>
    <cellStyle name="Note 2 17 5 3" xfId="5929" xr:uid="{00000000-0005-0000-0000-00002A2E0000}"/>
    <cellStyle name="Note 2 17 5 3 2" xfId="12525" xr:uid="{00000000-0005-0000-0000-00002B2E0000}"/>
    <cellStyle name="Note 2 17 5 3 3" xfId="19144" xr:uid="{00000000-0005-0000-0000-00002C2E0000}"/>
    <cellStyle name="Note 2 17 5 3_Summary" xfId="22109" xr:uid="{00000000-0005-0000-0000-00002D2E0000}"/>
    <cellStyle name="Note 2 17 5 4" xfId="8354" xr:uid="{00000000-0005-0000-0000-00002E2E0000}"/>
    <cellStyle name="Note 2 17 5 5" xfId="14973" xr:uid="{00000000-0005-0000-0000-00002F2E0000}"/>
    <cellStyle name="Note 2 17 5_Summary" xfId="22107" xr:uid="{00000000-0005-0000-0000-0000302E0000}"/>
    <cellStyle name="Note 2 17 6" xfId="2037" xr:uid="{00000000-0005-0000-0000-0000312E0000}"/>
    <cellStyle name="Note 2 17 6 2" xfId="4173" xr:uid="{00000000-0005-0000-0000-0000322E0000}"/>
    <cellStyle name="Note 2 17 6 2 2" xfId="10769" xr:uid="{00000000-0005-0000-0000-0000332E0000}"/>
    <cellStyle name="Note 2 17 6 2 3" xfId="17388" xr:uid="{00000000-0005-0000-0000-0000342E0000}"/>
    <cellStyle name="Note 2 17 6 2_Summary" xfId="22111" xr:uid="{00000000-0005-0000-0000-0000352E0000}"/>
    <cellStyle name="Note 2 17 6 3" xfId="6208" xr:uid="{00000000-0005-0000-0000-0000362E0000}"/>
    <cellStyle name="Note 2 17 6 3 2" xfId="12804" xr:uid="{00000000-0005-0000-0000-0000372E0000}"/>
    <cellStyle name="Note 2 17 6 3 3" xfId="19423" xr:uid="{00000000-0005-0000-0000-0000382E0000}"/>
    <cellStyle name="Note 2 17 6 3_Summary" xfId="22112" xr:uid="{00000000-0005-0000-0000-0000392E0000}"/>
    <cellStyle name="Note 2 17 6 4" xfId="8633" xr:uid="{00000000-0005-0000-0000-00003A2E0000}"/>
    <cellStyle name="Note 2 17 6 5" xfId="15252" xr:uid="{00000000-0005-0000-0000-00003B2E0000}"/>
    <cellStyle name="Note 2 17 6_Summary" xfId="22110" xr:uid="{00000000-0005-0000-0000-00003C2E0000}"/>
    <cellStyle name="Note 2 17 7" xfId="2312" xr:uid="{00000000-0005-0000-0000-00003D2E0000}"/>
    <cellStyle name="Note 2 17 7 2" xfId="4448" xr:uid="{00000000-0005-0000-0000-00003E2E0000}"/>
    <cellStyle name="Note 2 17 7 2 2" xfId="11044" xr:uid="{00000000-0005-0000-0000-00003F2E0000}"/>
    <cellStyle name="Note 2 17 7 2 3" xfId="17663" xr:uid="{00000000-0005-0000-0000-0000402E0000}"/>
    <cellStyle name="Note 2 17 7 2_Summary" xfId="22114" xr:uid="{00000000-0005-0000-0000-0000412E0000}"/>
    <cellStyle name="Note 2 17 7 3" xfId="6483" xr:uid="{00000000-0005-0000-0000-0000422E0000}"/>
    <cellStyle name="Note 2 17 7 3 2" xfId="13079" xr:uid="{00000000-0005-0000-0000-0000432E0000}"/>
    <cellStyle name="Note 2 17 7 3 3" xfId="19698" xr:uid="{00000000-0005-0000-0000-0000442E0000}"/>
    <cellStyle name="Note 2 17 7 3_Summary" xfId="22115" xr:uid="{00000000-0005-0000-0000-0000452E0000}"/>
    <cellStyle name="Note 2 17 7 4" xfId="8908" xr:uid="{00000000-0005-0000-0000-0000462E0000}"/>
    <cellStyle name="Note 2 17 7 5" xfId="15527" xr:uid="{00000000-0005-0000-0000-0000472E0000}"/>
    <cellStyle name="Note 2 17 7_Summary" xfId="22113" xr:uid="{00000000-0005-0000-0000-0000482E0000}"/>
    <cellStyle name="Note 2 17 8" xfId="2878" xr:uid="{00000000-0005-0000-0000-0000492E0000}"/>
    <cellStyle name="Note 2 17 8 2" xfId="9474" xr:uid="{00000000-0005-0000-0000-00004A2E0000}"/>
    <cellStyle name="Note 2 17 8 3" xfId="16093" xr:uid="{00000000-0005-0000-0000-00004B2E0000}"/>
    <cellStyle name="Note 2 17 8_Summary" xfId="22116" xr:uid="{00000000-0005-0000-0000-00004C2E0000}"/>
    <cellStyle name="Note 2 17 9" xfId="4913" xr:uid="{00000000-0005-0000-0000-00004D2E0000}"/>
    <cellStyle name="Note 2 17 9 2" xfId="11509" xr:uid="{00000000-0005-0000-0000-00004E2E0000}"/>
    <cellStyle name="Note 2 17 9 3" xfId="18128" xr:uid="{00000000-0005-0000-0000-00004F2E0000}"/>
    <cellStyle name="Note 2 17 9_Summary" xfId="22117" xr:uid="{00000000-0005-0000-0000-0000502E0000}"/>
    <cellStyle name="Note 2 17_Summary" xfId="22096" xr:uid="{00000000-0005-0000-0000-0000512E0000}"/>
    <cellStyle name="Note 2 18" xfId="344" xr:uid="{00000000-0005-0000-0000-0000522E0000}"/>
    <cellStyle name="Note 2 18 10" xfId="667" xr:uid="{00000000-0005-0000-0000-0000532E0000}"/>
    <cellStyle name="Note 2 18 10 2" xfId="13882" xr:uid="{00000000-0005-0000-0000-0000542E0000}"/>
    <cellStyle name="Note 2 18 10_Summary" xfId="22119" xr:uid="{00000000-0005-0000-0000-0000552E0000}"/>
    <cellStyle name="Note 2 18 11" xfId="7237" xr:uid="{00000000-0005-0000-0000-0000562E0000}"/>
    <cellStyle name="Note 2 18 12" xfId="13559" xr:uid="{00000000-0005-0000-0000-0000572E0000}"/>
    <cellStyle name="Note 2 18 2" xfId="1038" xr:uid="{00000000-0005-0000-0000-0000582E0000}"/>
    <cellStyle name="Note 2 18 2 2" xfId="3174" xr:uid="{00000000-0005-0000-0000-0000592E0000}"/>
    <cellStyle name="Note 2 18 2 2 2" xfId="9770" xr:uid="{00000000-0005-0000-0000-00005A2E0000}"/>
    <cellStyle name="Note 2 18 2 2 3" xfId="16389" xr:uid="{00000000-0005-0000-0000-00005B2E0000}"/>
    <cellStyle name="Note 2 18 2 2_Summary" xfId="22121" xr:uid="{00000000-0005-0000-0000-00005C2E0000}"/>
    <cellStyle name="Note 2 18 2 3" xfId="5209" xr:uid="{00000000-0005-0000-0000-00005D2E0000}"/>
    <cellStyle name="Note 2 18 2 3 2" xfId="11805" xr:uid="{00000000-0005-0000-0000-00005E2E0000}"/>
    <cellStyle name="Note 2 18 2 3 3" xfId="18424" xr:uid="{00000000-0005-0000-0000-00005F2E0000}"/>
    <cellStyle name="Note 2 18 2 3_Summary" xfId="22122" xr:uid="{00000000-0005-0000-0000-0000602E0000}"/>
    <cellStyle name="Note 2 18 2 4" xfId="7635" xr:uid="{00000000-0005-0000-0000-0000612E0000}"/>
    <cellStyle name="Note 2 18 2 5" xfId="14253" xr:uid="{00000000-0005-0000-0000-0000622E0000}"/>
    <cellStyle name="Note 2 18 2_Summary" xfId="22120" xr:uid="{00000000-0005-0000-0000-0000632E0000}"/>
    <cellStyle name="Note 2 18 3" xfId="1320" xr:uid="{00000000-0005-0000-0000-0000642E0000}"/>
    <cellStyle name="Note 2 18 3 2" xfId="3456" xr:uid="{00000000-0005-0000-0000-0000652E0000}"/>
    <cellStyle name="Note 2 18 3 2 2" xfId="10052" xr:uid="{00000000-0005-0000-0000-0000662E0000}"/>
    <cellStyle name="Note 2 18 3 2 3" xfId="16671" xr:uid="{00000000-0005-0000-0000-0000672E0000}"/>
    <cellStyle name="Note 2 18 3 2_Summary" xfId="22124" xr:uid="{00000000-0005-0000-0000-0000682E0000}"/>
    <cellStyle name="Note 2 18 3 3" xfId="5491" xr:uid="{00000000-0005-0000-0000-0000692E0000}"/>
    <cellStyle name="Note 2 18 3 3 2" xfId="12087" xr:uid="{00000000-0005-0000-0000-00006A2E0000}"/>
    <cellStyle name="Note 2 18 3 3 3" xfId="18706" xr:uid="{00000000-0005-0000-0000-00006B2E0000}"/>
    <cellStyle name="Note 2 18 3 3_Summary" xfId="22125" xr:uid="{00000000-0005-0000-0000-00006C2E0000}"/>
    <cellStyle name="Note 2 18 3 4" xfId="7916" xr:uid="{00000000-0005-0000-0000-00006D2E0000}"/>
    <cellStyle name="Note 2 18 3 5" xfId="14535" xr:uid="{00000000-0005-0000-0000-00006E2E0000}"/>
    <cellStyle name="Note 2 18 3_Summary" xfId="22123" xr:uid="{00000000-0005-0000-0000-00006F2E0000}"/>
    <cellStyle name="Note 2 18 4" xfId="1601" xr:uid="{00000000-0005-0000-0000-0000702E0000}"/>
    <cellStyle name="Note 2 18 4 2" xfId="3737" xr:uid="{00000000-0005-0000-0000-0000712E0000}"/>
    <cellStyle name="Note 2 18 4 2 2" xfId="10333" xr:uid="{00000000-0005-0000-0000-0000722E0000}"/>
    <cellStyle name="Note 2 18 4 2 3" xfId="16952" xr:uid="{00000000-0005-0000-0000-0000732E0000}"/>
    <cellStyle name="Note 2 18 4 2_Summary" xfId="22127" xr:uid="{00000000-0005-0000-0000-0000742E0000}"/>
    <cellStyle name="Note 2 18 4 3" xfId="5772" xr:uid="{00000000-0005-0000-0000-0000752E0000}"/>
    <cellStyle name="Note 2 18 4 3 2" xfId="12368" xr:uid="{00000000-0005-0000-0000-0000762E0000}"/>
    <cellStyle name="Note 2 18 4 3 3" xfId="18987" xr:uid="{00000000-0005-0000-0000-0000772E0000}"/>
    <cellStyle name="Note 2 18 4 3_Summary" xfId="22128" xr:uid="{00000000-0005-0000-0000-0000782E0000}"/>
    <cellStyle name="Note 2 18 4 4" xfId="8197" xr:uid="{00000000-0005-0000-0000-0000792E0000}"/>
    <cellStyle name="Note 2 18 4 5" xfId="14816" xr:uid="{00000000-0005-0000-0000-00007A2E0000}"/>
    <cellStyle name="Note 2 18 4_Summary" xfId="22126" xr:uid="{00000000-0005-0000-0000-00007B2E0000}"/>
    <cellStyle name="Note 2 18 5" xfId="1880" xr:uid="{00000000-0005-0000-0000-00007C2E0000}"/>
    <cellStyle name="Note 2 18 5 2" xfId="4016" xr:uid="{00000000-0005-0000-0000-00007D2E0000}"/>
    <cellStyle name="Note 2 18 5 2 2" xfId="10612" xr:uid="{00000000-0005-0000-0000-00007E2E0000}"/>
    <cellStyle name="Note 2 18 5 2 3" xfId="17231" xr:uid="{00000000-0005-0000-0000-00007F2E0000}"/>
    <cellStyle name="Note 2 18 5 2_Summary" xfId="22130" xr:uid="{00000000-0005-0000-0000-0000802E0000}"/>
    <cellStyle name="Note 2 18 5 3" xfId="6051" xr:uid="{00000000-0005-0000-0000-0000812E0000}"/>
    <cellStyle name="Note 2 18 5 3 2" xfId="12647" xr:uid="{00000000-0005-0000-0000-0000822E0000}"/>
    <cellStyle name="Note 2 18 5 3 3" xfId="19266" xr:uid="{00000000-0005-0000-0000-0000832E0000}"/>
    <cellStyle name="Note 2 18 5 3_Summary" xfId="22131" xr:uid="{00000000-0005-0000-0000-0000842E0000}"/>
    <cellStyle name="Note 2 18 5 4" xfId="8476" xr:uid="{00000000-0005-0000-0000-0000852E0000}"/>
    <cellStyle name="Note 2 18 5 5" xfId="15095" xr:uid="{00000000-0005-0000-0000-0000862E0000}"/>
    <cellStyle name="Note 2 18 5_Summary" xfId="22129" xr:uid="{00000000-0005-0000-0000-0000872E0000}"/>
    <cellStyle name="Note 2 18 6" xfId="2155" xr:uid="{00000000-0005-0000-0000-0000882E0000}"/>
    <cellStyle name="Note 2 18 6 2" xfId="4291" xr:uid="{00000000-0005-0000-0000-0000892E0000}"/>
    <cellStyle name="Note 2 18 6 2 2" xfId="10887" xr:uid="{00000000-0005-0000-0000-00008A2E0000}"/>
    <cellStyle name="Note 2 18 6 2 3" xfId="17506" xr:uid="{00000000-0005-0000-0000-00008B2E0000}"/>
    <cellStyle name="Note 2 18 6 2_Summary" xfId="22133" xr:uid="{00000000-0005-0000-0000-00008C2E0000}"/>
    <cellStyle name="Note 2 18 6 3" xfId="6326" xr:uid="{00000000-0005-0000-0000-00008D2E0000}"/>
    <cellStyle name="Note 2 18 6 3 2" xfId="12922" xr:uid="{00000000-0005-0000-0000-00008E2E0000}"/>
    <cellStyle name="Note 2 18 6 3 3" xfId="19541" xr:uid="{00000000-0005-0000-0000-00008F2E0000}"/>
    <cellStyle name="Note 2 18 6 3_Summary" xfId="22134" xr:uid="{00000000-0005-0000-0000-0000902E0000}"/>
    <cellStyle name="Note 2 18 6 4" xfId="8751" xr:uid="{00000000-0005-0000-0000-0000912E0000}"/>
    <cellStyle name="Note 2 18 6 5" xfId="15370" xr:uid="{00000000-0005-0000-0000-0000922E0000}"/>
    <cellStyle name="Note 2 18 6_Summary" xfId="22132" xr:uid="{00000000-0005-0000-0000-0000932E0000}"/>
    <cellStyle name="Note 2 18 7" xfId="2428" xr:uid="{00000000-0005-0000-0000-0000942E0000}"/>
    <cellStyle name="Note 2 18 7 2" xfId="4564" xr:uid="{00000000-0005-0000-0000-0000952E0000}"/>
    <cellStyle name="Note 2 18 7 2 2" xfId="11160" xr:uid="{00000000-0005-0000-0000-0000962E0000}"/>
    <cellStyle name="Note 2 18 7 2 3" xfId="17779" xr:uid="{00000000-0005-0000-0000-0000972E0000}"/>
    <cellStyle name="Note 2 18 7 2_Summary" xfId="22136" xr:uid="{00000000-0005-0000-0000-0000982E0000}"/>
    <cellStyle name="Note 2 18 7 3" xfId="6599" xr:uid="{00000000-0005-0000-0000-0000992E0000}"/>
    <cellStyle name="Note 2 18 7 3 2" xfId="13195" xr:uid="{00000000-0005-0000-0000-00009A2E0000}"/>
    <cellStyle name="Note 2 18 7 3 3" xfId="19814" xr:uid="{00000000-0005-0000-0000-00009B2E0000}"/>
    <cellStyle name="Note 2 18 7 3_Summary" xfId="22137" xr:uid="{00000000-0005-0000-0000-00009C2E0000}"/>
    <cellStyle name="Note 2 18 7 4" xfId="9024" xr:uid="{00000000-0005-0000-0000-00009D2E0000}"/>
    <cellStyle name="Note 2 18 7 5" xfId="15643" xr:uid="{00000000-0005-0000-0000-00009E2E0000}"/>
    <cellStyle name="Note 2 18 7_Summary" xfId="22135" xr:uid="{00000000-0005-0000-0000-00009F2E0000}"/>
    <cellStyle name="Note 2 18 8" xfId="2803" xr:uid="{00000000-0005-0000-0000-0000A02E0000}"/>
    <cellStyle name="Note 2 18 8 2" xfId="9399" xr:uid="{00000000-0005-0000-0000-0000A12E0000}"/>
    <cellStyle name="Note 2 18 8 3" xfId="16018" xr:uid="{00000000-0005-0000-0000-0000A22E0000}"/>
    <cellStyle name="Note 2 18 8_Summary" xfId="22138" xr:uid="{00000000-0005-0000-0000-0000A32E0000}"/>
    <cellStyle name="Note 2 18 9" xfId="4838" xr:uid="{00000000-0005-0000-0000-0000A42E0000}"/>
    <cellStyle name="Note 2 18 9 2" xfId="11434" xr:uid="{00000000-0005-0000-0000-0000A52E0000}"/>
    <cellStyle name="Note 2 18 9 3" xfId="18053" xr:uid="{00000000-0005-0000-0000-0000A62E0000}"/>
    <cellStyle name="Note 2 18 9_Summary" xfId="22139" xr:uid="{00000000-0005-0000-0000-0000A72E0000}"/>
    <cellStyle name="Note 2 18_Summary" xfId="22118" xr:uid="{00000000-0005-0000-0000-0000A82E0000}"/>
    <cellStyle name="Note 2 19" xfId="6741" xr:uid="{00000000-0005-0000-0000-0000A92E0000}"/>
    <cellStyle name="Note 2 19 2" xfId="13337" xr:uid="{00000000-0005-0000-0000-0000AA2E0000}"/>
    <cellStyle name="Note 2 19 3" xfId="19956" xr:uid="{00000000-0005-0000-0000-0000AB2E0000}"/>
    <cellStyle name="Note 2 19_Summary" xfId="22140" xr:uid="{00000000-0005-0000-0000-0000AC2E0000}"/>
    <cellStyle name="Note 2 2" xfId="168" xr:uid="{00000000-0005-0000-0000-0000AD2E0000}"/>
    <cellStyle name="Note 2 2 10" xfId="956" xr:uid="{00000000-0005-0000-0000-0000AE2E0000}"/>
    <cellStyle name="Note 2 2 10 2" xfId="3092" xr:uid="{00000000-0005-0000-0000-0000AF2E0000}"/>
    <cellStyle name="Note 2 2 10 2 2" xfId="9688" xr:uid="{00000000-0005-0000-0000-0000B02E0000}"/>
    <cellStyle name="Note 2 2 10 2 3" xfId="16307" xr:uid="{00000000-0005-0000-0000-0000B12E0000}"/>
    <cellStyle name="Note 2 2 10 2_Summary" xfId="22143" xr:uid="{00000000-0005-0000-0000-0000B22E0000}"/>
    <cellStyle name="Note 2 2 10 3" xfId="5127" xr:uid="{00000000-0005-0000-0000-0000B32E0000}"/>
    <cellStyle name="Note 2 2 10 3 2" xfId="11723" xr:uid="{00000000-0005-0000-0000-0000B42E0000}"/>
    <cellStyle name="Note 2 2 10 3 3" xfId="18342" xr:uid="{00000000-0005-0000-0000-0000B52E0000}"/>
    <cellStyle name="Note 2 2 10 3_Summary" xfId="22144" xr:uid="{00000000-0005-0000-0000-0000B62E0000}"/>
    <cellStyle name="Note 2 2 10 4" xfId="7553" xr:uid="{00000000-0005-0000-0000-0000B72E0000}"/>
    <cellStyle name="Note 2 2 10 5" xfId="14171" xr:uid="{00000000-0005-0000-0000-0000B82E0000}"/>
    <cellStyle name="Note 2 2 10_Summary" xfId="22142" xr:uid="{00000000-0005-0000-0000-0000B92E0000}"/>
    <cellStyle name="Note 2 2 11" xfId="7078" xr:uid="{00000000-0005-0000-0000-0000BA2E0000}"/>
    <cellStyle name="Note 2 2 12" xfId="7173" xr:uid="{00000000-0005-0000-0000-0000BB2E0000}"/>
    <cellStyle name="Note 2 2 13" xfId="25664" xr:uid="{00000000-0005-0000-0000-00004F030000}"/>
    <cellStyle name="Note 2 2 14" xfId="25688" xr:uid="{00000000-0005-0000-0000-00004F030000}"/>
    <cellStyle name="Note 2 2 15" xfId="25597" xr:uid="{00000000-0005-0000-0000-00004F030000}"/>
    <cellStyle name="Note 2 2 16" xfId="25708" xr:uid="{00000000-0005-0000-0000-00004F030000}"/>
    <cellStyle name="Note 2 2 17" xfId="25881" xr:uid="{34249F96-BA64-463A-B5C2-788B860FBD90}"/>
    <cellStyle name="Note 2 2 18" xfId="25848" xr:uid="{0CA27350-1A02-44CF-9621-23E85FDFF93C}"/>
    <cellStyle name="Note 2 2 19" xfId="26614" xr:uid="{5C36908B-2932-4EDE-A41D-A69FCE5942BA}"/>
    <cellStyle name="Note 2 2 2" xfId="302" xr:uid="{00000000-0005-0000-0000-0000BC2E0000}"/>
    <cellStyle name="Note 2 2 2 10" xfId="4723" xr:uid="{00000000-0005-0000-0000-0000BD2E0000}"/>
    <cellStyle name="Note 2 2 2 10 2" xfId="11319" xr:uid="{00000000-0005-0000-0000-0000BE2E0000}"/>
    <cellStyle name="Note 2 2 2 10 3" xfId="17938" xr:uid="{00000000-0005-0000-0000-0000BF2E0000}"/>
    <cellStyle name="Note 2 2 2 10_Summary" xfId="22146" xr:uid="{00000000-0005-0000-0000-0000C02E0000}"/>
    <cellStyle name="Note 2 2 2 11" xfId="552" xr:uid="{00000000-0005-0000-0000-0000C12E0000}"/>
    <cellStyle name="Note 2 2 2 11 2" xfId="13767" xr:uid="{00000000-0005-0000-0000-0000C22E0000}"/>
    <cellStyle name="Note 2 2 2 11_Summary" xfId="22147" xr:uid="{00000000-0005-0000-0000-0000C32E0000}"/>
    <cellStyle name="Note 2 2 2 12" xfId="7196" xr:uid="{00000000-0005-0000-0000-0000C42E0000}"/>
    <cellStyle name="Note 2 2 2 13" xfId="13518" xr:uid="{00000000-0005-0000-0000-0000C52E0000}"/>
    <cellStyle name="Note 2 2 2 14" xfId="26239" xr:uid="{621CA33B-CBA2-47ED-89B7-9B7A19345DAF}"/>
    <cellStyle name="Note 2 2 2 15" xfId="26677" xr:uid="{385688F9-CB87-4457-94FD-A64A08CB3CE0}"/>
    <cellStyle name="Note 2 2 2 16" xfId="26674" xr:uid="{52995EA5-75B8-4938-A18C-06D2CC517E3E}"/>
    <cellStyle name="Note 2 2 2 17" xfId="26925" xr:uid="{1D787A52-9BE9-4536-9E99-2507AAD5CBBA}"/>
    <cellStyle name="Note 2 2 2 18" xfId="26959" xr:uid="{EA5B6234-B4D2-4B0C-B93B-6FA81485C0FA}"/>
    <cellStyle name="Note 2 2 2 19" xfId="29457" xr:uid="{3FA6AB5F-CB24-4324-9BF4-7A277DBB673F}"/>
    <cellStyle name="Note 2 2 2 2" xfId="431" xr:uid="{00000000-0005-0000-0000-0000C62E0000}"/>
    <cellStyle name="Note 2 2 2 2 10" xfId="825" xr:uid="{00000000-0005-0000-0000-0000C72E0000}"/>
    <cellStyle name="Note 2 2 2 2 10 2" xfId="14040" xr:uid="{00000000-0005-0000-0000-0000C82E0000}"/>
    <cellStyle name="Note 2 2 2 2 10_Summary" xfId="22149" xr:uid="{00000000-0005-0000-0000-0000C92E0000}"/>
    <cellStyle name="Note 2 2 2 2 11" xfId="7324" xr:uid="{00000000-0005-0000-0000-0000CA2E0000}"/>
    <cellStyle name="Note 2 2 2 2 12" xfId="13646" xr:uid="{00000000-0005-0000-0000-0000CB2E0000}"/>
    <cellStyle name="Note 2 2 2 2 13" xfId="30312" xr:uid="{F12BA3A4-2F9A-4C88-B5B5-60C210206BE8}"/>
    <cellStyle name="Note 2 2 2 2 14" xfId="31744" xr:uid="{80C0B9E2-C042-453A-9390-F3076200A850}"/>
    <cellStyle name="Note 2 2 2 2 2" xfId="1125" xr:uid="{00000000-0005-0000-0000-0000CC2E0000}"/>
    <cellStyle name="Note 2 2 2 2 2 2" xfId="3261" xr:uid="{00000000-0005-0000-0000-0000CD2E0000}"/>
    <cellStyle name="Note 2 2 2 2 2 2 2" xfId="9857" xr:uid="{00000000-0005-0000-0000-0000CE2E0000}"/>
    <cellStyle name="Note 2 2 2 2 2 2 3" xfId="16476" xr:uid="{00000000-0005-0000-0000-0000CF2E0000}"/>
    <cellStyle name="Note 2 2 2 2 2 2_Summary" xfId="22151" xr:uid="{00000000-0005-0000-0000-0000D02E0000}"/>
    <cellStyle name="Note 2 2 2 2 2 3" xfId="5296" xr:uid="{00000000-0005-0000-0000-0000D12E0000}"/>
    <cellStyle name="Note 2 2 2 2 2 3 2" xfId="11892" xr:uid="{00000000-0005-0000-0000-0000D22E0000}"/>
    <cellStyle name="Note 2 2 2 2 2 3 3" xfId="18511" xr:uid="{00000000-0005-0000-0000-0000D32E0000}"/>
    <cellStyle name="Note 2 2 2 2 2 3_Summary" xfId="22152" xr:uid="{00000000-0005-0000-0000-0000D42E0000}"/>
    <cellStyle name="Note 2 2 2 2 2 4" xfId="7721" xr:uid="{00000000-0005-0000-0000-0000D52E0000}"/>
    <cellStyle name="Note 2 2 2 2 2 5" xfId="14340" xr:uid="{00000000-0005-0000-0000-0000D62E0000}"/>
    <cellStyle name="Note 2 2 2 2 2_Summary" xfId="22150" xr:uid="{00000000-0005-0000-0000-0000D72E0000}"/>
    <cellStyle name="Note 2 2 2 2 3" xfId="1407" xr:uid="{00000000-0005-0000-0000-0000D82E0000}"/>
    <cellStyle name="Note 2 2 2 2 3 2" xfId="3543" xr:uid="{00000000-0005-0000-0000-0000D92E0000}"/>
    <cellStyle name="Note 2 2 2 2 3 2 2" xfId="10139" xr:uid="{00000000-0005-0000-0000-0000DA2E0000}"/>
    <cellStyle name="Note 2 2 2 2 3 2 3" xfId="16758" xr:uid="{00000000-0005-0000-0000-0000DB2E0000}"/>
    <cellStyle name="Note 2 2 2 2 3 2_Summary" xfId="22154" xr:uid="{00000000-0005-0000-0000-0000DC2E0000}"/>
    <cellStyle name="Note 2 2 2 2 3 3" xfId="5578" xr:uid="{00000000-0005-0000-0000-0000DD2E0000}"/>
    <cellStyle name="Note 2 2 2 2 3 3 2" xfId="12174" xr:uid="{00000000-0005-0000-0000-0000DE2E0000}"/>
    <cellStyle name="Note 2 2 2 2 3 3 3" xfId="18793" xr:uid="{00000000-0005-0000-0000-0000DF2E0000}"/>
    <cellStyle name="Note 2 2 2 2 3 3_Summary" xfId="22155" xr:uid="{00000000-0005-0000-0000-0000E02E0000}"/>
    <cellStyle name="Note 2 2 2 2 3 4" xfId="8003" xr:uid="{00000000-0005-0000-0000-0000E12E0000}"/>
    <cellStyle name="Note 2 2 2 2 3 5" xfId="14622" xr:uid="{00000000-0005-0000-0000-0000E22E0000}"/>
    <cellStyle name="Note 2 2 2 2 3_Summary" xfId="22153" xr:uid="{00000000-0005-0000-0000-0000E32E0000}"/>
    <cellStyle name="Note 2 2 2 2 4" xfId="1688" xr:uid="{00000000-0005-0000-0000-0000E42E0000}"/>
    <cellStyle name="Note 2 2 2 2 4 2" xfId="3824" xr:uid="{00000000-0005-0000-0000-0000E52E0000}"/>
    <cellStyle name="Note 2 2 2 2 4 2 2" xfId="10420" xr:uid="{00000000-0005-0000-0000-0000E62E0000}"/>
    <cellStyle name="Note 2 2 2 2 4 2 3" xfId="17039" xr:uid="{00000000-0005-0000-0000-0000E72E0000}"/>
    <cellStyle name="Note 2 2 2 2 4 2_Summary" xfId="22157" xr:uid="{00000000-0005-0000-0000-0000E82E0000}"/>
    <cellStyle name="Note 2 2 2 2 4 3" xfId="5859" xr:uid="{00000000-0005-0000-0000-0000E92E0000}"/>
    <cellStyle name="Note 2 2 2 2 4 3 2" xfId="12455" xr:uid="{00000000-0005-0000-0000-0000EA2E0000}"/>
    <cellStyle name="Note 2 2 2 2 4 3 3" xfId="19074" xr:uid="{00000000-0005-0000-0000-0000EB2E0000}"/>
    <cellStyle name="Note 2 2 2 2 4 3_Summary" xfId="22158" xr:uid="{00000000-0005-0000-0000-0000EC2E0000}"/>
    <cellStyle name="Note 2 2 2 2 4 4" xfId="8284" xr:uid="{00000000-0005-0000-0000-0000ED2E0000}"/>
    <cellStyle name="Note 2 2 2 2 4 5" xfId="14903" xr:uid="{00000000-0005-0000-0000-0000EE2E0000}"/>
    <cellStyle name="Note 2 2 2 2 4_Summary" xfId="22156" xr:uid="{00000000-0005-0000-0000-0000EF2E0000}"/>
    <cellStyle name="Note 2 2 2 2 5" xfId="1967" xr:uid="{00000000-0005-0000-0000-0000F02E0000}"/>
    <cellStyle name="Note 2 2 2 2 5 2" xfId="4103" xr:uid="{00000000-0005-0000-0000-0000F12E0000}"/>
    <cellStyle name="Note 2 2 2 2 5 2 2" xfId="10699" xr:uid="{00000000-0005-0000-0000-0000F22E0000}"/>
    <cellStyle name="Note 2 2 2 2 5 2 3" xfId="17318" xr:uid="{00000000-0005-0000-0000-0000F32E0000}"/>
    <cellStyle name="Note 2 2 2 2 5 2_Summary" xfId="22160" xr:uid="{00000000-0005-0000-0000-0000F42E0000}"/>
    <cellStyle name="Note 2 2 2 2 5 3" xfId="6138" xr:uid="{00000000-0005-0000-0000-0000F52E0000}"/>
    <cellStyle name="Note 2 2 2 2 5 3 2" xfId="12734" xr:uid="{00000000-0005-0000-0000-0000F62E0000}"/>
    <cellStyle name="Note 2 2 2 2 5 3 3" xfId="19353" xr:uid="{00000000-0005-0000-0000-0000F72E0000}"/>
    <cellStyle name="Note 2 2 2 2 5 3_Summary" xfId="22161" xr:uid="{00000000-0005-0000-0000-0000F82E0000}"/>
    <cellStyle name="Note 2 2 2 2 5 4" xfId="8563" xr:uid="{00000000-0005-0000-0000-0000F92E0000}"/>
    <cellStyle name="Note 2 2 2 2 5 5" xfId="15182" xr:uid="{00000000-0005-0000-0000-0000FA2E0000}"/>
    <cellStyle name="Note 2 2 2 2 5_Summary" xfId="22159" xr:uid="{00000000-0005-0000-0000-0000FB2E0000}"/>
    <cellStyle name="Note 2 2 2 2 6" xfId="2242" xr:uid="{00000000-0005-0000-0000-0000FC2E0000}"/>
    <cellStyle name="Note 2 2 2 2 6 2" xfId="4378" xr:uid="{00000000-0005-0000-0000-0000FD2E0000}"/>
    <cellStyle name="Note 2 2 2 2 6 2 2" xfId="10974" xr:uid="{00000000-0005-0000-0000-0000FE2E0000}"/>
    <cellStyle name="Note 2 2 2 2 6 2 3" xfId="17593" xr:uid="{00000000-0005-0000-0000-0000FF2E0000}"/>
    <cellStyle name="Note 2 2 2 2 6 2_Summary" xfId="22163" xr:uid="{00000000-0005-0000-0000-0000002F0000}"/>
    <cellStyle name="Note 2 2 2 2 6 3" xfId="6413" xr:uid="{00000000-0005-0000-0000-0000012F0000}"/>
    <cellStyle name="Note 2 2 2 2 6 3 2" xfId="13009" xr:uid="{00000000-0005-0000-0000-0000022F0000}"/>
    <cellStyle name="Note 2 2 2 2 6 3 3" xfId="19628" xr:uid="{00000000-0005-0000-0000-0000032F0000}"/>
    <cellStyle name="Note 2 2 2 2 6 3_Summary" xfId="22164" xr:uid="{00000000-0005-0000-0000-0000042F0000}"/>
    <cellStyle name="Note 2 2 2 2 6 4" xfId="8838" xr:uid="{00000000-0005-0000-0000-0000052F0000}"/>
    <cellStyle name="Note 2 2 2 2 6 5" xfId="15457" xr:uid="{00000000-0005-0000-0000-0000062F0000}"/>
    <cellStyle name="Note 2 2 2 2 6_Summary" xfId="22162" xr:uid="{00000000-0005-0000-0000-0000072F0000}"/>
    <cellStyle name="Note 2 2 2 2 7" xfId="2515" xr:uid="{00000000-0005-0000-0000-0000082F0000}"/>
    <cellStyle name="Note 2 2 2 2 7 2" xfId="4651" xr:uid="{00000000-0005-0000-0000-0000092F0000}"/>
    <cellStyle name="Note 2 2 2 2 7 2 2" xfId="11247" xr:uid="{00000000-0005-0000-0000-00000A2F0000}"/>
    <cellStyle name="Note 2 2 2 2 7 2 3" xfId="17866" xr:uid="{00000000-0005-0000-0000-00000B2F0000}"/>
    <cellStyle name="Note 2 2 2 2 7 2_Summary" xfId="22166" xr:uid="{00000000-0005-0000-0000-00000C2F0000}"/>
    <cellStyle name="Note 2 2 2 2 7 3" xfId="6686" xr:uid="{00000000-0005-0000-0000-00000D2F0000}"/>
    <cellStyle name="Note 2 2 2 2 7 3 2" xfId="13282" xr:uid="{00000000-0005-0000-0000-00000E2F0000}"/>
    <cellStyle name="Note 2 2 2 2 7 3 3" xfId="19901" xr:uid="{00000000-0005-0000-0000-00000F2F0000}"/>
    <cellStyle name="Note 2 2 2 2 7 3_Summary" xfId="22167" xr:uid="{00000000-0005-0000-0000-0000102F0000}"/>
    <cellStyle name="Note 2 2 2 2 7 4" xfId="9111" xr:uid="{00000000-0005-0000-0000-0000112F0000}"/>
    <cellStyle name="Note 2 2 2 2 7 5" xfId="15730" xr:uid="{00000000-0005-0000-0000-0000122F0000}"/>
    <cellStyle name="Note 2 2 2 2 7_Summary" xfId="22165" xr:uid="{00000000-0005-0000-0000-0000132F0000}"/>
    <cellStyle name="Note 2 2 2 2 8" xfId="2961" xr:uid="{00000000-0005-0000-0000-0000142F0000}"/>
    <cellStyle name="Note 2 2 2 2 8 2" xfId="9557" xr:uid="{00000000-0005-0000-0000-0000152F0000}"/>
    <cellStyle name="Note 2 2 2 2 8 3" xfId="16176" xr:uid="{00000000-0005-0000-0000-0000162F0000}"/>
    <cellStyle name="Note 2 2 2 2 8_Summary" xfId="22168" xr:uid="{00000000-0005-0000-0000-0000172F0000}"/>
    <cellStyle name="Note 2 2 2 2 9" xfId="4996" xr:uid="{00000000-0005-0000-0000-0000182F0000}"/>
    <cellStyle name="Note 2 2 2 2 9 2" xfId="11592" xr:uid="{00000000-0005-0000-0000-0000192F0000}"/>
    <cellStyle name="Note 2 2 2 2 9 3" xfId="18211" xr:uid="{00000000-0005-0000-0000-00001A2F0000}"/>
    <cellStyle name="Note 2 2 2 2 9_Summary" xfId="22169" xr:uid="{00000000-0005-0000-0000-00001B2F0000}"/>
    <cellStyle name="Note 2 2 2 2_Summary" xfId="22148" xr:uid="{00000000-0005-0000-0000-00001C2F0000}"/>
    <cellStyle name="Note 2 2 2 20" xfId="31027" xr:uid="{E2DC418B-2B68-4770-A6A4-2E4A836ECFBC}"/>
    <cellStyle name="Note 2 2 2 3" xfId="997" xr:uid="{00000000-0005-0000-0000-00001D2F0000}"/>
    <cellStyle name="Note 2 2 2 3 2" xfId="3133" xr:uid="{00000000-0005-0000-0000-00001E2F0000}"/>
    <cellStyle name="Note 2 2 2 3 2 2" xfId="9729" xr:uid="{00000000-0005-0000-0000-00001F2F0000}"/>
    <cellStyle name="Note 2 2 2 3 2 3" xfId="16348" xr:uid="{00000000-0005-0000-0000-0000202F0000}"/>
    <cellStyle name="Note 2 2 2 3 2_Summary" xfId="22171" xr:uid="{00000000-0005-0000-0000-0000212F0000}"/>
    <cellStyle name="Note 2 2 2 3 3" xfId="5168" xr:uid="{00000000-0005-0000-0000-0000222F0000}"/>
    <cellStyle name="Note 2 2 2 3 3 2" xfId="11764" xr:uid="{00000000-0005-0000-0000-0000232F0000}"/>
    <cellStyle name="Note 2 2 2 3 3 3" xfId="18383" xr:uid="{00000000-0005-0000-0000-0000242F0000}"/>
    <cellStyle name="Note 2 2 2 3 3_Summary" xfId="22172" xr:uid="{00000000-0005-0000-0000-0000252F0000}"/>
    <cellStyle name="Note 2 2 2 3 4" xfId="7594" xr:uid="{00000000-0005-0000-0000-0000262F0000}"/>
    <cellStyle name="Note 2 2 2 3 5" xfId="14212" xr:uid="{00000000-0005-0000-0000-0000272F0000}"/>
    <cellStyle name="Note 2 2 2 3_Summary" xfId="22170" xr:uid="{00000000-0005-0000-0000-0000282F0000}"/>
    <cellStyle name="Note 2 2 2 4" xfId="1279" xr:uid="{00000000-0005-0000-0000-0000292F0000}"/>
    <cellStyle name="Note 2 2 2 4 2" xfId="3415" xr:uid="{00000000-0005-0000-0000-00002A2F0000}"/>
    <cellStyle name="Note 2 2 2 4 2 2" xfId="10011" xr:uid="{00000000-0005-0000-0000-00002B2F0000}"/>
    <cellStyle name="Note 2 2 2 4 2 3" xfId="16630" xr:uid="{00000000-0005-0000-0000-00002C2F0000}"/>
    <cellStyle name="Note 2 2 2 4 2_Summary" xfId="22174" xr:uid="{00000000-0005-0000-0000-00002D2F0000}"/>
    <cellStyle name="Note 2 2 2 4 3" xfId="5450" xr:uid="{00000000-0005-0000-0000-00002E2F0000}"/>
    <cellStyle name="Note 2 2 2 4 3 2" xfId="12046" xr:uid="{00000000-0005-0000-0000-00002F2F0000}"/>
    <cellStyle name="Note 2 2 2 4 3 3" xfId="18665" xr:uid="{00000000-0005-0000-0000-0000302F0000}"/>
    <cellStyle name="Note 2 2 2 4 3_Summary" xfId="22175" xr:uid="{00000000-0005-0000-0000-0000312F0000}"/>
    <cellStyle name="Note 2 2 2 4 4" xfId="7875" xr:uid="{00000000-0005-0000-0000-0000322F0000}"/>
    <cellStyle name="Note 2 2 2 4 5" xfId="14494" xr:uid="{00000000-0005-0000-0000-0000332F0000}"/>
    <cellStyle name="Note 2 2 2 4_Summary" xfId="22173" xr:uid="{00000000-0005-0000-0000-0000342F0000}"/>
    <cellStyle name="Note 2 2 2 5" xfId="1560" xr:uid="{00000000-0005-0000-0000-0000352F0000}"/>
    <cellStyle name="Note 2 2 2 5 2" xfId="3696" xr:uid="{00000000-0005-0000-0000-0000362F0000}"/>
    <cellStyle name="Note 2 2 2 5 2 2" xfId="10292" xr:uid="{00000000-0005-0000-0000-0000372F0000}"/>
    <cellStyle name="Note 2 2 2 5 2 3" xfId="16911" xr:uid="{00000000-0005-0000-0000-0000382F0000}"/>
    <cellStyle name="Note 2 2 2 5 2_Summary" xfId="22177" xr:uid="{00000000-0005-0000-0000-0000392F0000}"/>
    <cellStyle name="Note 2 2 2 5 3" xfId="5731" xr:uid="{00000000-0005-0000-0000-00003A2F0000}"/>
    <cellStyle name="Note 2 2 2 5 3 2" xfId="12327" xr:uid="{00000000-0005-0000-0000-00003B2F0000}"/>
    <cellStyle name="Note 2 2 2 5 3 3" xfId="18946" xr:uid="{00000000-0005-0000-0000-00003C2F0000}"/>
    <cellStyle name="Note 2 2 2 5 3_Summary" xfId="22178" xr:uid="{00000000-0005-0000-0000-00003D2F0000}"/>
    <cellStyle name="Note 2 2 2 5 4" xfId="8156" xr:uid="{00000000-0005-0000-0000-00003E2F0000}"/>
    <cellStyle name="Note 2 2 2 5 5" xfId="14775" xr:uid="{00000000-0005-0000-0000-00003F2F0000}"/>
    <cellStyle name="Note 2 2 2 5_Summary" xfId="22176" xr:uid="{00000000-0005-0000-0000-0000402F0000}"/>
    <cellStyle name="Note 2 2 2 6" xfId="1839" xr:uid="{00000000-0005-0000-0000-0000412F0000}"/>
    <cellStyle name="Note 2 2 2 6 2" xfId="3975" xr:uid="{00000000-0005-0000-0000-0000422F0000}"/>
    <cellStyle name="Note 2 2 2 6 2 2" xfId="10571" xr:uid="{00000000-0005-0000-0000-0000432F0000}"/>
    <cellStyle name="Note 2 2 2 6 2 3" xfId="17190" xr:uid="{00000000-0005-0000-0000-0000442F0000}"/>
    <cellStyle name="Note 2 2 2 6 2_Summary" xfId="22180" xr:uid="{00000000-0005-0000-0000-0000452F0000}"/>
    <cellStyle name="Note 2 2 2 6 3" xfId="6010" xr:uid="{00000000-0005-0000-0000-0000462F0000}"/>
    <cellStyle name="Note 2 2 2 6 3 2" xfId="12606" xr:uid="{00000000-0005-0000-0000-0000472F0000}"/>
    <cellStyle name="Note 2 2 2 6 3 3" xfId="19225" xr:uid="{00000000-0005-0000-0000-0000482F0000}"/>
    <cellStyle name="Note 2 2 2 6 3_Summary" xfId="22181" xr:uid="{00000000-0005-0000-0000-0000492F0000}"/>
    <cellStyle name="Note 2 2 2 6 4" xfId="8435" xr:uid="{00000000-0005-0000-0000-00004A2F0000}"/>
    <cellStyle name="Note 2 2 2 6 5" xfId="15054" xr:uid="{00000000-0005-0000-0000-00004B2F0000}"/>
    <cellStyle name="Note 2 2 2 6_Summary" xfId="22179" xr:uid="{00000000-0005-0000-0000-00004C2F0000}"/>
    <cellStyle name="Note 2 2 2 7" xfId="2114" xr:uid="{00000000-0005-0000-0000-00004D2F0000}"/>
    <cellStyle name="Note 2 2 2 7 2" xfId="4250" xr:uid="{00000000-0005-0000-0000-00004E2F0000}"/>
    <cellStyle name="Note 2 2 2 7 2 2" xfId="10846" xr:uid="{00000000-0005-0000-0000-00004F2F0000}"/>
    <cellStyle name="Note 2 2 2 7 2 3" xfId="17465" xr:uid="{00000000-0005-0000-0000-0000502F0000}"/>
    <cellStyle name="Note 2 2 2 7 2_Summary" xfId="22183" xr:uid="{00000000-0005-0000-0000-0000512F0000}"/>
    <cellStyle name="Note 2 2 2 7 3" xfId="6285" xr:uid="{00000000-0005-0000-0000-0000522F0000}"/>
    <cellStyle name="Note 2 2 2 7 3 2" xfId="12881" xr:uid="{00000000-0005-0000-0000-0000532F0000}"/>
    <cellStyle name="Note 2 2 2 7 3 3" xfId="19500" xr:uid="{00000000-0005-0000-0000-0000542F0000}"/>
    <cellStyle name="Note 2 2 2 7 3_Summary" xfId="22184" xr:uid="{00000000-0005-0000-0000-0000552F0000}"/>
    <cellStyle name="Note 2 2 2 7 4" xfId="8710" xr:uid="{00000000-0005-0000-0000-0000562F0000}"/>
    <cellStyle name="Note 2 2 2 7 5" xfId="15329" xr:uid="{00000000-0005-0000-0000-0000572F0000}"/>
    <cellStyle name="Note 2 2 2 7_Summary" xfId="22182" xr:uid="{00000000-0005-0000-0000-0000582F0000}"/>
    <cellStyle name="Note 2 2 2 8" xfId="2387" xr:uid="{00000000-0005-0000-0000-0000592F0000}"/>
    <cellStyle name="Note 2 2 2 8 2" xfId="4523" xr:uid="{00000000-0005-0000-0000-00005A2F0000}"/>
    <cellStyle name="Note 2 2 2 8 2 2" xfId="11119" xr:uid="{00000000-0005-0000-0000-00005B2F0000}"/>
    <cellStyle name="Note 2 2 2 8 2 3" xfId="17738" xr:uid="{00000000-0005-0000-0000-00005C2F0000}"/>
    <cellStyle name="Note 2 2 2 8 2_Summary" xfId="22186" xr:uid="{00000000-0005-0000-0000-00005D2F0000}"/>
    <cellStyle name="Note 2 2 2 8 3" xfId="6558" xr:uid="{00000000-0005-0000-0000-00005E2F0000}"/>
    <cellStyle name="Note 2 2 2 8 3 2" xfId="13154" xr:uid="{00000000-0005-0000-0000-00005F2F0000}"/>
    <cellStyle name="Note 2 2 2 8 3 3" xfId="19773" xr:uid="{00000000-0005-0000-0000-0000602F0000}"/>
    <cellStyle name="Note 2 2 2 8 3_Summary" xfId="22187" xr:uid="{00000000-0005-0000-0000-0000612F0000}"/>
    <cellStyle name="Note 2 2 2 8 4" xfId="8983" xr:uid="{00000000-0005-0000-0000-0000622F0000}"/>
    <cellStyle name="Note 2 2 2 8 5" xfId="15602" xr:uid="{00000000-0005-0000-0000-0000632F0000}"/>
    <cellStyle name="Note 2 2 2 8_Summary" xfId="22185" xr:uid="{00000000-0005-0000-0000-0000642F0000}"/>
    <cellStyle name="Note 2 2 2 9" xfId="2688" xr:uid="{00000000-0005-0000-0000-0000652F0000}"/>
    <cellStyle name="Note 2 2 2 9 2" xfId="9284" xr:uid="{00000000-0005-0000-0000-0000662F0000}"/>
    <cellStyle name="Note 2 2 2 9 3" xfId="15903" xr:uid="{00000000-0005-0000-0000-0000672F0000}"/>
    <cellStyle name="Note 2 2 2 9_Summary" xfId="22188" xr:uid="{00000000-0005-0000-0000-0000682F0000}"/>
    <cellStyle name="Note 2 2 2_Summary" xfId="22145" xr:uid="{00000000-0005-0000-0000-0000692F0000}"/>
    <cellStyle name="Note 2 2 20" xfId="26659" xr:uid="{36940535-4EB4-4628-B0D7-FCACA59C0C07}"/>
    <cellStyle name="Note 2 2 21" xfId="26581" xr:uid="{DD7382AC-BE54-42B8-8866-DF2EFA8319A8}"/>
    <cellStyle name="Note 2 2 22" xfId="29456" xr:uid="{919C97EE-8B8E-4BFC-A583-F1137865A572}"/>
    <cellStyle name="Note 2 2 23" xfId="31026" xr:uid="{8427F35F-7680-446C-8B65-DCB43181AEAE}"/>
    <cellStyle name="Note 2 2 3" xfId="217" xr:uid="{00000000-0005-0000-0000-00006A2F0000}"/>
    <cellStyle name="Note 2 2 3 10" xfId="754" xr:uid="{00000000-0005-0000-0000-00006B2F0000}"/>
    <cellStyle name="Note 2 2 3 10 2" xfId="13969" xr:uid="{00000000-0005-0000-0000-00006C2F0000}"/>
    <cellStyle name="Note 2 2 3 10_Summary" xfId="22190" xr:uid="{00000000-0005-0000-0000-00006D2F0000}"/>
    <cellStyle name="Note 2 2 3 11" xfId="7124" xr:uid="{00000000-0005-0000-0000-00006E2F0000}"/>
    <cellStyle name="Note 2 2 3 12" xfId="7072" xr:uid="{00000000-0005-0000-0000-00006F2F0000}"/>
    <cellStyle name="Note 2 2 3 13" xfId="26284" xr:uid="{C3B250AC-E034-44FB-B3AB-E18E561AB92D}"/>
    <cellStyle name="Note 2 2 3 14" xfId="26700" xr:uid="{FA14A7BD-A239-43F2-923B-1F8DA94B64F1}"/>
    <cellStyle name="Note 2 2 3 15" xfId="26947" xr:uid="{BF2963EF-0111-494A-89E9-E73F1105DB26}"/>
    <cellStyle name="Note 2 2 3 16" xfId="26725" xr:uid="{C382CACB-4DA0-4D0D-AF3D-B9277EECD118}"/>
    <cellStyle name="Note 2 2 3 17" xfId="26984" xr:uid="{834B5A4B-B7C8-473F-86BB-4FA0468F36D0}"/>
    <cellStyle name="Note 2 2 3 18" xfId="29458" xr:uid="{66283E5B-F8BB-480A-AF08-DAE858F86C71}"/>
    <cellStyle name="Note 2 2 3 19" xfId="31028" xr:uid="{2C163369-FC8F-4798-AFED-A0BDCDBE22B4}"/>
    <cellStyle name="Note 2 2 3 2" xfId="922" xr:uid="{00000000-0005-0000-0000-0000702F0000}"/>
    <cellStyle name="Note 2 2 3 2 2" xfId="3058" xr:uid="{00000000-0005-0000-0000-0000712F0000}"/>
    <cellStyle name="Note 2 2 3 2 2 2" xfId="9654" xr:uid="{00000000-0005-0000-0000-0000722F0000}"/>
    <cellStyle name="Note 2 2 3 2 2 3" xfId="16273" xr:uid="{00000000-0005-0000-0000-0000732F0000}"/>
    <cellStyle name="Note 2 2 3 2 2 4" xfId="26532" xr:uid="{A4A95006-9925-42BB-BDFC-83BF8B55B97E}"/>
    <cellStyle name="Note 2 2 3 2 2_Summary" xfId="22192" xr:uid="{00000000-0005-0000-0000-0000742F0000}"/>
    <cellStyle name="Note 2 2 3 2 3" xfId="5093" xr:uid="{00000000-0005-0000-0000-0000752F0000}"/>
    <cellStyle name="Note 2 2 3 2 3 2" xfId="11689" xr:uid="{00000000-0005-0000-0000-0000762F0000}"/>
    <cellStyle name="Note 2 2 3 2 3 3" xfId="18308" xr:uid="{00000000-0005-0000-0000-0000772F0000}"/>
    <cellStyle name="Note 2 2 3 2 3_Summary" xfId="22193" xr:uid="{00000000-0005-0000-0000-0000782F0000}"/>
    <cellStyle name="Note 2 2 3 2 4" xfId="7519" xr:uid="{00000000-0005-0000-0000-0000792F0000}"/>
    <cellStyle name="Note 2 2 3 2 5" xfId="14137" xr:uid="{00000000-0005-0000-0000-00007A2F0000}"/>
    <cellStyle name="Note 2 2 3 2 6" xfId="26429" xr:uid="{D61F7BB7-8A46-4920-BC94-3EAE18C0022C}"/>
    <cellStyle name="Note 2 2 3 2 7" xfId="30313" xr:uid="{3A000A3F-EF5F-48A1-B90E-AF534CE3D4C1}"/>
    <cellStyle name="Note 2 2 3 2 8" xfId="31745" xr:uid="{AD874EFC-9727-4528-B549-369476790E1F}"/>
    <cellStyle name="Note 2 2 3 2_Summary" xfId="22191" xr:uid="{00000000-0005-0000-0000-00007B2F0000}"/>
    <cellStyle name="Note 2 2 3 3" xfId="1207" xr:uid="{00000000-0005-0000-0000-00007C2F0000}"/>
    <cellStyle name="Note 2 2 3 3 2" xfId="3343" xr:uid="{00000000-0005-0000-0000-00007D2F0000}"/>
    <cellStyle name="Note 2 2 3 3 2 2" xfId="9939" xr:uid="{00000000-0005-0000-0000-00007E2F0000}"/>
    <cellStyle name="Note 2 2 3 3 2 3" xfId="16558" xr:uid="{00000000-0005-0000-0000-00007F2F0000}"/>
    <cellStyle name="Note 2 2 3 3 2_Summary" xfId="22195" xr:uid="{00000000-0005-0000-0000-0000802F0000}"/>
    <cellStyle name="Note 2 2 3 3 3" xfId="5378" xr:uid="{00000000-0005-0000-0000-0000812F0000}"/>
    <cellStyle name="Note 2 2 3 3 3 2" xfId="11974" xr:uid="{00000000-0005-0000-0000-0000822F0000}"/>
    <cellStyle name="Note 2 2 3 3 3 3" xfId="18593" xr:uid="{00000000-0005-0000-0000-0000832F0000}"/>
    <cellStyle name="Note 2 2 3 3 3_Summary" xfId="22196" xr:uid="{00000000-0005-0000-0000-0000842F0000}"/>
    <cellStyle name="Note 2 2 3 3 4" xfId="7803" xr:uid="{00000000-0005-0000-0000-0000852F0000}"/>
    <cellStyle name="Note 2 2 3 3 5" xfId="14422" xr:uid="{00000000-0005-0000-0000-0000862F0000}"/>
    <cellStyle name="Note 2 2 3 3_Summary" xfId="22194" xr:uid="{00000000-0005-0000-0000-0000872F0000}"/>
    <cellStyle name="Note 2 2 3 4" xfId="1489" xr:uid="{00000000-0005-0000-0000-0000882F0000}"/>
    <cellStyle name="Note 2 2 3 4 2" xfId="3625" xr:uid="{00000000-0005-0000-0000-0000892F0000}"/>
    <cellStyle name="Note 2 2 3 4 2 2" xfId="10221" xr:uid="{00000000-0005-0000-0000-00008A2F0000}"/>
    <cellStyle name="Note 2 2 3 4 2 3" xfId="16840" xr:uid="{00000000-0005-0000-0000-00008B2F0000}"/>
    <cellStyle name="Note 2 2 3 4 2_Summary" xfId="22198" xr:uid="{00000000-0005-0000-0000-00008C2F0000}"/>
    <cellStyle name="Note 2 2 3 4 3" xfId="5660" xr:uid="{00000000-0005-0000-0000-00008D2F0000}"/>
    <cellStyle name="Note 2 2 3 4 3 2" xfId="12256" xr:uid="{00000000-0005-0000-0000-00008E2F0000}"/>
    <cellStyle name="Note 2 2 3 4 3 3" xfId="18875" xr:uid="{00000000-0005-0000-0000-00008F2F0000}"/>
    <cellStyle name="Note 2 2 3 4 3_Summary" xfId="22199" xr:uid="{00000000-0005-0000-0000-0000902F0000}"/>
    <cellStyle name="Note 2 2 3 4 4" xfId="8085" xr:uid="{00000000-0005-0000-0000-0000912F0000}"/>
    <cellStyle name="Note 2 2 3 4 5" xfId="14704" xr:uid="{00000000-0005-0000-0000-0000922F0000}"/>
    <cellStyle name="Note 2 2 3 4_Summary" xfId="22197" xr:uid="{00000000-0005-0000-0000-0000932F0000}"/>
    <cellStyle name="Note 2 2 3 5" xfId="1770" xr:uid="{00000000-0005-0000-0000-0000942F0000}"/>
    <cellStyle name="Note 2 2 3 5 2" xfId="3906" xr:uid="{00000000-0005-0000-0000-0000952F0000}"/>
    <cellStyle name="Note 2 2 3 5 2 2" xfId="10502" xr:uid="{00000000-0005-0000-0000-0000962F0000}"/>
    <cellStyle name="Note 2 2 3 5 2 3" xfId="17121" xr:uid="{00000000-0005-0000-0000-0000972F0000}"/>
    <cellStyle name="Note 2 2 3 5 2_Summary" xfId="22201" xr:uid="{00000000-0005-0000-0000-0000982F0000}"/>
    <cellStyle name="Note 2 2 3 5 3" xfId="5941" xr:uid="{00000000-0005-0000-0000-0000992F0000}"/>
    <cellStyle name="Note 2 2 3 5 3 2" xfId="12537" xr:uid="{00000000-0005-0000-0000-00009A2F0000}"/>
    <cellStyle name="Note 2 2 3 5 3 3" xfId="19156" xr:uid="{00000000-0005-0000-0000-00009B2F0000}"/>
    <cellStyle name="Note 2 2 3 5 3_Summary" xfId="22202" xr:uid="{00000000-0005-0000-0000-00009C2F0000}"/>
    <cellStyle name="Note 2 2 3 5 4" xfId="8366" xr:uid="{00000000-0005-0000-0000-00009D2F0000}"/>
    <cellStyle name="Note 2 2 3 5 5" xfId="14985" xr:uid="{00000000-0005-0000-0000-00009E2F0000}"/>
    <cellStyle name="Note 2 2 3 5_Summary" xfId="22200" xr:uid="{00000000-0005-0000-0000-00009F2F0000}"/>
    <cellStyle name="Note 2 2 3 6" xfId="2049" xr:uid="{00000000-0005-0000-0000-0000A02F0000}"/>
    <cellStyle name="Note 2 2 3 6 2" xfId="4185" xr:uid="{00000000-0005-0000-0000-0000A12F0000}"/>
    <cellStyle name="Note 2 2 3 6 2 2" xfId="10781" xr:uid="{00000000-0005-0000-0000-0000A22F0000}"/>
    <cellStyle name="Note 2 2 3 6 2 3" xfId="17400" xr:uid="{00000000-0005-0000-0000-0000A32F0000}"/>
    <cellStyle name="Note 2 2 3 6 2_Summary" xfId="22204" xr:uid="{00000000-0005-0000-0000-0000A42F0000}"/>
    <cellStyle name="Note 2 2 3 6 3" xfId="6220" xr:uid="{00000000-0005-0000-0000-0000A52F0000}"/>
    <cellStyle name="Note 2 2 3 6 3 2" xfId="12816" xr:uid="{00000000-0005-0000-0000-0000A62F0000}"/>
    <cellStyle name="Note 2 2 3 6 3 3" xfId="19435" xr:uid="{00000000-0005-0000-0000-0000A72F0000}"/>
    <cellStyle name="Note 2 2 3 6 3_Summary" xfId="22205" xr:uid="{00000000-0005-0000-0000-0000A82F0000}"/>
    <cellStyle name="Note 2 2 3 6 4" xfId="8645" xr:uid="{00000000-0005-0000-0000-0000A92F0000}"/>
    <cellStyle name="Note 2 2 3 6 5" xfId="15264" xr:uid="{00000000-0005-0000-0000-0000AA2F0000}"/>
    <cellStyle name="Note 2 2 3 6_Summary" xfId="22203" xr:uid="{00000000-0005-0000-0000-0000AB2F0000}"/>
    <cellStyle name="Note 2 2 3 7" xfId="2324" xr:uid="{00000000-0005-0000-0000-0000AC2F0000}"/>
    <cellStyle name="Note 2 2 3 7 2" xfId="4460" xr:uid="{00000000-0005-0000-0000-0000AD2F0000}"/>
    <cellStyle name="Note 2 2 3 7 2 2" xfId="11056" xr:uid="{00000000-0005-0000-0000-0000AE2F0000}"/>
    <cellStyle name="Note 2 2 3 7 2 3" xfId="17675" xr:uid="{00000000-0005-0000-0000-0000AF2F0000}"/>
    <cellStyle name="Note 2 2 3 7 2_Summary" xfId="22207" xr:uid="{00000000-0005-0000-0000-0000B02F0000}"/>
    <cellStyle name="Note 2 2 3 7 3" xfId="6495" xr:uid="{00000000-0005-0000-0000-0000B12F0000}"/>
    <cellStyle name="Note 2 2 3 7 3 2" xfId="13091" xr:uid="{00000000-0005-0000-0000-0000B22F0000}"/>
    <cellStyle name="Note 2 2 3 7 3 3" xfId="19710" xr:uid="{00000000-0005-0000-0000-0000B32F0000}"/>
    <cellStyle name="Note 2 2 3 7 3_Summary" xfId="22208" xr:uid="{00000000-0005-0000-0000-0000B42F0000}"/>
    <cellStyle name="Note 2 2 3 7 4" xfId="8920" xr:uid="{00000000-0005-0000-0000-0000B52F0000}"/>
    <cellStyle name="Note 2 2 3 7 5" xfId="15539" xr:uid="{00000000-0005-0000-0000-0000B62F0000}"/>
    <cellStyle name="Note 2 2 3 7_Summary" xfId="22206" xr:uid="{00000000-0005-0000-0000-0000B72F0000}"/>
    <cellStyle name="Note 2 2 3 8" xfId="2890" xr:uid="{00000000-0005-0000-0000-0000B82F0000}"/>
    <cellStyle name="Note 2 2 3 8 2" xfId="9486" xr:uid="{00000000-0005-0000-0000-0000B92F0000}"/>
    <cellStyle name="Note 2 2 3 8 3" xfId="16105" xr:uid="{00000000-0005-0000-0000-0000BA2F0000}"/>
    <cellStyle name="Note 2 2 3 8_Summary" xfId="22209" xr:uid="{00000000-0005-0000-0000-0000BB2F0000}"/>
    <cellStyle name="Note 2 2 3 9" xfId="4925" xr:uid="{00000000-0005-0000-0000-0000BC2F0000}"/>
    <cellStyle name="Note 2 2 3 9 2" xfId="11521" xr:uid="{00000000-0005-0000-0000-0000BD2F0000}"/>
    <cellStyle name="Note 2 2 3 9 3" xfId="18140" xr:uid="{00000000-0005-0000-0000-0000BE2F0000}"/>
    <cellStyle name="Note 2 2 3 9_Summary" xfId="22210" xr:uid="{00000000-0005-0000-0000-0000BF2F0000}"/>
    <cellStyle name="Note 2 2 3_Summary" xfId="22189" xr:uid="{00000000-0005-0000-0000-0000C02F0000}"/>
    <cellStyle name="Note 2 2 4" xfId="370" xr:uid="{00000000-0005-0000-0000-0000C12F0000}"/>
    <cellStyle name="Note 2 2 4 10" xfId="707" xr:uid="{00000000-0005-0000-0000-0000C22F0000}"/>
    <cellStyle name="Note 2 2 4 10 2" xfId="13922" xr:uid="{00000000-0005-0000-0000-0000C32F0000}"/>
    <cellStyle name="Note 2 2 4 10_Summary" xfId="22212" xr:uid="{00000000-0005-0000-0000-0000C42F0000}"/>
    <cellStyle name="Note 2 2 4 11" xfId="7263" xr:uid="{00000000-0005-0000-0000-0000C52F0000}"/>
    <cellStyle name="Note 2 2 4 12" xfId="13585" xr:uid="{00000000-0005-0000-0000-0000C62F0000}"/>
    <cellStyle name="Note 2 2 4 13" xfId="26373" xr:uid="{6C3DA951-0C9B-41D4-86B3-C2FFECAB670B}"/>
    <cellStyle name="Note 2 2 4 14" xfId="26774" xr:uid="{F3AC5B10-0710-4AC6-8E72-67E622F577F4}"/>
    <cellStyle name="Note 2 2 4 15" xfId="26982" xr:uid="{06ECB62A-7264-466C-98CC-9688EC320E8B}"/>
    <cellStyle name="Note 2 2 4 16" xfId="26616" xr:uid="{52382C9C-070D-407D-8141-9477A4F12F09}"/>
    <cellStyle name="Note 2 2 4 17" xfId="26749" xr:uid="{BEF90A50-0174-4651-A934-A32C73F2E673}"/>
    <cellStyle name="Note 2 2 4 18" xfId="30311" xr:uid="{132E39CE-07F8-4046-B0AF-0EE0423F0E84}"/>
    <cellStyle name="Note 2 2 4 19" xfId="31743" xr:uid="{93DA23C1-4267-4230-B215-C82773E0DF3E}"/>
    <cellStyle name="Note 2 2 4 2" xfId="1064" xr:uid="{00000000-0005-0000-0000-0000C72F0000}"/>
    <cellStyle name="Note 2 2 4 2 10" xfId="27070" xr:uid="{A48E195E-F081-43E3-A3E8-F1745929363B}"/>
    <cellStyle name="Note 2 2 4 2 2" xfId="3200" xr:uid="{00000000-0005-0000-0000-0000C82F0000}"/>
    <cellStyle name="Note 2 2 4 2 2 2" xfId="9796" xr:uid="{00000000-0005-0000-0000-0000C92F0000}"/>
    <cellStyle name="Note 2 2 4 2 2 3" xfId="16415" xr:uid="{00000000-0005-0000-0000-0000CA2F0000}"/>
    <cellStyle name="Note 2 2 4 2 2_Summary" xfId="22214" xr:uid="{00000000-0005-0000-0000-0000CB2F0000}"/>
    <cellStyle name="Note 2 2 4 2 3" xfId="5235" xr:uid="{00000000-0005-0000-0000-0000CC2F0000}"/>
    <cellStyle name="Note 2 2 4 2 3 2" xfId="11831" xr:uid="{00000000-0005-0000-0000-0000CD2F0000}"/>
    <cellStyle name="Note 2 2 4 2 3 3" xfId="18450" xr:uid="{00000000-0005-0000-0000-0000CE2F0000}"/>
    <cellStyle name="Note 2 2 4 2 3_Summary" xfId="22215" xr:uid="{00000000-0005-0000-0000-0000CF2F0000}"/>
    <cellStyle name="Note 2 2 4 2 4" xfId="7661" xr:uid="{00000000-0005-0000-0000-0000D02F0000}"/>
    <cellStyle name="Note 2 2 4 2 5" xfId="14279" xr:uid="{00000000-0005-0000-0000-0000D12F0000}"/>
    <cellStyle name="Note 2 2 4 2 6" xfId="26487" xr:uid="{9563656D-03D8-4665-9D9D-2F5605A0CE5D}"/>
    <cellStyle name="Note 2 2 4 2 7" xfId="26871" xr:uid="{66364376-98EA-4168-888E-AF98D1F80D64}"/>
    <cellStyle name="Note 2 2 4 2 8" xfId="27021" xr:uid="{24FFEF84-8A35-4BFA-AE3A-DB75B6D0CF8C}"/>
    <cellStyle name="Note 2 2 4 2 9" xfId="27050" xr:uid="{8DE3890E-15E9-42BF-9CED-369799647E4D}"/>
    <cellStyle name="Note 2 2 4 2_Summary" xfId="22213" xr:uid="{00000000-0005-0000-0000-0000D22F0000}"/>
    <cellStyle name="Note 2 2 4 3" xfId="1346" xr:uid="{00000000-0005-0000-0000-0000D32F0000}"/>
    <cellStyle name="Note 2 2 4 3 2" xfId="3482" xr:uid="{00000000-0005-0000-0000-0000D42F0000}"/>
    <cellStyle name="Note 2 2 4 3 2 2" xfId="10078" xr:uid="{00000000-0005-0000-0000-0000D52F0000}"/>
    <cellStyle name="Note 2 2 4 3 2 3" xfId="16697" xr:uid="{00000000-0005-0000-0000-0000D62F0000}"/>
    <cellStyle name="Note 2 2 4 3 2_Summary" xfId="22217" xr:uid="{00000000-0005-0000-0000-0000D72F0000}"/>
    <cellStyle name="Note 2 2 4 3 3" xfId="5517" xr:uid="{00000000-0005-0000-0000-0000D82F0000}"/>
    <cellStyle name="Note 2 2 4 3 3 2" xfId="12113" xr:uid="{00000000-0005-0000-0000-0000D92F0000}"/>
    <cellStyle name="Note 2 2 4 3 3 3" xfId="18732" xr:uid="{00000000-0005-0000-0000-0000DA2F0000}"/>
    <cellStyle name="Note 2 2 4 3 3_Summary" xfId="22218" xr:uid="{00000000-0005-0000-0000-0000DB2F0000}"/>
    <cellStyle name="Note 2 2 4 3 4" xfId="7942" xr:uid="{00000000-0005-0000-0000-0000DC2F0000}"/>
    <cellStyle name="Note 2 2 4 3 5" xfId="14561" xr:uid="{00000000-0005-0000-0000-0000DD2F0000}"/>
    <cellStyle name="Note 2 2 4 3_Summary" xfId="22216" xr:uid="{00000000-0005-0000-0000-0000DE2F0000}"/>
    <cellStyle name="Note 2 2 4 4" xfId="1627" xr:uid="{00000000-0005-0000-0000-0000DF2F0000}"/>
    <cellStyle name="Note 2 2 4 4 2" xfId="3763" xr:uid="{00000000-0005-0000-0000-0000E02F0000}"/>
    <cellStyle name="Note 2 2 4 4 2 2" xfId="10359" xr:uid="{00000000-0005-0000-0000-0000E12F0000}"/>
    <cellStyle name="Note 2 2 4 4 2 3" xfId="16978" xr:uid="{00000000-0005-0000-0000-0000E22F0000}"/>
    <cellStyle name="Note 2 2 4 4 2_Summary" xfId="22220" xr:uid="{00000000-0005-0000-0000-0000E32F0000}"/>
    <cellStyle name="Note 2 2 4 4 3" xfId="5798" xr:uid="{00000000-0005-0000-0000-0000E42F0000}"/>
    <cellStyle name="Note 2 2 4 4 3 2" xfId="12394" xr:uid="{00000000-0005-0000-0000-0000E52F0000}"/>
    <cellStyle name="Note 2 2 4 4 3 3" xfId="19013" xr:uid="{00000000-0005-0000-0000-0000E62F0000}"/>
    <cellStyle name="Note 2 2 4 4 3_Summary" xfId="22221" xr:uid="{00000000-0005-0000-0000-0000E72F0000}"/>
    <cellStyle name="Note 2 2 4 4 4" xfId="8223" xr:uid="{00000000-0005-0000-0000-0000E82F0000}"/>
    <cellStyle name="Note 2 2 4 4 5" xfId="14842" xr:uid="{00000000-0005-0000-0000-0000E92F0000}"/>
    <cellStyle name="Note 2 2 4 4_Summary" xfId="22219" xr:uid="{00000000-0005-0000-0000-0000EA2F0000}"/>
    <cellStyle name="Note 2 2 4 5" xfId="1906" xr:uid="{00000000-0005-0000-0000-0000EB2F0000}"/>
    <cellStyle name="Note 2 2 4 5 2" xfId="4042" xr:uid="{00000000-0005-0000-0000-0000EC2F0000}"/>
    <cellStyle name="Note 2 2 4 5 2 2" xfId="10638" xr:uid="{00000000-0005-0000-0000-0000ED2F0000}"/>
    <cellStyle name="Note 2 2 4 5 2 3" xfId="17257" xr:uid="{00000000-0005-0000-0000-0000EE2F0000}"/>
    <cellStyle name="Note 2 2 4 5 2_Summary" xfId="22223" xr:uid="{00000000-0005-0000-0000-0000EF2F0000}"/>
    <cellStyle name="Note 2 2 4 5 3" xfId="6077" xr:uid="{00000000-0005-0000-0000-0000F02F0000}"/>
    <cellStyle name="Note 2 2 4 5 3 2" xfId="12673" xr:uid="{00000000-0005-0000-0000-0000F12F0000}"/>
    <cellStyle name="Note 2 2 4 5 3 3" xfId="19292" xr:uid="{00000000-0005-0000-0000-0000F22F0000}"/>
    <cellStyle name="Note 2 2 4 5 3_Summary" xfId="22224" xr:uid="{00000000-0005-0000-0000-0000F32F0000}"/>
    <cellStyle name="Note 2 2 4 5 4" xfId="8502" xr:uid="{00000000-0005-0000-0000-0000F42F0000}"/>
    <cellStyle name="Note 2 2 4 5 5" xfId="15121" xr:uid="{00000000-0005-0000-0000-0000F52F0000}"/>
    <cellStyle name="Note 2 2 4 5_Summary" xfId="22222" xr:uid="{00000000-0005-0000-0000-0000F62F0000}"/>
    <cellStyle name="Note 2 2 4 6" xfId="2181" xr:uid="{00000000-0005-0000-0000-0000F72F0000}"/>
    <cellStyle name="Note 2 2 4 6 2" xfId="4317" xr:uid="{00000000-0005-0000-0000-0000F82F0000}"/>
    <cellStyle name="Note 2 2 4 6 2 2" xfId="10913" xr:uid="{00000000-0005-0000-0000-0000F92F0000}"/>
    <cellStyle name="Note 2 2 4 6 2 3" xfId="17532" xr:uid="{00000000-0005-0000-0000-0000FA2F0000}"/>
    <cellStyle name="Note 2 2 4 6 2_Summary" xfId="22226" xr:uid="{00000000-0005-0000-0000-0000FB2F0000}"/>
    <cellStyle name="Note 2 2 4 6 3" xfId="6352" xr:uid="{00000000-0005-0000-0000-0000FC2F0000}"/>
    <cellStyle name="Note 2 2 4 6 3 2" xfId="12948" xr:uid="{00000000-0005-0000-0000-0000FD2F0000}"/>
    <cellStyle name="Note 2 2 4 6 3 3" xfId="19567" xr:uid="{00000000-0005-0000-0000-0000FE2F0000}"/>
    <cellStyle name="Note 2 2 4 6 3_Summary" xfId="22227" xr:uid="{00000000-0005-0000-0000-0000FF2F0000}"/>
    <cellStyle name="Note 2 2 4 6 4" xfId="8777" xr:uid="{00000000-0005-0000-0000-000000300000}"/>
    <cellStyle name="Note 2 2 4 6 5" xfId="15396" xr:uid="{00000000-0005-0000-0000-000001300000}"/>
    <cellStyle name="Note 2 2 4 6_Summary" xfId="22225" xr:uid="{00000000-0005-0000-0000-000002300000}"/>
    <cellStyle name="Note 2 2 4 7" xfId="2454" xr:uid="{00000000-0005-0000-0000-000003300000}"/>
    <cellStyle name="Note 2 2 4 7 2" xfId="4590" xr:uid="{00000000-0005-0000-0000-000004300000}"/>
    <cellStyle name="Note 2 2 4 7 2 2" xfId="11186" xr:uid="{00000000-0005-0000-0000-000005300000}"/>
    <cellStyle name="Note 2 2 4 7 2 3" xfId="17805" xr:uid="{00000000-0005-0000-0000-000006300000}"/>
    <cellStyle name="Note 2 2 4 7 2_Summary" xfId="22229" xr:uid="{00000000-0005-0000-0000-000007300000}"/>
    <cellStyle name="Note 2 2 4 7 3" xfId="6625" xr:uid="{00000000-0005-0000-0000-000008300000}"/>
    <cellStyle name="Note 2 2 4 7 3 2" xfId="13221" xr:uid="{00000000-0005-0000-0000-000009300000}"/>
    <cellStyle name="Note 2 2 4 7 3 3" xfId="19840" xr:uid="{00000000-0005-0000-0000-00000A300000}"/>
    <cellStyle name="Note 2 2 4 7 3_Summary" xfId="22230" xr:uid="{00000000-0005-0000-0000-00000B300000}"/>
    <cellStyle name="Note 2 2 4 7 4" xfId="9050" xr:uid="{00000000-0005-0000-0000-00000C300000}"/>
    <cellStyle name="Note 2 2 4 7 5" xfId="15669" xr:uid="{00000000-0005-0000-0000-00000D300000}"/>
    <cellStyle name="Note 2 2 4 7_Summary" xfId="22228" xr:uid="{00000000-0005-0000-0000-00000E300000}"/>
    <cellStyle name="Note 2 2 4 8" xfId="2843" xr:uid="{00000000-0005-0000-0000-00000F300000}"/>
    <cellStyle name="Note 2 2 4 8 2" xfId="9439" xr:uid="{00000000-0005-0000-0000-000010300000}"/>
    <cellStyle name="Note 2 2 4 8 3" xfId="16058" xr:uid="{00000000-0005-0000-0000-000011300000}"/>
    <cellStyle name="Note 2 2 4 8_Summary" xfId="22231" xr:uid="{00000000-0005-0000-0000-000012300000}"/>
    <cellStyle name="Note 2 2 4 9" xfId="4878" xr:uid="{00000000-0005-0000-0000-000013300000}"/>
    <cellStyle name="Note 2 2 4 9 2" xfId="11474" xr:uid="{00000000-0005-0000-0000-000014300000}"/>
    <cellStyle name="Note 2 2 4 9 3" xfId="18093" xr:uid="{00000000-0005-0000-0000-000015300000}"/>
    <cellStyle name="Note 2 2 4 9_Summary" xfId="22232" xr:uid="{00000000-0005-0000-0000-000016300000}"/>
    <cellStyle name="Note 2 2 4_Summary" xfId="22211" xr:uid="{00000000-0005-0000-0000-000017300000}"/>
    <cellStyle name="Note 2 2 5" xfId="876" xr:uid="{00000000-0005-0000-0000-000018300000}"/>
    <cellStyle name="Note 2 2 5 2" xfId="3012" xr:uid="{00000000-0005-0000-0000-000019300000}"/>
    <cellStyle name="Note 2 2 5 2 2" xfId="9608" xr:uid="{00000000-0005-0000-0000-00001A300000}"/>
    <cellStyle name="Note 2 2 5 2 3" xfId="16227" xr:uid="{00000000-0005-0000-0000-00001B300000}"/>
    <cellStyle name="Note 2 2 5 2_Summary" xfId="22234" xr:uid="{00000000-0005-0000-0000-00001C300000}"/>
    <cellStyle name="Note 2 2 5 3" xfId="5047" xr:uid="{00000000-0005-0000-0000-00001D300000}"/>
    <cellStyle name="Note 2 2 5 3 2" xfId="11643" xr:uid="{00000000-0005-0000-0000-00001E300000}"/>
    <cellStyle name="Note 2 2 5 3 3" xfId="18262" xr:uid="{00000000-0005-0000-0000-00001F300000}"/>
    <cellStyle name="Note 2 2 5 3_Summary" xfId="22235" xr:uid="{00000000-0005-0000-0000-000020300000}"/>
    <cellStyle name="Note 2 2 5 4" xfId="7473" xr:uid="{00000000-0005-0000-0000-000021300000}"/>
    <cellStyle name="Note 2 2 5 5" xfId="14091" xr:uid="{00000000-0005-0000-0000-000022300000}"/>
    <cellStyle name="Note 2 2 5_Summary" xfId="22233" xr:uid="{00000000-0005-0000-0000-000023300000}"/>
    <cellStyle name="Note 2 2 6" xfId="604" xr:uid="{00000000-0005-0000-0000-000024300000}"/>
    <cellStyle name="Note 2 2 6 2" xfId="2740" xr:uid="{00000000-0005-0000-0000-000025300000}"/>
    <cellStyle name="Note 2 2 6 2 2" xfId="9336" xr:uid="{00000000-0005-0000-0000-000026300000}"/>
    <cellStyle name="Note 2 2 6 2 3" xfId="15955" xr:uid="{00000000-0005-0000-0000-000027300000}"/>
    <cellStyle name="Note 2 2 6 2_Summary" xfId="22237" xr:uid="{00000000-0005-0000-0000-000028300000}"/>
    <cellStyle name="Note 2 2 6 3" xfId="4775" xr:uid="{00000000-0005-0000-0000-000029300000}"/>
    <cellStyle name="Note 2 2 6 3 2" xfId="11371" xr:uid="{00000000-0005-0000-0000-00002A300000}"/>
    <cellStyle name="Note 2 2 6 3 3" xfId="17990" xr:uid="{00000000-0005-0000-0000-00002B300000}"/>
    <cellStyle name="Note 2 2 6 3_Summary" xfId="22238" xr:uid="{00000000-0005-0000-0000-00002C300000}"/>
    <cellStyle name="Note 2 2 6 4" xfId="7376" xr:uid="{00000000-0005-0000-0000-00002D300000}"/>
    <cellStyle name="Note 2 2 6 5" xfId="13819" xr:uid="{00000000-0005-0000-0000-00002E300000}"/>
    <cellStyle name="Note 2 2 6_Summary" xfId="22236" xr:uid="{00000000-0005-0000-0000-00002F300000}"/>
    <cellStyle name="Note 2 2 7" xfId="600" xr:uid="{00000000-0005-0000-0000-000030300000}"/>
    <cellStyle name="Note 2 2 7 2" xfId="2736" xr:uid="{00000000-0005-0000-0000-000031300000}"/>
    <cellStyle name="Note 2 2 7 2 2" xfId="9332" xr:uid="{00000000-0005-0000-0000-000032300000}"/>
    <cellStyle name="Note 2 2 7 2 3" xfId="15951" xr:uid="{00000000-0005-0000-0000-000033300000}"/>
    <cellStyle name="Note 2 2 7 2_Summary" xfId="22240" xr:uid="{00000000-0005-0000-0000-000034300000}"/>
    <cellStyle name="Note 2 2 7 3" xfId="4771" xr:uid="{00000000-0005-0000-0000-000035300000}"/>
    <cellStyle name="Note 2 2 7 3 2" xfId="11367" xr:uid="{00000000-0005-0000-0000-000036300000}"/>
    <cellStyle name="Note 2 2 7 3 3" xfId="17986" xr:uid="{00000000-0005-0000-0000-000037300000}"/>
    <cellStyle name="Note 2 2 7 3_Summary" xfId="22241" xr:uid="{00000000-0005-0000-0000-000038300000}"/>
    <cellStyle name="Note 2 2 7 4" xfId="7372" xr:uid="{00000000-0005-0000-0000-000039300000}"/>
    <cellStyle name="Note 2 2 7 5" xfId="13815" xr:uid="{00000000-0005-0000-0000-00003A300000}"/>
    <cellStyle name="Note 2 2 7_Summary" xfId="22239" xr:uid="{00000000-0005-0000-0000-00003B300000}"/>
    <cellStyle name="Note 2 2 8" xfId="789" xr:uid="{00000000-0005-0000-0000-00003C300000}"/>
    <cellStyle name="Note 2 2 8 2" xfId="2925" xr:uid="{00000000-0005-0000-0000-00003D300000}"/>
    <cellStyle name="Note 2 2 8 2 2" xfId="9521" xr:uid="{00000000-0005-0000-0000-00003E300000}"/>
    <cellStyle name="Note 2 2 8 2 3" xfId="16140" xr:uid="{00000000-0005-0000-0000-00003F300000}"/>
    <cellStyle name="Note 2 2 8 2_Summary" xfId="22243" xr:uid="{00000000-0005-0000-0000-000040300000}"/>
    <cellStyle name="Note 2 2 8 3" xfId="4960" xr:uid="{00000000-0005-0000-0000-000041300000}"/>
    <cellStyle name="Note 2 2 8 3 2" xfId="11556" xr:uid="{00000000-0005-0000-0000-000042300000}"/>
    <cellStyle name="Note 2 2 8 3 3" xfId="18175" xr:uid="{00000000-0005-0000-0000-000043300000}"/>
    <cellStyle name="Note 2 2 8 3_Summary" xfId="22244" xr:uid="{00000000-0005-0000-0000-000044300000}"/>
    <cellStyle name="Note 2 2 8 4" xfId="7456" xr:uid="{00000000-0005-0000-0000-000045300000}"/>
    <cellStyle name="Note 2 2 8 5" xfId="14004" xr:uid="{00000000-0005-0000-0000-000046300000}"/>
    <cellStyle name="Note 2 2 8_Summary" xfId="22242" xr:uid="{00000000-0005-0000-0000-000047300000}"/>
    <cellStyle name="Note 2 2 9" xfId="635" xr:uid="{00000000-0005-0000-0000-000048300000}"/>
    <cellStyle name="Note 2 2 9 2" xfId="2771" xr:uid="{00000000-0005-0000-0000-000049300000}"/>
    <cellStyle name="Note 2 2 9 2 2" xfId="9367" xr:uid="{00000000-0005-0000-0000-00004A300000}"/>
    <cellStyle name="Note 2 2 9 2 3" xfId="15986" xr:uid="{00000000-0005-0000-0000-00004B300000}"/>
    <cellStyle name="Note 2 2 9 2_Summary" xfId="22246" xr:uid="{00000000-0005-0000-0000-00004C300000}"/>
    <cellStyle name="Note 2 2 9 3" xfId="4806" xr:uid="{00000000-0005-0000-0000-00004D300000}"/>
    <cellStyle name="Note 2 2 9 3 2" xfId="11402" xr:uid="{00000000-0005-0000-0000-00004E300000}"/>
    <cellStyle name="Note 2 2 9 3 3" xfId="18021" xr:uid="{00000000-0005-0000-0000-00004F300000}"/>
    <cellStyle name="Note 2 2 9 3_Summary" xfId="22247" xr:uid="{00000000-0005-0000-0000-000050300000}"/>
    <cellStyle name="Note 2 2 9 4" xfId="7407" xr:uid="{00000000-0005-0000-0000-000051300000}"/>
    <cellStyle name="Note 2 2 9 5" xfId="13850" xr:uid="{00000000-0005-0000-0000-000052300000}"/>
    <cellStyle name="Note 2 2 9_Summary" xfId="22245" xr:uid="{00000000-0005-0000-0000-000053300000}"/>
    <cellStyle name="Note 2 2_Summary" xfId="22141" xr:uid="{00000000-0005-0000-0000-000054300000}"/>
    <cellStyle name="Note 2 20" xfId="6730" xr:uid="{00000000-0005-0000-0000-000055300000}"/>
    <cellStyle name="Note 2 20 2" xfId="13326" xr:uid="{00000000-0005-0000-0000-000056300000}"/>
    <cellStyle name="Note 2 20 3" xfId="19945" xr:uid="{00000000-0005-0000-0000-000057300000}"/>
    <cellStyle name="Note 2 20_Summary" xfId="22248" xr:uid="{00000000-0005-0000-0000-000058300000}"/>
    <cellStyle name="Note 2 21" xfId="6740" xr:uid="{00000000-0005-0000-0000-000059300000}"/>
    <cellStyle name="Note 2 21 2" xfId="13336" xr:uid="{00000000-0005-0000-0000-00005A300000}"/>
    <cellStyle name="Note 2 21 3" xfId="19955" xr:uid="{00000000-0005-0000-0000-00005B300000}"/>
    <cellStyle name="Note 2 21_Summary" xfId="22249" xr:uid="{00000000-0005-0000-0000-00005C300000}"/>
    <cellStyle name="Note 2 22" xfId="6731" xr:uid="{00000000-0005-0000-0000-00005D300000}"/>
    <cellStyle name="Note 2 22 2" xfId="13327" xr:uid="{00000000-0005-0000-0000-00005E300000}"/>
    <cellStyle name="Note 2 22 3" xfId="19946" xr:uid="{00000000-0005-0000-0000-00005F300000}"/>
    <cellStyle name="Note 2 22_Summary" xfId="22250" xr:uid="{00000000-0005-0000-0000-000060300000}"/>
    <cellStyle name="Note 2 23" xfId="6728" xr:uid="{00000000-0005-0000-0000-000061300000}"/>
    <cellStyle name="Note 2 23 2" xfId="13324" xr:uid="{00000000-0005-0000-0000-000062300000}"/>
    <cellStyle name="Note 2 23 3" xfId="19943" xr:uid="{00000000-0005-0000-0000-000063300000}"/>
    <cellStyle name="Note 2 23_Summary" xfId="22251" xr:uid="{00000000-0005-0000-0000-000064300000}"/>
    <cellStyle name="Note 2 24" xfId="6729" xr:uid="{00000000-0005-0000-0000-000065300000}"/>
    <cellStyle name="Note 2 24 2" xfId="13325" xr:uid="{00000000-0005-0000-0000-000066300000}"/>
    <cellStyle name="Note 2 24 3" xfId="19944" xr:uid="{00000000-0005-0000-0000-000067300000}"/>
    <cellStyle name="Note 2 24_Summary" xfId="22252" xr:uid="{00000000-0005-0000-0000-000068300000}"/>
    <cellStyle name="Note 2 25" xfId="2637" xr:uid="{00000000-0005-0000-0000-000069300000}"/>
    <cellStyle name="Note 2 25 2" xfId="9233" xr:uid="{00000000-0005-0000-0000-00006A300000}"/>
    <cellStyle name="Note 2 25 3" xfId="15852" xr:uid="{00000000-0005-0000-0000-00006B300000}"/>
    <cellStyle name="Note 2 25_Summary" xfId="22253" xr:uid="{00000000-0005-0000-0000-00006C300000}"/>
    <cellStyle name="Note 2 26" xfId="6725" xr:uid="{00000000-0005-0000-0000-00006D300000}"/>
    <cellStyle name="Note 2 26 2" xfId="13321" xr:uid="{00000000-0005-0000-0000-00006E300000}"/>
    <cellStyle name="Note 2 26 3" xfId="19940" xr:uid="{00000000-0005-0000-0000-00006F300000}"/>
    <cellStyle name="Note 2 26_Summary" xfId="22254" xr:uid="{00000000-0005-0000-0000-000070300000}"/>
    <cellStyle name="Note 2 27" xfId="6771" xr:uid="{00000000-0005-0000-0000-000071300000}"/>
    <cellStyle name="Note 2 27 2" xfId="13367" xr:uid="{00000000-0005-0000-0000-000072300000}"/>
    <cellStyle name="Note 2 27 3" xfId="19986" xr:uid="{00000000-0005-0000-0000-000073300000}"/>
    <cellStyle name="Note 2 27_Summary" xfId="22255" xr:uid="{00000000-0005-0000-0000-000074300000}"/>
    <cellStyle name="Note 2 28" xfId="6764" xr:uid="{00000000-0005-0000-0000-000075300000}"/>
    <cellStyle name="Note 2 28 2" xfId="13360" xr:uid="{00000000-0005-0000-0000-000076300000}"/>
    <cellStyle name="Note 2 28 3" xfId="19979" xr:uid="{00000000-0005-0000-0000-000077300000}"/>
    <cellStyle name="Note 2 28_Summary" xfId="22256" xr:uid="{00000000-0005-0000-0000-000078300000}"/>
    <cellStyle name="Note 2 29" xfId="6775" xr:uid="{00000000-0005-0000-0000-000079300000}"/>
    <cellStyle name="Note 2 29 2" xfId="13371" xr:uid="{00000000-0005-0000-0000-00007A300000}"/>
    <cellStyle name="Note 2 29 3" xfId="19990" xr:uid="{00000000-0005-0000-0000-00007B300000}"/>
    <cellStyle name="Note 2 29_Summary" xfId="22257" xr:uid="{00000000-0005-0000-0000-00007C300000}"/>
    <cellStyle name="Note 2 3" xfId="176" xr:uid="{00000000-0005-0000-0000-00007D300000}"/>
    <cellStyle name="Note 2 3 10" xfId="2285" xr:uid="{00000000-0005-0000-0000-00007E300000}"/>
    <cellStyle name="Note 2 3 10 2" xfId="4421" xr:uid="{00000000-0005-0000-0000-00007F300000}"/>
    <cellStyle name="Note 2 3 10 2 2" xfId="11017" xr:uid="{00000000-0005-0000-0000-000080300000}"/>
    <cellStyle name="Note 2 3 10 2 3" xfId="17636" xr:uid="{00000000-0005-0000-0000-000081300000}"/>
    <cellStyle name="Note 2 3 10 2_Summary" xfId="22260" xr:uid="{00000000-0005-0000-0000-000082300000}"/>
    <cellStyle name="Note 2 3 10 3" xfId="6456" xr:uid="{00000000-0005-0000-0000-000083300000}"/>
    <cellStyle name="Note 2 3 10 3 2" xfId="13052" xr:uid="{00000000-0005-0000-0000-000084300000}"/>
    <cellStyle name="Note 2 3 10 3 3" xfId="19671" xr:uid="{00000000-0005-0000-0000-000085300000}"/>
    <cellStyle name="Note 2 3 10 3_Summary" xfId="22261" xr:uid="{00000000-0005-0000-0000-000086300000}"/>
    <cellStyle name="Note 2 3 10 4" xfId="8881" xr:uid="{00000000-0005-0000-0000-000087300000}"/>
    <cellStyle name="Note 2 3 10 5" xfId="15500" xr:uid="{00000000-0005-0000-0000-000088300000}"/>
    <cellStyle name="Note 2 3 10_Summary" xfId="22259" xr:uid="{00000000-0005-0000-0000-000089300000}"/>
    <cellStyle name="Note 2 3 11" xfId="2604" xr:uid="{00000000-0005-0000-0000-00008A300000}"/>
    <cellStyle name="Note 2 3 11 2" xfId="9200" xr:uid="{00000000-0005-0000-0000-00008B300000}"/>
    <cellStyle name="Note 2 3 11 3" xfId="15819" xr:uid="{00000000-0005-0000-0000-00008C300000}"/>
    <cellStyle name="Note 2 3 11_Summary" xfId="22262" xr:uid="{00000000-0005-0000-0000-00008D300000}"/>
    <cellStyle name="Note 2 3 12" xfId="2641" xr:uid="{00000000-0005-0000-0000-00008E300000}"/>
    <cellStyle name="Note 2 3 12 2" xfId="9237" xr:uid="{00000000-0005-0000-0000-00008F300000}"/>
    <cellStyle name="Note 2 3 12 3" xfId="15856" xr:uid="{00000000-0005-0000-0000-000090300000}"/>
    <cellStyle name="Note 2 3 12_Summary" xfId="22263" xr:uid="{00000000-0005-0000-0000-000091300000}"/>
    <cellStyle name="Note 2 3 13" xfId="493" xr:uid="{00000000-0005-0000-0000-000092300000}"/>
    <cellStyle name="Note 2 3 13 2" xfId="13708" xr:uid="{00000000-0005-0000-0000-000093300000}"/>
    <cellStyle name="Note 2 3 13_Summary" xfId="22264" xr:uid="{00000000-0005-0000-0000-000094300000}"/>
    <cellStyle name="Note 2 3 14" xfId="7084" xr:uid="{00000000-0005-0000-0000-000095300000}"/>
    <cellStyle name="Note 2 3 15" xfId="13400" xr:uid="{00000000-0005-0000-0000-000096300000}"/>
    <cellStyle name="Note 2 3 16" xfId="26148" xr:uid="{5CCDFC90-1FAB-47AB-9BAF-801470EA7F5E}"/>
    <cellStyle name="Note 2 3 17" xfId="26653" xr:uid="{0950FB8C-D823-45D4-8BBC-24E801450563}"/>
    <cellStyle name="Note 2 3 18" xfId="26577" xr:uid="{E2FC6894-7A78-49EB-BB04-62B94D603C0F}"/>
    <cellStyle name="Note 2 3 19" xfId="26615" xr:uid="{CCEC6AB5-6A8D-4E4F-BFB3-9EDD0533D5B6}"/>
    <cellStyle name="Note 2 3 2" xfId="308" xr:uid="{00000000-0005-0000-0000-000097300000}"/>
    <cellStyle name="Note 2 3 2 10" xfId="4729" xr:uid="{00000000-0005-0000-0000-000098300000}"/>
    <cellStyle name="Note 2 3 2 10 2" xfId="11325" xr:uid="{00000000-0005-0000-0000-000099300000}"/>
    <cellStyle name="Note 2 3 2 10 3" xfId="17944" xr:uid="{00000000-0005-0000-0000-00009A300000}"/>
    <cellStyle name="Note 2 3 2 10_Summary" xfId="22266" xr:uid="{00000000-0005-0000-0000-00009B300000}"/>
    <cellStyle name="Note 2 3 2 11" xfId="558" xr:uid="{00000000-0005-0000-0000-00009C300000}"/>
    <cellStyle name="Note 2 3 2 11 2" xfId="13773" xr:uid="{00000000-0005-0000-0000-00009D300000}"/>
    <cellStyle name="Note 2 3 2 11_Summary" xfId="22267" xr:uid="{00000000-0005-0000-0000-00009E300000}"/>
    <cellStyle name="Note 2 3 2 12" xfId="7202" xr:uid="{00000000-0005-0000-0000-00009F300000}"/>
    <cellStyle name="Note 2 3 2 13" xfId="13524" xr:uid="{00000000-0005-0000-0000-0000A0300000}"/>
    <cellStyle name="Note 2 3 2 14" xfId="26275" xr:uid="{407009C2-8BD0-4C3C-BB1E-E3D85686E2C3}"/>
    <cellStyle name="Note 2 3 2 15" xfId="26691" xr:uid="{92795299-B7D8-42A2-97BD-5EF8020555C8}"/>
    <cellStyle name="Note 2 3 2 16" xfId="26940" xr:uid="{1A4D0E5D-2644-4E68-9A9D-C850385BB57D}"/>
    <cellStyle name="Note 2 3 2 17" xfId="26673" xr:uid="{40E8FFA2-1EF0-46FE-AA82-7992C4635F67}"/>
    <cellStyle name="Note 2 3 2 18" xfId="25864" xr:uid="{CF919673-2D60-425A-B5D7-70A252C68B50}"/>
    <cellStyle name="Note 2 3 2 19" xfId="29460" xr:uid="{919CB404-9060-4687-830F-1FD6F42FC4A3}"/>
    <cellStyle name="Note 2 3 2 2" xfId="437" xr:uid="{00000000-0005-0000-0000-0000A1300000}"/>
    <cellStyle name="Note 2 3 2 2 10" xfId="831" xr:uid="{00000000-0005-0000-0000-0000A2300000}"/>
    <cellStyle name="Note 2 3 2 2 10 2" xfId="14046" xr:uid="{00000000-0005-0000-0000-0000A3300000}"/>
    <cellStyle name="Note 2 3 2 2 10_Summary" xfId="22269" xr:uid="{00000000-0005-0000-0000-0000A4300000}"/>
    <cellStyle name="Note 2 3 2 2 11" xfId="7330" xr:uid="{00000000-0005-0000-0000-0000A5300000}"/>
    <cellStyle name="Note 2 3 2 2 12" xfId="13652" xr:uid="{00000000-0005-0000-0000-0000A6300000}"/>
    <cellStyle name="Note 2 3 2 2 13" xfId="26420" xr:uid="{F824654E-099E-45B4-917E-0B9B0BFBBBBE}"/>
    <cellStyle name="Note 2 3 2 2 14" xfId="26818" xr:uid="{C270B9E4-E02D-4885-8608-2487E958AA3D}"/>
    <cellStyle name="Note 2 3 2 2 15" xfId="26997" xr:uid="{D60107F3-91C2-4124-82F9-456659B59EE2}"/>
    <cellStyle name="Note 2 3 2 2 16" xfId="26633" xr:uid="{2AA13DB6-395A-402C-B1A2-7CF2E6404C12}"/>
    <cellStyle name="Note 2 3 2 2 17" xfId="26625" xr:uid="{A12AE098-1EE6-4D02-A3E4-AC1440E5C9ED}"/>
    <cellStyle name="Note 2 3 2 2 18" xfId="30315" xr:uid="{6C14BB7B-F7D3-46EB-A12D-D9A396B99C63}"/>
    <cellStyle name="Note 2 3 2 2 19" xfId="31747" xr:uid="{BBD17A20-7ADB-4BCB-ADB7-5543768032A2}"/>
    <cellStyle name="Note 2 3 2 2 2" xfId="1131" xr:uid="{00000000-0005-0000-0000-0000A7300000}"/>
    <cellStyle name="Note 2 3 2 2 2 10" xfId="27004" xr:uid="{88E5CB23-8F16-4117-B4CC-B3D12E84DFA4}"/>
    <cellStyle name="Note 2 3 2 2 2 2" xfId="3267" xr:uid="{00000000-0005-0000-0000-0000A8300000}"/>
    <cellStyle name="Note 2 3 2 2 2 2 2" xfId="9863" xr:uid="{00000000-0005-0000-0000-0000A9300000}"/>
    <cellStyle name="Note 2 3 2 2 2 2 3" xfId="16482" xr:uid="{00000000-0005-0000-0000-0000AA300000}"/>
    <cellStyle name="Note 2 3 2 2 2 2_Summary" xfId="22271" xr:uid="{00000000-0005-0000-0000-0000AB300000}"/>
    <cellStyle name="Note 2 3 2 2 2 3" xfId="5302" xr:uid="{00000000-0005-0000-0000-0000AC300000}"/>
    <cellStyle name="Note 2 3 2 2 2 3 2" xfId="11898" xr:uid="{00000000-0005-0000-0000-0000AD300000}"/>
    <cellStyle name="Note 2 3 2 2 2 3 3" xfId="18517" xr:uid="{00000000-0005-0000-0000-0000AE300000}"/>
    <cellStyle name="Note 2 3 2 2 2 3_Summary" xfId="22272" xr:uid="{00000000-0005-0000-0000-0000AF300000}"/>
    <cellStyle name="Note 2 3 2 2 2 4" xfId="7727" xr:uid="{00000000-0005-0000-0000-0000B0300000}"/>
    <cellStyle name="Note 2 3 2 2 2 5" xfId="14346" xr:uid="{00000000-0005-0000-0000-0000B1300000}"/>
    <cellStyle name="Note 2 3 2 2 2 6" xfId="26331" xr:uid="{81242F23-3A9F-4C09-8A18-230040C1A273}"/>
    <cellStyle name="Note 2 3 2 2 2 7" xfId="26740" xr:uid="{C088AD9E-35F7-4B95-A637-19ABD919F3B0}"/>
    <cellStyle name="Note 2 3 2 2 2 8" xfId="26962" xr:uid="{C061AA89-8CAA-47ED-AF26-5B74F406590A}"/>
    <cellStyle name="Note 2 3 2 2 2 9" xfId="26787" xr:uid="{0865CA36-0E8C-4765-8AA1-B87E76024F82}"/>
    <cellStyle name="Note 2 3 2 2 2_Summary" xfId="22270" xr:uid="{00000000-0005-0000-0000-0000B2300000}"/>
    <cellStyle name="Note 2 3 2 2 3" xfId="1413" xr:uid="{00000000-0005-0000-0000-0000B3300000}"/>
    <cellStyle name="Note 2 3 2 2 3 2" xfId="3549" xr:uid="{00000000-0005-0000-0000-0000B4300000}"/>
    <cellStyle name="Note 2 3 2 2 3 2 2" xfId="10145" xr:uid="{00000000-0005-0000-0000-0000B5300000}"/>
    <cellStyle name="Note 2 3 2 2 3 2 3" xfId="16764" xr:uid="{00000000-0005-0000-0000-0000B6300000}"/>
    <cellStyle name="Note 2 3 2 2 3 2_Summary" xfId="22274" xr:uid="{00000000-0005-0000-0000-0000B7300000}"/>
    <cellStyle name="Note 2 3 2 2 3 3" xfId="5584" xr:uid="{00000000-0005-0000-0000-0000B8300000}"/>
    <cellStyle name="Note 2 3 2 2 3 3 2" xfId="12180" xr:uid="{00000000-0005-0000-0000-0000B9300000}"/>
    <cellStyle name="Note 2 3 2 2 3 3 3" xfId="18799" xr:uid="{00000000-0005-0000-0000-0000BA300000}"/>
    <cellStyle name="Note 2 3 2 2 3 3_Summary" xfId="22275" xr:uid="{00000000-0005-0000-0000-0000BB300000}"/>
    <cellStyle name="Note 2 3 2 2 3 4" xfId="8009" xr:uid="{00000000-0005-0000-0000-0000BC300000}"/>
    <cellStyle name="Note 2 3 2 2 3 5" xfId="14628" xr:uid="{00000000-0005-0000-0000-0000BD300000}"/>
    <cellStyle name="Note 2 3 2 2 3_Summary" xfId="22273" xr:uid="{00000000-0005-0000-0000-0000BE300000}"/>
    <cellStyle name="Note 2 3 2 2 4" xfId="1694" xr:uid="{00000000-0005-0000-0000-0000BF300000}"/>
    <cellStyle name="Note 2 3 2 2 4 2" xfId="3830" xr:uid="{00000000-0005-0000-0000-0000C0300000}"/>
    <cellStyle name="Note 2 3 2 2 4 2 2" xfId="10426" xr:uid="{00000000-0005-0000-0000-0000C1300000}"/>
    <cellStyle name="Note 2 3 2 2 4 2 3" xfId="17045" xr:uid="{00000000-0005-0000-0000-0000C2300000}"/>
    <cellStyle name="Note 2 3 2 2 4 2_Summary" xfId="22277" xr:uid="{00000000-0005-0000-0000-0000C3300000}"/>
    <cellStyle name="Note 2 3 2 2 4 3" xfId="5865" xr:uid="{00000000-0005-0000-0000-0000C4300000}"/>
    <cellStyle name="Note 2 3 2 2 4 3 2" xfId="12461" xr:uid="{00000000-0005-0000-0000-0000C5300000}"/>
    <cellStyle name="Note 2 3 2 2 4 3 3" xfId="19080" xr:uid="{00000000-0005-0000-0000-0000C6300000}"/>
    <cellStyle name="Note 2 3 2 2 4 3_Summary" xfId="22278" xr:uid="{00000000-0005-0000-0000-0000C7300000}"/>
    <cellStyle name="Note 2 3 2 2 4 4" xfId="8290" xr:uid="{00000000-0005-0000-0000-0000C8300000}"/>
    <cellStyle name="Note 2 3 2 2 4 5" xfId="14909" xr:uid="{00000000-0005-0000-0000-0000C9300000}"/>
    <cellStyle name="Note 2 3 2 2 4_Summary" xfId="22276" xr:uid="{00000000-0005-0000-0000-0000CA300000}"/>
    <cellStyle name="Note 2 3 2 2 5" xfId="1973" xr:uid="{00000000-0005-0000-0000-0000CB300000}"/>
    <cellStyle name="Note 2 3 2 2 5 2" xfId="4109" xr:uid="{00000000-0005-0000-0000-0000CC300000}"/>
    <cellStyle name="Note 2 3 2 2 5 2 2" xfId="10705" xr:uid="{00000000-0005-0000-0000-0000CD300000}"/>
    <cellStyle name="Note 2 3 2 2 5 2 3" xfId="17324" xr:uid="{00000000-0005-0000-0000-0000CE300000}"/>
    <cellStyle name="Note 2 3 2 2 5 2_Summary" xfId="22280" xr:uid="{00000000-0005-0000-0000-0000CF300000}"/>
    <cellStyle name="Note 2 3 2 2 5 3" xfId="6144" xr:uid="{00000000-0005-0000-0000-0000D0300000}"/>
    <cellStyle name="Note 2 3 2 2 5 3 2" xfId="12740" xr:uid="{00000000-0005-0000-0000-0000D1300000}"/>
    <cellStyle name="Note 2 3 2 2 5 3 3" xfId="19359" xr:uid="{00000000-0005-0000-0000-0000D2300000}"/>
    <cellStyle name="Note 2 3 2 2 5 3_Summary" xfId="22281" xr:uid="{00000000-0005-0000-0000-0000D3300000}"/>
    <cellStyle name="Note 2 3 2 2 5 4" xfId="8569" xr:uid="{00000000-0005-0000-0000-0000D4300000}"/>
    <cellStyle name="Note 2 3 2 2 5 5" xfId="15188" xr:uid="{00000000-0005-0000-0000-0000D5300000}"/>
    <cellStyle name="Note 2 3 2 2 5_Summary" xfId="22279" xr:uid="{00000000-0005-0000-0000-0000D6300000}"/>
    <cellStyle name="Note 2 3 2 2 6" xfId="2248" xr:uid="{00000000-0005-0000-0000-0000D7300000}"/>
    <cellStyle name="Note 2 3 2 2 6 2" xfId="4384" xr:uid="{00000000-0005-0000-0000-0000D8300000}"/>
    <cellStyle name="Note 2 3 2 2 6 2 2" xfId="10980" xr:uid="{00000000-0005-0000-0000-0000D9300000}"/>
    <cellStyle name="Note 2 3 2 2 6 2 3" xfId="17599" xr:uid="{00000000-0005-0000-0000-0000DA300000}"/>
    <cellStyle name="Note 2 3 2 2 6 2_Summary" xfId="22283" xr:uid="{00000000-0005-0000-0000-0000DB300000}"/>
    <cellStyle name="Note 2 3 2 2 6 3" xfId="6419" xr:uid="{00000000-0005-0000-0000-0000DC300000}"/>
    <cellStyle name="Note 2 3 2 2 6 3 2" xfId="13015" xr:uid="{00000000-0005-0000-0000-0000DD300000}"/>
    <cellStyle name="Note 2 3 2 2 6 3 3" xfId="19634" xr:uid="{00000000-0005-0000-0000-0000DE300000}"/>
    <cellStyle name="Note 2 3 2 2 6 3_Summary" xfId="22284" xr:uid="{00000000-0005-0000-0000-0000DF300000}"/>
    <cellStyle name="Note 2 3 2 2 6 4" xfId="8844" xr:uid="{00000000-0005-0000-0000-0000E0300000}"/>
    <cellStyle name="Note 2 3 2 2 6 5" xfId="15463" xr:uid="{00000000-0005-0000-0000-0000E1300000}"/>
    <cellStyle name="Note 2 3 2 2 6_Summary" xfId="22282" xr:uid="{00000000-0005-0000-0000-0000E2300000}"/>
    <cellStyle name="Note 2 3 2 2 7" xfId="2521" xr:uid="{00000000-0005-0000-0000-0000E3300000}"/>
    <cellStyle name="Note 2 3 2 2 7 2" xfId="4657" xr:uid="{00000000-0005-0000-0000-0000E4300000}"/>
    <cellStyle name="Note 2 3 2 2 7 2 2" xfId="11253" xr:uid="{00000000-0005-0000-0000-0000E5300000}"/>
    <cellStyle name="Note 2 3 2 2 7 2 3" xfId="17872" xr:uid="{00000000-0005-0000-0000-0000E6300000}"/>
    <cellStyle name="Note 2 3 2 2 7 2_Summary" xfId="22286" xr:uid="{00000000-0005-0000-0000-0000E7300000}"/>
    <cellStyle name="Note 2 3 2 2 7 3" xfId="6692" xr:uid="{00000000-0005-0000-0000-0000E8300000}"/>
    <cellStyle name="Note 2 3 2 2 7 3 2" xfId="13288" xr:uid="{00000000-0005-0000-0000-0000E9300000}"/>
    <cellStyle name="Note 2 3 2 2 7 3 3" xfId="19907" xr:uid="{00000000-0005-0000-0000-0000EA300000}"/>
    <cellStyle name="Note 2 3 2 2 7 3_Summary" xfId="22287" xr:uid="{00000000-0005-0000-0000-0000EB300000}"/>
    <cellStyle name="Note 2 3 2 2 7 4" xfId="9117" xr:uid="{00000000-0005-0000-0000-0000EC300000}"/>
    <cellStyle name="Note 2 3 2 2 7 5" xfId="15736" xr:uid="{00000000-0005-0000-0000-0000ED300000}"/>
    <cellStyle name="Note 2 3 2 2 7_Summary" xfId="22285" xr:uid="{00000000-0005-0000-0000-0000EE300000}"/>
    <cellStyle name="Note 2 3 2 2 8" xfId="2967" xr:uid="{00000000-0005-0000-0000-0000EF300000}"/>
    <cellStyle name="Note 2 3 2 2 8 2" xfId="9563" xr:uid="{00000000-0005-0000-0000-0000F0300000}"/>
    <cellStyle name="Note 2 3 2 2 8 3" xfId="16182" xr:uid="{00000000-0005-0000-0000-0000F1300000}"/>
    <cellStyle name="Note 2 3 2 2 8_Summary" xfId="22288" xr:uid="{00000000-0005-0000-0000-0000F2300000}"/>
    <cellStyle name="Note 2 3 2 2 9" xfId="5002" xr:uid="{00000000-0005-0000-0000-0000F3300000}"/>
    <cellStyle name="Note 2 3 2 2 9 2" xfId="11598" xr:uid="{00000000-0005-0000-0000-0000F4300000}"/>
    <cellStyle name="Note 2 3 2 2 9 3" xfId="18217" xr:uid="{00000000-0005-0000-0000-0000F5300000}"/>
    <cellStyle name="Note 2 3 2 2 9_Summary" xfId="22289" xr:uid="{00000000-0005-0000-0000-0000F6300000}"/>
    <cellStyle name="Note 2 3 2 2_Summary" xfId="22268" xr:uid="{00000000-0005-0000-0000-0000F7300000}"/>
    <cellStyle name="Note 2 3 2 20" xfId="31030" xr:uid="{E7B090F4-21E3-4D53-9688-8EF7E8CDAFBE}"/>
    <cellStyle name="Note 2 3 2 3" xfId="1003" xr:uid="{00000000-0005-0000-0000-0000F8300000}"/>
    <cellStyle name="Note 2 3 2 3 2" xfId="3139" xr:uid="{00000000-0005-0000-0000-0000F9300000}"/>
    <cellStyle name="Note 2 3 2 3 2 2" xfId="9735" xr:uid="{00000000-0005-0000-0000-0000FA300000}"/>
    <cellStyle name="Note 2 3 2 3 2 3" xfId="16354" xr:uid="{00000000-0005-0000-0000-0000FB300000}"/>
    <cellStyle name="Note 2 3 2 3 2_Summary" xfId="22291" xr:uid="{00000000-0005-0000-0000-0000FC300000}"/>
    <cellStyle name="Note 2 3 2 3 3" xfId="5174" xr:uid="{00000000-0005-0000-0000-0000FD300000}"/>
    <cellStyle name="Note 2 3 2 3 3 2" xfId="11770" xr:uid="{00000000-0005-0000-0000-0000FE300000}"/>
    <cellStyle name="Note 2 3 2 3 3 3" xfId="18389" xr:uid="{00000000-0005-0000-0000-0000FF300000}"/>
    <cellStyle name="Note 2 3 2 3 3_Summary" xfId="22292" xr:uid="{00000000-0005-0000-0000-000000310000}"/>
    <cellStyle name="Note 2 3 2 3 4" xfId="7600" xr:uid="{00000000-0005-0000-0000-000001310000}"/>
    <cellStyle name="Note 2 3 2 3 5" xfId="14218" xr:uid="{00000000-0005-0000-0000-000002310000}"/>
    <cellStyle name="Note 2 3 2 3_Summary" xfId="22290" xr:uid="{00000000-0005-0000-0000-000003310000}"/>
    <cellStyle name="Note 2 3 2 4" xfId="1285" xr:uid="{00000000-0005-0000-0000-000004310000}"/>
    <cellStyle name="Note 2 3 2 4 2" xfId="3421" xr:uid="{00000000-0005-0000-0000-000005310000}"/>
    <cellStyle name="Note 2 3 2 4 2 2" xfId="10017" xr:uid="{00000000-0005-0000-0000-000006310000}"/>
    <cellStyle name="Note 2 3 2 4 2 3" xfId="16636" xr:uid="{00000000-0005-0000-0000-000007310000}"/>
    <cellStyle name="Note 2 3 2 4 2_Summary" xfId="22294" xr:uid="{00000000-0005-0000-0000-000008310000}"/>
    <cellStyle name="Note 2 3 2 4 3" xfId="5456" xr:uid="{00000000-0005-0000-0000-000009310000}"/>
    <cellStyle name="Note 2 3 2 4 3 2" xfId="12052" xr:uid="{00000000-0005-0000-0000-00000A310000}"/>
    <cellStyle name="Note 2 3 2 4 3 3" xfId="18671" xr:uid="{00000000-0005-0000-0000-00000B310000}"/>
    <cellStyle name="Note 2 3 2 4 3_Summary" xfId="22295" xr:uid="{00000000-0005-0000-0000-00000C310000}"/>
    <cellStyle name="Note 2 3 2 4 4" xfId="7881" xr:uid="{00000000-0005-0000-0000-00000D310000}"/>
    <cellStyle name="Note 2 3 2 4 5" xfId="14500" xr:uid="{00000000-0005-0000-0000-00000E310000}"/>
    <cellStyle name="Note 2 3 2 4_Summary" xfId="22293" xr:uid="{00000000-0005-0000-0000-00000F310000}"/>
    <cellStyle name="Note 2 3 2 5" xfId="1566" xr:uid="{00000000-0005-0000-0000-000010310000}"/>
    <cellStyle name="Note 2 3 2 5 2" xfId="3702" xr:uid="{00000000-0005-0000-0000-000011310000}"/>
    <cellStyle name="Note 2 3 2 5 2 2" xfId="10298" xr:uid="{00000000-0005-0000-0000-000012310000}"/>
    <cellStyle name="Note 2 3 2 5 2 3" xfId="16917" xr:uid="{00000000-0005-0000-0000-000013310000}"/>
    <cellStyle name="Note 2 3 2 5 2_Summary" xfId="22297" xr:uid="{00000000-0005-0000-0000-000014310000}"/>
    <cellStyle name="Note 2 3 2 5 3" xfId="5737" xr:uid="{00000000-0005-0000-0000-000015310000}"/>
    <cellStyle name="Note 2 3 2 5 3 2" xfId="12333" xr:uid="{00000000-0005-0000-0000-000016310000}"/>
    <cellStyle name="Note 2 3 2 5 3 3" xfId="18952" xr:uid="{00000000-0005-0000-0000-000017310000}"/>
    <cellStyle name="Note 2 3 2 5 3_Summary" xfId="22298" xr:uid="{00000000-0005-0000-0000-000018310000}"/>
    <cellStyle name="Note 2 3 2 5 4" xfId="8162" xr:uid="{00000000-0005-0000-0000-000019310000}"/>
    <cellStyle name="Note 2 3 2 5 5" xfId="14781" xr:uid="{00000000-0005-0000-0000-00001A310000}"/>
    <cellStyle name="Note 2 3 2 5_Summary" xfId="22296" xr:uid="{00000000-0005-0000-0000-00001B310000}"/>
    <cellStyle name="Note 2 3 2 6" xfId="1845" xr:uid="{00000000-0005-0000-0000-00001C310000}"/>
    <cellStyle name="Note 2 3 2 6 2" xfId="3981" xr:uid="{00000000-0005-0000-0000-00001D310000}"/>
    <cellStyle name="Note 2 3 2 6 2 2" xfId="10577" xr:uid="{00000000-0005-0000-0000-00001E310000}"/>
    <cellStyle name="Note 2 3 2 6 2 3" xfId="17196" xr:uid="{00000000-0005-0000-0000-00001F310000}"/>
    <cellStyle name="Note 2 3 2 6 2_Summary" xfId="22300" xr:uid="{00000000-0005-0000-0000-000020310000}"/>
    <cellStyle name="Note 2 3 2 6 3" xfId="6016" xr:uid="{00000000-0005-0000-0000-000021310000}"/>
    <cellStyle name="Note 2 3 2 6 3 2" xfId="12612" xr:uid="{00000000-0005-0000-0000-000022310000}"/>
    <cellStyle name="Note 2 3 2 6 3 3" xfId="19231" xr:uid="{00000000-0005-0000-0000-000023310000}"/>
    <cellStyle name="Note 2 3 2 6 3_Summary" xfId="22301" xr:uid="{00000000-0005-0000-0000-000024310000}"/>
    <cellStyle name="Note 2 3 2 6 4" xfId="8441" xr:uid="{00000000-0005-0000-0000-000025310000}"/>
    <cellStyle name="Note 2 3 2 6 5" xfId="15060" xr:uid="{00000000-0005-0000-0000-000026310000}"/>
    <cellStyle name="Note 2 3 2 6_Summary" xfId="22299" xr:uid="{00000000-0005-0000-0000-000027310000}"/>
    <cellStyle name="Note 2 3 2 7" xfId="2120" xr:uid="{00000000-0005-0000-0000-000028310000}"/>
    <cellStyle name="Note 2 3 2 7 2" xfId="4256" xr:uid="{00000000-0005-0000-0000-000029310000}"/>
    <cellStyle name="Note 2 3 2 7 2 2" xfId="10852" xr:uid="{00000000-0005-0000-0000-00002A310000}"/>
    <cellStyle name="Note 2 3 2 7 2 3" xfId="17471" xr:uid="{00000000-0005-0000-0000-00002B310000}"/>
    <cellStyle name="Note 2 3 2 7 2_Summary" xfId="22303" xr:uid="{00000000-0005-0000-0000-00002C310000}"/>
    <cellStyle name="Note 2 3 2 7 3" xfId="6291" xr:uid="{00000000-0005-0000-0000-00002D310000}"/>
    <cellStyle name="Note 2 3 2 7 3 2" xfId="12887" xr:uid="{00000000-0005-0000-0000-00002E310000}"/>
    <cellStyle name="Note 2 3 2 7 3 3" xfId="19506" xr:uid="{00000000-0005-0000-0000-00002F310000}"/>
    <cellStyle name="Note 2 3 2 7 3_Summary" xfId="22304" xr:uid="{00000000-0005-0000-0000-000030310000}"/>
    <cellStyle name="Note 2 3 2 7 4" xfId="8716" xr:uid="{00000000-0005-0000-0000-000031310000}"/>
    <cellStyle name="Note 2 3 2 7 5" xfId="15335" xr:uid="{00000000-0005-0000-0000-000032310000}"/>
    <cellStyle name="Note 2 3 2 7_Summary" xfId="22302" xr:uid="{00000000-0005-0000-0000-000033310000}"/>
    <cellStyle name="Note 2 3 2 8" xfId="2393" xr:uid="{00000000-0005-0000-0000-000034310000}"/>
    <cellStyle name="Note 2 3 2 8 2" xfId="4529" xr:uid="{00000000-0005-0000-0000-000035310000}"/>
    <cellStyle name="Note 2 3 2 8 2 2" xfId="11125" xr:uid="{00000000-0005-0000-0000-000036310000}"/>
    <cellStyle name="Note 2 3 2 8 2 3" xfId="17744" xr:uid="{00000000-0005-0000-0000-000037310000}"/>
    <cellStyle name="Note 2 3 2 8 2_Summary" xfId="22306" xr:uid="{00000000-0005-0000-0000-000038310000}"/>
    <cellStyle name="Note 2 3 2 8 3" xfId="6564" xr:uid="{00000000-0005-0000-0000-000039310000}"/>
    <cellStyle name="Note 2 3 2 8 3 2" xfId="13160" xr:uid="{00000000-0005-0000-0000-00003A310000}"/>
    <cellStyle name="Note 2 3 2 8 3 3" xfId="19779" xr:uid="{00000000-0005-0000-0000-00003B310000}"/>
    <cellStyle name="Note 2 3 2 8 3_Summary" xfId="22307" xr:uid="{00000000-0005-0000-0000-00003C310000}"/>
    <cellStyle name="Note 2 3 2 8 4" xfId="8989" xr:uid="{00000000-0005-0000-0000-00003D310000}"/>
    <cellStyle name="Note 2 3 2 8 5" xfId="15608" xr:uid="{00000000-0005-0000-0000-00003E310000}"/>
    <cellStyle name="Note 2 3 2 8_Summary" xfId="22305" xr:uid="{00000000-0005-0000-0000-00003F310000}"/>
    <cellStyle name="Note 2 3 2 9" xfId="2694" xr:uid="{00000000-0005-0000-0000-000040310000}"/>
    <cellStyle name="Note 2 3 2 9 2" xfId="9290" xr:uid="{00000000-0005-0000-0000-000041310000}"/>
    <cellStyle name="Note 2 3 2 9 3" xfId="15909" xr:uid="{00000000-0005-0000-0000-000042310000}"/>
    <cellStyle name="Note 2 3 2 9_Summary" xfId="22308" xr:uid="{00000000-0005-0000-0000-000043310000}"/>
    <cellStyle name="Note 2 3 2_Summary" xfId="22265" xr:uid="{00000000-0005-0000-0000-000044310000}"/>
    <cellStyle name="Note 2 3 20" xfId="26970" xr:uid="{842B18F4-1062-496D-BA84-00043EC99AFC}"/>
    <cellStyle name="Note 2 3 21" xfId="29459" xr:uid="{3C74D903-8A48-498A-A52A-1BA4D5FB161B}"/>
    <cellStyle name="Note 2 3 22" xfId="31029" xr:uid="{91A1B7F4-C64A-4839-9067-00A8F537889B}"/>
    <cellStyle name="Note 2 3 3" xfId="223" xr:uid="{00000000-0005-0000-0000-000045310000}"/>
    <cellStyle name="Note 2 3 3 10" xfId="760" xr:uid="{00000000-0005-0000-0000-000046310000}"/>
    <cellStyle name="Note 2 3 3 10 2" xfId="13975" xr:uid="{00000000-0005-0000-0000-000047310000}"/>
    <cellStyle name="Note 2 3 3 10_Summary" xfId="22310" xr:uid="{00000000-0005-0000-0000-000048310000}"/>
    <cellStyle name="Note 2 3 3 11" xfId="7130" xr:uid="{00000000-0005-0000-0000-000049310000}"/>
    <cellStyle name="Note 2 3 3 12" xfId="7070" xr:uid="{00000000-0005-0000-0000-00004A310000}"/>
    <cellStyle name="Note 2 3 3 13" xfId="26414" xr:uid="{3B9DA1F5-E7E6-4D7E-910C-4B2BF1193F35}"/>
    <cellStyle name="Note 2 3 3 14" xfId="26812" xr:uid="{DE3C5933-86A4-475F-BD3D-11F98715377A}"/>
    <cellStyle name="Note 2 3 3 15" xfId="26994" xr:uid="{4970243D-C658-402A-842A-E2B665572128}"/>
    <cellStyle name="Note 2 3 3 16" xfId="26635" xr:uid="{764040C5-119E-4B37-842A-E098FE26ADC4}"/>
    <cellStyle name="Note 2 3 3 17" xfId="25858" xr:uid="{07A0A4EF-2F20-4625-94A0-C17253A40AF4}"/>
    <cellStyle name="Note 2 3 3 18" xfId="29461" xr:uid="{77084C4E-422E-4499-B791-0BC6570B01EF}"/>
    <cellStyle name="Note 2 3 3 19" xfId="31031" xr:uid="{9051C668-6FB3-4F61-929C-4E60F268D1E5}"/>
    <cellStyle name="Note 2 3 3 2" xfId="928" xr:uid="{00000000-0005-0000-0000-00004B310000}"/>
    <cellStyle name="Note 2 3 3 2 10" xfId="26992" xr:uid="{081AB16A-633A-4CF2-9548-929C01357551}"/>
    <cellStyle name="Note 2 3 3 2 11" xfId="30316" xr:uid="{6DC51DBD-6ACC-4E24-94EF-88AA4FC76987}"/>
    <cellStyle name="Note 2 3 3 2 12" xfId="31748" xr:uid="{2DFFAE32-9E2B-4C81-8E84-3644794A767C}"/>
    <cellStyle name="Note 2 3 3 2 2" xfId="3064" xr:uid="{00000000-0005-0000-0000-00004C310000}"/>
    <cellStyle name="Note 2 3 3 2 2 2" xfId="9660" xr:uid="{00000000-0005-0000-0000-00004D310000}"/>
    <cellStyle name="Note 2 3 3 2 2 3" xfId="16279" xr:uid="{00000000-0005-0000-0000-00004E310000}"/>
    <cellStyle name="Note 2 3 3 2 2_Summary" xfId="22312" xr:uid="{00000000-0005-0000-0000-00004F310000}"/>
    <cellStyle name="Note 2 3 3 2 3" xfId="5099" xr:uid="{00000000-0005-0000-0000-000050310000}"/>
    <cellStyle name="Note 2 3 3 2 3 2" xfId="11695" xr:uid="{00000000-0005-0000-0000-000051310000}"/>
    <cellStyle name="Note 2 3 3 2 3 3" xfId="18314" xr:uid="{00000000-0005-0000-0000-000052310000}"/>
    <cellStyle name="Note 2 3 3 2 3_Summary" xfId="22313" xr:uid="{00000000-0005-0000-0000-000053310000}"/>
    <cellStyle name="Note 2 3 3 2 4" xfId="7525" xr:uid="{00000000-0005-0000-0000-000054310000}"/>
    <cellStyle name="Note 2 3 3 2 5" xfId="14143" xr:uid="{00000000-0005-0000-0000-000055310000}"/>
    <cellStyle name="Note 2 3 3 2 6" xfId="26361" xr:uid="{F9D794CA-1DCB-40A8-A60A-7CA416FF1330}"/>
    <cellStyle name="Note 2 3 3 2 7" xfId="26764" xr:uid="{17C78346-8057-49D4-9F86-D9DDB047942D}"/>
    <cellStyle name="Note 2 3 3 2 8" xfId="26974" xr:uid="{E393EE57-BCDF-49B4-B272-17396F15872F}"/>
    <cellStyle name="Note 2 3 3 2 9" xfId="26676" xr:uid="{F6F42334-A93F-4EDF-A6E2-3A55C2955883}"/>
    <cellStyle name="Note 2 3 3 2_Summary" xfId="22311" xr:uid="{00000000-0005-0000-0000-000056310000}"/>
    <cellStyle name="Note 2 3 3 3" xfId="1213" xr:uid="{00000000-0005-0000-0000-000057310000}"/>
    <cellStyle name="Note 2 3 3 3 2" xfId="3349" xr:uid="{00000000-0005-0000-0000-000058310000}"/>
    <cellStyle name="Note 2 3 3 3 2 2" xfId="9945" xr:uid="{00000000-0005-0000-0000-000059310000}"/>
    <cellStyle name="Note 2 3 3 3 2 3" xfId="16564" xr:uid="{00000000-0005-0000-0000-00005A310000}"/>
    <cellStyle name="Note 2 3 3 3 2_Summary" xfId="22315" xr:uid="{00000000-0005-0000-0000-00005B310000}"/>
    <cellStyle name="Note 2 3 3 3 3" xfId="5384" xr:uid="{00000000-0005-0000-0000-00005C310000}"/>
    <cellStyle name="Note 2 3 3 3 3 2" xfId="11980" xr:uid="{00000000-0005-0000-0000-00005D310000}"/>
    <cellStyle name="Note 2 3 3 3 3 3" xfId="18599" xr:uid="{00000000-0005-0000-0000-00005E310000}"/>
    <cellStyle name="Note 2 3 3 3 3_Summary" xfId="22316" xr:uid="{00000000-0005-0000-0000-00005F310000}"/>
    <cellStyle name="Note 2 3 3 3 4" xfId="7809" xr:uid="{00000000-0005-0000-0000-000060310000}"/>
    <cellStyle name="Note 2 3 3 3 5" xfId="14428" xr:uid="{00000000-0005-0000-0000-000061310000}"/>
    <cellStyle name="Note 2 3 3 3_Summary" xfId="22314" xr:uid="{00000000-0005-0000-0000-000062310000}"/>
    <cellStyle name="Note 2 3 3 4" xfId="1495" xr:uid="{00000000-0005-0000-0000-000063310000}"/>
    <cellStyle name="Note 2 3 3 4 2" xfId="3631" xr:uid="{00000000-0005-0000-0000-000064310000}"/>
    <cellStyle name="Note 2 3 3 4 2 2" xfId="10227" xr:uid="{00000000-0005-0000-0000-000065310000}"/>
    <cellStyle name="Note 2 3 3 4 2 3" xfId="16846" xr:uid="{00000000-0005-0000-0000-000066310000}"/>
    <cellStyle name="Note 2 3 3 4 2_Summary" xfId="22318" xr:uid="{00000000-0005-0000-0000-000067310000}"/>
    <cellStyle name="Note 2 3 3 4 3" xfId="5666" xr:uid="{00000000-0005-0000-0000-000068310000}"/>
    <cellStyle name="Note 2 3 3 4 3 2" xfId="12262" xr:uid="{00000000-0005-0000-0000-000069310000}"/>
    <cellStyle name="Note 2 3 3 4 3 3" xfId="18881" xr:uid="{00000000-0005-0000-0000-00006A310000}"/>
    <cellStyle name="Note 2 3 3 4 3_Summary" xfId="22319" xr:uid="{00000000-0005-0000-0000-00006B310000}"/>
    <cellStyle name="Note 2 3 3 4 4" xfId="8091" xr:uid="{00000000-0005-0000-0000-00006C310000}"/>
    <cellStyle name="Note 2 3 3 4 5" xfId="14710" xr:uid="{00000000-0005-0000-0000-00006D310000}"/>
    <cellStyle name="Note 2 3 3 4_Summary" xfId="22317" xr:uid="{00000000-0005-0000-0000-00006E310000}"/>
    <cellStyle name="Note 2 3 3 5" xfId="1776" xr:uid="{00000000-0005-0000-0000-00006F310000}"/>
    <cellStyle name="Note 2 3 3 5 2" xfId="3912" xr:uid="{00000000-0005-0000-0000-000070310000}"/>
    <cellStyle name="Note 2 3 3 5 2 2" xfId="10508" xr:uid="{00000000-0005-0000-0000-000071310000}"/>
    <cellStyle name="Note 2 3 3 5 2 3" xfId="17127" xr:uid="{00000000-0005-0000-0000-000072310000}"/>
    <cellStyle name="Note 2 3 3 5 2_Summary" xfId="22321" xr:uid="{00000000-0005-0000-0000-000073310000}"/>
    <cellStyle name="Note 2 3 3 5 3" xfId="5947" xr:uid="{00000000-0005-0000-0000-000074310000}"/>
    <cellStyle name="Note 2 3 3 5 3 2" xfId="12543" xr:uid="{00000000-0005-0000-0000-000075310000}"/>
    <cellStyle name="Note 2 3 3 5 3 3" xfId="19162" xr:uid="{00000000-0005-0000-0000-000076310000}"/>
    <cellStyle name="Note 2 3 3 5 3_Summary" xfId="22322" xr:uid="{00000000-0005-0000-0000-000077310000}"/>
    <cellStyle name="Note 2 3 3 5 4" xfId="8372" xr:uid="{00000000-0005-0000-0000-000078310000}"/>
    <cellStyle name="Note 2 3 3 5 5" xfId="14991" xr:uid="{00000000-0005-0000-0000-000079310000}"/>
    <cellStyle name="Note 2 3 3 5_Summary" xfId="22320" xr:uid="{00000000-0005-0000-0000-00007A310000}"/>
    <cellStyle name="Note 2 3 3 6" xfId="2055" xr:uid="{00000000-0005-0000-0000-00007B310000}"/>
    <cellStyle name="Note 2 3 3 6 2" xfId="4191" xr:uid="{00000000-0005-0000-0000-00007C310000}"/>
    <cellStyle name="Note 2 3 3 6 2 2" xfId="10787" xr:uid="{00000000-0005-0000-0000-00007D310000}"/>
    <cellStyle name="Note 2 3 3 6 2 3" xfId="17406" xr:uid="{00000000-0005-0000-0000-00007E310000}"/>
    <cellStyle name="Note 2 3 3 6 2_Summary" xfId="22324" xr:uid="{00000000-0005-0000-0000-00007F310000}"/>
    <cellStyle name="Note 2 3 3 6 3" xfId="6226" xr:uid="{00000000-0005-0000-0000-000080310000}"/>
    <cellStyle name="Note 2 3 3 6 3 2" xfId="12822" xr:uid="{00000000-0005-0000-0000-000081310000}"/>
    <cellStyle name="Note 2 3 3 6 3 3" xfId="19441" xr:uid="{00000000-0005-0000-0000-000082310000}"/>
    <cellStyle name="Note 2 3 3 6 3_Summary" xfId="22325" xr:uid="{00000000-0005-0000-0000-000083310000}"/>
    <cellStyle name="Note 2 3 3 6 4" xfId="8651" xr:uid="{00000000-0005-0000-0000-000084310000}"/>
    <cellStyle name="Note 2 3 3 6 5" xfId="15270" xr:uid="{00000000-0005-0000-0000-000085310000}"/>
    <cellStyle name="Note 2 3 3 6_Summary" xfId="22323" xr:uid="{00000000-0005-0000-0000-000086310000}"/>
    <cellStyle name="Note 2 3 3 7" xfId="2330" xr:uid="{00000000-0005-0000-0000-000087310000}"/>
    <cellStyle name="Note 2 3 3 7 2" xfId="4466" xr:uid="{00000000-0005-0000-0000-000088310000}"/>
    <cellStyle name="Note 2 3 3 7 2 2" xfId="11062" xr:uid="{00000000-0005-0000-0000-000089310000}"/>
    <cellStyle name="Note 2 3 3 7 2 3" xfId="17681" xr:uid="{00000000-0005-0000-0000-00008A310000}"/>
    <cellStyle name="Note 2 3 3 7 2_Summary" xfId="22327" xr:uid="{00000000-0005-0000-0000-00008B310000}"/>
    <cellStyle name="Note 2 3 3 7 3" xfId="6501" xr:uid="{00000000-0005-0000-0000-00008C310000}"/>
    <cellStyle name="Note 2 3 3 7 3 2" xfId="13097" xr:uid="{00000000-0005-0000-0000-00008D310000}"/>
    <cellStyle name="Note 2 3 3 7 3 3" xfId="19716" xr:uid="{00000000-0005-0000-0000-00008E310000}"/>
    <cellStyle name="Note 2 3 3 7 3_Summary" xfId="22328" xr:uid="{00000000-0005-0000-0000-00008F310000}"/>
    <cellStyle name="Note 2 3 3 7 4" xfId="8926" xr:uid="{00000000-0005-0000-0000-000090310000}"/>
    <cellStyle name="Note 2 3 3 7 5" xfId="15545" xr:uid="{00000000-0005-0000-0000-000091310000}"/>
    <cellStyle name="Note 2 3 3 7_Summary" xfId="22326" xr:uid="{00000000-0005-0000-0000-000092310000}"/>
    <cellStyle name="Note 2 3 3 8" xfId="2896" xr:uid="{00000000-0005-0000-0000-000093310000}"/>
    <cellStyle name="Note 2 3 3 8 2" xfId="9492" xr:uid="{00000000-0005-0000-0000-000094310000}"/>
    <cellStyle name="Note 2 3 3 8 3" xfId="16111" xr:uid="{00000000-0005-0000-0000-000095310000}"/>
    <cellStyle name="Note 2 3 3 8_Summary" xfId="22329" xr:uid="{00000000-0005-0000-0000-000096310000}"/>
    <cellStyle name="Note 2 3 3 9" xfId="4931" xr:uid="{00000000-0005-0000-0000-000097310000}"/>
    <cellStyle name="Note 2 3 3 9 2" xfId="11527" xr:uid="{00000000-0005-0000-0000-000098310000}"/>
    <cellStyle name="Note 2 3 3 9 3" xfId="18146" xr:uid="{00000000-0005-0000-0000-000099310000}"/>
    <cellStyle name="Note 2 3 3 9_Summary" xfId="22330" xr:uid="{00000000-0005-0000-0000-00009A310000}"/>
    <cellStyle name="Note 2 3 3_Summary" xfId="22309" xr:uid="{00000000-0005-0000-0000-00009B310000}"/>
    <cellStyle name="Note 2 3 4" xfId="376" xr:uid="{00000000-0005-0000-0000-00009C310000}"/>
    <cellStyle name="Note 2 3 4 10" xfId="713" xr:uid="{00000000-0005-0000-0000-00009D310000}"/>
    <cellStyle name="Note 2 3 4 10 2" xfId="13928" xr:uid="{00000000-0005-0000-0000-00009E310000}"/>
    <cellStyle name="Note 2 3 4 10_Summary" xfId="22332" xr:uid="{00000000-0005-0000-0000-00009F310000}"/>
    <cellStyle name="Note 2 3 4 11" xfId="7269" xr:uid="{00000000-0005-0000-0000-0000A0310000}"/>
    <cellStyle name="Note 2 3 4 12" xfId="13591" xr:uid="{00000000-0005-0000-0000-0000A1310000}"/>
    <cellStyle name="Note 2 3 4 13" xfId="30314" xr:uid="{4641FAC8-1D0C-43E7-BB48-64613738FB7C}"/>
    <cellStyle name="Note 2 3 4 14" xfId="31746" xr:uid="{8B1E8452-D562-43DA-8EB3-4756BD7EB4FF}"/>
    <cellStyle name="Note 2 3 4 2" xfId="1070" xr:uid="{00000000-0005-0000-0000-0000A2310000}"/>
    <cellStyle name="Note 2 3 4 2 2" xfId="3206" xr:uid="{00000000-0005-0000-0000-0000A3310000}"/>
    <cellStyle name="Note 2 3 4 2 2 2" xfId="9802" xr:uid="{00000000-0005-0000-0000-0000A4310000}"/>
    <cellStyle name="Note 2 3 4 2 2 3" xfId="16421" xr:uid="{00000000-0005-0000-0000-0000A5310000}"/>
    <cellStyle name="Note 2 3 4 2 2_Summary" xfId="22334" xr:uid="{00000000-0005-0000-0000-0000A6310000}"/>
    <cellStyle name="Note 2 3 4 2 3" xfId="5241" xr:uid="{00000000-0005-0000-0000-0000A7310000}"/>
    <cellStyle name="Note 2 3 4 2 3 2" xfId="11837" xr:uid="{00000000-0005-0000-0000-0000A8310000}"/>
    <cellStyle name="Note 2 3 4 2 3 3" xfId="18456" xr:uid="{00000000-0005-0000-0000-0000A9310000}"/>
    <cellStyle name="Note 2 3 4 2 3_Summary" xfId="22335" xr:uid="{00000000-0005-0000-0000-0000AA310000}"/>
    <cellStyle name="Note 2 3 4 2 4" xfId="7667" xr:uid="{00000000-0005-0000-0000-0000AB310000}"/>
    <cellStyle name="Note 2 3 4 2 5" xfId="14285" xr:uid="{00000000-0005-0000-0000-0000AC310000}"/>
    <cellStyle name="Note 2 3 4 2_Summary" xfId="22333" xr:uid="{00000000-0005-0000-0000-0000AD310000}"/>
    <cellStyle name="Note 2 3 4 3" xfId="1352" xr:uid="{00000000-0005-0000-0000-0000AE310000}"/>
    <cellStyle name="Note 2 3 4 3 2" xfId="3488" xr:uid="{00000000-0005-0000-0000-0000AF310000}"/>
    <cellStyle name="Note 2 3 4 3 2 2" xfId="10084" xr:uid="{00000000-0005-0000-0000-0000B0310000}"/>
    <cellStyle name="Note 2 3 4 3 2 3" xfId="16703" xr:uid="{00000000-0005-0000-0000-0000B1310000}"/>
    <cellStyle name="Note 2 3 4 3 2_Summary" xfId="22337" xr:uid="{00000000-0005-0000-0000-0000B2310000}"/>
    <cellStyle name="Note 2 3 4 3 3" xfId="5523" xr:uid="{00000000-0005-0000-0000-0000B3310000}"/>
    <cellStyle name="Note 2 3 4 3 3 2" xfId="12119" xr:uid="{00000000-0005-0000-0000-0000B4310000}"/>
    <cellStyle name="Note 2 3 4 3 3 3" xfId="18738" xr:uid="{00000000-0005-0000-0000-0000B5310000}"/>
    <cellStyle name="Note 2 3 4 3 3_Summary" xfId="22338" xr:uid="{00000000-0005-0000-0000-0000B6310000}"/>
    <cellStyle name="Note 2 3 4 3 4" xfId="7948" xr:uid="{00000000-0005-0000-0000-0000B7310000}"/>
    <cellStyle name="Note 2 3 4 3 5" xfId="14567" xr:uid="{00000000-0005-0000-0000-0000B8310000}"/>
    <cellStyle name="Note 2 3 4 3_Summary" xfId="22336" xr:uid="{00000000-0005-0000-0000-0000B9310000}"/>
    <cellStyle name="Note 2 3 4 4" xfId="1633" xr:uid="{00000000-0005-0000-0000-0000BA310000}"/>
    <cellStyle name="Note 2 3 4 4 2" xfId="3769" xr:uid="{00000000-0005-0000-0000-0000BB310000}"/>
    <cellStyle name="Note 2 3 4 4 2 2" xfId="10365" xr:uid="{00000000-0005-0000-0000-0000BC310000}"/>
    <cellStyle name="Note 2 3 4 4 2 3" xfId="16984" xr:uid="{00000000-0005-0000-0000-0000BD310000}"/>
    <cellStyle name="Note 2 3 4 4 2_Summary" xfId="22340" xr:uid="{00000000-0005-0000-0000-0000BE310000}"/>
    <cellStyle name="Note 2 3 4 4 3" xfId="5804" xr:uid="{00000000-0005-0000-0000-0000BF310000}"/>
    <cellStyle name="Note 2 3 4 4 3 2" xfId="12400" xr:uid="{00000000-0005-0000-0000-0000C0310000}"/>
    <cellStyle name="Note 2 3 4 4 3 3" xfId="19019" xr:uid="{00000000-0005-0000-0000-0000C1310000}"/>
    <cellStyle name="Note 2 3 4 4 3_Summary" xfId="22341" xr:uid="{00000000-0005-0000-0000-0000C2310000}"/>
    <cellStyle name="Note 2 3 4 4 4" xfId="8229" xr:uid="{00000000-0005-0000-0000-0000C3310000}"/>
    <cellStyle name="Note 2 3 4 4 5" xfId="14848" xr:uid="{00000000-0005-0000-0000-0000C4310000}"/>
    <cellStyle name="Note 2 3 4 4_Summary" xfId="22339" xr:uid="{00000000-0005-0000-0000-0000C5310000}"/>
    <cellStyle name="Note 2 3 4 5" xfId="1912" xr:uid="{00000000-0005-0000-0000-0000C6310000}"/>
    <cellStyle name="Note 2 3 4 5 2" xfId="4048" xr:uid="{00000000-0005-0000-0000-0000C7310000}"/>
    <cellStyle name="Note 2 3 4 5 2 2" xfId="10644" xr:uid="{00000000-0005-0000-0000-0000C8310000}"/>
    <cellStyle name="Note 2 3 4 5 2 3" xfId="17263" xr:uid="{00000000-0005-0000-0000-0000C9310000}"/>
    <cellStyle name="Note 2 3 4 5 2_Summary" xfId="22343" xr:uid="{00000000-0005-0000-0000-0000CA310000}"/>
    <cellStyle name="Note 2 3 4 5 3" xfId="6083" xr:uid="{00000000-0005-0000-0000-0000CB310000}"/>
    <cellStyle name="Note 2 3 4 5 3 2" xfId="12679" xr:uid="{00000000-0005-0000-0000-0000CC310000}"/>
    <cellStyle name="Note 2 3 4 5 3 3" xfId="19298" xr:uid="{00000000-0005-0000-0000-0000CD310000}"/>
    <cellStyle name="Note 2 3 4 5 3_Summary" xfId="22344" xr:uid="{00000000-0005-0000-0000-0000CE310000}"/>
    <cellStyle name="Note 2 3 4 5 4" xfId="8508" xr:uid="{00000000-0005-0000-0000-0000CF310000}"/>
    <cellStyle name="Note 2 3 4 5 5" xfId="15127" xr:uid="{00000000-0005-0000-0000-0000D0310000}"/>
    <cellStyle name="Note 2 3 4 5_Summary" xfId="22342" xr:uid="{00000000-0005-0000-0000-0000D1310000}"/>
    <cellStyle name="Note 2 3 4 6" xfId="2187" xr:uid="{00000000-0005-0000-0000-0000D2310000}"/>
    <cellStyle name="Note 2 3 4 6 2" xfId="4323" xr:uid="{00000000-0005-0000-0000-0000D3310000}"/>
    <cellStyle name="Note 2 3 4 6 2 2" xfId="10919" xr:uid="{00000000-0005-0000-0000-0000D4310000}"/>
    <cellStyle name="Note 2 3 4 6 2 3" xfId="17538" xr:uid="{00000000-0005-0000-0000-0000D5310000}"/>
    <cellStyle name="Note 2 3 4 6 2_Summary" xfId="22346" xr:uid="{00000000-0005-0000-0000-0000D6310000}"/>
    <cellStyle name="Note 2 3 4 6 3" xfId="6358" xr:uid="{00000000-0005-0000-0000-0000D7310000}"/>
    <cellStyle name="Note 2 3 4 6 3 2" xfId="12954" xr:uid="{00000000-0005-0000-0000-0000D8310000}"/>
    <cellStyle name="Note 2 3 4 6 3 3" xfId="19573" xr:uid="{00000000-0005-0000-0000-0000D9310000}"/>
    <cellStyle name="Note 2 3 4 6 3_Summary" xfId="22347" xr:uid="{00000000-0005-0000-0000-0000DA310000}"/>
    <cellStyle name="Note 2 3 4 6 4" xfId="8783" xr:uid="{00000000-0005-0000-0000-0000DB310000}"/>
    <cellStyle name="Note 2 3 4 6 5" xfId="15402" xr:uid="{00000000-0005-0000-0000-0000DC310000}"/>
    <cellStyle name="Note 2 3 4 6_Summary" xfId="22345" xr:uid="{00000000-0005-0000-0000-0000DD310000}"/>
    <cellStyle name="Note 2 3 4 7" xfId="2460" xr:uid="{00000000-0005-0000-0000-0000DE310000}"/>
    <cellStyle name="Note 2 3 4 7 2" xfId="4596" xr:uid="{00000000-0005-0000-0000-0000DF310000}"/>
    <cellStyle name="Note 2 3 4 7 2 2" xfId="11192" xr:uid="{00000000-0005-0000-0000-0000E0310000}"/>
    <cellStyle name="Note 2 3 4 7 2 3" xfId="17811" xr:uid="{00000000-0005-0000-0000-0000E1310000}"/>
    <cellStyle name="Note 2 3 4 7 2_Summary" xfId="22349" xr:uid="{00000000-0005-0000-0000-0000E2310000}"/>
    <cellStyle name="Note 2 3 4 7 3" xfId="6631" xr:uid="{00000000-0005-0000-0000-0000E3310000}"/>
    <cellStyle name="Note 2 3 4 7 3 2" xfId="13227" xr:uid="{00000000-0005-0000-0000-0000E4310000}"/>
    <cellStyle name="Note 2 3 4 7 3 3" xfId="19846" xr:uid="{00000000-0005-0000-0000-0000E5310000}"/>
    <cellStyle name="Note 2 3 4 7 3_Summary" xfId="22350" xr:uid="{00000000-0005-0000-0000-0000E6310000}"/>
    <cellStyle name="Note 2 3 4 7 4" xfId="9056" xr:uid="{00000000-0005-0000-0000-0000E7310000}"/>
    <cellStyle name="Note 2 3 4 7 5" xfId="15675" xr:uid="{00000000-0005-0000-0000-0000E8310000}"/>
    <cellStyle name="Note 2 3 4 7_Summary" xfId="22348" xr:uid="{00000000-0005-0000-0000-0000E9310000}"/>
    <cellStyle name="Note 2 3 4 8" xfId="2849" xr:uid="{00000000-0005-0000-0000-0000EA310000}"/>
    <cellStyle name="Note 2 3 4 8 2" xfId="9445" xr:uid="{00000000-0005-0000-0000-0000EB310000}"/>
    <cellStyle name="Note 2 3 4 8 3" xfId="16064" xr:uid="{00000000-0005-0000-0000-0000EC310000}"/>
    <cellStyle name="Note 2 3 4 8_Summary" xfId="22351" xr:uid="{00000000-0005-0000-0000-0000ED310000}"/>
    <cellStyle name="Note 2 3 4 9" xfId="4884" xr:uid="{00000000-0005-0000-0000-0000EE310000}"/>
    <cellStyle name="Note 2 3 4 9 2" xfId="11480" xr:uid="{00000000-0005-0000-0000-0000EF310000}"/>
    <cellStyle name="Note 2 3 4 9 3" xfId="18099" xr:uid="{00000000-0005-0000-0000-0000F0310000}"/>
    <cellStyle name="Note 2 3 4 9_Summary" xfId="22352" xr:uid="{00000000-0005-0000-0000-0000F1310000}"/>
    <cellStyle name="Note 2 3 4_Summary" xfId="22331" xr:uid="{00000000-0005-0000-0000-0000F2310000}"/>
    <cellStyle name="Note 2 3 5" xfId="883" xr:uid="{00000000-0005-0000-0000-0000F3310000}"/>
    <cellStyle name="Note 2 3 5 2" xfId="3019" xr:uid="{00000000-0005-0000-0000-0000F4310000}"/>
    <cellStyle name="Note 2 3 5 2 2" xfId="9615" xr:uid="{00000000-0005-0000-0000-0000F5310000}"/>
    <cellStyle name="Note 2 3 5 2 3" xfId="16234" xr:uid="{00000000-0005-0000-0000-0000F6310000}"/>
    <cellStyle name="Note 2 3 5 2_Summary" xfId="22354" xr:uid="{00000000-0005-0000-0000-0000F7310000}"/>
    <cellStyle name="Note 2 3 5 3" xfId="5054" xr:uid="{00000000-0005-0000-0000-0000F8310000}"/>
    <cellStyle name="Note 2 3 5 3 2" xfId="11650" xr:uid="{00000000-0005-0000-0000-0000F9310000}"/>
    <cellStyle name="Note 2 3 5 3 3" xfId="18269" xr:uid="{00000000-0005-0000-0000-0000FA310000}"/>
    <cellStyle name="Note 2 3 5 3_Summary" xfId="22355" xr:uid="{00000000-0005-0000-0000-0000FB310000}"/>
    <cellStyle name="Note 2 3 5 4" xfId="7480" xr:uid="{00000000-0005-0000-0000-0000FC310000}"/>
    <cellStyle name="Note 2 3 5 5" xfId="14098" xr:uid="{00000000-0005-0000-0000-0000FD310000}"/>
    <cellStyle name="Note 2 3 5_Summary" xfId="22353" xr:uid="{00000000-0005-0000-0000-0000FE310000}"/>
    <cellStyle name="Note 2 3 6" xfId="1168" xr:uid="{00000000-0005-0000-0000-0000FF310000}"/>
    <cellStyle name="Note 2 3 6 2" xfId="3304" xr:uid="{00000000-0005-0000-0000-000000320000}"/>
    <cellStyle name="Note 2 3 6 2 2" xfId="9900" xr:uid="{00000000-0005-0000-0000-000001320000}"/>
    <cellStyle name="Note 2 3 6 2 3" xfId="16519" xr:uid="{00000000-0005-0000-0000-000002320000}"/>
    <cellStyle name="Note 2 3 6 2_Summary" xfId="22357" xr:uid="{00000000-0005-0000-0000-000003320000}"/>
    <cellStyle name="Note 2 3 6 3" xfId="5339" xr:uid="{00000000-0005-0000-0000-000004320000}"/>
    <cellStyle name="Note 2 3 6 3 2" xfId="11935" xr:uid="{00000000-0005-0000-0000-000005320000}"/>
    <cellStyle name="Note 2 3 6 3 3" xfId="18554" xr:uid="{00000000-0005-0000-0000-000006320000}"/>
    <cellStyle name="Note 2 3 6 3_Summary" xfId="22358" xr:uid="{00000000-0005-0000-0000-000007320000}"/>
    <cellStyle name="Note 2 3 6 4" xfId="7764" xr:uid="{00000000-0005-0000-0000-000008320000}"/>
    <cellStyle name="Note 2 3 6 5" xfId="14383" xr:uid="{00000000-0005-0000-0000-000009320000}"/>
    <cellStyle name="Note 2 3 6_Summary" xfId="22356" xr:uid="{00000000-0005-0000-0000-00000A320000}"/>
    <cellStyle name="Note 2 3 7" xfId="1450" xr:uid="{00000000-0005-0000-0000-00000B320000}"/>
    <cellStyle name="Note 2 3 7 2" xfId="3586" xr:uid="{00000000-0005-0000-0000-00000C320000}"/>
    <cellStyle name="Note 2 3 7 2 2" xfId="10182" xr:uid="{00000000-0005-0000-0000-00000D320000}"/>
    <cellStyle name="Note 2 3 7 2 3" xfId="16801" xr:uid="{00000000-0005-0000-0000-00000E320000}"/>
    <cellStyle name="Note 2 3 7 2_Summary" xfId="22360" xr:uid="{00000000-0005-0000-0000-00000F320000}"/>
    <cellStyle name="Note 2 3 7 3" xfId="5621" xr:uid="{00000000-0005-0000-0000-000010320000}"/>
    <cellStyle name="Note 2 3 7 3 2" xfId="12217" xr:uid="{00000000-0005-0000-0000-000011320000}"/>
    <cellStyle name="Note 2 3 7 3 3" xfId="18836" xr:uid="{00000000-0005-0000-0000-000012320000}"/>
    <cellStyle name="Note 2 3 7 3_Summary" xfId="22361" xr:uid="{00000000-0005-0000-0000-000013320000}"/>
    <cellStyle name="Note 2 3 7 4" xfId="8046" xr:uid="{00000000-0005-0000-0000-000014320000}"/>
    <cellStyle name="Note 2 3 7 5" xfId="14665" xr:uid="{00000000-0005-0000-0000-000015320000}"/>
    <cellStyle name="Note 2 3 7_Summary" xfId="22359" xr:uid="{00000000-0005-0000-0000-000016320000}"/>
    <cellStyle name="Note 2 3 8" xfId="1731" xr:uid="{00000000-0005-0000-0000-000017320000}"/>
    <cellStyle name="Note 2 3 8 2" xfId="3867" xr:uid="{00000000-0005-0000-0000-000018320000}"/>
    <cellStyle name="Note 2 3 8 2 2" xfId="10463" xr:uid="{00000000-0005-0000-0000-000019320000}"/>
    <cellStyle name="Note 2 3 8 2 3" xfId="17082" xr:uid="{00000000-0005-0000-0000-00001A320000}"/>
    <cellStyle name="Note 2 3 8 2_Summary" xfId="22363" xr:uid="{00000000-0005-0000-0000-00001B320000}"/>
    <cellStyle name="Note 2 3 8 3" xfId="5902" xr:uid="{00000000-0005-0000-0000-00001C320000}"/>
    <cellStyle name="Note 2 3 8 3 2" xfId="12498" xr:uid="{00000000-0005-0000-0000-00001D320000}"/>
    <cellStyle name="Note 2 3 8 3 3" xfId="19117" xr:uid="{00000000-0005-0000-0000-00001E320000}"/>
    <cellStyle name="Note 2 3 8 3_Summary" xfId="22364" xr:uid="{00000000-0005-0000-0000-00001F320000}"/>
    <cellStyle name="Note 2 3 8 4" xfId="8327" xr:uid="{00000000-0005-0000-0000-000020320000}"/>
    <cellStyle name="Note 2 3 8 5" xfId="14946" xr:uid="{00000000-0005-0000-0000-000021320000}"/>
    <cellStyle name="Note 2 3 8_Summary" xfId="22362" xr:uid="{00000000-0005-0000-0000-000022320000}"/>
    <cellStyle name="Note 2 3 9" xfId="2010" xr:uid="{00000000-0005-0000-0000-000023320000}"/>
    <cellStyle name="Note 2 3 9 2" xfId="4146" xr:uid="{00000000-0005-0000-0000-000024320000}"/>
    <cellStyle name="Note 2 3 9 2 2" xfId="10742" xr:uid="{00000000-0005-0000-0000-000025320000}"/>
    <cellStyle name="Note 2 3 9 2 3" xfId="17361" xr:uid="{00000000-0005-0000-0000-000026320000}"/>
    <cellStyle name="Note 2 3 9 2_Summary" xfId="22366" xr:uid="{00000000-0005-0000-0000-000027320000}"/>
    <cellStyle name="Note 2 3 9 3" xfId="6181" xr:uid="{00000000-0005-0000-0000-000028320000}"/>
    <cellStyle name="Note 2 3 9 3 2" xfId="12777" xr:uid="{00000000-0005-0000-0000-000029320000}"/>
    <cellStyle name="Note 2 3 9 3 3" xfId="19396" xr:uid="{00000000-0005-0000-0000-00002A320000}"/>
    <cellStyle name="Note 2 3 9 3_Summary" xfId="22367" xr:uid="{00000000-0005-0000-0000-00002B320000}"/>
    <cellStyle name="Note 2 3 9 4" xfId="8606" xr:uid="{00000000-0005-0000-0000-00002C320000}"/>
    <cellStyle name="Note 2 3 9 5" xfId="15225" xr:uid="{00000000-0005-0000-0000-00002D320000}"/>
    <cellStyle name="Note 2 3 9_Summary" xfId="22365" xr:uid="{00000000-0005-0000-0000-00002E320000}"/>
    <cellStyle name="Note 2 3_Summary" xfId="22258" xr:uid="{00000000-0005-0000-0000-00002F320000}"/>
    <cellStyle name="Note 2 30" xfId="6769" xr:uid="{00000000-0005-0000-0000-000030320000}"/>
    <cellStyle name="Note 2 30 2" xfId="13365" xr:uid="{00000000-0005-0000-0000-000031320000}"/>
    <cellStyle name="Note 2 30 3" xfId="19984" xr:uid="{00000000-0005-0000-0000-000032320000}"/>
    <cellStyle name="Note 2 30_Summary" xfId="22368" xr:uid="{00000000-0005-0000-0000-000033320000}"/>
    <cellStyle name="Note 2 31" xfId="6787" xr:uid="{00000000-0005-0000-0000-000034320000}"/>
    <cellStyle name="Note 2 31 2" xfId="13383" xr:uid="{00000000-0005-0000-0000-000035320000}"/>
    <cellStyle name="Note 2 31 3" xfId="20002" xr:uid="{00000000-0005-0000-0000-000036320000}"/>
    <cellStyle name="Note 2 31_Summary" xfId="22369" xr:uid="{00000000-0005-0000-0000-000037320000}"/>
    <cellStyle name="Note 2 32" xfId="6774" xr:uid="{00000000-0005-0000-0000-000038320000}"/>
    <cellStyle name="Note 2 32 2" xfId="13370" xr:uid="{00000000-0005-0000-0000-000039320000}"/>
    <cellStyle name="Note 2 32 3" xfId="19989" xr:uid="{00000000-0005-0000-0000-00003A320000}"/>
    <cellStyle name="Note 2 32_Summary" xfId="22370" xr:uid="{00000000-0005-0000-0000-00003B320000}"/>
    <cellStyle name="Note 2 33" xfId="6785" xr:uid="{00000000-0005-0000-0000-00003C320000}"/>
    <cellStyle name="Note 2 33 2" xfId="13381" xr:uid="{00000000-0005-0000-0000-00003D320000}"/>
    <cellStyle name="Note 2 33 3" xfId="20000" xr:uid="{00000000-0005-0000-0000-00003E320000}"/>
    <cellStyle name="Note 2 33_Summary" xfId="22371" xr:uid="{00000000-0005-0000-0000-00003F320000}"/>
    <cellStyle name="Note 2 34" xfId="6786" xr:uid="{00000000-0005-0000-0000-000040320000}"/>
    <cellStyle name="Note 2 34 2" xfId="13382" xr:uid="{00000000-0005-0000-0000-000041320000}"/>
    <cellStyle name="Note 2 34 3" xfId="20001" xr:uid="{00000000-0005-0000-0000-000042320000}"/>
    <cellStyle name="Note 2 34_Summary" xfId="22372" xr:uid="{00000000-0005-0000-0000-000043320000}"/>
    <cellStyle name="Note 2 35" xfId="6792" xr:uid="{00000000-0005-0000-0000-000044320000}"/>
    <cellStyle name="Note 2 35 2" xfId="13388" xr:uid="{00000000-0005-0000-0000-000045320000}"/>
    <cellStyle name="Note 2 35 3" xfId="20007" xr:uid="{00000000-0005-0000-0000-000046320000}"/>
    <cellStyle name="Note 2 35_Summary" xfId="22373" xr:uid="{00000000-0005-0000-0000-000047320000}"/>
    <cellStyle name="Note 2 36" xfId="6897" xr:uid="{00000000-0005-0000-0000-000048320000}"/>
    <cellStyle name="Note 2 36 2" xfId="13418" xr:uid="{00000000-0005-0000-0000-000049320000}"/>
    <cellStyle name="Note 2 36 3" xfId="20025" xr:uid="{00000000-0005-0000-0000-00004A320000}"/>
    <cellStyle name="Note 2 36_Summary" xfId="22374" xr:uid="{00000000-0005-0000-0000-00004B320000}"/>
    <cellStyle name="Note 2 37" xfId="6926" xr:uid="{00000000-0005-0000-0000-00004C320000}"/>
    <cellStyle name="Note 2 37 2" xfId="13446" xr:uid="{00000000-0005-0000-0000-00004D320000}"/>
    <cellStyle name="Note 2 37 3" xfId="20053" xr:uid="{00000000-0005-0000-0000-00004E320000}"/>
    <cellStyle name="Note 2 37_Summary" xfId="22375" xr:uid="{00000000-0005-0000-0000-00004F320000}"/>
    <cellStyle name="Note 2 38" xfId="6908" xr:uid="{00000000-0005-0000-0000-000050320000}"/>
    <cellStyle name="Note 2 38 2" xfId="13428" xr:uid="{00000000-0005-0000-0000-000051320000}"/>
    <cellStyle name="Note 2 38 3" xfId="20035" xr:uid="{00000000-0005-0000-0000-000052320000}"/>
    <cellStyle name="Note 2 38_Summary" xfId="22376" xr:uid="{00000000-0005-0000-0000-000053320000}"/>
    <cellStyle name="Note 2 39" xfId="6924" xr:uid="{00000000-0005-0000-0000-000054320000}"/>
    <cellStyle name="Note 2 39 2" xfId="13444" xr:uid="{00000000-0005-0000-0000-000055320000}"/>
    <cellStyle name="Note 2 39 3" xfId="20051" xr:uid="{00000000-0005-0000-0000-000056320000}"/>
    <cellStyle name="Note 2 39_Summary" xfId="22377" xr:uid="{00000000-0005-0000-0000-000057320000}"/>
    <cellStyle name="Note 2 4" xfId="135" xr:uid="{00000000-0005-0000-0000-000058320000}"/>
    <cellStyle name="Note 2 4 10" xfId="1523" xr:uid="{00000000-0005-0000-0000-000059320000}"/>
    <cellStyle name="Note 2 4 10 2" xfId="3659" xr:uid="{00000000-0005-0000-0000-00005A320000}"/>
    <cellStyle name="Note 2 4 10 2 2" xfId="10255" xr:uid="{00000000-0005-0000-0000-00005B320000}"/>
    <cellStyle name="Note 2 4 10 2 3" xfId="16874" xr:uid="{00000000-0005-0000-0000-00005C320000}"/>
    <cellStyle name="Note 2 4 10 2_Summary" xfId="22380" xr:uid="{00000000-0005-0000-0000-00005D320000}"/>
    <cellStyle name="Note 2 4 10 3" xfId="5694" xr:uid="{00000000-0005-0000-0000-00005E320000}"/>
    <cellStyle name="Note 2 4 10 3 2" xfId="12290" xr:uid="{00000000-0005-0000-0000-00005F320000}"/>
    <cellStyle name="Note 2 4 10 3 3" xfId="18909" xr:uid="{00000000-0005-0000-0000-000060320000}"/>
    <cellStyle name="Note 2 4 10 3_Summary" xfId="22381" xr:uid="{00000000-0005-0000-0000-000061320000}"/>
    <cellStyle name="Note 2 4 10 4" xfId="8119" xr:uid="{00000000-0005-0000-0000-000062320000}"/>
    <cellStyle name="Note 2 4 10 5" xfId="14738" xr:uid="{00000000-0005-0000-0000-000063320000}"/>
    <cellStyle name="Note 2 4 10_Summary" xfId="22379" xr:uid="{00000000-0005-0000-0000-000064320000}"/>
    <cellStyle name="Note 2 4 11" xfId="2578" xr:uid="{00000000-0005-0000-0000-000065320000}"/>
    <cellStyle name="Note 2 4 11 2" xfId="9174" xr:uid="{00000000-0005-0000-0000-000066320000}"/>
    <cellStyle name="Note 2 4 11 3" xfId="15793" xr:uid="{00000000-0005-0000-0000-000067320000}"/>
    <cellStyle name="Note 2 4 11_Summary" xfId="22382" xr:uid="{00000000-0005-0000-0000-000068320000}"/>
    <cellStyle name="Note 2 4 12" xfId="2575" xr:uid="{00000000-0005-0000-0000-000069320000}"/>
    <cellStyle name="Note 2 4 12 2" xfId="9171" xr:uid="{00000000-0005-0000-0000-00006A320000}"/>
    <cellStyle name="Note 2 4 12 3" xfId="15790" xr:uid="{00000000-0005-0000-0000-00006B320000}"/>
    <cellStyle name="Note 2 4 12_Summary" xfId="22383" xr:uid="{00000000-0005-0000-0000-00006C320000}"/>
    <cellStyle name="Note 2 4 13" xfId="470" xr:uid="{00000000-0005-0000-0000-00006D320000}"/>
    <cellStyle name="Note 2 4 13 2" xfId="13685" xr:uid="{00000000-0005-0000-0000-00006E320000}"/>
    <cellStyle name="Note 2 4 13_Summary" xfId="22384" xr:uid="{00000000-0005-0000-0000-00006F320000}"/>
    <cellStyle name="Note 2 4 14" xfId="7049" xr:uid="{00000000-0005-0000-0000-000070320000}"/>
    <cellStyle name="Note 2 4 15" xfId="7036" xr:uid="{00000000-0005-0000-0000-000071320000}"/>
    <cellStyle name="Note 2 4 16" xfId="26082" xr:uid="{940C120D-3565-465B-9C4A-9486E55787A0}"/>
    <cellStyle name="Note 2 4 17" xfId="26637" xr:uid="{5F31410E-118C-4804-B298-80E7C216004A}"/>
    <cellStyle name="Note 2 4 18" xfId="25855" xr:uid="{72F7EC2A-7644-4019-A1F1-100A57045223}"/>
    <cellStyle name="Note 2 4 19" xfId="26578" xr:uid="{99FCE589-A796-470E-8048-F2E7C53620CE}"/>
    <cellStyle name="Note 2 4 2" xfId="284" xr:uid="{00000000-0005-0000-0000-000072320000}"/>
    <cellStyle name="Note 2 4 2 10" xfId="4705" xr:uid="{00000000-0005-0000-0000-000073320000}"/>
    <cellStyle name="Note 2 4 2 10 2" xfId="11301" xr:uid="{00000000-0005-0000-0000-000074320000}"/>
    <cellStyle name="Note 2 4 2 10 3" xfId="17920" xr:uid="{00000000-0005-0000-0000-000075320000}"/>
    <cellStyle name="Note 2 4 2 10_Summary" xfId="22386" xr:uid="{00000000-0005-0000-0000-000076320000}"/>
    <cellStyle name="Note 2 4 2 11" xfId="534" xr:uid="{00000000-0005-0000-0000-000077320000}"/>
    <cellStyle name="Note 2 4 2 11 2" xfId="13749" xr:uid="{00000000-0005-0000-0000-000078320000}"/>
    <cellStyle name="Note 2 4 2 11_Summary" xfId="22387" xr:uid="{00000000-0005-0000-0000-000079320000}"/>
    <cellStyle name="Note 2 4 2 12" xfId="7178" xr:uid="{00000000-0005-0000-0000-00007A320000}"/>
    <cellStyle name="Note 2 4 2 13" xfId="13500" xr:uid="{00000000-0005-0000-0000-00007B320000}"/>
    <cellStyle name="Note 2 4 2 14" xfId="26294" xr:uid="{F91950C8-DED5-4A55-8AF6-911434442E1C}"/>
    <cellStyle name="Note 2 4 2 15" xfId="26710" xr:uid="{A95CB9EF-6F5B-4EA0-89D1-C8C332822091}"/>
    <cellStyle name="Note 2 4 2 16" xfId="26954" xr:uid="{214F90DD-9A43-4B06-9F27-07340A8ABEBA}"/>
    <cellStyle name="Note 2 4 2 17" xfId="27000" xr:uid="{B41120B5-17E6-4659-B7C3-3B6ABE18A824}"/>
    <cellStyle name="Note 2 4 2 18" xfId="26003" xr:uid="{9925B077-E715-44FA-997A-AA8CD30DAA45}"/>
    <cellStyle name="Note 2 4 2 19" xfId="29463" xr:uid="{476981DD-D85A-462F-A663-71F60235CBF6}"/>
    <cellStyle name="Note 2 4 2 2" xfId="413" xr:uid="{00000000-0005-0000-0000-00007C320000}"/>
    <cellStyle name="Note 2 4 2 2 10" xfId="807" xr:uid="{00000000-0005-0000-0000-00007D320000}"/>
    <cellStyle name="Note 2 4 2 2 10 2" xfId="14022" xr:uid="{00000000-0005-0000-0000-00007E320000}"/>
    <cellStyle name="Note 2 4 2 2 10_Summary" xfId="22389" xr:uid="{00000000-0005-0000-0000-00007F320000}"/>
    <cellStyle name="Note 2 4 2 2 11" xfId="7306" xr:uid="{00000000-0005-0000-0000-000080320000}"/>
    <cellStyle name="Note 2 4 2 2 12" xfId="13628" xr:uid="{00000000-0005-0000-0000-000081320000}"/>
    <cellStyle name="Note 2 4 2 2 13" xfId="26439" xr:uid="{EA0E6BDB-6E97-4819-9490-EE651C44A5FE}"/>
    <cellStyle name="Note 2 4 2 2 14" xfId="26836" xr:uid="{2921B1AC-E4EF-4344-9767-11928C29558B}"/>
    <cellStyle name="Note 2 4 2 2 15" xfId="27008" xr:uid="{BA84591E-D3F8-41AE-92B3-70B03F9EB571}"/>
    <cellStyle name="Note 2 4 2 2 16" xfId="26617" xr:uid="{5E9384E1-5F9A-46AE-B96B-26A818421C68}"/>
    <cellStyle name="Note 2 4 2 2 17" xfId="27038" xr:uid="{2EBBC6DA-BC2D-4105-A9D7-8760E9E8E3F4}"/>
    <cellStyle name="Note 2 4 2 2 18" xfId="30318" xr:uid="{E310EF4F-6BB7-4058-BFC4-CC777C418AB2}"/>
    <cellStyle name="Note 2 4 2 2 19" xfId="31750" xr:uid="{B3B5CD32-207B-4235-9B99-CA58007FF2BF}"/>
    <cellStyle name="Note 2 4 2 2 2" xfId="1107" xr:uid="{00000000-0005-0000-0000-000082320000}"/>
    <cellStyle name="Note 2 4 2 2 2 10" xfId="27085" xr:uid="{CEADE8DA-7111-4968-A00B-DBF1D196105C}"/>
    <cellStyle name="Note 2 4 2 2 2 2" xfId="3243" xr:uid="{00000000-0005-0000-0000-000083320000}"/>
    <cellStyle name="Note 2 4 2 2 2 2 2" xfId="9839" xr:uid="{00000000-0005-0000-0000-000084320000}"/>
    <cellStyle name="Note 2 4 2 2 2 2 3" xfId="16458" xr:uid="{00000000-0005-0000-0000-000085320000}"/>
    <cellStyle name="Note 2 4 2 2 2 2_Summary" xfId="22391" xr:uid="{00000000-0005-0000-0000-000086320000}"/>
    <cellStyle name="Note 2 4 2 2 2 3" xfId="5278" xr:uid="{00000000-0005-0000-0000-000087320000}"/>
    <cellStyle name="Note 2 4 2 2 2 3 2" xfId="11874" xr:uid="{00000000-0005-0000-0000-000088320000}"/>
    <cellStyle name="Note 2 4 2 2 2 3 3" xfId="18493" xr:uid="{00000000-0005-0000-0000-000089320000}"/>
    <cellStyle name="Note 2 4 2 2 2 3_Summary" xfId="22392" xr:uid="{00000000-0005-0000-0000-00008A320000}"/>
    <cellStyle name="Note 2 4 2 2 2 4" xfId="7703" xr:uid="{00000000-0005-0000-0000-00008B320000}"/>
    <cellStyle name="Note 2 4 2 2 2 5" xfId="14322" xr:uid="{00000000-0005-0000-0000-00008C320000}"/>
    <cellStyle name="Note 2 4 2 2 2 6" xfId="26536" xr:uid="{C057D6A4-F22E-4DFD-8274-B30FBA901F9A}"/>
    <cellStyle name="Note 2 4 2 2 2 7" xfId="26918" xr:uid="{93591857-54C4-49E9-807C-FDB2B33D2A41}"/>
    <cellStyle name="Note 2 4 2 2 2 8" xfId="27043" xr:uid="{3A51545D-681A-400E-9AC2-8B2D17238AC2}"/>
    <cellStyle name="Note 2 4 2 2 2 9" xfId="27067" xr:uid="{E8C0F3B8-23A9-4CCD-97B8-99ECE8C3DBBF}"/>
    <cellStyle name="Note 2 4 2 2 2_Summary" xfId="22390" xr:uid="{00000000-0005-0000-0000-00008D320000}"/>
    <cellStyle name="Note 2 4 2 2 3" xfId="1389" xr:uid="{00000000-0005-0000-0000-00008E320000}"/>
    <cellStyle name="Note 2 4 2 2 3 2" xfId="3525" xr:uid="{00000000-0005-0000-0000-00008F320000}"/>
    <cellStyle name="Note 2 4 2 2 3 2 2" xfId="10121" xr:uid="{00000000-0005-0000-0000-000090320000}"/>
    <cellStyle name="Note 2 4 2 2 3 2 3" xfId="16740" xr:uid="{00000000-0005-0000-0000-000091320000}"/>
    <cellStyle name="Note 2 4 2 2 3 2_Summary" xfId="22394" xr:uid="{00000000-0005-0000-0000-000092320000}"/>
    <cellStyle name="Note 2 4 2 2 3 3" xfId="5560" xr:uid="{00000000-0005-0000-0000-000093320000}"/>
    <cellStyle name="Note 2 4 2 2 3 3 2" xfId="12156" xr:uid="{00000000-0005-0000-0000-000094320000}"/>
    <cellStyle name="Note 2 4 2 2 3 3 3" xfId="18775" xr:uid="{00000000-0005-0000-0000-000095320000}"/>
    <cellStyle name="Note 2 4 2 2 3 3_Summary" xfId="22395" xr:uid="{00000000-0005-0000-0000-000096320000}"/>
    <cellStyle name="Note 2 4 2 2 3 4" xfId="7985" xr:uid="{00000000-0005-0000-0000-000097320000}"/>
    <cellStyle name="Note 2 4 2 2 3 5" xfId="14604" xr:uid="{00000000-0005-0000-0000-000098320000}"/>
    <cellStyle name="Note 2 4 2 2 3_Summary" xfId="22393" xr:uid="{00000000-0005-0000-0000-000099320000}"/>
    <cellStyle name="Note 2 4 2 2 4" xfId="1670" xr:uid="{00000000-0005-0000-0000-00009A320000}"/>
    <cellStyle name="Note 2 4 2 2 4 2" xfId="3806" xr:uid="{00000000-0005-0000-0000-00009B320000}"/>
    <cellStyle name="Note 2 4 2 2 4 2 2" xfId="10402" xr:uid="{00000000-0005-0000-0000-00009C320000}"/>
    <cellStyle name="Note 2 4 2 2 4 2 3" xfId="17021" xr:uid="{00000000-0005-0000-0000-00009D320000}"/>
    <cellStyle name="Note 2 4 2 2 4 2_Summary" xfId="22397" xr:uid="{00000000-0005-0000-0000-00009E320000}"/>
    <cellStyle name="Note 2 4 2 2 4 3" xfId="5841" xr:uid="{00000000-0005-0000-0000-00009F320000}"/>
    <cellStyle name="Note 2 4 2 2 4 3 2" xfId="12437" xr:uid="{00000000-0005-0000-0000-0000A0320000}"/>
    <cellStyle name="Note 2 4 2 2 4 3 3" xfId="19056" xr:uid="{00000000-0005-0000-0000-0000A1320000}"/>
    <cellStyle name="Note 2 4 2 2 4 3_Summary" xfId="22398" xr:uid="{00000000-0005-0000-0000-0000A2320000}"/>
    <cellStyle name="Note 2 4 2 2 4 4" xfId="8266" xr:uid="{00000000-0005-0000-0000-0000A3320000}"/>
    <cellStyle name="Note 2 4 2 2 4 5" xfId="14885" xr:uid="{00000000-0005-0000-0000-0000A4320000}"/>
    <cellStyle name="Note 2 4 2 2 4_Summary" xfId="22396" xr:uid="{00000000-0005-0000-0000-0000A5320000}"/>
    <cellStyle name="Note 2 4 2 2 5" xfId="1949" xr:uid="{00000000-0005-0000-0000-0000A6320000}"/>
    <cellStyle name="Note 2 4 2 2 5 2" xfId="4085" xr:uid="{00000000-0005-0000-0000-0000A7320000}"/>
    <cellStyle name="Note 2 4 2 2 5 2 2" xfId="10681" xr:uid="{00000000-0005-0000-0000-0000A8320000}"/>
    <cellStyle name="Note 2 4 2 2 5 2 3" xfId="17300" xr:uid="{00000000-0005-0000-0000-0000A9320000}"/>
    <cellStyle name="Note 2 4 2 2 5 2_Summary" xfId="22400" xr:uid="{00000000-0005-0000-0000-0000AA320000}"/>
    <cellStyle name="Note 2 4 2 2 5 3" xfId="6120" xr:uid="{00000000-0005-0000-0000-0000AB320000}"/>
    <cellStyle name="Note 2 4 2 2 5 3 2" xfId="12716" xr:uid="{00000000-0005-0000-0000-0000AC320000}"/>
    <cellStyle name="Note 2 4 2 2 5 3 3" xfId="19335" xr:uid="{00000000-0005-0000-0000-0000AD320000}"/>
    <cellStyle name="Note 2 4 2 2 5 3_Summary" xfId="22401" xr:uid="{00000000-0005-0000-0000-0000AE320000}"/>
    <cellStyle name="Note 2 4 2 2 5 4" xfId="8545" xr:uid="{00000000-0005-0000-0000-0000AF320000}"/>
    <cellStyle name="Note 2 4 2 2 5 5" xfId="15164" xr:uid="{00000000-0005-0000-0000-0000B0320000}"/>
    <cellStyle name="Note 2 4 2 2 5_Summary" xfId="22399" xr:uid="{00000000-0005-0000-0000-0000B1320000}"/>
    <cellStyle name="Note 2 4 2 2 6" xfId="2224" xr:uid="{00000000-0005-0000-0000-0000B2320000}"/>
    <cellStyle name="Note 2 4 2 2 6 2" xfId="4360" xr:uid="{00000000-0005-0000-0000-0000B3320000}"/>
    <cellStyle name="Note 2 4 2 2 6 2 2" xfId="10956" xr:uid="{00000000-0005-0000-0000-0000B4320000}"/>
    <cellStyle name="Note 2 4 2 2 6 2 3" xfId="17575" xr:uid="{00000000-0005-0000-0000-0000B5320000}"/>
    <cellStyle name="Note 2 4 2 2 6 2_Summary" xfId="22403" xr:uid="{00000000-0005-0000-0000-0000B6320000}"/>
    <cellStyle name="Note 2 4 2 2 6 3" xfId="6395" xr:uid="{00000000-0005-0000-0000-0000B7320000}"/>
    <cellStyle name="Note 2 4 2 2 6 3 2" xfId="12991" xr:uid="{00000000-0005-0000-0000-0000B8320000}"/>
    <cellStyle name="Note 2 4 2 2 6 3 3" xfId="19610" xr:uid="{00000000-0005-0000-0000-0000B9320000}"/>
    <cellStyle name="Note 2 4 2 2 6 3_Summary" xfId="22404" xr:uid="{00000000-0005-0000-0000-0000BA320000}"/>
    <cellStyle name="Note 2 4 2 2 6 4" xfId="8820" xr:uid="{00000000-0005-0000-0000-0000BB320000}"/>
    <cellStyle name="Note 2 4 2 2 6 5" xfId="15439" xr:uid="{00000000-0005-0000-0000-0000BC320000}"/>
    <cellStyle name="Note 2 4 2 2 6_Summary" xfId="22402" xr:uid="{00000000-0005-0000-0000-0000BD320000}"/>
    <cellStyle name="Note 2 4 2 2 7" xfId="2497" xr:uid="{00000000-0005-0000-0000-0000BE320000}"/>
    <cellStyle name="Note 2 4 2 2 7 2" xfId="4633" xr:uid="{00000000-0005-0000-0000-0000BF320000}"/>
    <cellStyle name="Note 2 4 2 2 7 2 2" xfId="11229" xr:uid="{00000000-0005-0000-0000-0000C0320000}"/>
    <cellStyle name="Note 2 4 2 2 7 2 3" xfId="17848" xr:uid="{00000000-0005-0000-0000-0000C1320000}"/>
    <cellStyle name="Note 2 4 2 2 7 2_Summary" xfId="22406" xr:uid="{00000000-0005-0000-0000-0000C2320000}"/>
    <cellStyle name="Note 2 4 2 2 7 3" xfId="6668" xr:uid="{00000000-0005-0000-0000-0000C3320000}"/>
    <cellStyle name="Note 2 4 2 2 7 3 2" xfId="13264" xr:uid="{00000000-0005-0000-0000-0000C4320000}"/>
    <cellStyle name="Note 2 4 2 2 7 3 3" xfId="19883" xr:uid="{00000000-0005-0000-0000-0000C5320000}"/>
    <cellStyle name="Note 2 4 2 2 7 3_Summary" xfId="22407" xr:uid="{00000000-0005-0000-0000-0000C6320000}"/>
    <cellStyle name="Note 2 4 2 2 7 4" xfId="9093" xr:uid="{00000000-0005-0000-0000-0000C7320000}"/>
    <cellStyle name="Note 2 4 2 2 7 5" xfId="15712" xr:uid="{00000000-0005-0000-0000-0000C8320000}"/>
    <cellStyle name="Note 2 4 2 2 7_Summary" xfId="22405" xr:uid="{00000000-0005-0000-0000-0000C9320000}"/>
    <cellStyle name="Note 2 4 2 2 8" xfId="2943" xr:uid="{00000000-0005-0000-0000-0000CA320000}"/>
    <cellStyle name="Note 2 4 2 2 8 2" xfId="9539" xr:uid="{00000000-0005-0000-0000-0000CB320000}"/>
    <cellStyle name="Note 2 4 2 2 8 3" xfId="16158" xr:uid="{00000000-0005-0000-0000-0000CC320000}"/>
    <cellStyle name="Note 2 4 2 2 8_Summary" xfId="22408" xr:uid="{00000000-0005-0000-0000-0000CD320000}"/>
    <cellStyle name="Note 2 4 2 2 9" xfId="4978" xr:uid="{00000000-0005-0000-0000-0000CE320000}"/>
    <cellStyle name="Note 2 4 2 2 9 2" xfId="11574" xr:uid="{00000000-0005-0000-0000-0000CF320000}"/>
    <cellStyle name="Note 2 4 2 2 9 3" xfId="18193" xr:uid="{00000000-0005-0000-0000-0000D0320000}"/>
    <cellStyle name="Note 2 4 2 2 9_Summary" xfId="22409" xr:uid="{00000000-0005-0000-0000-0000D1320000}"/>
    <cellStyle name="Note 2 4 2 2_Summary" xfId="22388" xr:uid="{00000000-0005-0000-0000-0000D2320000}"/>
    <cellStyle name="Note 2 4 2 20" xfId="31033" xr:uid="{2238FE8C-E294-4D38-A1E3-F5219BF73956}"/>
    <cellStyle name="Note 2 4 2 3" xfId="979" xr:uid="{00000000-0005-0000-0000-0000D3320000}"/>
    <cellStyle name="Note 2 4 2 3 2" xfId="3115" xr:uid="{00000000-0005-0000-0000-0000D4320000}"/>
    <cellStyle name="Note 2 4 2 3 2 2" xfId="9711" xr:uid="{00000000-0005-0000-0000-0000D5320000}"/>
    <cellStyle name="Note 2 4 2 3 2 3" xfId="16330" xr:uid="{00000000-0005-0000-0000-0000D6320000}"/>
    <cellStyle name="Note 2 4 2 3 2_Summary" xfId="22411" xr:uid="{00000000-0005-0000-0000-0000D7320000}"/>
    <cellStyle name="Note 2 4 2 3 3" xfId="5150" xr:uid="{00000000-0005-0000-0000-0000D8320000}"/>
    <cellStyle name="Note 2 4 2 3 3 2" xfId="11746" xr:uid="{00000000-0005-0000-0000-0000D9320000}"/>
    <cellStyle name="Note 2 4 2 3 3 3" xfId="18365" xr:uid="{00000000-0005-0000-0000-0000DA320000}"/>
    <cellStyle name="Note 2 4 2 3 3_Summary" xfId="22412" xr:uid="{00000000-0005-0000-0000-0000DB320000}"/>
    <cellStyle name="Note 2 4 2 3 4" xfId="7576" xr:uid="{00000000-0005-0000-0000-0000DC320000}"/>
    <cellStyle name="Note 2 4 2 3 5" xfId="14194" xr:uid="{00000000-0005-0000-0000-0000DD320000}"/>
    <cellStyle name="Note 2 4 2 3_Summary" xfId="22410" xr:uid="{00000000-0005-0000-0000-0000DE320000}"/>
    <cellStyle name="Note 2 4 2 4" xfId="1261" xr:uid="{00000000-0005-0000-0000-0000DF320000}"/>
    <cellStyle name="Note 2 4 2 4 2" xfId="3397" xr:uid="{00000000-0005-0000-0000-0000E0320000}"/>
    <cellStyle name="Note 2 4 2 4 2 2" xfId="9993" xr:uid="{00000000-0005-0000-0000-0000E1320000}"/>
    <cellStyle name="Note 2 4 2 4 2 3" xfId="16612" xr:uid="{00000000-0005-0000-0000-0000E2320000}"/>
    <cellStyle name="Note 2 4 2 4 2_Summary" xfId="22414" xr:uid="{00000000-0005-0000-0000-0000E3320000}"/>
    <cellStyle name="Note 2 4 2 4 3" xfId="5432" xr:uid="{00000000-0005-0000-0000-0000E4320000}"/>
    <cellStyle name="Note 2 4 2 4 3 2" xfId="12028" xr:uid="{00000000-0005-0000-0000-0000E5320000}"/>
    <cellStyle name="Note 2 4 2 4 3 3" xfId="18647" xr:uid="{00000000-0005-0000-0000-0000E6320000}"/>
    <cellStyle name="Note 2 4 2 4 3_Summary" xfId="22415" xr:uid="{00000000-0005-0000-0000-0000E7320000}"/>
    <cellStyle name="Note 2 4 2 4 4" xfId="7857" xr:uid="{00000000-0005-0000-0000-0000E8320000}"/>
    <cellStyle name="Note 2 4 2 4 5" xfId="14476" xr:uid="{00000000-0005-0000-0000-0000E9320000}"/>
    <cellStyle name="Note 2 4 2 4_Summary" xfId="22413" xr:uid="{00000000-0005-0000-0000-0000EA320000}"/>
    <cellStyle name="Note 2 4 2 5" xfId="1542" xr:uid="{00000000-0005-0000-0000-0000EB320000}"/>
    <cellStyle name="Note 2 4 2 5 2" xfId="3678" xr:uid="{00000000-0005-0000-0000-0000EC320000}"/>
    <cellStyle name="Note 2 4 2 5 2 2" xfId="10274" xr:uid="{00000000-0005-0000-0000-0000ED320000}"/>
    <cellStyle name="Note 2 4 2 5 2 3" xfId="16893" xr:uid="{00000000-0005-0000-0000-0000EE320000}"/>
    <cellStyle name="Note 2 4 2 5 2_Summary" xfId="22417" xr:uid="{00000000-0005-0000-0000-0000EF320000}"/>
    <cellStyle name="Note 2 4 2 5 3" xfId="5713" xr:uid="{00000000-0005-0000-0000-0000F0320000}"/>
    <cellStyle name="Note 2 4 2 5 3 2" xfId="12309" xr:uid="{00000000-0005-0000-0000-0000F1320000}"/>
    <cellStyle name="Note 2 4 2 5 3 3" xfId="18928" xr:uid="{00000000-0005-0000-0000-0000F2320000}"/>
    <cellStyle name="Note 2 4 2 5 3_Summary" xfId="22418" xr:uid="{00000000-0005-0000-0000-0000F3320000}"/>
    <cellStyle name="Note 2 4 2 5 4" xfId="8138" xr:uid="{00000000-0005-0000-0000-0000F4320000}"/>
    <cellStyle name="Note 2 4 2 5 5" xfId="14757" xr:uid="{00000000-0005-0000-0000-0000F5320000}"/>
    <cellStyle name="Note 2 4 2 5_Summary" xfId="22416" xr:uid="{00000000-0005-0000-0000-0000F6320000}"/>
    <cellStyle name="Note 2 4 2 6" xfId="1821" xr:uid="{00000000-0005-0000-0000-0000F7320000}"/>
    <cellStyle name="Note 2 4 2 6 2" xfId="3957" xr:uid="{00000000-0005-0000-0000-0000F8320000}"/>
    <cellStyle name="Note 2 4 2 6 2 2" xfId="10553" xr:uid="{00000000-0005-0000-0000-0000F9320000}"/>
    <cellStyle name="Note 2 4 2 6 2 3" xfId="17172" xr:uid="{00000000-0005-0000-0000-0000FA320000}"/>
    <cellStyle name="Note 2 4 2 6 2_Summary" xfId="22420" xr:uid="{00000000-0005-0000-0000-0000FB320000}"/>
    <cellStyle name="Note 2 4 2 6 3" xfId="5992" xr:uid="{00000000-0005-0000-0000-0000FC320000}"/>
    <cellStyle name="Note 2 4 2 6 3 2" xfId="12588" xr:uid="{00000000-0005-0000-0000-0000FD320000}"/>
    <cellStyle name="Note 2 4 2 6 3 3" xfId="19207" xr:uid="{00000000-0005-0000-0000-0000FE320000}"/>
    <cellStyle name="Note 2 4 2 6 3_Summary" xfId="22421" xr:uid="{00000000-0005-0000-0000-0000FF320000}"/>
    <cellStyle name="Note 2 4 2 6 4" xfId="8417" xr:uid="{00000000-0005-0000-0000-000000330000}"/>
    <cellStyle name="Note 2 4 2 6 5" xfId="15036" xr:uid="{00000000-0005-0000-0000-000001330000}"/>
    <cellStyle name="Note 2 4 2 6_Summary" xfId="22419" xr:uid="{00000000-0005-0000-0000-000002330000}"/>
    <cellStyle name="Note 2 4 2 7" xfId="2096" xr:uid="{00000000-0005-0000-0000-000003330000}"/>
    <cellStyle name="Note 2 4 2 7 2" xfId="4232" xr:uid="{00000000-0005-0000-0000-000004330000}"/>
    <cellStyle name="Note 2 4 2 7 2 2" xfId="10828" xr:uid="{00000000-0005-0000-0000-000005330000}"/>
    <cellStyle name="Note 2 4 2 7 2 3" xfId="17447" xr:uid="{00000000-0005-0000-0000-000006330000}"/>
    <cellStyle name="Note 2 4 2 7 2_Summary" xfId="22423" xr:uid="{00000000-0005-0000-0000-000007330000}"/>
    <cellStyle name="Note 2 4 2 7 3" xfId="6267" xr:uid="{00000000-0005-0000-0000-000008330000}"/>
    <cellStyle name="Note 2 4 2 7 3 2" xfId="12863" xr:uid="{00000000-0005-0000-0000-000009330000}"/>
    <cellStyle name="Note 2 4 2 7 3 3" xfId="19482" xr:uid="{00000000-0005-0000-0000-00000A330000}"/>
    <cellStyle name="Note 2 4 2 7 3_Summary" xfId="22424" xr:uid="{00000000-0005-0000-0000-00000B330000}"/>
    <cellStyle name="Note 2 4 2 7 4" xfId="8692" xr:uid="{00000000-0005-0000-0000-00000C330000}"/>
    <cellStyle name="Note 2 4 2 7 5" xfId="15311" xr:uid="{00000000-0005-0000-0000-00000D330000}"/>
    <cellStyle name="Note 2 4 2 7_Summary" xfId="22422" xr:uid="{00000000-0005-0000-0000-00000E330000}"/>
    <cellStyle name="Note 2 4 2 8" xfId="2369" xr:uid="{00000000-0005-0000-0000-00000F330000}"/>
    <cellStyle name="Note 2 4 2 8 2" xfId="4505" xr:uid="{00000000-0005-0000-0000-000010330000}"/>
    <cellStyle name="Note 2 4 2 8 2 2" xfId="11101" xr:uid="{00000000-0005-0000-0000-000011330000}"/>
    <cellStyle name="Note 2 4 2 8 2 3" xfId="17720" xr:uid="{00000000-0005-0000-0000-000012330000}"/>
    <cellStyle name="Note 2 4 2 8 2_Summary" xfId="22426" xr:uid="{00000000-0005-0000-0000-000013330000}"/>
    <cellStyle name="Note 2 4 2 8 3" xfId="6540" xr:uid="{00000000-0005-0000-0000-000014330000}"/>
    <cellStyle name="Note 2 4 2 8 3 2" xfId="13136" xr:uid="{00000000-0005-0000-0000-000015330000}"/>
    <cellStyle name="Note 2 4 2 8 3 3" xfId="19755" xr:uid="{00000000-0005-0000-0000-000016330000}"/>
    <cellStyle name="Note 2 4 2 8 3_Summary" xfId="22427" xr:uid="{00000000-0005-0000-0000-000017330000}"/>
    <cellStyle name="Note 2 4 2 8 4" xfId="8965" xr:uid="{00000000-0005-0000-0000-000018330000}"/>
    <cellStyle name="Note 2 4 2 8 5" xfId="15584" xr:uid="{00000000-0005-0000-0000-000019330000}"/>
    <cellStyle name="Note 2 4 2 8_Summary" xfId="22425" xr:uid="{00000000-0005-0000-0000-00001A330000}"/>
    <cellStyle name="Note 2 4 2 9" xfId="2670" xr:uid="{00000000-0005-0000-0000-00001B330000}"/>
    <cellStyle name="Note 2 4 2 9 2" xfId="9266" xr:uid="{00000000-0005-0000-0000-00001C330000}"/>
    <cellStyle name="Note 2 4 2 9 3" xfId="15885" xr:uid="{00000000-0005-0000-0000-00001D330000}"/>
    <cellStyle name="Note 2 4 2 9_Summary" xfId="22428" xr:uid="{00000000-0005-0000-0000-00001E330000}"/>
    <cellStyle name="Note 2 4 2_Summary" xfId="22385" xr:uid="{00000000-0005-0000-0000-00001F330000}"/>
    <cellStyle name="Note 2 4 20" xfId="25820" xr:uid="{7D926D4E-0A17-46AD-8935-9AF8E685DCCC}"/>
    <cellStyle name="Note 2 4 21" xfId="29462" xr:uid="{D094A972-73EB-4F38-9DD1-044343EB514C}"/>
    <cellStyle name="Note 2 4 22" xfId="31032" xr:uid="{94400842-3C6A-453F-92D5-AA3F00902C66}"/>
    <cellStyle name="Note 2 4 3" xfId="208" xr:uid="{00000000-0005-0000-0000-000020330000}"/>
    <cellStyle name="Note 2 4 3 10" xfId="745" xr:uid="{00000000-0005-0000-0000-000021330000}"/>
    <cellStyle name="Note 2 4 3 10 2" xfId="13960" xr:uid="{00000000-0005-0000-0000-000022330000}"/>
    <cellStyle name="Note 2 4 3 10_Summary" xfId="22430" xr:uid="{00000000-0005-0000-0000-000023330000}"/>
    <cellStyle name="Note 2 4 3 11" xfId="7115" xr:uid="{00000000-0005-0000-0000-000024330000}"/>
    <cellStyle name="Note 2 4 3 12" xfId="7159" xr:uid="{00000000-0005-0000-0000-000025330000}"/>
    <cellStyle name="Note 2 4 3 13" xfId="26407" xr:uid="{11020748-E87B-4B5A-8929-E9D542FC8707}"/>
    <cellStyle name="Note 2 4 3 14" xfId="26805" xr:uid="{7953077A-F865-4ED3-A3DD-76F1B9E8BE95}"/>
    <cellStyle name="Note 2 4 3 15" xfId="26989" xr:uid="{F89BB4B1-BBFB-49E6-AB68-868D8DCF038C}"/>
    <cellStyle name="Note 2 4 3 16" xfId="26613" xr:uid="{583DDF89-AC12-4C69-80AA-A9F6741C2BD4}"/>
    <cellStyle name="Note 2 4 3 17" xfId="26660" xr:uid="{8A6DE137-E1BC-4006-9667-6A6334F1545F}"/>
    <cellStyle name="Note 2 4 3 18" xfId="29464" xr:uid="{37EE5B2B-7CED-4EEC-AE32-74653A4C0B68}"/>
    <cellStyle name="Note 2 4 3 19" xfId="31034" xr:uid="{726B863C-EEA4-4148-BC15-BF3A71AD07C0}"/>
    <cellStyle name="Note 2 4 3 2" xfId="913" xr:uid="{00000000-0005-0000-0000-000026330000}"/>
    <cellStyle name="Note 2 4 3 2 10" xfId="27022" xr:uid="{0C29CB84-D463-4E15-A033-EDA711D691A7}"/>
    <cellStyle name="Note 2 4 3 2 11" xfId="30319" xr:uid="{119CF659-57E8-4BBB-ADC0-1F96C5F71C99}"/>
    <cellStyle name="Note 2 4 3 2 12" xfId="31751" xr:uid="{F0EDA4BA-37A9-4A95-9E26-F9E2ABAB91B8}"/>
    <cellStyle name="Note 2 4 3 2 2" xfId="3049" xr:uid="{00000000-0005-0000-0000-000027330000}"/>
    <cellStyle name="Note 2 4 3 2 2 2" xfId="9645" xr:uid="{00000000-0005-0000-0000-000028330000}"/>
    <cellStyle name="Note 2 4 3 2 2 3" xfId="16264" xr:uid="{00000000-0005-0000-0000-000029330000}"/>
    <cellStyle name="Note 2 4 3 2 2_Summary" xfId="22432" xr:uid="{00000000-0005-0000-0000-00002A330000}"/>
    <cellStyle name="Note 2 4 3 2 3" xfId="5084" xr:uid="{00000000-0005-0000-0000-00002B330000}"/>
    <cellStyle name="Note 2 4 3 2 3 2" xfId="11680" xr:uid="{00000000-0005-0000-0000-00002C330000}"/>
    <cellStyle name="Note 2 4 3 2 3 3" xfId="18299" xr:uid="{00000000-0005-0000-0000-00002D330000}"/>
    <cellStyle name="Note 2 4 3 2 3_Summary" xfId="22433" xr:uid="{00000000-0005-0000-0000-00002E330000}"/>
    <cellStyle name="Note 2 4 3 2 4" xfId="7510" xr:uid="{00000000-0005-0000-0000-00002F330000}"/>
    <cellStyle name="Note 2 4 3 2 5" xfId="14128" xr:uid="{00000000-0005-0000-0000-000030330000}"/>
    <cellStyle name="Note 2 4 3 2 6" xfId="26352" xr:uid="{E6BB3B7B-3D99-435A-AB6A-6C8FDFC873D9}"/>
    <cellStyle name="Note 2 4 3 2 7" xfId="26757" xr:uid="{C99B647A-4AD4-4C7F-8FEC-92D480DCF264}"/>
    <cellStyle name="Note 2 4 3 2 8" xfId="26969" xr:uid="{AE9A3F7F-29F7-4444-B4EB-EACD510DF05F}"/>
    <cellStyle name="Note 2 4 3 2 9" xfId="25866" xr:uid="{5CA749AE-9BEB-4856-A879-5A8C025B15FB}"/>
    <cellStyle name="Note 2 4 3 2_Summary" xfId="22431" xr:uid="{00000000-0005-0000-0000-000031330000}"/>
    <cellStyle name="Note 2 4 3 3" xfId="1198" xr:uid="{00000000-0005-0000-0000-000032330000}"/>
    <cellStyle name="Note 2 4 3 3 2" xfId="3334" xr:uid="{00000000-0005-0000-0000-000033330000}"/>
    <cellStyle name="Note 2 4 3 3 2 2" xfId="9930" xr:uid="{00000000-0005-0000-0000-000034330000}"/>
    <cellStyle name="Note 2 4 3 3 2 3" xfId="16549" xr:uid="{00000000-0005-0000-0000-000035330000}"/>
    <cellStyle name="Note 2 4 3 3 2_Summary" xfId="22435" xr:uid="{00000000-0005-0000-0000-000036330000}"/>
    <cellStyle name="Note 2 4 3 3 3" xfId="5369" xr:uid="{00000000-0005-0000-0000-000037330000}"/>
    <cellStyle name="Note 2 4 3 3 3 2" xfId="11965" xr:uid="{00000000-0005-0000-0000-000038330000}"/>
    <cellStyle name="Note 2 4 3 3 3 3" xfId="18584" xr:uid="{00000000-0005-0000-0000-000039330000}"/>
    <cellStyle name="Note 2 4 3 3 3_Summary" xfId="22436" xr:uid="{00000000-0005-0000-0000-00003A330000}"/>
    <cellStyle name="Note 2 4 3 3 4" xfId="7794" xr:uid="{00000000-0005-0000-0000-00003B330000}"/>
    <cellStyle name="Note 2 4 3 3 5" xfId="14413" xr:uid="{00000000-0005-0000-0000-00003C330000}"/>
    <cellStyle name="Note 2 4 3 3_Summary" xfId="22434" xr:uid="{00000000-0005-0000-0000-00003D330000}"/>
    <cellStyle name="Note 2 4 3 4" xfId="1480" xr:uid="{00000000-0005-0000-0000-00003E330000}"/>
    <cellStyle name="Note 2 4 3 4 2" xfId="3616" xr:uid="{00000000-0005-0000-0000-00003F330000}"/>
    <cellStyle name="Note 2 4 3 4 2 2" xfId="10212" xr:uid="{00000000-0005-0000-0000-000040330000}"/>
    <cellStyle name="Note 2 4 3 4 2 3" xfId="16831" xr:uid="{00000000-0005-0000-0000-000041330000}"/>
    <cellStyle name="Note 2 4 3 4 2_Summary" xfId="22438" xr:uid="{00000000-0005-0000-0000-000042330000}"/>
    <cellStyle name="Note 2 4 3 4 3" xfId="5651" xr:uid="{00000000-0005-0000-0000-000043330000}"/>
    <cellStyle name="Note 2 4 3 4 3 2" xfId="12247" xr:uid="{00000000-0005-0000-0000-000044330000}"/>
    <cellStyle name="Note 2 4 3 4 3 3" xfId="18866" xr:uid="{00000000-0005-0000-0000-000045330000}"/>
    <cellStyle name="Note 2 4 3 4 3_Summary" xfId="22439" xr:uid="{00000000-0005-0000-0000-000046330000}"/>
    <cellStyle name="Note 2 4 3 4 4" xfId="8076" xr:uid="{00000000-0005-0000-0000-000047330000}"/>
    <cellStyle name="Note 2 4 3 4 5" xfId="14695" xr:uid="{00000000-0005-0000-0000-000048330000}"/>
    <cellStyle name="Note 2 4 3 4_Summary" xfId="22437" xr:uid="{00000000-0005-0000-0000-000049330000}"/>
    <cellStyle name="Note 2 4 3 5" xfId="1761" xr:uid="{00000000-0005-0000-0000-00004A330000}"/>
    <cellStyle name="Note 2 4 3 5 2" xfId="3897" xr:uid="{00000000-0005-0000-0000-00004B330000}"/>
    <cellStyle name="Note 2 4 3 5 2 2" xfId="10493" xr:uid="{00000000-0005-0000-0000-00004C330000}"/>
    <cellStyle name="Note 2 4 3 5 2 3" xfId="17112" xr:uid="{00000000-0005-0000-0000-00004D330000}"/>
    <cellStyle name="Note 2 4 3 5 2_Summary" xfId="22441" xr:uid="{00000000-0005-0000-0000-00004E330000}"/>
    <cellStyle name="Note 2 4 3 5 3" xfId="5932" xr:uid="{00000000-0005-0000-0000-00004F330000}"/>
    <cellStyle name="Note 2 4 3 5 3 2" xfId="12528" xr:uid="{00000000-0005-0000-0000-000050330000}"/>
    <cellStyle name="Note 2 4 3 5 3 3" xfId="19147" xr:uid="{00000000-0005-0000-0000-000051330000}"/>
    <cellStyle name="Note 2 4 3 5 3_Summary" xfId="22442" xr:uid="{00000000-0005-0000-0000-000052330000}"/>
    <cellStyle name="Note 2 4 3 5 4" xfId="8357" xr:uid="{00000000-0005-0000-0000-000053330000}"/>
    <cellStyle name="Note 2 4 3 5 5" xfId="14976" xr:uid="{00000000-0005-0000-0000-000054330000}"/>
    <cellStyle name="Note 2 4 3 5_Summary" xfId="22440" xr:uid="{00000000-0005-0000-0000-000055330000}"/>
    <cellStyle name="Note 2 4 3 6" xfId="2040" xr:uid="{00000000-0005-0000-0000-000056330000}"/>
    <cellStyle name="Note 2 4 3 6 2" xfId="4176" xr:uid="{00000000-0005-0000-0000-000057330000}"/>
    <cellStyle name="Note 2 4 3 6 2 2" xfId="10772" xr:uid="{00000000-0005-0000-0000-000058330000}"/>
    <cellStyle name="Note 2 4 3 6 2 3" xfId="17391" xr:uid="{00000000-0005-0000-0000-000059330000}"/>
    <cellStyle name="Note 2 4 3 6 2_Summary" xfId="22444" xr:uid="{00000000-0005-0000-0000-00005A330000}"/>
    <cellStyle name="Note 2 4 3 6 3" xfId="6211" xr:uid="{00000000-0005-0000-0000-00005B330000}"/>
    <cellStyle name="Note 2 4 3 6 3 2" xfId="12807" xr:uid="{00000000-0005-0000-0000-00005C330000}"/>
    <cellStyle name="Note 2 4 3 6 3 3" xfId="19426" xr:uid="{00000000-0005-0000-0000-00005D330000}"/>
    <cellStyle name="Note 2 4 3 6 3_Summary" xfId="22445" xr:uid="{00000000-0005-0000-0000-00005E330000}"/>
    <cellStyle name="Note 2 4 3 6 4" xfId="8636" xr:uid="{00000000-0005-0000-0000-00005F330000}"/>
    <cellStyle name="Note 2 4 3 6 5" xfId="15255" xr:uid="{00000000-0005-0000-0000-000060330000}"/>
    <cellStyle name="Note 2 4 3 6_Summary" xfId="22443" xr:uid="{00000000-0005-0000-0000-000061330000}"/>
    <cellStyle name="Note 2 4 3 7" xfId="2315" xr:uid="{00000000-0005-0000-0000-000062330000}"/>
    <cellStyle name="Note 2 4 3 7 2" xfId="4451" xr:uid="{00000000-0005-0000-0000-000063330000}"/>
    <cellStyle name="Note 2 4 3 7 2 2" xfId="11047" xr:uid="{00000000-0005-0000-0000-000064330000}"/>
    <cellStyle name="Note 2 4 3 7 2 3" xfId="17666" xr:uid="{00000000-0005-0000-0000-000065330000}"/>
    <cellStyle name="Note 2 4 3 7 2_Summary" xfId="22447" xr:uid="{00000000-0005-0000-0000-000066330000}"/>
    <cellStyle name="Note 2 4 3 7 3" xfId="6486" xr:uid="{00000000-0005-0000-0000-000067330000}"/>
    <cellStyle name="Note 2 4 3 7 3 2" xfId="13082" xr:uid="{00000000-0005-0000-0000-000068330000}"/>
    <cellStyle name="Note 2 4 3 7 3 3" xfId="19701" xr:uid="{00000000-0005-0000-0000-000069330000}"/>
    <cellStyle name="Note 2 4 3 7 3_Summary" xfId="22448" xr:uid="{00000000-0005-0000-0000-00006A330000}"/>
    <cellStyle name="Note 2 4 3 7 4" xfId="8911" xr:uid="{00000000-0005-0000-0000-00006B330000}"/>
    <cellStyle name="Note 2 4 3 7 5" xfId="15530" xr:uid="{00000000-0005-0000-0000-00006C330000}"/>
    <cellStyle name="Note 2 4 3 7_Summary" xfId="22446" xr:uid="{00000000-0005-0000-0000-00006D330000}"/>
    <cellStyle name="Note 2 4 3 8" xfId="2881" xr:uid="{00000000-0005-0000-0000-00006E330000}"/>
    <cellStyle name="Note 2 4 3 8 2" xfId="9477" xr:uid="{00000000-0005-0000-0000-00006F330000}"/>
    <cellStyle name="Note 2 4 3 8 3" xfId="16096" xr:uid="{00000000-0005-0000-0000-000070330000}"/>
    <cellStyle name="Note 2 4 3 8_Summary" xfId="22449" xr:uid="{00000000-0005-0000-0000-000071330000}"/>
    <cellStyle name="Note 2 4 3 9" xfId="4916" xr:uid="{00000000-0005-0000-0000-000072330000}"/>
    <cellStyle name="Note 2 4 3 9 2" xfId="11512" xr:uid="{00000000-0005-0000-0000-000073330000}"/>
    <cellStyle name="Note 2 4 3 9 3" xfId="18131" xr:uid="{00000000-0005-0000-0000-000074330000}"/>
    <cellStyle name="Note 2 4 3 9_Summary" xfId="22450" xr:uid="{00000000-0005-0000-0000-000075330000}"/>
    <cellStyle name="Note 2 4 3_Summary" xfId="22429" xr:uid="{00000000-0005-0000-0000-000076330000}"/>
    <cellStyle name="Note 2 4 4" xfId="352" xr:uid="{00000000-0005-0000-0000-000077330000}"/>
    <cellStyle name="Note 2 4 4 10" xfId="679" xr:uid="{00000000-0005-0000-0000-000078330000}"/>
    <cellStyle name="Note 2 4 4 10 2" xfId="13894" xr:uid="{00000000-0005-0000-0000-000079330000}"/>
    <cellStyle name="Note 2 4 4 10_Summary" xfId="22452" xr:uid="{00000000-0005-0000-0000-00007A330000}"/>
    <cellStyle name="Note 2 4 4 11" xfId="7245" xr:uid="{00000000-0005-0000-0000-00007B330000}"/>
    <cellStyle name="Note 2 4 4 12" xfId="13567" xr:uid="{00000000-0005-0000-0000-00007C330000}"/>
    <cellStyle name="Note 2 4 4 13" xfId="30317" xr:uid="{04D77651-45E2-4242-AAF8-A7331EAC19D9}"/>
    <cellStyle name="Note 2 4 4 14" xfId="31749" xr:uid="{6010CDAC-893C-47FA-838C-0EDC350120B8}"/>
    <cellStyle name="Note 2 4 4 2" xfId="1046" xr:uid="{00000000-0005-0000-0000-00007D330000}"/>
    <cellStyle name="Note 2 4 4 2 2" xfId="3182" xr:uid="{00000000-0005-0000-0000-00007E330000}"/>
    <cellStyle name="Note 2 4 4 2 2 2" xfId="9778" xr:uid="{00000000-0005-0000-0000-00007F330000}"/>
    <cellStyle name="Note 2 4 4 2 2 3" xfId="16397" xr:uid="{00000000-0005-0000-0000-000080330000}"/>
    <cellStyle name="Note 2 4 4 2 2_Summary" xfId="22454" xr:uid="{00000000-0005-0000-0000-000081330000}"/>
    <cellStyle name="Note 2 4 4 2 3" xfId="5217" xr:uid="{00000000-0005-0000-0000-000082330000}"/>
    <cellStyle name="Note 2 4 4 2 3 2" xfId="11813" xr:uid="{00000000-0005-0000-0000-000083330000}"/>
    <cellStyle name="Note 2 4 4 2 3 3" xfId="18432" xr:uid="{00000000-0005-0000-0000-000084330000}"/>
    <cellStyle name="Note 2 4 4 2 3_Summary" xfId="22455" xr:uid="{00000000-0005-0000-0000-000085330000}"/>
    <cellStyle name="Note 2 4 4 2 4" xfId="7643" xr:uid="{00000000-0005-0000-0000-000086330000}"/>
    <cellStyle name="Note 2 4 4 2 5" xfId="14261" xr:uid="{00000000-0005-0000-0000-000087330000}"/>
    <cellStyle name="Note 2 4 4 2_Summary" xfId="22453" xr:uid="{00000000-0005-0000-0000-000088330000}"/>
    <cellStyle name="Note 2 4 4 3" xfId="1328" xr:uid="{00000000-0005-0000-0000-000089330000}"/>
    <cellStyle name="Note 2 4 4 3 2" xfId="3464" xr:uid="{00000000-0005-0000-0000-00008A330000}"/>
    <cellStyle name="Note 2 4 4 3 2 2" xfId="10060" xr:uid="{00000000-0005-0000-0000-00008B330000}"/>
    <cellStyle name="Note 2 4 4 3 2 3" xfId="16679" xr:uid="{00000000-0005-0000-0000-00008C330000}"/>
    <cellStyle name="Note 2 4 4 3 2_Summary" xfId="22457" xr:uid="{00000000-0005-0000-0000-00008D330000}"/>
    <cellStyle name="Note 2 4 4 3 3" xfId="5499" xr:uid="{00000000-0005-0000-0000-00008E330000}"/>
    <cellStyle name="Note 2 4 4 3 3 2" xfId="12095" xr:uid="{00000000-0005-0000-0000-00008F330000}"/>
    <cellStyle name="Note 2 4 4 3 3 3" xfId="18714" xr:uid="{00000000-0005-0000-0000-000090330000}"/>
    <cellStyle name="Note 2 4 4 3 3_Summary" xfId="22458" xr:uid="{00000000-0005-0000-0000-000091330000}"/>
    <cellStyle name="Note 2 4 4 3 4" xfId="7924" xr:uid="{00000000-0005-0000-0000-000092330000}"/>
    <cellStyle name="Note 2 4 4 3 5" xfId="14543" xr:uid="{00000000-0005-0000-0000-000093330000}"/>
    <cellStyle name="Note 2 4 4 3_Summary" xfId="22456" xr:uid="{00000000-0005-0000-0000-000094330000}"/>
    <cellStyle name="Note 2 4 4 4" xfId="1609" xr:uid="{00000000-0005-0000-0000-000095330000}"/>
    <cellStyle name="Note 2 4 4 4 2" xfId="3745" xr:uid="{00000000-0005-0000-0000-000096330000}"/>
    <cellStyle name="Note 2 4 4 4 2 2" xfId="10341" xr:uid="{00000000-0005-0000-0000-000097330000}"/>
    <cellStyle name="Note 2 4 4 4 2 3" xfId="16960" xr:uid="{00000000-0005-0000-0000-000098330000}"/>
    <cellStyle name="Note 2 4 4 4 2_Summary" xfId="22460" xr:uid="{00000000-0005-0000-0000-000099330000}"/>
    <cellStyle name="Note 2 4 4 4 3" xfId="5780" xr:uid="{00000000-0005-0000-0000-00009A330000}"/>
    <cellStyle name="Note 2 4 4 4 3 2" xfId="12376" xr:uid="{00000000-0005-0000-0000-00009B330000}"/>
    <cellStyle name="Note 2 4 4 4 3 3" xfId="18995" xr:uid="{00000000-0005-0000-0000-00009C330000}"/>
    <cellStyle name="Note 2 4 4 4 3_Summary" xfId="22461" xr:uid="{00000000-0005-0000-0000-00009D330000}"/>
    <cellStyle name="Note 2 4 4 4 4" xfId="8205" xr:uid="{00000000-0005-0000-0000-00009E330000}"/>
    <cellStyle name="Note 2 4 4 4 5" xfId="14824" xr:uid="{00000000-0005-0000-0000-00009F330000}"/>
    <cellStyle name="Note 2 4 4 4_Summary" xfId="22459" xr:uid="{00000000-0005-0000-0000-0000A0330000}"/>
    <cellStyle name="Note 2 4 4 5" xfId="1888" xr:uid="{00000000-0005-0000-0000-0000A1330000}"/>
    <cellStyle name="Note 2 4 4 5 2" xfId="4024" xr:uid="{00000000-0005-0000-0000-0000A2330000}"/>
    <cellStyle name="Note 2 4 4 5 2 2" xfId="10620" xr:uid="{00000000-0005-0000-0000-0000A3330000}"/>
    <cellStyle name="Note 2 4 4 5 2 3" xfId="17239" xr:uid="{00000000-0005-0000-0000-0000A4330000}"/>
    <cellStyle name="Note 2 4 4 5 2_Summary" xfId="22463" xr:uid="{00000000-0005-0000-0000-0000A5330000}"/>
    <cellStyle name="Note 2 4 4 5 3" xfId="6059" xr:uid="{00000000-0005-0000-0000-0000A6330000}"/>
    <cellStyle name="Note 2 4 4 5 3 2" xfId="12655" xr:uid="{00000000-0005-0000-0000-0000A7330000}"/>
    <cellStyle name="Note 2 4 4 5 3 3" xfId="19274" xr:uid="{00000000-0005-0000-0000-0000A8330000}"/>
    <cellStyle name="Note 2 4 4 5 3_Summary" xfId="22464" xr:uid="{00000000-0005-0000-0000-0000A9330000}"/>
    <cellStyle name="Note 2 4 4 5 4" xfId="8484" xr:uid="{00000000-0005-0000-0000-0000AA330000}"/>
    <cellStyle name="Note 2 4 4 5 5" xfId="15103" xr:uid="{00000000-0005-0000-0000-0000AB330000}"/>
    <cellStyle name="Note 2 4 4 5_Summary" xfId="22462" xr:uid="{00000000-0005-0000-0000-0000AC330000}"/>
    <cellStyle name="Note 2 4 4 6" xfId="2163" xr:uid="{00000000-0005-0000-0000-0000AD330000}"/>
    <cellStyle name="Note 2 4 4 6 2" xfId="4299" xr:uid="{00000000-0005-0000-0000-0000AE330000}"/>
    <cellStyle name="Note 2 4 4 6 2 2" xfId="10895" xr:uid="{00000000-0005-0000-0000-0000AF330000}"/>
    <cellStyle name="Note 2 4 4 6 2 3" xfId="17514" xr:uid="{00000000-0005-0000-0000-0000B0330000}"/>
    <cellStyle name="Note 2 4 4 6 2_Summary" xfId="22466" xr:uid="{00000000-0005-0000-0000-0000B1330000}"/>
    <cellStyle name="Note 2 4 4 6 3" xfId="6334" xr:uid="{00000000-0005-0000-0000-0000B2330000}"/>
    <cellStyle name="Note 2 4 4 6 3 2" xfId="12930" xr:uid="{00000000-0005-0000-0000-0000B3330000}"/>
    <cellStyle name="Note 2 4 4 6 3 3" xfId="19549" xr:uid="{00000000-0005-0000-0000-0000B4330000}"/>
    <cellStyle name="Note 2 4 4 6 3_Summary" xfId="22467" xr:uid="{00000000-0005-0000-0000-0000B5330000}"/>
    <cellStyle name="Note 2 4 4 6 4" xfId="8759" xr:uid="{00000000-0005-0000-0000-0000B6330000}"/>
    <cellStyle name="Note 2 4 4 6 5" xfId="15378" xr:uid="{00000000-0005-0000-0000-0000B7330000}"/>
    <cellStyle name="Note 2 4 4 6_Summary" xfId="22465" xr:uid="{00000000-0005-0000-0000-0000B8330000}"/>
    <cellStyle name="Note 2 4 4 7" xfId="2436" xr:uid="{00000000-0005-0000-0000-0000B9330000}"/>
    <cellStyle name="Note 2 4 4 7 2" xfId="4572" xr:uid="{00000000-0005-0000-0000-0000BA330000}"/>
    <cellStyle name="Note 2 4 4 7 2 2" xfId="11168" xr:uid="{00000000-0005-0000-0000-0000BB330000}"/>
    <cellStyle name="Note 2 4 4 7 2 3" xfId="17787" xr:uid="{00000000-0005-0000-0000-0000BC330000}"/>
    <cellStyle name="Note 2 4 4 7 2_Summary" xfId="22469" xr:uid="{00000000-0005-0000-0000-0000BD330000}"/>
    <cellStyle name="Note 2 4 4 7 3" xfId="6607" xr:uid="{00000000-0005-0000-0000-0000BE330000}"/>
    <cellStyle name="Note 2 4 4 7 3 2" xfId="13203" xr:uid="{00000000-0005-0000-0000-0000BF330000}"/>
    <cellStyle name="Note 2 4 4 7 3 3" xfId="19822" xr:uid="{00000000-0005-0000-0000-0000C0330000}"/>
    <cellStyle name="Note 2 4 4 7 3_Summary" xfId="22470" xr:uid="{00000000-0005-0000-0000-0000C1330000}"/>
    <cellStyle name="Note 2 4 4 7 4" xfId="9032" xr:uid="{00000000-0005-0000-0000-0000C2330000}"/>
    <cellStyle name="Note 2 4 4 7 5" xfId="15651" xr:uid="{00000000-0005-0000-0000-0000C3330000}"/>
    <cellStyle name="Note 2 4 4 7_Summary" xfId="22468" xr:uid="{00000000-0005-0000-0000-0000C4330000}"/>
    <cellStyle name="Note 2 4 4 8" xfId="2815" xr:uid="{00000000-0005-0000-0000-0000C5330000}"/>
    <cellStyle name="Note 2 4 4 8 2" xfId="9411" xr:uid="{00000000-0005-0000-0000-0000C6330000}"/>
    <cellStyle name="Note 2 4 4 8 3" xfId="16030" xr:uid="{00000000-0005-0000-0000-0000C7330000}"/>
    <cellStyle name="Note 2 4 4 8_Summary" xfId="22471" xr:uid="{00000000-0005-0000-0000-0000C8330000}"/>
    <cellStyle name="Note 2 4 4 9" xfId="4850" xr:uid="{00000000-0005-0000-0000-0000C9330000}"/>
    <cellStyle name="Note 2 4 4 9 2" xfId="11446" xr:uid="{00000000-0005-0000-0000-0000CA330000}"/>
    <cellStyle name="Note 2 4 4 9 3" xfId="18065" xr:uid="{00000000-0005-0000-0000-0000CB330000}"/>
    <cellStyle name="Note 2 4 4 9_Summary" xfId="22472" xr:uid="{00000000-0005-0000-0000-0000CC330000}"/>
    <cellStyle name="Note 2 4 4_Summary" xfId="22451" xr:uid="{00000000-0005-0000-0000-0000CD330000}"/>
    <cellStyle name="Note 2 4 5" xfId="643" xr:uid="{00000000-0005-0000-0000-0000CE330000}"/>
    <cellStyle name="Note 2 4 5 2" xfId="2779" xr:uid="{00000000-0005-0000-0000-0000CF330000}"/>
    <cellStyle name="Note 2 4 5 2 2" xfId="9375" xr:uid="{00000000-0005-0000-0000-0000D0330000}"/>
    <cellStyle name="Note 2 4 5 2 3" xfId="15994" xr:uid="{00000000-0005-0000-0000-0000D1330000}"/>
    <cellStyle name="Note 2 4 5 2_Summary" xfId="22474" xr:uid="{00000000-0005-0000-0000-0000D2330000}"/>
    <cellStyle name="Note 2 4 5 3" xfId="4814" xr:uid="{00000000-0005-0000-0000-0000D3330000}"/>
    <cellStyle name="Note 2 4 5 3 2" xfId="11410" xr:uid="{00000000-0005-0000-0000-0000D4330000}"/>
    <cellStyle name="Note 2 4 5 3 3" xfId="18029" xr:uid="{00000000-0005-0000-0000-0000D5330000}"/>
    <cellStyle name="Note 2 4 5 3_Summary" xfId="22475" xr:uid="{00000000-0005-0000-0000-0000D6330000}"/>
    <cellStyle name="Note 2 4 5 4" xfId="7415" xr:uid="{00000000-0005-0000-0000-0000D7330000}"/>
    <cellStyle name="Note 2 4 5 5" xfId="13858" xr:uid="{00000000-0005-0000-0000-0000D8330000}"/>
    <cellStyle name="Note 2 4 5_Summary" xfId="22473" xr:uid="{00000000-0005-0000-0000-0000D9330000}"/>
    <cellStyle name="Note 2 4 6" xfId="630" xr:uid="{00000000-0005-0000-0000-0000DA330000}"/>
    <cellStyle name="Note 2 4 6 2" xfId="2766" xr:uid="{00000000-0005-0000-0000-0000DB330000}"/>
    <cellStyle name="Note 2 4 6 2 2" xfId="9362" xr:uid="{00000000-0005-0000-0000-0000DC330000}"/>
    <cellStyle name="Note 2 4 6 2 3" xfId="15981" xr:uid="{00000000-0005-0000-0000-0000DD330000}"/>
    <cellStyle name="Note 2 4 6 2_Summary" xfId="22477" xr:uid="{00000000-0005-0000-0000-0000DE330000}"/>
    <cellStyle name="Note 2 4 6 3" xfId="4801" xr:uid="{00000000-0005-0000-0000-0000DF330000}"/>
    <cellStyle name="Note 2 4 6 3 2" xfId="11397" xr:uid="{00000000-0005-0000-0000-0000E0330000}"/>
    <cellStyle name="Note 2 4 6 3 3" xfId="18016" xr:uid="{00000000-0005-0000-0000-0000E1330000}"/>
    <cellStyle name="Note 2 4 6 3_Summary" xfId="22478" xr:uid="{00000000-0005-0000-0000-0000E2330000}"/>
    <cellStyle name="Note 2 4 6 4" xfId="7402" xr:uid="{00000000-0005-0000-0000-0000E3330000}"/>
    <cellStyle name="Note 2 4 6 5" xfId="13845" xr:uid="{00000000-0005-0000-0000-0000E4330000}"/>
    <cellStyle name="Note 2 4 6_Summary" xfId="22476" xr:uid="{00000000-0005-0000-0000-0000E5330000}"/>
    <cellStyle name="Note 2 4 7" xfId="698" xr:uid="{00000000-0005-0000-0000-0000E6330000}"/>
    <cellStyle name="Note 2 4 7 2" xfId="2834" xr:uid="{00000000-0005-0000-0000-0000E7330000}"/>
    <cellStyle name="Note 2 4 7 2 2" xfId="9430" xr:uid="{00000000-0005-0000-0000-0000E8330000}"/>
    <cellStyle name="Note 2 4 7 2 3" xfId="16049" xr:uid="{00000000-0005-0000-0000-0000E9330000}"/>
    <cellStyle name="Note 2 4 7 2_Summary" xfId="22480" xr:uid="{00000000-0005-0000-0000-0000EA330000}"/>
    <cellStyle name="Note 2 4 7 3" xfId="4869" xr:uid="{00000000-0005-0000-0000-0000EB330000}"/>
    <cellStyle name="Note 2 4 7 3 2" xfId="11465" xr:uid="{00000000-0005-0000-0000-0000EC330000}"/>
    <cellStyle name="Note 2 4 7 3 3" xfId="18084" xr:uid="{00000000-0005-0000-0000-0000ED330000}"/>
    <cellStyle name="Note 2 4 7 3_Summary" xfId="22481" xr:uid="{00000000-0005-0000-0000-0000EE330000}"/>
    <cellStyle name="Note 2 4 7 4" xfId="7447" xr:uid="{00000000-0005-0000-0000-0000EF330000}"/>
    <cellStyle name="Note 2 4 7 5" xfId="13913" xr:uid="{00000000-0005-0000-0000-0000F0330000}"/>
    <cellStyle name="Note 2 4 7_Summary" xfId="22479" xr:uid="{00000000-0005-0000-0000-0000F1330000}"/>
    <cellStyle name="Note 2 4 8" xfId="960" xr:uid="{00000000-0005-0000-0000-0000F2330000}"/>
    <cellStyle name="Note 2 4 8 2" xfId="3096" xr:uid="{00000000-0005-0000-0000-0000F3330000}"/>
    <cellStyle name="Note 2 4 8 2 2" xfId="9692" xr:uid="{00000000-0005-0000-0000-0000F4330000}"/>
    <cellStyle name="Note 2 4 8 2 3" xfId="16311" xr:uid="{00000000-0005-0000-0000-0000F5330000}"/>
    <cellStyle name="Note 2 4 8 2_Summary" xfId="22483" xr:uid="{00000000-0005-0000-0000-0000F6330000}"/>
    <cellStyle name="Note 2 4 8 3" xfId="5131" xr:uid="{00000000-0005-0000-0000-0000F7330000}"/>
    <cellStyle name="Note 2 4 8 3 2" xfId="11727" xr:uid="{00000000-0005-0000-0000-0000F8330000}"/>
    <cellStyle name="Note 2 4 8 3 3" xfId="18346" xr:uid="{00000000-0005-0000-0000-0000F9330000}"/>
    <cellStyle name="Note 2 4 8 3_Summary" xfId="22484" xr:uid="{00000000-0005-0000-0000-0000FA330000}"/>
    <cellStyle name="Note 2 4 8 4" xfId="7557" xr:uid="{00000000-0005-0000-0000-0000FB330000}"/>
    <cellStyle name="Note 2 4 8 5" xfId="14175" xr:uid="{00000000-0005-0000-0000-0000FC330000}"/>
    <cellStyle name="Note 2 4 8_Summary" xfId="22482" xr:uid="{00000000-0005-0000-0000-0000FD330000}"/>
    <cellStyle name="Note 2 4 9" xfId="1242" xr:uid="{00000000-0005-0000-0000-0000FE330000}"/>
    <cellStyle name="Note 2 4 9 2" xfId="3378" xr:uid="{00000000-0005-0000-0000-0000FF330000}"/>
    <cellStyle name="Note 2 4 9 2 2" xfId="9974" xr:uid="{00000000-0005-0000-0000-000000340000}"/>
    <cellStyle name="Note 2 4 9 2 3" xfId="16593" xr:uid="{00000000-0005-0000-0000-000001340000}"/>
    <cellStyle name="Note 2 4 9 2_Summary" xfId="22486" xr:uid="{00000000-0005-0000-0000-000002340000}"/>
    <cellStyle name="Note 2 4 9 3" xfId="5413" xr:uid="{00000000-0005-0000-0000-000003340000}"/>
    <cellStyle name="Note 2 4 9 3 2" xfId="12009" xr:uid="{00000000-0005-0000-0000-000004340000}"/>
    <cellStyle name="Note 2 4 9 3 3" xfId="18628" xr:uid="{00000000-0005-0000-0000-000005340000}"/>
    <cellStyle name="Note 2 4 9 3_Summary" xfId="22487" xr:uid="{00000000-0005-0000-0000-000006340000}"/>
    <cellStyle name="Note 2 4 9 4" xfId="7838" xr:uid="{00000000-0005-0000-0000-000007340000}"/>
    <cellStyle name="Note 2 4 9 5" xfId="14457" xr:uid="{00000000-0005-0000-0000-000008340000}"/>
    <cellStyle name="Note 2 4 9_Summary" xfId="22485" xr:uid="{00000000-0005-0000-0000-000009340000}"/>
    <cellStyle name="Note 2 4_Summary" xfId="22378" xr:uid="{00000000-0005-0000-0000-00000A340000}"/>
    <cellStyle name="Note 2 40" xfId="6909" xr:uid="{00000000-0005-0000-0000-00000B340000}"/>
    <cellStyle name="Note 2 40 2" xfId="13429" xr:uid="{00000000-0005-0000-0000-00000C340000}"/>
    <cellStyle name="Note 2 40 3" xfId="20036" xr:uid="{00000000-0005-0000-0000-00000D340000}"/>
    <cellStyle name="Note 2 40_Summary" xfId="22488" xr:uid="{00000000-0005-0000-0000-00000E340000}"/>
    <cellStyle name="Note 2 41" xfId="6931" xr:uid="{00000000-0005-0000-0000-00000F340000}"/>
    <cellStyle name="Note 2 41 2" xfId="13451" xr:uid="{00000000-0005-0000-0000-000010340000}"/>
    <cellStyle name="Note 2 41 3" xfId="20058" xr:uid="{00000000-0005-0000-0000-000011340000}"/>
    <cellStyle name="Note 2 41_Summary" xfId="22489" xr:uid="{00000000-0005-0000-0000-000012340000}"/>
    <cellStyle name="Note 2 42" xfId="6899" xr:uid="{00000000-0005-0000-0000-000013340000}"/>
    <cellStyle name="Note 2 42 2" xfId="13419" xr:uid="{00000000-0005-0000-0000-000014340000}"/>
    <cellStyle name="Note 2 42 3" xfId="20026" xr:uid="{00000000-0005-0000-0000-000015340000}"/>
    <cellStyle name="Note 2 42_Summary" xfId="22490" xr:uid="{00000000-0005-0000-0000-000016340000}"/>
    <cellStyle name="Note 2 43" xfId="6914" xr:uid="{00000000-0005-0000-0000-000017340000}"/>
    <cellStyle name="Note 2 43 2" xfId="13434" xr:uid="{00000000-0005-0000-0000-000018340000}"/>
    <cellStyle name="Note 2 43 3" xfId="20041" xr:uid="{00000000-0005-0000-0000-000019340000}"/>
    <cellStyle name="Note 2 43_Summary" xfId="22491" xr:uid="{00000000-0005-0000-0000-00001A340000}"/>
    <cellStyle name="Note 2 44" xfId="6907" xr:uid="{00000000-0005-0000-0000-00001B340000}"/>
    <cellStyle name="Note 2 44 2" xfId="13427" xr:uid="{00000000-0005-0000-0000-00001C340000}"/>
    <cellStyle name="Note 2 44 3" xfId="20034" xr:uid="{00000000-0005-0000-0000-00001D340000}"/>
    <cellStyle name="Note 2 44_Summary" xfId="22492" xr:uid="{00000000-0005-0000-0000-00001E340000}"/>
    <cellStyle name="Note 2 45" xfId="6906" xr:uid="{00000000-0005-0000-0000-00001F340000}"/>
    <cellStyle name="Note 2 45 2" xfId="13426" xr:uid="{00000000-0005-0000-0000-000020340000}"/>
    <cellStyle name="Note 2 45 3" xfId="20033" xr:uid="{00000000-0005-0000-0000-000021340000}"/>
    <cellStyle name="Note 2 45_Summary" xfId="22493" xr:uid="{00000000-0005-0000-0000-000022340000}"/>
    <cellStyle name="Note 2 46" xfId="6925" xr:uid="{00000000-0005-0000-0000-000023340000}"/>
    <cellStyle name="Note 2 46 2" xfId="13445" xr:uid="{00000000-0005-0000-0000-000024340000}"/>
    <cellStyle name="Note 2 46 3" xfId="20052" xr:uid="{00000000-0005-0000-0000-000025340000}"/>
    <cellStyle name="Note 2 46_Summary" xfId="22494" xr:uid="{00000000-0005-0000-0000-000026340000}"/>
    <cellStyle name="Note 2 47" xfId="6900" xr:uid="{00000000-0005-0000-0000-000027340000}"/>
    <cellStyle name="Note 2 47 2" xfId="13420" xr:uid="{00000000-0005-0000-0000-000028340000}"/>
    <cellStyle name="Note 2 47 3" xfId="20027" xr:uid="{00000000-0005-0000-0000-000029340000}"/>
    <cellStyle name="Note 2 47_Summary" xfId="22495" xr:uid="{00000000-0005-0000-0000-00002A340000}"/>
    <cellStyle name="Note 2 48" xfId="6903" xr:uid="{00000000-0005-0000-0000-00002B340000}"/>
    <cellStyle name="Note 2 48 2" xfId="13423" xr:uid="{00000000-0005-0000-0000-00002C340000}"/>
    <cellStyle name="Note 2 48 3" xfId="20030" xr:uid="{00000000-0005-0000-0000-00002D340000}"/>
    <cellStyle name="Note 2 48_Summary" xfId="22496" xr:uid="{00000000-0005-0000-0000-00002E340000}"/>
    <cellStyle name="Note 2 49" xfId="6901" xr:uid="{00000000-0005-0000-0000-00002F340000}"/>
    <cellStyle name="Note 2 49 2" xfId="13421" xr:uid="{00000000-0005-0000-0000-000030340000}"/>
    <cellStyle name="Note 2 49 3" xfId="20028" xr:uid="{00000000-0005-0000-0000-000031340000}"/>
    <cellStyle name="Note 2 49_Summary" xfId="22497" xr:uid="{00000000-0005-0000-0000-000032340000}"/>
    <cellStyle name="Note 2 5" xfId="137" xr:uid="{00000000-0005-0000-0000-000033340000}"/>
    <cellStyle name="Note 2 5 10" xfId="955" xr:uid="{00000000-0005-0000-0000-000034340000}"/>
    <cellStyle name="Note 2 5 10 2" xfId="3091" xr:uid="{00000000-0005-0000-0000-000035340000}"/>
    <cellStyle name="Note 2 5 10 2 2" xfId="9687" xr:uid="{00000000-0005-0000-0000-000036340000}"/>
    <cellStyle name="Note 2 5 10 2 3" xfId="16306" xr:uid="{00000000-0005-0000-0000-000037340000}"/>
    <cellStyle name="Note 2 5 10 2_Summary" xfId="22500" xr:uid="{00000000-0005-0000-0000-000038340000}"/>
    <cellStyle name="Note 2 5 10 3" xfId="5126" xr:uid="{00000000-0005-0000-0000-000039340000}"/>
    <cellStyle name="Note 2 5 10 3 2" xfId="11722" xr:uid="{00000000-0005-0000-0000-00003A340000}"/>
    <cellStyle name="Note 2 5 10 3 3" xfId="18341" xr:uid="{00000000-0005-0000-0000-00003B340000}"/>
    <cellStyle name="Note 2 5 10 3_Summary" xfId="22501" xr:uid="{00000000-0005-0000-0000-00003C340000}"/>
    <cellStyle name="Note 2 5 10 4" xfId="7552" xr:uid="{00000000-0005-0000-0000-00003D340000}"/>
    <cellStyle name="Note 2 5 10 5" xfId="14170" xr:uid="{00000000-0005-0000-0000-00003E340000}"/>
    <cellStyle name="Note 2 5 10_Summary" xfId="22499" xr:uid="{00000000-0005-0000-0000-00003F340000}"/>
    <cellStyle name="Note 2 5 11" xfId="2580" xr:uid="{00000000-0005-0000-0000-000040340000}"/>
    <cellStyle name="Note 2 5 11 2" xfId="9176" xr:uid="{00000000-0005-0000-0000-000041340000}"/>
    <cellStyle name="Note 2 5 11 3" xfId="15795" xr:uid="{00000000-0005-0000-0000-000042340000}"/>
    <cellStyle name="Note 2 5 11_Summary" xfId="22502" xr:uid="{00000000-0005-0000-0000-000043340000}"/>
    <cellStyle name="Note 2 5 12" xfId="2655" xr:uid="{00000000-0005-0000-0000-000044340000}"/>
    <cellStyle name="Note 2 5 12 2" xfId="9251" xr:uid="{00000000-0005-0000-0000-000045340000}"/>
    <cellStyle name="Note 2 5 12 3" xfId="15870" xr:uid="{00000000-0005-0000-0000-000046340000}"/>
    <cellStyle name="Note 2 5 12_Summary" xfId="22503" xr:uid="{00000000-0005-0000-0000-000047340000}"/>
    <cellStyle name="Note 2 5 13" xfId="472" xr:uid="{00000000-0005-0000-0000-000048340000}"/>
    <cellStyle name="Note 2 5 13 2" xfId="13687" xr:uid="{00000000-0005-0000-0000-000049340000}"/>
    <cellStyle name="Note 2 5 13_Summary" xfId="22504" xr:uid="{00000000-0005-0000-0000-00004A340000}"/>
    <cellStyle name="Note 2 5 14" xfId="7051" xr:uid="{00000000-0005-0000-0000-00004B340000}"/>
    <cellStyle name="Note 2 5 15" xfId="7041" xr:uid="{00000000-0005-0000-0000-00004C340000}"/>
    <cellStyle name="Note 2 5 16" xfId="26292" xr:uid="{7CA35AED-5A61-4906-ABBE-8CE2A4206AAD}"/>
    <cellStyle name="Note 2 5 17" xfId="26708" xr:uid="{3F7C8296-442E-4AAB-93E8-873EC3A35107}"/>
    <cellStyle name="Note 2 5 18" xfId="26952" xr:uid="{312201FE-B4F4-449D-BB66-2250E28091C0}"/>
    <cellStyle name="Note 2 5 19" xfId="26987" xr:uid="{A3A2326C-7B58-4F5B-A757-AF10913A1041}"/>
    <cellStyle name="Note 2 5 2" xfId="286" xr:uid="{00000000-0005-0000-0000-00004D340000}"/>
    <cellStyle name="Note 2 5 2 10" xfId="4707" xr:uid="{00000000-0005-0000-0000-00004E340000}"/>
    <cellStyle name="Note 2 5 2 10 2" xfId="11303" xr:uid="{00000000-0005-0000-0000-00004F340000}"/>
    <cellStyle name="Note 2 5 2 10 3" xfId="17922" xr:uid="{00000000-0005-0000-0000-000050340000}"/>
    <cellStyle name="Note 2 5 2 10_Summary" xfId="22506" xr:uid="{00000000-0005-0000-0000-000051340000}"/>
    <cellStyle name="Note 2 5 2 11" xfId="536" xr:uid="{00000000-0005-0000-0000-000052340000}"/>
    <cellStyle name="Note 2 5 2 11 2" xfId="13751" xr:uid="{00000000-0005-0000-0000-000053340000}"/>
    <cellStyle name="Note 2 5 2 11_Summary" xfId="22507" xr:uid="{00000000-0005-0000-0000-000054340000}"/>
    <cellStyle name="Note 2 5 2 12" xfId="7180" xr:uid="{00000000-0005-0000-0000-000055340000}"/>
    <cellStyle name="Note 2 5 2 13" xfId="13502" xr:uid="{00000000-0005-0000-0000-000056340000}"/>
    <cellStyle name="Note 2 5 2 14" xfId="26437" xr:uid="{0B11D655-3D50-480B-9D44-DF647EB408DD}"/>
    <cellStyle name="Note 2 5 2 15" xfId="26834" xr:uid="{8C3981B7-13BE-4CB8-A6C0-92845497FE83}"/>
    <cellStyle name="Note 2 5 2 16" xfId="27006" xr:uid="{28C934B9-1B93-44E4-AE54-5F9214610649}"/>
    <cellStyle name="Note 2 5 2 17" xfId="26606" xr:uid="{526E9A32-5820-421A-839A-4C1EE481D0BC}"/>
    <cellStyle name="Note 2 5 2 18" xfId="27027" xr:uid="{40A0FB1F-2CEB-4701-A941-90A7EFE2C0E3}"/>
    <cellStyle name="Note 2 5 2 19" xfId="29466" xr:uid="{113F18F2-EB28-4DDB-9FBC-BDAC83931CED}"/>
    <cellStyle name="Note 2 5 2 2" xfId="415" xr:uid="{00000000-0005-0000-0000-000057340000}"/>
    <cellStyle name="Note 2 5 2 2 10" xfId="809" xr:uid="{00000000-0005-0000-0000-000058340000}"/>
    <cellStyle name="Note 2 5 2 2 10 2" xfId="14024" xr:uid="{00000000-0005-0000-0000-000059340000}"/>
    <cellStyle name="Note 2 5 2 2 10_Summary" xfId="22509" xr:uid="{00000000-0005-0000-0000-00005A340000}"/>
    <cellStyle name="Note 2 5 2 2 11" xfId="7308" xr:uid="{00000000-0005-0000-0000-00005B340000}"/>
    <cellStyle name="Note 2 5 2 2 12" xfId="13630" xr:uid="{00000000-0005-0000-0000-00005C340000}"/>
    <cellStyle name="Note 2 5 2 2 13" xfId="26535" xr:uid="{928EEC27-1C68-4383-A588-F6AA6E454282}"/>
    <cellStyle name="Note 2 5 2 2 14" xfId="26917" xr:uid="{5BE093ED-4088-4FDF-9A4D-FBB0DBBEA9CF}"/>
    <cellStyle name="Note 2 5 2 2 15" xfId="27042" xr:uid="{0D2DF60E-A230-4F7C-87CC-D3D9A9010950}"/>
    <cellStyle name="Note 2 5 2 2 16" xfId="27066" xr:uid="{BE0D917F-510B-4E05-A65D-A4C5957E93FC}"/>
    <cellStyle name="Note 2 5 2 2 17" xfId="27084" xr:uid="{FF8194AF-DD97-4E65-B08E-8BC6F988D34A}"/>
    <cellStyle name="Note 2 5 2 2 18" xfId="30321" xr:uid="{695485B6-2525-4D61-A947-E7072FBBFAA9}"/>
    <cellStyle name="Note 2 5 2 2 19" xfId="31753" xr:uid="{29E9F0C0-33AC-4732-9C9A-F759BDE351FF}"/>
    <cellStyle name="Note 2 5 2 2 2" xfId="1109" xr:uid="{00000000-0005-0000-0000-00005D340000}"/>
    <cellStyle name="Note 2 5 2 2 2 2" xfId="3245" xr:uid="{00000000-0005-0000-0000-00005E340000}"/>
    <cellStyle name="Note 2 5 2 2 2 2 2" xfId="9841" xr:uid="{00000000-0005-0000-0000-00005F340000}"/>
    <cellStyle name="Note 2 5 2 2 2 2 3" xfId="16460" xr:uid="{00000000-0005-0000-0000-000060340000}"/>
    <cellStyle name="Note 2 5 2 2 2 2_Summary" xfId="22511" xr:uid="{00000000-0005-0000-0000-000061340000}"/>
    <cellStyle name="Note 2 5 2 2 2 3" xfId="5280" xr:uid="{00000000-0005-0000-0000-000062340000}"/>
    <cellStyle name="Note 2 5 2 2 2 3 2" xfId="11876" xr:uid="{00000000-0005-0000-0000-000063340000}"/>
    <cellStyle name="Note 2 5 2 2 2 3 3" xfId="18495" xr:uid="{00000000-0005-0000-0000-000064340000}"/>
    <cellStyle name="Note 2 5 2 2 2 3_Summary" xfId="22512" xr:uid="{00000000-0005-0000-0000-000065340000}"/>
    <cellStyle name="Note 2 5 2 2 2 4" xfId="7705" xr:uid="{00000000-0005-0000-0000-000066340000}"/>
    <cellStyle name="Note 2 5 2 2 2 5" xfId="14324" xr:uid="{00000000-0005-0000-0000-000067340000}"/>
    <cellStyle name="Note 2 5 2 2 2_Summary" xfId="22510" xr:uid="{00000000-0005-0000-0000-000068340000}"/>
    <cellStyle name="Note 2 5 2 2 3" xfId="1391" xr:uid="{00000000-0005-0000-0000-000069340000}"/>
    <cellStyle name="Note 2 5 2 2 3 2" xfId="3527" xr:uid="{00000000-0005-0000-0000-00006A340000}"/>
    <cellStyle name="Note 2 5 2 2 3 2 2" xfId="10123" xr:uid="{00000000-0005-0000-0000-00006B340000}"/>
    <cellStyle name="Note 2 5 2 2 3 2 3" xfId="16742" xr:uid="{00000000-0005-0000-0000-00006C340000}"/>
    <cellStyle name="Note 2 5 2 2 3 2_Summary" xfId="22514" xr:uid="{00000000-0005-0000-0000-00006D340000}"/>
    <cellStyle name="Note 2 5 2 2 3 3" xfId="5562" xr:uid="{00000000-0005-0000-0000-00006E340000}"/>
    <cellStyle name="Note 2 5 2 2 3 3 2" xfId="12158" xr:uid="{00000000-0005-0000-0000-00006F340000}"/>
    <cellStyle name="Note 2 5 2 2 3 3 3" xfId="18777" xr:uid="{00000000-0005-0000-0000-000070340000}"/>
    <cellStyle name="Note 2 5 2 2 3 3_Summary" xfId="22515" xr:uid="{00000000-0005-0000-0000-000071340000}"/>
    <cellStyle name="Note 2 5 2 2 3 4" xfId="7987" xr:uid="{00000000-0005-0000-0000-000072340000}"/>
    <cellStyle name="Note 2 5 2 2 3 5" xfId="14606" xr:uid="{00000000-0005-0000-0000-000073340000}"/>
    <cellStyle name="Note 2 5 2 2 3_Summary" xfId="22513" xr:uid="{00000000-0005-0000-0000-000074340000}"/>
    <cellStyle name="Note 2 5 2 2 4" xfId="1672" xr:uid="{00000000-0005-0000-0000-000075340000}"/>
    <cellStyle name="Note 2 5 2 2 4 2" xfId="3808" xr:uid="{00000000-0005-0000-0000-000076340000}"/>
    <cellStyle name="Note 2 5 2 2 4 2 2" xfId="10404" xr:uid="{00000000-0005-0000-0000-000077340000}"/>
    <cellStyle name="Note 2 5 2 2 4 2 3" xfId="17023" xr:uid="{00000000-0005-0000-0000-000078340000}"/>
    <cellStyle name="Note 2 5 2 2 4 2_Summary" xfId="22517" xr:uid="{00000000-0005-0000-0000-000079340000}"/>
    <cellStyle name="Note 2 5 2 2 4 3" xfId="5843" xr:uid="{00000000-0005-0000-0000-00007A340000}"/>
    <cellStyle name="Note 2 5 2 2 4 3 2" xfId="12439" xr:uid="{00000000-0005-0000-0000-00007B340000}"/>
    <cellStyle name="Note 2 5 2 2 4 3 3" xfId="19058" xr:uid="{00000000-0005-0000-0000-00007C340000}"/>
    <cellStyle name="Note 2 5 2 2 4 3_Summary" xfId="22518" xr:uid="{00000000-0005-0000-0000-00007D340000}"/>
    <cellStyle name="Note 2 5 2 2 4 4" xfId="8268" xr:uid="{00000000-0005-0000-0000-00007E340000}"/>
    <cellStyle name="Note 2 5 2 2 4 5" xfId="14887" xr:uid="{00000000-0005-0000-0000-00007F340000}"/>
    <cellStyle name="Note 2 5 2 2 4_Summary" xfId="22516" xr:uid="{00000000-0005-0000-0000-000080340000}"/>
    <cellStyle name="Note 2 5 2 2 5" xfId="1951" xr:uid="{00000000-0005-0000-0000-000081340000}"/>
    <cellStyle name="Note 2 5 2 2 5 2" xfId="4087" xr:uid="{00000000-0005-0000-0000-000082340000}"/>
    <cellStyle name="Note 2 5 2 2 5 2 2" xfId="10683" xr:uid="{00000000-0005-0000-0000-000083340000}"/>
    <cellStyle name="Note 2 5 2 2 5 2 3" xfId="17302" xr:uid="{00000000-0005-0000-0000-000084340000}"/>
    <cellStyle name="Note 2 5 2 2 5 2_Summary" xfId="22520" xr:uid="{00000000-0005-0000-0000-000085340000}"/>
    <cellStyle name="Note 2 5 2 2 5 3" xfId="6122" xr:uid="{00000000-0005-0000-0000-000086340000}"/>
    <cellStyle name="Note 2 5 2 2 5 3 2" xfId="12718" xr:uid="{00000000-0005-0000-0000-000087340000}"/>
    <cellStyle name="Note 2 5 2 2 5 3 3" xfId="19337" xr:uid="{00000000-0005-0000-0000-000088340000}"/>
    <cellStyle name="Note 2 5 2 2 5 3_Summary" xfId="22521" xr:uid="{00000000-0005-0000-0000-000089340000}"/>
    <cellStyle name="Note 2 5 2 2 5 4" xfId="8547" xr:uid="{00000000-0005-0000-0000-00008A340000}"/>
    <cellStyle name="Note 2 5 2 2 5 5" xfId="15166" xr:uid="{00000000-0005-0000-0000-00008B340000}"/>
    <cellStyle name="Note 2 5 2 2 5_Summary" xfId="22519" xr:uid="{00000000-0005-0000-0000-00008C340000}"/>
    <cellStyle name="Note 2 5 2 2 6" xfId="2226" xr:uid="{00000000-0005-0000-0000-00008D340000}"/>
    <cellStyle name="Note 2 5 2 2 6 2" xfId="4362" xr:uid="{00000000-0005-0000-0000-00008E340000}"/>
    <cellStyle name="Note 2 5 2 2 6 2 2" xfId="10958" xr:uid="{00000000-0005-0000-0000-00008F340000}"/>
    <cellStyle name="Note 2 5 2 2 6 2 3" xfId="17577" xr:uid="{00000000-0005-0000-0000-000090340000}"/>
    <cellStyle name="Note 2 5 2 2 6 2_Summary" xfId="22523" xr:uid="{00000000-0005-0000-0000-000091340000}"/>
    <cellStyle name="Note 2 5 2 2 6 3" xfId="6397" xr:uid="{00000000-0005-0000-0000-000092340000}"/>
    <cellStyle name="Note 2 5 2 2 6 3 2" xfId="12993" xr:uid="{00000000-0005-0000-0000-000093340000}"/>
    <cellStyle name="Note 2 5 2 2 6 3 3" xfId="19612" xr:uid="{00000000-0005-0000-0000-000094340000}"/>
    <cellStyle name="Note 2 5 2 2 6 3_Summary" xfId="22524" xr:uid="{00000000-0005-0000-0000-000095340000}"/>
    <cellStyle name="Note 2 5 2 2 6 4" xfId="8822" xr:uid="{00000000-0005-0000-0000-000096340000}"/>
    <cellStyle name="Note 2 5 2 2 6 5" xfId="15441" xr:uid="{00000000-0005-0000-0000-000097340000}"/>
    <cellStyle name="Note 2 5 2 2 6_Summary" xfId="22522" xr:uid="{00000000-0005-0000-0000-000098340000}"/>
    <cellStyle name="Note 2 5 2 2 7" xfId="2499" xr:uid="{00000000-0005-0000-0000-000099340000}"/>
    <cellStyle name="Note 2 5 2 2 7 2" xfId="4635" xr:uid="{00000000-0005-0000-0000-00009A340000}"/>
    <cellStyle name="Note 2 5 2 2 7 2 2" xfId="11231" xr:uid="{00000000-0005-0000-0000-00009B340000}"/>
    <cellStyle name="Note 2 5 2 2 7 2 3" xfId="17850" xr:uid="{00000000-0005-0000-0000-00009C340000}"/>
    <cellStyle name="Note 2 5 2 2 7 2_Summary" xfId="22526" xr:uid="{00000000-0005-0000-0000-00009D340000}"/>
    <cellStyle name="Note 2 5 2 2 7 3" xfId="6670" xr:uid="{00000000-0005-0000-0000-00009E340000}"/>
    <cellStyle name="Note 2 5 2 2 7 3 2" xfId="13266" xr:uid="{00000000-0005-0000-0000-00009F340000}"/>
    <cellStyle name="Note 2 5 2 2 7 3 3" xfId="19885" xr:uid="{00000000-0005-0000-0000-0000A0340000}"/>
    <cellStyle name="Note 2 5 2 2 7 3_Summary" xfId="22527" xr:uid="{00000000-0005-0000-0000-0000A1340000}"/>
    <cellStyle name="Note 2 5 2 2 7 4" xfId="9095" xr:uid="{00000000-0005-0000-0000-0000A2340000}"/>
    <cellStyle name="Note 2 5 2 2 7 5" xfId="15714" xr:uid="{00000000-0005-0000-0000-0000A3340000}"/>
    <cellStyle name="Note 2 5 2 2 7_Summary" xfId="22525" xr:uid="{00000000-0005-0000-0000-0000A4340000}"/>
    <cellStyle name="Note 2 5 2 2 8" xfId="2945" xr:uid="{00000000-0005-0000-0000-0000A5340000}"/>
    <cellStyle name="Note 2 5 2 2 8 2" xfId="9541" xr:uid="{00000000-0005-0000-0000-0000A6340000}"/>
    <cellStyle name="Note 2 5 2 2 8 3" xfId="16160" xr:uid="{00000000-0005-0000-0000-0000A7340000}"/>
    <cellStyle name="Note 2 5 2 2 8_Summary" xfId="22528" xr:uid="{00000000-0005-0000-0000-0000A8340000}"/>
    <cellStyle name="Note 2 5 2 2 9" xfId="4980" xr:uid="{00000000-0005-0000-0000-0000A9340000}"/>
    <cellStyle name="Note 2 5 2 2 9 2" xfId="11576" xr:uid="{00000000-0005-0000-0000-0000AA340000}"/>
    <cellStyle name="Note 2 5 2 2 9 3" xfId="18195" xr:uid="{00000000-0005-0000-0000-0000AB340000}"/>
    <cellStyle name="Note 2 5 2 2 9_Summary" xfId="22529" xr:uid="{00000000-0005-0000-0000-0000AC340000}"/>
    <cellStyle name="Note 2 5 2 2_Summary" xfId="22508" xr:uid="{00000000-0005-0000-0000-0000AD340000}"/>
    <cellStyle name="Note 2 5 2 20" xfId="31036" xr:uid="{6F51747C-7B44-488F-B32D-6A5FB54828CF}"/>
    <cellStyle name="Note 2 5 2 3" xfId="981" xr:uid="{00000000-0005-0000-0000-0000AE340000}"/>
    <cellStyle name="Note 2 5 2 3 2" xfId="3117" xr:uid="{00000000-0005-0000-0000-0000AF340000}"/>
    <cellStyle name="Note 2 5 2 3 2 2" xfId="9713" xr:uid="{00000000-0005-0000-0000-0000B0340000}"/>
    <cellStyle name="Note 2 5 2 3 2 3" xfId="16332" xr:uid="{00000000-0005-0000-0000-0000B1340000}"/>
    <cellStyle name="Note 2 5 2 3 2_Summary" xfId="22531" xr:uid="{00000000-0005-0000-0000-0000B2340000}"/>
    <cellStyle name="Note 2 5 2 3 3" xfId="5152" xr:uid="{00000000-0005-0000-0000-0000B3340000}"/>
    <cellStyle name="Note 2 5 2 3 3 2" xfId="11748" xr:uid="{00000000-0005-0000-0000-0000B4340000}"/>
    <cellStyle name="Note 2 5 2 3 3 3" xfId="18367" xr:uid="{00000000-0005-0000-0000-0000B5340000}"/>
    <cellStyle name="Note 2 5 2 3 3_Summary" xfId="22532" xr:uid="{00000000-0005-0000-0000-0000B6340000}"/>
    <cellStyle name="Note 2 5 2 3 4" xfId="7578" xr:uid="{00000000-0005-0000-0000-0000B7340000}"/>
    <cellStyle name="Note 2 5 2 3 5" xfId="14196" xr:uid="{00000000-0005-0000-0000-0000B8340000}"/>
    <cellStyle name="Note 2 5 2 3_Summary" xfId="22530" xr:uid="{00000000-0005-0000-0000-0000B9340000}"/>
    <cellStyle name="Note 2 5 2 4" xfId="1263" xr:uid="{00000000-0005-0000-0000-0000BA340000}"/>
    <cellStyle name="Note 2 5 2 4 2" xfId="3399" xr:uid="{00000000-0005-0000-0000-0000BB340000}"/>
    <cellStyle name="Note 2 5 2 4 2 2" xfId="9995" xr:uid="{00000000-0005-0000-0000-0000BC340000}"/>
    <cellStyle name="Note 2 5 2 4 2 3" xfId="16614" xr:uid="{00000000-0005-0000-0000-0000BD340000}"/>
    <cellStyle name="Note 2 5 2 4 2_Summary" xfId="22534" xr:uid="{00000000-0005-0000-0000-0000BE340000}"/>
    <cellStyle name="Note 2 5 2 4 3" xfId="5434" xr:uid="{00000000-0005-0000-0000-0000BF340000}"/>
    <cellStyle name="Note 2 5 2 4 3 2" xfId="12030" xr:uid="{00000000-0005-0000-0000-0000C0340000}"/>
    <cellStyle name="Note 2 5 2 4 3 3" xfId="18649" xr:uid="{00000000-0005-0000-0000-0000C1340000}"/>
    <cellStyle name="Note 2 5 2 4 3_Summary" xfId="22535" xr:uid="{00000000-0005-0000-0000-0000C2340000}"/>
    <cellStyle name="Note 2 5 2 4 4" xfId="7859" xr:uid="{00000000-0005-0000-0000-0000C3340000}"/>
    <cellStyle name="Note 2 5 2 4 5" xfId="14478" xr:uid="{00000000-0005-0000-0000-0000C4340000}"/>
    <cellStyle name="Note 2 5 2 4_Summary" xfId="22533" xr:uid="{00000000-0005-0000-0000-0000C5340000}"/>
    <cellStyle name="Note 2 5 2 5" xfId="1544" xr:uid="{00000000-0005-0000-0000-0000C6340000}"/>
    <cellStyle name="Note 2 5 2 5 2" xfId="3680" xr:uid="{00000000-0005-0000-0000-0000C7340000}"/>
    <cellStyle name="Note 2 5 2 5 2 2" xfId="10276" xr:uid="{00000000-0005-0000-0000-0000C8340000}"/>
    <cellStyle name="Note 2 5 2 5 2 3" xfId="16895" xr:uid="{00000000-0005-0000-0000-0000C9340000}"/>
    <cellStyle name="Note 2 5 2 5 2_Summary" xfId="22537" xr:uid="{00000000-0005-0000-0000-0000CA340000}"/>
    <cellStyle name="Note 2 5 2 5 3" xfId="5715" xr:uid="{00000000-0005-0000-0000-0000CB340000}"/>
    <cellStyle name="Note 2 5 2 5 3 2" xfId="12311" xr:uid="{00000000-0005-0000-0000-0000CC340000}"/>
    <cellStyle name="Note 2 5 2 5 3 3" xfId="18930" xr:uid="{00000000-0005-0000-0000-0000CD340000}"/>
    <cellStyle name="Note 2 5 2 5 3_Summary" xfId="22538" xr:uid="{00000000-0005-0000-0000-0000CE340000}"/>
    <cellStyle name="Note 2 5 2 5 4" xfId="8140" xr:uid="{00000000-0005-0000-0000-0000CF340000}"/>
    <cellStyle name="Note 2 5 2 5 5" xfId="14759" xr:uid="{00000000-0005-0000-0000-0000D0340000}"/>
    <cellStyle name="Note 2 5 2 5_Summary" xfId="22536" xr:uid="{00000000-0005-0000-0000-0000D1340000}"/>
    <cellStyle name="Note 2 5 2 6" xfId="1823" xr:uid="{00000000-0005-0000-0000-0000D2340000}"/>
    <cellStyle name="Note 2 5 2 6 2" xfId="3959" xr:uid="{00000000-0005-0000-0000-0000D3340000}"/>
    <cellStyle name="Note 2 5 2 6 2 2" xfId="10555" xr:uid="{00000000-0005-0000-0000-0000D4340000}"/>
    <cellStyle name="Note 2 5 2 6 2 3" xfId="17174" xr:uid="{00000000-0005-0000-0000-0000D5340000}"/>
    <cellStyle name="Note 2 5 2 6 2_Summary" xfId="22540" xr:uid="{00000000-0005-0000-0000-0000D6340000}"/>
    <cellStyle name="Note 2 5 2 6 3" xfId="5994" xr:uid="{00000000-0005-0000-0000-0000D7340000}"/>
    <cellStyle name="Note 2 5 2 6 3 2" xfId="12590" xr:uid="{00000000-0005-0000-0000-0000D8340000}"/>
    <cellStyle name="Note 2 5 2 6 3 3" xfId="19209" xr:uid="{00000000-0005-0000-0000-0000D9340000}"/>
    <cellStyle name="Note 2 5 2 6 3_Summary" xfId="22541" xr:uid="{00000000-0005-0000-0000-0000DA340000}"/>
    <cellStyle name="Note 2 5 2 6 4" xfId="8419" xr:uid="{00000000-0005-0000-0000-0000DB340000}"/>
    <cellStyle name="Note 2 5 2 6 5" xfId="15038" xr:uid="{00000000-0005-0000-0000-0000DC340000}"/>
    <cellStyle name="Note 2 5 2 6_Summary" xfId="22539" xr:uid="{00000000-0005-0000-0000-0000DD340000}"/>
    <cellStyle name="Note 2 5 2 7" xfId="2098" xr:uid="{00000000-0005-0000-0000-0000DE340000}"/>
    <cellStyle name="Note 2 5 2 7 2" xfId="4234" xr:uid="{00000000-0005-0000-0000-0000DF340000}"/>
    <cellStyle name="Note 2 5 2 7 2 2" xfId="10830" xr:uid="{00000000-0005-0000-0000-0000E0340000}"/>
    <cellStyle name="Note 2 5 2 7 2 3" xfId="17449" xr:uid="{00000000-0005-0000-0000-0000E1340000}"/>
    <cellStyle name="Note 2 5 2 7 2_Summary" xfId="22543" xr:uid="{00000000-0005-0000-0000-0000E2340000}"/>
    <cellStyle name="Note 2 5 2 7 3" xfId="6269" xr:uid="{00000000-0005-0000-0000-0000E3340000}"/>
    <cellStyle name="Note 2 5 2 7 3 2" xfId="12865" xr:uid="{00000000-0005-0000-0000-0000E4340000}"/>
    <cellStyle name="Note 2 5 2 7 3 3" xfId="19484" xr:uid="{00000000-0005-0000-0000-0000E5340000}"/>
    <cellStyle name="Note 2 5 2 7 3_Summary" xfId="22544" xr:uid="{00000000-0005-0000-0000-0000E6340000}"/>
    <cellStyle name="Note 2 5 2 7 4" xfId="8694" xr:uid="{00000000-0005-0000-0000-0000E7340000}"/>
    <cellStyle name="Note 2 5 2 7 5" xfId="15313" xr:uid="{00000000-0005-0000-0000-0000E8340000}"/>
    <cellStyle name="Note 2 5 2 7_Summary" xfId="22542" xr:uid="{00000000-0005-0000-0000-0000E9340000}"/>
    <cellStyle name="Note 2 5 2 8" xfId="2371" xr:uid="{00000000-0005-0000-0000-0000EA340000}"/>
    <cellStyle name="Note 2 5 2 8 2" xfId="4507" xr:uid="{00000000-0005-0000-0000-0000EB340000}"/>
    <cellStyle name="Note 2 5 2 8 2 2" xfId="11103" xr:uid="{00000000-0005-0000-0000-0000EC340000}"/>
    <cellStyle name="Note 2 5 2 8 2 3" xfId="17722" xr:uid="{00000000-0005-0000-0000-0000ED340000}"/>
    <cellStyle name="Note 2 5 2 8 2_Summary" xfId="22546" xr:uid="{00000000-0005-0000-0000-0000EE340000}"/>
    <cellStyle name="Note 2 5 2 8 3" xfId="6542" xr:uid="{00000000-0005-0000-0000-0000EF340000}"/>
    <cellStyle name="Note 2 5 2 8 3 2" xfId="13138" xr:uid="{00000000-0005-0000-0000-0000F0340000}"/>
    <cellStyle name="Note 2 5 2 8 3 3" xfId="19757" xr:uid="{00000000-0005-0000-0000-0000F1340000}"/>
    <cellStyle name="Note 2 5 2 8 3_Summary" xfId="22547" xr:uid="{00000000-0005-0000-0000-0000F2340000}"/>
    <cellStyle name="Note 2 5 2 8 4" xfId="8967" xr:uid="{00000000-0005-0000-0000-0000F3340000}"/>
    <cellStyle name="Note 2 5 2 8 5" xfId="15586" xr:uid="{00000000-0005-0000-0000-0000F4340000}"/>
    <cellStyle name="Note 2 5 2 8_Summary" xfId="22545" xr:uid="{00000000-0005-0000-0000-0000F5340000}"/>
    <cellStyle name="Note 2 5 2 9" xfId="2672" xr:uid="{00000000-0005-0000-0000-0000F6340000}"/>
    <cellStyle name="Note 2 5 2 9 2" xfId="9268" xr:uid="{00000000-0005-0000-0000-0000F7340000}"/>
    <cellStyle name="Note 2 5 2 9 3" xfId="15887" xr:uid="{00000000-0005-0000-0000-0000F8340000}"/>
    <cellStyle name="Note 2 5 2 9_Summary" xfId="22548" xr:uid="{00000000-0005-0000-0000-0000F9340000}"/>
    <cellStyle name="Note 2 5 2_Summary" xfId="22505" xr:uid="{00000000-0005-0000-0000-0000FA340000}"/>
    <cellStyle name="Note 2 5 20" xfId="26682" xr:uid="{10F17CCE-BCE5-4C62-8F13-F020D564FB33}"/>
    <cellStyle name="Note 2 5 21" xfId="29465" xr:uid="{BB41B513-7325-4F0C-9B6C-CB5B989675D4}"/>
    <cellStyle name="Note 2 5 22" xfId="31035" xr:uid="{91383B2E-F5C0-44D9-87B5-F4DC122134A5}"/>
    <cellStyle name="Note 2 5 3" xfId="209" xr:uid="{00000000-0005-0000-0000-0000FB340000}"/>
    <cellStyle name="Note 2 5 3 10" xfId="746" xr:uid="{00000000-0005-0000-0000-0000FC340000}"/>
    <cellStyle name="Note 2 5 3 10 2" xfId="13961" xr:uid="{00000000-0005-0000-0000-0000FD340000}"/>
    <cellStyle name="Note 2 5 3 10_Summary" xfId="22550" xr:uid="{00000000-0005-0000-0000-0000FE340000}"/>
    <cellStyle name="Note 2 5 3 11" xfId="7116" xr:uid="{00000000-0005-0000-0000-0000FF340000}"/>
    <cellStyle name="Note 2 5 3 12" xfId="7019" xr:uid="{00000000-0005-0000-0000-000000350000}"/>
    <cellStyle name="Note 2 5 3 13" xfId="29467" xr:uid="{9C99FF47-5967-4DB5-9D1D-380DD5C88482}"/>
    <cellStyle name="Note 2 5 3 14" xfId="31037" xr:uid="{6A6241ED-205A-4A8A-BAD4-3E8ABC806C3B}"/>
    <cellStyle name="Note 2 5 3 2" xfId="914" xr:uid="{00000000-0005-0000-0000-000001350000}"/>
    <cellStyle name="Note 2 5 3 2 2" xfId="3050" xr:uid="{00000000-0005-0000-0000-000002350000}"/>
    <cellStyle name="Note 2 5 3 2 2 2" xfId="9646" xr:uid="{00000000-0005-0000-0000-000003350000}"/>
    <cellStyle name="Note 2 5 3 2 2 3" xfId="16265" xr:uid="{00000000-0005-0000-0000-000004350000}"/>
    <cellStyle name="Note 2 5 3 2 2_Summary" xfId="22552" xr:uid="{00000000-0005-0000-0000-000005350000}"/>
    <cellStyle name="Note 2 5 3 2 3" xfId="5085" xr:uid="{00000000-0005-0000-0000-000006350000}"/>
    <cellStyle name="Note 2 5 3 2 3 2" xfId="11681" xr:uid="{00000000-0005-0000-0000-000007350000}"/>
    <cellStyle name="Note 2 5 3 2 3 3" xfId="18300" xr:uid="{00000000-0005-0000-0000-000008350000}"/>
    <cellStyle name="Note 2 5 3 2 3_Summary" xfId="22553" xr:uid="{00000000-0005-0000-0000-000009350000}"/>
    <cellStyle name="Note 2 5 3 2 4" xfId="7511" xr:uid="{00000000-0005-0000-0000-00000A350000}"/>
    <cellStyle name="Note 2 5 3 2 5" xfId="14129" xr:uid="{00000000-0005-0000-0000-00000B350000}"/>
    <cellStyle name="Note 2 5 3 2 6" xfId="30322" xr:uid="{7DD5365B-18F5-45AE-B28F-1428D00B1EF1}"/>
    <cellStyle name="Note 2 5 3 2 7" xfId="31754" xr:uid="{11B9784F-8819-4792-8C67-9A90FB7AC133}"/>
    <cellStyle name="Note 2 5 3 2_Summary" xfId="22551" xr:uid="{00000000-0005-0000-0000-00000C350000}"/>
    <cellStyle name="Note 2 5 3 3" xfId="1199" xr:uid="{00000000-0005-0000-0000-00000D350000}"/>
    <cellStyle name="Note 2 5 3 3 2" xfId="3335" xr:uid="{00000000-0005-0000-0000-00000E350000}"/>
    <cellStyle name="Note 2 5 3 3 2 2" xfId="9931" xr:uid="{00000000-0005-0000-0000-00000F350000}"/>
    <cellStyle name="Note 2 5 3 3 2 3" xfId="16550" xr:uid="{00000000-0005-0000-0000-000010350000}"/>
    <cellStyle name="Note 2 5 3 3 2_Summary" xfId="22555" xr:uid="{00000000-0005-0000-0000-000011350000}"/>
    <cellStyle name="Note 2 5 3 3 3" xfId="5370" xr:uid="{00000000-0005-0000-0000-000012350000}"/>
    <cellStyle name="Note 2 5 3 3 3 2" xfId="11966" xr:uid="{00000000-0005-0000-0000-000013350000}"/>
    <cellStyle name="Note 2 5 3 3 3 3" xfId="18585" xr:uid="{00000000-0005-0000-0000-000014350000}"/>
    <cellStyle name="Note 2 5 3 3 3_Summary" xfId="22556" xr:uid="{00000000-0005-0000-0000-000015350000}"/>
    <cellStyle name="Note 2 5 3 3 4" xfId="7795" xr:uid="{00000000-0005-0000-0000-000016350000}"/>
    <cellStyle name="Note 2 5 3 3 5" xfId="14414" xr:uid="{00000000-0005-0000-0000-000017350000}"/>
    <cellStyle name="Note 2 5 3 3_Summary" xfId="22554" xr:uid="{00000000-0005-0000-0000-000018350000}"/>
    <cellStyle name="Note 2 5 3 4" xfId="1481" xr:uid="{00000000-0005-0000-0000-000019350000}"/>
    <cellStyle name="Note 2 5 3 4 2" xfId="3617" xr:uid="{00000000-0005-0000-0000-00001A350000}"/>
    <cellStyle name="Note 2 5 3 4 2 2" xfId="10213" xr:uid="{00000000-0005-0000-0000-00001B350000}"/>
    <cellStyle name="Note 2 5 3 4 2 3" xfId="16832" xr:uid="{00000000-0005-0000-0000-00001C350000}"/>
    <cellStyle name="Note 2 5 3 4 2_Summary" xfId="22558" xr:uid="{00000000-0005-0000-0000-00001D350000}"/>
    <cellStyle name="Note 2 5 3 4 3" xfId="5652" xr:uid="{00000000-0005-0000-0000-00001E350000}"/>
    <cellStyle name="Note 2 5 3 4 3 2" xfId="12248" xr:uid="{00000000-0005-0000-0000-00001F350000}"/>
    <cellStyle name="Note 2 5 3 4 3 3" xfId="18867" xr:uid="{00000000-0005-0000-0000-000020350000}"/>
    <cellStyle name="Note 2 5 3 4 3_Summary" xfId="22559" xr:uid="{00000000-0005-0000-0000-000021350000}"/>
    <cellStyle name="Note 2 5 3 4 4" xfId="8077" xr:uid="{00000000-0005-0000-0000-000022350000}"/>
    <cellStyle name="Note 2 5 3 4 5" xfId="14696" xr:uid="{00000000-0005-0000-0000-000023350000}"/>
    <cellStyle name="Note 2 5 3 4_Summary" xfId="22557" xr:uid="{00000000-0005-0000-0000-000024350000}"/>
    <cellStyle name="Note 2 5 3 5" xfId="1762" xr:uid="{00000000-0005-0000-0000-000025350000}"/>
    <cellStyle name="Note 2 5 3 5 2" xfId="3898" xr:uid="{00000000-0005-0000-0000-000026350000}"/>
    <cellStyle name="Note 2 5 3 5 2 2" xfId="10494" xr:uid="{00000000-0005-0000-0000-000027350000}"/>
    <cellStyle name="Note 2 5 3 5 2 3" xfId="17113" xr:uid="{00000000-0005-0000-0000-000028350000}"/>
    <cellStyle name="Note 2 5 3 5 2_Summary" xfId="22561" xr:uid="{00000000-0005-0000-0000-000029350000}"/>
    <cellStyle name="Note 2 5 3 5 3" xfId="5933" xr:uid="{00000000-0005-0000-0000-00002A350000}"/>
    <cellStyle name="Note 2 5 3 5 3 2" xfId="12529" xr:uid="{00000000-0005-0000-0000-00002B350000}"/>
    <cellStyle name="Note 2 5 3 5 3 3" xfId="19148" xr:uid="{00000000-0005-0000-0000-00002C350000}"/>
    <cellStyle name="Note 2 5 3 5 3_Summary" xfId="22562" xr:uid="{00000000-0005-0000-0000-00002D350000}"/>
    <cellStyle name="Note 2 5 3 5 4" xfId="8358" xr:uid="{00000000-0005-0000-0000-00002E350000}"/>
    <cellStyle name="Note 2 5 3 5 5" xfId="14977" xr:uid="{00000000-0005-0000-0000-00002F350000}"/>
    <cellStyle name="Note 2 5 3 5_Summary" xfId="22560" xr:uid="{00000000-0005-0000-0000-000030350000}"/>
    <cellStyle name="Note 2 5 3 6" xfId="2041" xr:uid="{00000000-0005-0000-0000-000031350000}"/>
    <cellStyle name="Note 2 5 3 6 2" xfId="4177" xr:uid="{00000000-0005-0000-0000-000032350000}"/>
    <cellStyle name="Note 2 5 3 6 2 2" xfId="10773" xr:uid="{00000000-0005-0000-0000-000033350000}"/>
    <cellStyle name="Note 2 5 3 6 2 3" xfId="17392" xr:uid="{00000000-0005-0000-0000-000034350000}"/>
    <cellStyle name="Note 2 5 3 6 2_Summary" xfId="22564" xr:uid="{00000000-0005-0000-0000-000035350000}"/>
    <cellStyle name="Note 2 5 3 6 3" xfId="6212" xr:uid="{00000000-0005-0000-0000-000036350000}"/>
    <cellStyle name="Note 2 5 3 6 3 2" xfId="12808" xr:uid="{00000000-0005-0000-0000-000037350000}"/>
    <cellStyle name="Note 2 5 3 6 3 3" xfId="19427" xr:uid="{00000000-0005-0000-0000-000038350000}"/>
    <cellStyle name="Note 2 5 3 6 3_Summary" xfId="22565" xr:uid="{00000000-0005-0000-0000-000039350000}"/>
    <cellStyle name="Note 2 5 3 6 4" xfId="8637" xr:uid="{00000000-0005-0000-0000-00003A350000}"/>
    <cellStyle name="Note 2 5 3 6 5" xfId="15256" xr:uid="{00000000-0005-0000-0000-00003B350000}"/>
    <cellStyle name="Note 2 5 3 6_Summary" xfId="22563" xr:uid="{00000000-0005-0000-0000-00003C350000}"/>
    <cellStyle name="Note 2 5 3 7" xfId="2316" xr:uid="{00000000-0005-0000-0000-00003D350000}"/>
    <cellStyle name="Note 2 5 3 7 2" xfId="4452" xr:uid="{00000000-0005-0000-0000-00003E350000}"/>
    <cellStyle name="Note 2 5 3 7 2 2" xfId="11048" xr:uid="{00000000-0005-0000-0000-00003F350000}"/>
    <cellStyle name="Note 2 5 3 7 2 3" xfId="17667" xr:uid="{00000000-0005-0000-0000-000040350000}"/>
    <cellStyle name="Note 2 5 3 7 2_Summary" xfId="22567" xr:uid="{00000000-0005-0000-0000-000041350000}"/>
    <cellStyle name="Note 2 5 3 7 3" xfId="6487" xr:uid="{00000000-0005-0000-0000-000042350000}"/>
    <cellStyle name="Note 2 5 3 7 3 2" xfId="13083" xr:uid="{00000000-0005-0000-0000-000043350000}"/>
    <cellStyle name="Note 2 5 3 7 3 3" xfId="19702" xr:uid="{00000000-0005-0000-0000-000044350000}"/>
    <cellStyle name="Note 2 5 3 7 3_Summary" xfId="22568" xr:uid="{00000000-0005-0000-0000-000045350000}"/>
    <cellStyle name="Note 2 5 3 7 4" xfId="8912" xr:uid="{00000000-0005-0000-0000-000046350000}"/>
    <cellStyle name="Note 2 5 3 7 5" xfId="15531" xr:uid="{00000000-0005-0000-0000-000047350000}"/>
    <cellStyle name="Note 2 5 3 7_Summary" xfId="22566" xr:uid="{00000000-0005-0000-0000-000048350000}"/>
    <cellStyle name="Note 2 5 3 8" xfId="2882" xr:uid="{00000000-0005-0000-0000-000049350000}"/>
    <cellStyle name="Note 2 5 3 8 2" xfId="9478" xr:uid="{00000000-0005-0000-0000-00004A350000}"/>
    <cellStyle name="Note 2 5 3 8 3" xfId="16097" xr:uid="{00000000-0005-0000-0000-00004B350000}"/>
    <cellStyle name="Note 2 5 3 8_Summary" xfId="22569" xr:uid="{00000000-0005-0000-0000-00004C350000}"/>
    <cellStyle name="Note 2 5 3 9" xfId="4917" xr:uid="{00000000-0005-0000-0000-00004D350000}"/>
    <cellStyle name="Note 2 5 3 9 2" xfId="11513" xr:uid="{00000000-0005-0000-0000-00004E350000}"/>
    <cellStyle name="Note 2 5 3 9 3" xfId="18132" xr:uid="{00000000-0005-0000-0000-00004F350000}"/>
    <cellStyle name="Note 2 5 3 9_Summary" xfId="22570" xr:uid="{00000000-0005-0000-0000-000050350000}"/>
    <cellStyle name="Note 2 5 3_Summary" xfId="22549" xr:uid="{00000000-0005-0000-0000-000051350000}"/>
    <cellStyle name="Note 2 5 4" xfId="354" xr:uid="{00000000-0005-0000-0000-000052350000}"/>
    <cellStyle name="Note 2 5 4 10" xfId="681" xr:uid="{00000000-0005-0000-0000-000053350000}"/>
    <cellStyle name="Note 2 5 4 10 2" xfId="13896" xr:uid="{00000000-0005-0000-0000-000054350000}"/>
    <cellStyle name="Note 2 5 4 10_Summary" xfId="22572" xr:uid="{00000000-0005-0000-0000-000055350000}"/>
    <cellStyle name="Note 2 5 4 11" xfId="7247" xr:uid="{00000000-0005-0000-0000-000056350000}"/>
    <cellStyle name="Note 2 5 4 12" xfId="13569" xr:uid="{00000000-0005-0000-0000-000057350000}"/>
    <cellStyle name="Note 2 5 4 13" xfId="30320" xr:uid="{1AE5200D-8A51-4DD1-BEDF-46BFFB116D91}"/>
    <cellStyle name="Note 2 5 4 14" xfId="31752" xr:uid="{70714377-65F1-48C8-BD2F-80990B3F3A8B}"/>
    <cellStyle name="Note 2 5 4 2" xfId="1048" xr:uid="{00000000-0005-0000-0000-000058350000}"/>
    <cellStyle name="Note 2 5 4 2 2" xfId="3184" xr:uid="{00000000-0005-0000-0000-000059350000}"/>
    <cellStyle name="Note 2 5 4 2 2 2" xfId="9780" xr:uid="{00000000-0005-0000-0000-00005A350000}"/>
    <cellStyle name="Note 2 5 4 2 2 3" xfId="16399" xr:uid="{00000000-0005-0000-0000-00005B350000}"/>
    <cellStyle name="Note 2 5 4 2 2_Summary" xfId="22574" xr:uid="{00000000-0005-0000-0000-00005C350000}"/>
    <cellStyle name="Note 2 5 4 2 3" xfId="5219" xr:uid="{00000000-0005-0000-0000-00005D350000}"/>
    <cellStyle name="Note 2 5 4 2 3 2" xfId="11815" xr:uid="{00000000-0005-0000-0000-00005E350000}"/>
    <cellStyle name="Note 2 5 4 2 3 3" xfId="18434" xr:uid="{00000000-0005-0000-0000-00005F350000}"/>
    <cellStyle name="Note 2 5 4 2 3_Summary" xfId="22575" xr:uid="{00000000-0005-0000-0000-000060350000}"/>
    <cellStyle name="Note 2 5 4 2 4" xfId="7645" xr:uid="{00000000-0005-0000-0000-000061350000}"/>
    <cellStyle name="Note 2 5 4 2 5" xfId="14263" xr:uid="{00000000-0005-0000-0000-000062350000}"/>
    <cellStyle name="Note 2 5 4 2_Summary" xfId="22573" xr:uid="{00000000-0005-0000-0000-000063350000}"/>
    <cellStyle name="Note 2 5 4 3" xfId="1330" xr:uid="{00000000-0005-0000-0000-000064350000}"/>
    <cellStyle name="Note 2 5 4 3 2" xfId="3466" xr:uid="{00000000-0005-0000-0000-000065350000}"/>
    <cellStyle name="Note 2 5 4 3 2 2" xfId="10062" xr:uid="{00000000-0005-0000-0000-000066350000}"/>
    <cellStyle name="Note 2 5 4 3 2 3" xfId="16681" xr:uid="{00000000-0005-0000-0000-000067350000}"/>
    <cellStyle name="Note 2 5 4 3 2_Summary" xfId="22577" xr:uid="{00000000-0005-0000-0000-000068350000}"/>
    <cellStyle name="Note 2 5 4 3 3" xfId="5501" xr:uid="{00000000-0005-0000-0000-000069350000}"/>
    <cellStyle name="Note 2 5 4 3 3 2" xfId="12097" xr:uid="{00000000-0005-0000-0000-00006A350000}"/>
    <cellStyle name="Note 2 5 4 3 3 3" xfId="18716" xr:uid="{00000000-0005-0000-0000-00006B350000}"/>
    <cellStyle name="Note 2 5 4 3 3_Summary" xfId="22578" xr:uid="{00000000-0005-0000-0000-00006C350000}"/>
    <cellStyle name="Note 2 5 4 3 4" xfId="7926" xr:uid="{00000000-0005-0000-0000-00006D350000}"/>
    <cellStyle name="Note 2 5 4 3 5" xfId="14545" xr:uid="{00000000-0005-0000-0000-00006E350000}"/>
    <cellStyle name="Note 2 5 4 3_Summary" xfId="22576" xr:uid="{00000000-0005-0000-0000-00006F350000}"/>
    <cellStyle name="Note 2 5 4 4" xfId="1611" xr:uid="{00000000-0005-0000-0000-000070350000}"/>
    <cellStyle name="Note 2 5 4 4 2" xfId="3747" xr:uid="{00000000-0005-0000-0000-000071350000}"/>
    <cellStyle name="Note 2 5 4 4 2 2" xfId="10343" xr:uid="{00000000-0005-0000-0000-000072350000}"/>
    <cellStyle name="Note 2 5 4 4 2 3" xfId="16962" xr:uid="{00000000-0005-0000-0000-000073350000}"/>
    <cellStyle name="Note 2 5 4 4 2_Summary" xfId="22580" xr:uid="{00000000-0005-0000-0000-000074350000}"/>
    <cellStyle name="Note 2 5 4 4 3" xfId="5782" xr:uid="{00000000-0005-0000-0000-000075350000}"/>
    <cellStyle name="Note 2 5 4 4 3 2" xfId="12378" xr:uid="{00000000-0005-0000-0000-000076350000}"/>
    <cellStyle name="Note 2 5 4 4 3 3" xfId="18997" xr:uid="{00000000-0005-0000-0000-000077350000}"/>
    <cellStyle name="Note 2 5 4 4 3_Summary" xfId="22581" xr:uid="{00000000-0005-0000-0000-000078350000}"/>
    <cellStyle name="Note 2 5 4 4 4" xfId="8207" xr:uid="{00000000-0005-0000-0000-000079350000}"/>
    <cellStyle name="Note 2 5 4 4 5" xfId="14826" xr:uid="{00000000-0005-0000-0000-00007A350000}"/>
    <cellStyle name="Note 2 5 4 4_Summary" xfId="22579" xr:uid="{00000000-0005-0000-0000-00007B350000}"/>
    <cellStyle name="Note 2 5 4 5" xfId="1890" xr:uid="{00000000-0005-0000-0000-00007C350000}"/>
    <cellStyle name="Note 2 5 4 5 2" xfId="4026" xr:uid="{00000000-0005-0000-0000-00007D350000}"/>
    <cellStyle name="Note 2 5 4 5 2 2" xfId="10622" xr:uid="{00000000-0005-0000-0000-00007E350000}"/>
    <cellStyle name="Note 2 5 4 5 2 3" xfId="17241" xr:uid="{00000000-0005-0000-0000-00007F350000}"/>
    <cellStyle name="Note 2 5 4 5 2_Summary" xfId="22583" xr:uid="{00000000-0005-0000-0000-000080350000}"/>
    <cellStyle name="Note 2 5 4 5 3" xfId="6061" xr:uid="{00000000-0005-0000-0000-000081350000}"/>
    <cellStyle name="Note 2 5 4 5 3 2" xfId="12657" xr:uid="{00000000-0005-0000-0000-000082350000}"/>
    <cellStyle name="Note 2 5 4 5 3 3" xfId="19276" xr:uid="{00000000-0005-0000-0000-000083350000}"/>
    <cellStyle name="Note 2 5 4 5 3_Summary" xfId="22584" xr:uid="{00000000-0005-0000-0000-000084350000}"/>
    <cellStyle name="Note 2 5 4 5 4" xfId="8486" xr:uid="{00000000-0005-0000-0000-000085350000}"/>
    <cellStyle name="Note 2 5 4 5 5" xfId="15105" xr:uid="{00000000-0005-0000-0000-000086350000}"/>
    <cellStyle name="Note 2 5 4 5_Summary" xfId="22582" xr:uid="{00000000-0005-0000-0000-000087350000}"/>
    <cellStyle name="Note 2 5 4 6" xfId="2165" xr:uid="{00000000-0005-0000-0000-000088350000}"/>
    <cellStyle name="Note 2 5 4 6 2" xfId="4301" xr:uid="{00000000-0005-0000-0000-000089350000}"/>
    <cellStyle name="Note 2 5 4 6 2 2" xfId="10897" xr:uid="{00000000-0005-0000-0000-00008A350000}"/>
    <cellStyle name="Note 2 5 4 6 2 3" xfId="17516" xr:uid="{00000000-0005-0000-0000-00008B350000}"/>
    <cellStyle name="Note 2 5 4 6 2_Summary" xfId="22586" xr:uid="{00000000-0005-0000-0000-00008C350000}"/>
    <cellStyle name="Note 2 5 4 6 3" xfId="6336" xr:uid="{00000000-0005-0000-0000-00008D350000}"/>
    <cellStyle name="Note 2 5 4 6 3 2" xfId="12932" xr:uid="{00000000-0005-0000-0000-00008E350000}"/>
    <cellStyle name="Note 2 5 4 6 3 3" xfId="19551" xr:uid="{00000000-0005-0000-0000-00008F350000}"/>
    <cellStyle name="Note 2 5 4 6 3_Summary" xfId="22587" xr:uid="{00000000-0005-0000-0000-000090350000}"/>
    <cellStyle name="Note 2 5 4 6 4" xfId="8761" xr:uid="{00000000-0005-0000-0000-000091350000}"/>
    <cellStyle name="Note 2 5 4 6 5" xfId="15380" xr:uid="{00000000-0005-0000-0000-000092350000}"/>
    <cellStyle name="Note 2 5 4 6_Summary" xfId="22585" xr:uid="{00000000-0005-0000-0000-000093350000}"/>
    <cellStyle name="Note 2 5 4 7" xfId="2438" xr:uid="{00000000-0005-0000-0000-000094350000}"/>
    <cellStyle name="Note 2 5 4 7 2" xfId="4574" xr:uid="{00000000-0005-0000-0000-000095350000}"/>
    <cellStyle name="Note 2 5 4 7 2 2" xfId="11170" xr:uid="{00000000-0005-0000-0000-000096350000}"/>
    <cellStyle name="Note 2 5 4 7 2 3" xfId="17789" xr:uid="{00000000-0005-0000-0000-000097350000}"/>
    <cellStyle name="Note 2 5 4 7 2_Summary" xfId="22589" xr:uid="{00000000-0005-0000-0000-000098350000}"/>
    <cellStyle name="Note 2 5 4 7 3" xfId="6609" xr:uid="{00000000-0005-0000-0000-000099350000}"/>
    <cellStyle name="Note 2 5 4 7 3 2" xfId="13205" xr:uid="{00000000-0005-0000-0000-00009A350000}"/>
    <cellStyle name="Note 2 5 4 7 3 3" xfId="19824" xr:uid="{00000000-0005-0000-0000-00009B350000}"/>
    <cellStyle name="Note 2 5 4 7 3_Summary" xfId="22590" xr:uid="{00000000-0005-0000-0000-00009C350000}"/>
    <cellStyle name="Note 2 5 4 7 4" xfId="9034" xr:uid="{00000000-0005-0000-0000-00009D350000}"/>
    <cellStyle name="Note 2 5 4 7 5" xfId="15653" xr:uid="{00000000-0005-0000-0000-00009E350000}"/>
    <cellStyle name="Note 2 5 4 7_Summary" xfId="22588" xr:uid="{00000000-0005-0000-0000-00009F350000}"/>
    <cellStyle name="Note 2 5 4 8" xfId="2817" xr:uid="{00000000-0005-0000-0000-0000A0350000}"/>
    <cellStyle name="Note 2 5 4 8 2" xfId="9413" xr:uid="{00000000-0005-0000-0000-0000A1350000}"/>
    <cellStyle name="Note 2 5 4 8 3" xfId="16032" xr:uid="{00000000-0005-0000-0000-0000A2350000}"/>
    <cellStyle name="Note 2 5 4 8_Summary" xfId="22591" xr:uid="{00000000-0005-0000-0000-0000A3350000}"/>
    <cellStyle name="Note 2 5 4 9" xfId="4852" xr:uid="{00000000-0005-0000-0000-0000A4350000}"/>
    <cellStyle name="Note 2 5 4 9 2" xfId="11448" xr:uid="{00000000-0005-0000-0000-0000A5350000}"/>
    <cellStyle name="Note 2 5 4 9 3" xfId="18067" xr:uid="{00000000-0005-0000-0000-0000A6350000}"/>
    <cellStyle name="Note 2 5 4 9_Summary" xfId="22592" xr:uid="{00000000-0005-0000-0000-0000A7350000}"/>
    <cellStyle name="Note 2 5 4_Summary" xfId="22571" xr:uid="{00000000-0005-0000-0000-0000A8350000}"/>
    <cellStyle name="Note 2 5 5" xfId="695" xr:uid="{00000000-0005-0000-0000-0000A9350000}"/>
    <cellStyle name="Note 2 5 5 2" xfId="2831" xr:uid="{00000000-0005-0000-0000-0000AA350000}"/>
    <cellStyle name="Note 2 5 5 2 2" xfId="9427" xr:uid="{00000000-0005-0000-0000-0000AB350000}"/>
    <cellStyle name="Note 2 5 5 2 3" xfId="16046" xr:uid="{00000000-0005-0000-0000-0000AC350000}"/>
    <cellStyle name="Note 2 5 5 2_Summary" xfId="22594" xr:uid="{00000000-0005-0000-0000-0000AD350000}"/>
    <cellStyle name="Note 2 5 5 3" xfId="4866" xr:uid="{00000000-0005-0000-0000-0000AE350000}"/>
    <cellStyle name="Note 2 5 5 3 2" xfId="11462" xr:uid="{00000000-0005-0000-0000-0000AF350000}"/>
    <cellStyle name="Note 2 5 5 3 3" xfId="18081" xr:uid="{00000000-0005-0000-0000-0000B0350000}"/>
    <cellStyle name="Note 2 5 5 3_Summary" xfId="22595" xr:uid="{00000000-0005-0000-0000-0000B1350000}"/>
    <cellStyle name="Note 2 5 5 4" xfId="7445" xr:uid="{00000000-0005-0000-0000-0000B2350000}"/>
    <cellStyle name="Note 2 5 5 5" xfId="13910" xr:uid="{00000000-0005-0000-0000-0000B3350000}"/>
    <cellStyle name="Note 2 5 5_Summary" xfId="22593" xr:uid="{00000000-0005-0000-0000-0000B4350000}"/>
    <cellStyle name="Note 2 5 6" xfId="868" xr:uid="{00000000-0005-0000-0000-0000B5350000}"/>
    <cellStyle name="Note 2 5 6 2" xfId="3004" xr:uid="{00000000-0005-0000-0000-0000B6350000}"/>
    <cellStyle name="Note 2 5 6 2 2" xfId="9600" xr:uid="{00000000-0005-0000-0000-0000B7350000}"/>
    <cellStyle name="Note 2 5 6 2 3" xfId="16219" xr:uid="{00000000-0005-0000-0000-0000B8350000}"/>
    <cellStyle name="Note 2 5 6 2_Summary" xfId="22597" xr:uid="{00000000-0005-0000-0000-0000B9350000}"/>
    <cellStyle name="Note 2 5 6 3" xfId="5039" xr:uid="{00000000-0005-0000-0000-0000BA350000}"/>
    <cellStyle name="Note 2 5 6 3 2" xfId="11635" xr:uid="{00000000-0005-0000-0000-0000BB350000}"/>
    <cellStyle name="Note 2 5 6 3 3" xfId="18254" xr:uid="{00000000-0005-0000-0000-0000BC350000}"/>
    <cellStyle name="Note 2 5 6 3_Summary" xfId="22598" xr:uid="{00000000-0005-0000-0000-0000BD350000}"/>
    <cellStyle name="Note 2 5 6 4" xfId="7465" xr:uid="{00000000-0005-0000-0000-0000BE350000}"/>
    <cellStyle name="Note 2 5 6 5" xfId="14083" xr:uid="{00000000-0005-0000-0000-0000BF350000}"/>
    <cellStyle name="Note 2 5 6_Summary" xfId="22596" xr:uid="{00000000-0005-0000-0000-0000C0350000}"/>
    <cellStyle name="Note 2 5 7" xfId="638" xr:uid="{00000000-0005-0000-0000-0000C1350000}"/>
    <cellStyle name="Note 2 5 7 2" xfId="2774" xr:uid="{00000000-0005-0000-0000-0000C2350000}"/>
    <cellStyle name="Note 2 5 7 2 2" xfId="9370" xr:uid="{00000000-0005-0000-0000-0000C3350000}"/>
    <cellStyle name="Note 2 5 7 2 3" xfId="15989" xr:uid="{00000000-0005-0000-0000-0000C4350000}"/>
    <cellStyle name="Note 2 5 7 2_Summary" xfId="22600" xr:uid="{00000000-0005-0000-0000-0000C5350000}"/>
    <cellStyle name="Note 2 5 7 3" xfId="4809" xr:uid="{00000000-0005-0000-0000-0000C6350000}"/>
    <cellStyle name="Note 2 5 7 3 2" xfId="11405" xr:uid="{00000000-0005-0000-0000-0000C7350000}"/>
    <cellStyle name="Note 2 5 7 3 3" xfId="18024" xr:uid="{00000000-0005-0000-0000-0000C8350000}"/>
    <cellStyle name="Note 2 5 7 3_Summary" xfId="22601" xr:uid="{00000000-0005-0000-0000-0000C9350000}"/>
    <cellStyle name="Note 2 5 7 4" xfId="7410" xr:uid="{00000000-0005-0000-0000-0000CA350000}"/>
    <cellStyle name="Note 2 5 7 5" xfId="13853" xr:uid="{00000000-0005-0000-0000-0000CB350000}"/>
    <cellStyle name="Note 2 5 7_Summary" xfId="22599" xr:uid="{00000000-0005-0000-0000-0000CC350000}"/>
    <cellStyle name="Note 2 5 8" xfId="615" xr:uid="{00000000-0005-0000-0000-0000CD350000}"/>
    <cellStyle name="Note 2 5 8 2" xfId="2751" xr:uid="{00000000-0005-0000-0000-0000CE350000}"/>
    <cellStyle name="Note 2 5 8 2 2" xfId="9347" xr:uid="{00000000-0005-0000-0000-0000CF350000}"/>
    <cellStyle name="Note 2 5 8 2 3" xfId="15966" xr:uid="{00000000-0005-0000-0000-0000D0350000}"/>
    <cellStyle name="Note 2 5 8 2_Summary" xfId="22603" xr:uid="{00000000-0005-0000-0000-0000D1350000}"/>
    <cellStyle name="Note 2 5 8 3" xfId="4786" xr:uid="{00000000-0005-0000-0000-0000D2350000}"/>
    <cellStyle name="Note 2 5 8 3 2" xfId="11382" xr:uid="{00000000-0005-0000-0000-0000D3350000}"/>
    <cellStyle name="Note 2 5 8 3 3" xfId="18001" xr:uid="{00000000-0005-0000-0000-0000D4350000}"/>
    <cellStyle name="Note 2 5 8 3_Summary" xfId="22604" xr:uid="{00000000-0005-0000-0000-0000D5350000}"/>
    <cellStyle name="Note 2 5 8 4" xfId="7387" xr:uid="{00000000-0005-0000-0000-0000D6350000}"/>
    <cellStyle name="Note 2 5 8 5" xfId="13830" xr:uid="{00000000-0005-0000-0000-0000D7350000}"/>
    <cellStyle name="Note 2 5 8_Summary" xfId="22602" xr:uid="{00000000-0005-0000-0000-0000D8350000}"/>
    <cellStyle name="Note 2 5 9" xfId="594" xr:uid="{00000000-0005-0000-0000-0000D9350000}"/>
    <cellStyle name="Note 2 5 9 2" xfId="2730" xr:uid="{00000000-0005-0000-0000-0000DA350000}"/>
    <cellStyle name="Note 2 5 9 2 2" xfId="9326" xr:uid="{00000000-0005-0000-0000-0000DB350000}"/>
    <cellStyle name="Note 2 5 9 2 3" xfId="15945" xr:uid="{00000000-0005-0000-0000-0000DC350000}"/>
    <cellStyle name="Note 2 5 9 2_Summary" xfId="22606" xr:uid="{00000000-0005-0000-0000-0000DD350000}"/>
    <cellStyle name="Note 2 5 9 3" xfId="4765" xr:uid="{00000000-0005-0000-0000-0000DE350000}"/>
    <cellStyle name="Note 2 5 9 3 2" xfId="11361" xr:uid="{00000000-0005-0000-0000-0000DF350000}"/>
    <cellStyle name="Note 2 5 9 3 3" xfId="17980" xr:uid="{00000000-0005-0000-0000-0000E0350000}"/>
    <cellStyle name="Note 2 5 9 3_Summary" xfId="22607" xr:uid="{00000000-0005-0000-0000-0000E1350000}"/>
    <cellStyle name="Note 2 5 9 4" xfId="7366" xr:uid="{00000000-0005-0000-0000-0000E2350000}"/>
    <cellStyle name="Note 2 5 9 5" xfId="13809" xr:uid="{00000000-0005-0000-0000-0000E3350000}"/>
    <cellStyle name="Note 2 5 9_Summary" xfId="22605" xr:uid="{00000000-0005-0000-0000-0000E4350000}"/>
    <cellStyle name="Note 2 5_Summary" xfId="22498" xr:uid="{00000000-0005-0000-0000-0000E5350000}"/>
    <cellStyle name="Note 2 50" xfId="6902" xr:uid="{00000000-0005-0000-0000-0000E6350000}"/>
    <cellStyle name="Note 2 50 2" xfId="13422" xr:uid="{00000000-0005-0000-0000-0000E7350000}"/>
    <cellStyle name="Note 2 50 3" xfId="20029" xr:uid="{00000000-0005-0000-0000-0000E8350000}"/>
    <cellStyle name="Note 2 50_Summary" xfId="22608" xr:uid="{00000000-0005-0000-0000-0000E9350000}"/>
    <cellStyle name="Note 2 51" xfId="7038" xr:uid="{00000000-0005-0000-0000-0000EA350000}"/>
    <cellStyle name="Note 2 52" xfId="13404" xr:uid="{00000000-0005-0000-0000-0000EB350000}"/>
    <cellStyle name="Note 2 53" xfId="25588" xr:uid="{00000000-0005-0000-0000-000062000000}"/>
    <cellStyle name="Note 2 54" xfId="25586" xr:uid="{00000000-0005-0000-0000-000062000000}"/>
    <cellStyle name="Note 2 55" xfId="25691" xr:uid="{00000000-0005-0000-0000-000062000000}"/>
    <cellStyle name="Note 2 56" xfId="25695" xr:uid="{00000000-0005-0000-0000-000062000000}"/>
    <cellStyle name="Note 2 57" xfId="25710" xr:uid="{00000000-0005-0000-0000-000062000000}"/>
    <cellStyle name="Note 2 58" xfId="25721" xr:uid="{00000000-0005-0000-0000-000062000000}"/>
    <cellStyle name="Note 2 59" xfId="25791" xr:uid="{D5758F44-1AAE-4BFD-9E22-98A2800D455F}"/>
    <cellStyle name="Note 2 6" xfId="180" xr:uid="{00000000-0005-0000-0000-0000EC350000}"/>
    <cellStyle name="Note 2 6 10" xfId="2289" xr:uid="{00000000-0005-0000-0000-0000ED350000}"/>
    <cellStyle name="Note 2 6 10 2" xfId="4425" xr:uid="{00000000-0005-0000-0000-0000EE350000}"/>
    <cellStyle name="Note 2 6 10 2 2" xfId="11021" xr:uid="{00000000-0005-0000-0000-0000EF350000}"/>
    <cellStyle name="Note 2 6 10 2 3" xfId="17640" xr:uid="{00000000-0005-0000-0000-0000F0350000}"/>
    <cellStyle name="Note 2 6 10 2_Summary" xfId="22611" xr:uid="{00000000-0005-0000-0000-0000F1350000}"/>
    <cellStyle name="Note 2 6 10 3" xfId="6460" xr:uid="{00000000-0005-0000-0000-0000F2350000}"/>
    <cellStyle name="Note 2 6 10 3 2" xfId="13056" xr:uid="{00000000-0005-0000-0000-0000F3350000}"/>
    <cellStyle name="Note 2 6 10 3 3" xfId="19675" xr:uid="{00000000-0005-0000-0000-0000F4350000}"/>
    <cellStyle name="Note 2 6 10 3_Summary" xfId="22612" xr:uid="{00000000-0005-0000-0000-0000F5350000}"/>
    <cellStyle name="Note 2 6 10 4" xfId="8885" xr:uid="{00000000-0005-0000-0000-0000F6350000}"/>
    <cellStyle name="Note 2 6 10 5" xfId="15504" xr:uid="{00000000-0005-0000-0000-0000F7350000}"/>
    <cellStyle name="Note 2 6 10_Summary" xfId="22610" xr:uid="{00000000-0005-0000-0000-0000F8350000}"/>
    <cellStyle name="Note 2 6 11" xfId="2608" xr:uid="{00000000-0005-0000-0000-0000F9350000}"/>
    <cellStyle name="Note 2 6 11 2" xfId="9204" xr:uid="{00000000-0005-0000-0000-0000FA350000}"/>
    <cellStyle name="Note 2 6 11 3" xfId="15823" xr:uid="{00000000-0005-0000-0000-0000FB350000}"/>
    <cellStyle name="Note 2 6 11_Summary" xfId="22613" xr:uid="{00000000-0005-0000-0000-0000FC350000}"/>
    <cellStyle name="Note 2 6 12" xfId="2639" xr:uid="{00000000-0005-0000-0000-0000FD350000}"/>
    <cellStyle name="Note 2 6 12 2" xfId="9235" xr:uid="{00000000-0005-0000-0000-0000FE350000}"/>
    <cellStyle name="Note 2 6 12 3" xfId="15854" xr:uid="{00000000-0005-0000-0000-0000FF350000}"/>
    <cellStyle name="Note 2 6 12_Summary" xfId="22614" xr:uid="{00000000-0005-0000-0000-000000360000}"/>
    <cellStyle name="Note 2 6 13" xfId="497" xr:uid="{00000000-0005-0000-0000-000001360000}"/>
    <cellStyle name="Note 2 6 13 2" xfId="13712" xr:uid="{00000000-0005-0000-0000-000002360000}"/>
    <cellStyle name="Note 2 6 13_Summary" xfId="22615" xr:uid="{00000000-0005-0000-0000-000003360000}"/>
    <cellStyle name="Note 2 6 14" xfId="7088" xr:uid="{00000000-0005-0000-0000-000004360000}"/>
    <cellStyle name="Note 2 6 15" xfId="6970" xr:uid="{00000000-0005-0000-0000-000005360000}"/>
    <cellStyle name="Note 2 6 16" xfId="26367" xr:uid="{802F1048-5ED6-48AB-94FE-13846EA07C9D}"/>
    <cellStyle name="Note 2 6 17" xfId="26768" xr:uid="{985CC341-2CEF-4423-A266-EAFF2855A7E3}"/>
    <cellStyle name="Note 2 6 18" xfId="26977" xr:uid="{D2A1F651-0544-4A09-8CCB-D37A60C4F576}"/>
    <cellStyle name="Note 2 6 19" xfId="26626" xr:uid="{FF5421F4-B069-424B-AA36-45B1DD34D60B}"/>
    <cellStyle name="Note 2 6 2" xfId="312" xr:uid="{00000000-0005-0000-0000-000006360000}"/>
    <cellStyle name="Note 2 6 2 10" xfId="4733" xr:uid="{00000000-0005-0000-0000-000007360000}"/>
    <cellStyle name="Note 2 6 2 10 2" xfId="11329" xr:uid="{00000000-0005-0000-0000-000008360000}"/>
    <cellStyle name="Note 2 6 2 10 3" xfId="17948" xr:uid="{00000000-0005-0000-0000-000009360000}"/>
    <cellStyle name="Note 2 6 2 10_Summary" xfId="22617" xr:uid="{00000000-0005-0000-0000-00000A360000}"/>
    <cellStyle name="Note 2 6 2 11" xfId="562" xr:uid="{00000000-0005-0000-0000-00000B360000}"/>
    <cellStyle name="Note 2 6 2 11 2" xfId="13777" xr:uid="{00000000-0005-0000-0000-00000C360000}"/>
    <cellStyle name="Note 2 6 2 11_Summary" xfId="22618" xr:uid="{00000000-0005-0000-0000-00000D360000}"/>
    <cellStyle name="Note 2 6 2 12" xfId="7206" xr:uid="{00000000-0005-0000-0000-00000E360000}"/>
    <cellStyle name="Note 2 6 2 13" xfId="13528" xr:uid="{00000000-0005-0000-0000-00000F360000}"/>
    <cellStyle name="Note 2 6 2 14" xfId="26350" xr:uid="{A69A07C2-D624-4311-AEEE-9BFF82C25CCE}"/>
    <cellStyle name="Note 2 6 2 15" xfId="26755" xr:uid="{D66AE628-5FCB-4653-9089-673D6517DAE1}"/>
    <cellStyle name="Note 2 6 2 16" xfId="26968" xr:uid="{ACCC1EE7-AA3C-4184-B305-83BFCB395050}"/>
    <cellStyle name="Note 2 6 2 17" xfId="26565" xr:uid="{BCC1DB5E-11BA-4E4A-87F3-836F0E76F425}"/>
    <cellStyle name="Note 2 6 2 18" xfId="25868" xr:uid="{E9EE3C39-C563-47BD-89AE-F7585EA68881}"/>
    <cellStyle name="Note 2 6 2 19" xfId="29469" xr:uid="{13ABF93F-156E-45B6-96DC-F250EE974116}"/>
    <cellStyle name="Note 2 6 2 2" xfId="441" xr:uid="{00000000-0005-0000-0000-000010360000}"/>
    <cellStyle name="Note 2 6 2 2 10" xfId="835" xr:uid="{00000000-0005-0000-0000-000011360000}"/>
    <cellStyle name="Note 2 6 2 2 10 2" xfId="14050" xr:uid="{00000000-0005-0000-0000-000012360000}"/>
    <cellStyle name="Note 2 6 2 2 10_Summary" xfId="22620" xr:uid="{00000000-0005-0000-0000-000013360000}"/>
    <cellStyle name="Note 2 6 2 2 11" xfId="7334" xr:uid="{00000000-0005-0000-0000-000014360000}"/>
    <cellStyle name="Note 2 6 2 2 12" xfId="13656" xr:uid="{00000000-0005-0000-0000-000015360000}"/>
    <cellStyle name="Note 2 6 2 2 13" xfId="30324" xr:uid="{2FB9B2BB-B2FD-44CD-B30E-8F83C9205D0C}"/>
    <cellStyle name="Note 2 6 2 2 14" xfId="31756" xr:uid="{DD06214C-F512-4C1C-8233-663F50565058}"/>
    <cellStyle name="Note 2 6 2 2 2" xfId="1135" xr:uid="{00000000-0005-0000-0000-000016360000}"/>
    <cellStyle name="Note 2 6 2 2 2 2" xfId="3271" xr:uid="{00000000-0005-0000-0000-000017360000}"/>
    <cellStyle name="Note 2 6 2 2 2 2 2" xfId="9867" xr:uid="{00000000-0005-0000-0000-000018360000}"/>
    <cellStyle name="Note 2 6 2 2 2 2 3" xfId="16486" xr:uid="{00000000-0005-0000-0000-000019360000}"/>
    <cellStyle name="Note 2 6 2 2 2 2_Summary" xfId="22622" xr:uid="{00000000-0005-0000-0000-00001A360000}"/>
    <cellStyle name="Note 2 6 2 2 2 3" xfId="5306" xr:uid="{00000000-0005-0000-0000-00001B360000}"/>
    <cellStyle name="Note 2 6 2 2 2 3 2" xfId="11902" xr:uid="{00000000-0005-0000-0000-00001C360000}"/>
    <cellStyle name="Note 2 6 2 2 2 3 3" xfId="18521" xr:uid="{00000000-0005-0000-0000-00001D360000}"/>
    <cellStyle name="Note 2 6 2 2 2 3_Summary" xfId="22623" xr:uid="{00000000-0005-0000-0000-00001E360000}"/>
    <cellStyle name="Note 2 6 2 2 2 4" xfId="7731" xr:uid="{00000000-0005-0000-0000-00001F360000}"/>
    <cellStyle name="Note 2 6 2 2 2 5" xfId="14350" xr:uid="{00000000-0005-0000-0000-000020360000}"/>
    <cellStyle name="Note 2 6 2 2 2_Summary" xfId="22621" xr:uid="{00000000-0005-0000-0000-000021360000}"/>
    <cellStyle name="Note 2 6 2 2 3" xfId="1417" xr:uid="{00000000-0005-0000-0000-000022360000}"/>
    <cellStyle name="Note 2 6 2 2 3 2" xfId="3553" xr:uid="{00000000-0005-0000-0000-000023360000}"/>
    <cellStyle name="Note 2 6 2 2 3 2 2" xfId="10149" xr:uid="{00000000-0005-0000-0000-000024360000}"/>
    <cellStyle name="Note 2 6 2 2 3 2 3" xfId="16768" xr:uid="{00000000-0005-0000-0000-000025360000}"/>
    <cellStyle name="Note 2 6 2 2 3 2_Summary" xfId="22625" xr:uid="{00000000-0005-0000-0000-000026360000}"/>
    <cellStyle name="Note 2 6 2 2 3 3" xfId="5588" xr:uid="{00000000-0005-0000-0000-000027360000}"/>
    <cellStyle name="Note 2 6 2 2 3 3 2" xfId="12184" xr:uid="{00000000-0005-0000-0000-000028360000}"/>
    <cellStyle name="Note 2 6 2 2 3 3 3" xfId="18803" xr:uid="{00000000-0005-0000-0000-000029360000}"/>
    <cellStyle name="Note 2 6 2 2 3 3_Summary" xfId="22626" xr:uid="{00000000-0005-0000-0000-00002A360000}"/>
    <cellStyle name="Note 2 6 2 2 3 4" xfId="8013" xr:uid="{00000000-0005-0000-0000-00002B360000}"/>
    <cellStyle name="Note 2 6 2 2 3 5" xfId="14632" xr:uid="{00000000-0005-0000-0000-00002C360000}"/>
    <cellStyle name="Note 2 6 2 2 3_Summary" xfId="22624" xr:uid="{00000000-0005-0000-0000-00002D360000}"/>
    <cellStyle name="Note 2 6 2 2 4" xfId="1698" xr:uid="{00000000-0005-0000-0000-00002E360000}"/>
    <cellStyle name="Note 2 6 2 2 4 2" xfId="3834" xr:uid="{00000000-0005-0000-0000-00002F360000}"/>
    <cellStyle name="Note 2 6 2 2 4 2 2" xfId="10430" xr:uid="{00000000-0005-0000-0000-000030360000}"/>
    <cellStyle name="Note 2 6 2 2 4 2 3" xfId="17049" xr:uid="{00000000-0005-0000-0000-000031360000}"/>
    <cellStyle name="Note 2 6 2 2 4 2_Summary" xfId="22628" xr:uid="{00000000-0005-0000-0000-000032360000}"/>
    <cellStyle name="Note 2 6 2 2 4 3" xfId="5869" xr:uid="{00000000-0005-0000-0000-000033360000}"/>
    <cellStyle name="Note 2 6 2 2 4 3 2" xfId="12465" xr:uid="{00000000-0005-0000-0000-000034360000}"/>
    <cellStyle name="Note 2 6 2 2 4 3 3" xfId="19084" xr:uid="{00000000-0005-0000-0000-000035360000}"/>
    <cellStyle name="Note 2 6 2 2 4 3_Summary" xfId="22629" xr:uid="{00000000-0005-0000-0000-000036360000}"/>
    <cellStyle name="Note 2 6 2 2 4 4" xfId="8294" xr:uid="{00000000-0005-0000-0000-000037360000}"/>
    <cellStyle name="Note 2 6 2 2 4 5" xfId="14913" xr:uid="{00000000-0005-0000-0000-000038360000}"/>
    <cellStyle name="Note 2 6 2 2 4_Summary" xfId="22627" xr:uid="{00000000-0005-0000-0000-000039360000}"/>
    <cellStyle name="Note 2 6 2 2 5" xfId="1977" xr:uid="{00000000-0005-0000-0000-00003A360000}"/>
    <cellStyle name="Note 2 6 2 2 5 2" xfId="4113" xr:uid="{00000000-0005-0000-0000-00003B360000}"/>
    <cellStyle name="Note 2 6 2 2 5 2 2" xfId="10709" xr:uid="{00000000-0005-0000-0000-00003C360000}"/>
    <cellStyle name="Note 2 6 2 2 5 2 3" xfId="17328" xr:uid="{00000000-0005-0000-0000-00003D360000}"/>
    <cellStyle name="Note 2 6 2 2 5 2_Summary" xfId="22631" xr:uid="{00000000-0005-0000-0000-00003E360000}"/>
    <cellStyle name="Note 2 6 2 2 5 3" xfId="6148" xr:uid="{00000000-0005-0000-0000-00003F360000}"/>
    <cellStyle name="Note 2 6 2 2 5 3 2" xfId="12744" xr:uid="{00000000-0005-0000-0000-000040360000}"/>
    <cellStyle name="Note 2 6 2 2 5 3 3" xfId="19363" xr:uid="{00000000-0005-0000-0000-000041360000}"/>
    <cellStyle name="Note 2 6 2 2 5 3_Summary" xfId="22632" xr:uid="{00000000-0005-0000-0000-000042360000}"/>
    <cellStyle name="Note 2 6 2 2 5 4" xfId="8573" xr:uid="{00000000-0005-0000-0000-000043360000}"/>
    <cellStyle name="Note 2 6 2 2 5 5" xfId="15192" xr:uid="{00000000-0005-0000-0000-000044360000}"/>
    <cellStyle name="Note 2 6 2 2 5_Summary" xfId="22630" xr:uid="{00000000-0005-0000-0000-000045360000}"/>
    <cellStyle name="Note 2 6 2 2 6" xfId="2252" xr:uid="{00000000-0005-0000-0000-000046360000}"/>
    <cellStyle name="Note 2 6 2 2 6 2" xfId="4388" xr:uid="{00000000-0005-0000-0000-000047360000}"/>
    <cellStyle name="Note 2 6 2 2 6 2 2" xfId="10984" xr:uid="{00000000-0005-0000-0000-000048360000}"/>
    <cellStyle name="Note 2 6 2 2 6 2 3" xfId="17603" xr:uid="{00000000-0005-0000-0000-000049360000}"/>
    <cellStyle name="Note 2 6 2 2 6 2_Summary" xfId="22634" xr:uid="{00000000-0005-0000-0000-00004A360000}"/>
    <cellStyle name="Note 2 6 2 2 6 3" xfId="6423" xr:uid="{00000000-0005-0000-0000-00004B360000}"/>
    <cellStyle name="Note 2 6 2 2 6 3 2" xfId="13019" xr:uid="{00000000-0005-0000-0000-00004C360000}"/>
    <cellStyle name="Note 2 6 2 2 6 3 3" xfId="19638" xr:uid="{00000000-0005-0000-0000-00004D360000}"/>
    <cellStyle name="Note 2 6 2 2 6 3_Summary" xfId="22635" xr:uid="{00000000-0005-0000-0000-00004E360000}"/>
    <cellStyle name="Note 2 6 2 2 6 4" xfId="8848" xr:uid="{00000000-0005-0000-0000-00004F360000}"/>
    <cellStyle name="Note 2 6 2 2 6 5" xfId="15467" xr:uid="{00000000-0005-0000-0000-000050360000}"/>
    <cellStyle name="Note 2 6 2 2 6_Summary" xfId="22633" xr:uid="{00000000-0005-0000-0000-000051360000}"/>
    <cellStyle name="Note 2 6 2 2 7" xfId="2525" xr:uid="{00000000-0005-0000-0000-000052360000}"/>
    <cellStyle name="Note 2 6 2 2 7 2" xfId="4661" xr:uid="{00000000-0005-0000-0000-000053360000}"/>
    <cellStyle name="Note 2 6 2 2 7 2 2" xfId="11257" xr:uid="{00000000-0005-0000-0000-000054360000}"/>
    <cellStyle name="Note 2 6 2 2 7 2 3" xfId="17876" xr:uid="{00000000-0005-0000-0000-000055360000}"/>
    <cellStyle name="Note 2 6 2 2 7 2_Summary" xfId="22637" xr:uid="{00000000-0005-0000-0000-000056360000}"/>
    <cellStyle name="Note 2 6 2 2 7 3" xfId="6696" xr:uid="{00000000-0005-0000-0000-000057360000}"/>
    <cellStyle name="Note 2 6 2 2 7 3 2" xfId="13292" xr:uid="{00000000-0005-0000-0000-000058360000}"/>
    <cellStyle name="Note 2 6 2 2 7 3 3" xfId="19911" xr:uid="{00000000-0005-0000-0000-000059360000}"/>
    <cellStyle name="Note 2 6 2 2 7 3_Summary" xfId="22638" xr:uid="{00000000-0005-0000-0000-00005A360000}"/>
    <cellStyle name="Note 2 6 2 2 7 4" xfId="9121" xr:uid="{00000000-0005-0000-0000-00005B360000}"/>
    <cellStyle name="Note 2 6 2 2 7 5" xfId="15740" xr:uid="{00000000-0005-0000-0000-00005C360000}"/>
    <cellStyle name="Note 2 6 2 2 7_Summary" xfId="22636" xr:uid="{00000000-0005-0000-0000-00005D360000}"/>
    <cellStyle name="Note 2 6 2 2 8" xfId="2971" xr:uid="{00000000-0005-0000-0000-00005E360000}"/>
    <cellStyle name="Note 2 6 2 2 8 2" xfId="9567" xr:uid="{00000000-0005-0000-0000-00005F360000}"/>
    <cellStyle name="Note 2 6 2 2 8 3" xfId="16186" xr:uid="{00000000-0005-0000-0000-000060360000}"/>
    <cellStyle name="Note 2 6 2 2 8_Summary" xfId="22639" xr:uid="{00000000-0005-0000-0000-000061360000}"/>
    <cellStyle name="Note 2 6 2 2 9" xfId="5006" xr:uid="{00000000-0005-0000-0000-000062360000}"/>
    <cellStyle name="Note 2 6 2 2 9 2" xfId="11602" xr:uid="{00000000-0005-0000-0000-000063360000}"/>
    <cellStyle name="Note 2 6 2 2 9 3" xfId="18221" xr:uid="{00000000-0005-0000-0000-000064360000}"/>
    <cellStyle name="Note 2 6 2 2 9_Summary" xfId="22640" xr:uid="{00000000-0005-0000-0000-000065360000}"/>
    <cellStyle name="Note 2 6 2 2_Summary" xfId="22619" xr:uid="{00000000-0005-0000-0000-000066360000}"/>
    <cellStyle name="Note 2 6 2 20" xfId="31039" xr:uid="{BE1468DF-92A4-48B6-BB2E-1CF15FD07137}"/>
    <cellStyle name="Note 2 6 2 3" xfId="1007" xr:uid="{00000000-0005-0000-0000-000067360000}"/>
    <cellStyle name="Note 2 6 2 3 2" xfId="3143" xr:uid="{00000000-0005-0000-0000-000068360000}"/>
    <cellStyle name="Note 2 6 2 3 2 2" xfId="9739" xr:uid="{00000000-0005-0000-0000-000069360000}"/>
    <cellStyle name="Note 2 6 2 3 2 3" xfId="16358" xr:uid="{00000000-0005-0000-0000-00006A360000}"/>
    <cellStyle name="Note 2 6 2 3 2_Summary" xfId="22642" xr:uid="{00000000-0005-0000-0000-00006B360000}"/>
    <cellStyle name="Note 2 6 2 3 3" xfId="5178" xr:uid="{00000000-0005-0000-0000-00006C360000}"/>
    <cellStyle name="Note 2 6 2 3 3 2" xfId="11774" xr:uid="{00000000-0005-0000-0000-00006D360000}"/>
    <cellStyle name="Note 2 6 2 3 3 3" xfId="18393" xr:uid="{00000000-0005-0000-0000-00006E360000}"/>
    <cellStyle name="Note 2 6 2 3 3_Summary" xfId="22643" xr:uid="{00000000-0005-0000-0000-00006F360000}"/>
    <cellStyle name="Note 2 6 2 3 4" xfId="7604" xr:uid="{00000000-0005-0000-0000-000070360000}"/>
    <cellStyle name="Note 2 6 2 3 5" xfId="14222" xr:uid="{00000000-0005-0000-0000-000071360000}"/>
    <cellStyle name="Note 2 6 2 3_Summary" xfId="22641" xr:uid="{00000000-0005-0000-0000-000072360000}"/>
    <cellStyle name="Note 2 6 2 4" xfId="1289" xr:uid="{00000000-0005-0000-0000-000073360000}"/>
    <cellStyle name="Note 2 6 2 4 2" xfId="3425" xr:uid="{00000000-0005-0000-0000-000074360000}"/>
    <cellStyle name="Note 2 6 2 4 2 2" xfId="10021" xr:uid="{00000000-0005-0000-0000-000075360000}"/>
    <cellStyle name="Note 2 6 2 4 2 3" xfId="16640" xr:uid="{00000000-0005-0000-0000-000076360000}"/>
    <cellStyle name="Note 2 6 2 4 2_Summary" xfId="22645" xr:uid="{00000000-0005-0000-0000-000077360000}"/>
    <cellStyle name="Note 2 6 2 4 3" xfId="5460" xr:uid="{00000000-0005-0000-0000-000078360000}"/>
    <cellStyle name="Note 2 6 2 4 3 2" xfId="12056" xr:uid="{00000000-0005-0000-0000-000079360000}"/>
    <cellStyle name="Note 2 6 2 4 3 3" xfId="18675" xr:uid="{00000000-0005-0000-0000-00007A360000}"/>
    <cellStyle name="Note 2 6 2 4 3_Summary" xfId="22646" xr:uid="{00000000-0005-0000-0000-00007B360000}"/>
    <cellStyle name="Note 2 6 2 4 4" xfId="7885" xr:uid="{00000000-0005-0000-0000-00007C360000}"/>
    <cellStyle name="Note 2 6 2 4 5" xfId="14504" xr:uid="{00000000-0005-0000-0000-00007D360000}"/>
    <cellStyle name="Note 2 6 2 4_Summary" xfId="22644" xr:uid="{00000000-0005-0000-0000-00007E360000}"/>
    <cellStyle name="Note 2 6 2 5" xfId="1570" xr:uid="{00000000-0005-0000-0000-00007F360000}"/>
    <cellStyle name="Note 2 6 2 5 2" xfId="3706" xr:uid="{00000000-0005-0000-0000-000080360000}"/>
    <cellStyle name="Note 2 6 2 5 2 2" xfId="10302" xr:uid="{00000000-0005-0000-0000-000081360000}"/>
    <cellStyle name="Note 2 6 2 5 2 3" xfId="16921" xr:uid="{00000000-0005-0000-0000-000082360000}"/>
    <cellStyle name="Note 2 6 2 5 2_Summary" xfId="22648" xr:uid="{00000000-0005-0000-0000-000083360000}"/>
    <cellStyle name="Note 2 6 2 5 3" xfId="5741" xr:uid="{00000000-0005-0000-0000-000084360000}"/>
    <cellStyle name="Note 2 6 2 5 3 2" xfId="12337" xr:uid="{00000000-0005-0000-0000-000085360000}"/>
    <cellStyle name="Note 2 6 2 5 3 3" xfId="18956" xr:uid="{00000000-0005-0000-0000-000086360000}"/>
    <cellStyle name="Note 2 6 2 5 3_Summary" xfId="22649" xr:uid="{00000000-0005-0000-0000-000087360000}"/>
    <cellStyle name="Note 2 6 2 5 4" xfId="8166" xr:uid="{00000000-0005-0000-0000-000088360000}"/>
    <cellStyle name="Note 2 6 2 5 5" xfId="14785" xr:uid="{00000000-0005-0000-0000-000089360000}"/>
    <cellStyle name="Note 2 6 2 5_Summary" xfId="22647" xr:uid="{00000000-0005-0000-0000-00008A360000}"/>
    <cellStyle name="Note 2 6 2 6" xfId="1849" xr:uid="{00000000-0005-0000-0000-00008B360000}"/>
    <cellStyle name="Note 2 6 2 6 2" xfId="3985" xr:uid="{00000000-0005-0000-0000-00008C360000}"/>
    <cellStyle name="Note 2 6 2 6 2 2" xfId="10581" xr:uid="{00000000-0005-0000-0000-00008D360000}"/>
    <cellStyle name="Note 2 6 2 6 2 3" xfId="17200" xr:uid="{00000000-0005-0000-0000-00008E360000}"/>
    <cellStyle name="Note 2 6 2 6 2_Summary" xfId="22651" xr:uid="{00000000-0005-0000-0000-00008F360000}"/>
    <cellStyle name="Note 2 6 2 6 3" xfId="6020" xr:uid="{00000000-0005-0000-0000-000090360000}"/>
    <cellStyle name="Note 2 6 2 6 3 2" xfId="12616" xr:uid="{00000000-0005-0000-0000-000091360000}"/>
    <cellStyle name="Note 2 6 2 6 3 3" xfId="19235" xr:uid="{00000000-0005-0000-0000-000092360000}"/>
    <cellStyle name="Note 2 6 2 6 3_Summary" xfId="22652" xr:uid="{00000000-0005-0000-0000-000093360000}"/>
    <cellStyle name="Note 2 6 2 6 4" xfId="8445" xr:uid="{00000000-0005-0000-0000-000094360000}"/>
    <cellStyle name="Note 2 6 2 6 5" xfId="15064" xr:uid="{00000000-0005-0000-0000-000095360000}"/>
    <cellStyle name="Note 2 6 2 6_Summary" xfId="22650" xr:uid="{00000000-0005-0000-0000-000096360000}"/>
    <cellStyle name="Note 2 6 2 7" xfId="2124" xr:uid="{00000000-0005-0000-0000-000097360000}"/>
    <cellStyle name="Note 2 6 2 7 2" xfId="4260" xr:uid="{00000000-0005-0000-0000-000098360000}"/>
    <cellStyle name="Note 2 6 2 7 2 2" xfId="10856" xr:uid="{00000000-0005-0000-0000-000099360000}"/>
    <cellStyle name="Note 2 6 2 7 2 3" xfId="17475" xr:uid="{00000000-0005-0000-0000-00009A360000}"/>
    <cellStyle name="Note 2 6 2 7 2_Summary" xfId="22654" xr:uid="{00000000-0005-0000-0000-00009B360000}"/>
    <cellStyle name="Note 2 6 2 7 3" xfId="6295" xr:uid="{00000000-0005-0000-0000-00009C360000}"/>
    <cellStyle name="Note 2 6 2 7 3 2" xfId="12891" xr:uid="{00000000-0005-0000-0000-00009D360000}"/>
    <cellStyle name="Note 2 6 2 7 3 3" xfId="19510" xr:uid="{00000000-0005-0000-0000-00009E360000}"/>
    <cellStyle name="Note 2 6 2 7 3_Summary" xfId="22655" xr:uid="{00000000-0005-0000-0000-00009F360000}"/>
    <cellStyle name="Note 2 6 2 7 4" xfId="8720" xr:uid="{00000000-0005-0000-0000-0000A0360000}"/>
    <cellStyle name="Note 2 6 2 7 5" xfId="15339" xr:uid="{00000000-0005-0000-0000-0000A1360000}"/>
    <cellStyle name="Note 2 6 2 7_Summary" xfId="22653" xr:uid="{00000000-0005-0000-0000-0000A2360000}"/>
    <cellStyle name="Note 2 6 2 8" xfId="2397" xr:uid="{00000000-0005-0000-0000-0000A3360000}"/>
    <cellStyle name="Note 2 6 2 8 2" xfId="4533" xr:uid="{00000000-0005-0000-0000-0000A4360000}"/>
    <cellStyle name="Note 2 6 2 8 2 2" xfId="11129" xr:uid="{00000000-0005-0000-0000-0000A5360000}"/>
    <cellStyle name="Note 2 6 2 8 2 3" xfId="17748" xr:uid="{00000000-0005-0000-0000-0000A6360000}"/>
    <cellStyle name="Note 2 6 2 8 2_Summary" xfId="22657" xr:uid="{00000000-0005-0000-0000-0000A7360000}"/>
    <cellStyle name="Note 2 6 2 8 3" xfId="6568" xr:uid="{00000000-0005-0000-0000-0000A8360000}"/>
    <cellStyle name="Note 2 6 2 8 3 2" xfId="13164" xr:uid="{00000000-0005-0000-0000-0000A9360000}"/>
    <cellStyle name="Note 2 6 2 8 3 3" xfId="19783" xr:uid="{00000000-0005-0000-0000-0000AA360000}"/>
    <cellStyle name="Note 2 6 2 8 3_Summary" xfId="22658" xr:uid="{00000000-0005-0000-0000-0000AB360000}"/>
    <cellStyle name="Note 2 6 2 8 4" xfId="8993" xr:uid="{00000000-0005-0000-0000-0000AC360000}"/>
    <cellStyle name="Note 2 6 2 8 5" xfId="15612" xr:uid="{00000000-0005-0000-0000-0000AD360000}"/>
    <cellStyle name="Note 2 6 2 8_Summary" xfId="22656" xr:uid="{00000000-0005-0000-0000-0000AE360000}"/>
    <cellStyle name="Note 2 6 2 9" xfId="2698" xr:uid="{00000000-0005-0000-0000-0000AF360000}"/>
    <cellStyle name="Note 2 6 2 9 2" xfId="9294" xr:uid="{00000000-0005-0000-0000-0000B0360000}"/>
    <cellStyle name="Note 2 6 2 9 3" xfId="15913" xr:uid="{00000000-0005-0000-0000-0000B1360000}"/>
    <cellStyle name="Note 2 6 2 9_Summary" xfId="22659" xr:uid="{00000000-0005-0000-0000-0000B2360000}"/>
    <cellStyle name="Note 2 6 2_Summary" xfId="22616" xr:uid="{00000000-0005-0000-0000-0000B3360000}"/>
    <cellStyle name="Note 2 6 20" xfId="27019" xr:uid="{C089435A-F940-4FD8-9043-44CD9E2E2588}"/>
    <cellStyle name="Note 2 6 21" xfId="29468" xr:uid="{DBE8C8F7-102C-4077-8D56-B4CE74CE7E4D}"/>
    <cellStyle name="Note 2 6 22" xfId="31038" xr:uid="{80E97F7D-8953-4B96-ADF2-C67544530737}"/>
    <cellStyle name="Note 2 6 3" xfId="226" xr:uid="{00000000-0005-0000-0000-0000B4360000}"/>
    <cellStyle name="Note 2 6 3 10" xfId="763" xr:uid="{00000000-0005-0000-0000-0000B5360000}"/>
    <cellStyle name="Note 2 6 3 10 2" xfId="13978" xr:uid="{00000000-0005-0000-0000-0000B6360000}"/>
    <cellStyle name="Note 2 6 3 10_Summary" xfId="22661" xr:uid="{00000000-0005-0000-0000-0000B7360000}"/>
    <cellStyle name="Note 2 6 3 11" xfId="7133" xr:uid="{00000000-0005-0000-0000-0000B8360000}"/>
    <cellStyle name="Note 2 6 3 12" xfId="7069" xr:uid="{00000000-0005-0000-0000-0000B9360000}"/>
    <cellStyle name="Note 2 6 3 13" xfId="29470" xr:uid="{56F75D72-7A55-4B37-B3B7-8D0CDE99904A}"/>
    <cellStyle name="Note 2 6 3 14" xfId="31040" xr:uid="{8EB28D1A-14D9-495C-B1D3-1B79EACFA56C}"/>
    <cellStyle name="Note 2 6 3 2" xfId="931" xr:uid="{00000000-0005-0000-0000-0000BA360000}"/>
    <cellStyle name="Note 2 6 3 2 2" xfId="3067" xr:uid="{00000000-0005-0000-0000-0000BB360000}"/>
    <cellStyle name="Note 2 6 3 2 2 2" xfId="9663" xr:uid="{00000000-0005-0000-0000-0000BC360000}"/>
    <cellStyle name="Note 2 6 3 2 2 3" xfId="16282" xr:uid="{00000000-0005-0000-0000-0000BD360000}"/>
    <cellStyle name="Note 2 6 3 2 2_Summary" xfId="22663" xr:uid="{00000000-0005-0000-0000-0000BE360000}"/>
    <cellStyle name="Note 2 6 3 2 3" xfId="5102" xr:uid="{00000000-0005-0000-0000-0000BF360000}"/>
    <cellStyle name="Note 2 6 3 2 3 2" xfId="11698" xr:uid="{00000000-0005-0000-0000-0000C0360000}"/>
    <cellStyle name="Note 2 6 3 2 3 3" xfId="18317" xr:uid="{00000000-0005-0000-0000-0000C1360000}"/>
    <cellStyle name="Note 2 6 3 2 3_Summary" xfId="22664" xr:uid="{00000000-0005-0000-0000-0000C2360000}"/>
    <cellStyle name="Note 2 6 3 2 4" xfId="7528" xr:uid="{00000000-0005-0000-0000-0000C3360000}"/>
    <cellStyle name="Note 2 6 3 2 5" xfId="14146" xr:uid="{00000000-0005-0000-0000-0000C4360000}"/>
    <cellStyle name="Note 2 6 3 2 6" xfId="30325" xr:uid="{8E311D27-3937-4099-A17F-AB58F4A8A6BC}"/>
    <cellStyle name="Note 2 6 3 2 7" xfId="31757" xr:uid="{2CA6FBA1-AC1C-4802-A825-9D15FFC6AC2F}"/>
    <cellStyle name="Note 2 6 3 2_Summary" xfId="22662" xr:uid="{00000000-0005-0000-0000-0000C5360000}"/>
    <cellStyle name="Note 2 6 3 3" xfId="1216" xr:uid="{00000000-0005-0000-0000-0000C6360000}"/>
    <cellStyle name="Note 2 6 3 3 2" xfId="3352" xr:uid="{00000000-0005-0000-0000-0000C7360000}"/>
    <cellStyle name="Note 2 6 3 3 2 2" xfId="9948" xr:uid="{00000000-0005-0000-0000-0000C8360000}"/>
    <cellStyle name="Note 2 6 3 3 2 3" xfId="16567" xr:uid="{00000000-0005-0000-0000-0000C9360000}"/>
    <cellStyle name="Note 2 6 3 3 2_Summary" xfId="22666" xr:uid="{00000000-0005-0000-0000-0000CA360000}"/>
    <cellStyle name="Note 2 6 3 3 3" xfId="5387" xr:uid="{00000000-0005-0000-0000-0000CB360000}"/>
    <cellStyle name="Note 2 6 3 3 3 2" xfId="11983" xr:uid="{00000000-0005-0000-0000-0000CC360000}"/>
    <cellStyle name="Note 2 6 3 3 3 3" xfId="18602" xr:uid="{00000000-0005-0000-0000-0000CD360000}"/>
    <cellStyle name="Note 2 6 3 3 3_Summary" xfId="22667" xr:uid="{00000000-0005-0000-0000-0000CE360000}"/>
    <cellStyle name="Note 2 6 3 3 4" xfId="7812" xr:uid="{00000000-0005-0000-0000-0000CF360000}"/>
    <cellStyle name="Note 2 6 3 3 5" xfId="14431" xr:uid="{00000000-0005-0000-0000-0000D0360000}"/>
    <cellStyle name="Note 2 6 3 3_Summary" xfId="22665" xr:uid="{00000000-0005-0000-0000-0000D1360000}"/>
    <cellStyle name="Note 2 6 3 4" xfId="1498" xr:uid="{00000000-0005-0000-0000-0000D2360000}"/>
    <cellStyle name="Note 2 6 3 4 2" xfId="3634" xr:uid="{00000000-0005-0000-0000-0000D3360000}"/>
    <cellStyle name="Note 2 6 3 4 2 2" xfId="10230" xr:uid="{00000000-0005-0000-0000-0000D4360000}"/>
    <cellStyle name="Note 2 6 3 4 2 3" xfId="16849" xr:uid="{00000000-0005-0000-0000-0000D5360000}"/>
    <cellStyle name="Note 2 6 3 4 2_Summary" xfId="22669" xr:uid="{00000000-0005-0000-0000-0000D6360000}"/>
    <cellStyle name="Note 2 6 3 4 3" xfId="5669" xr:uid="{00000000-0005-0000-0000-0000D7360000}"/>
    <cellStyle name="Note 2 6 3 4 3 2" xfId="12265" xr:uid="{00000000-0005-0000-0000-0000D8360000}"/>
    <cellStyle name="Note 2 6 3 4 3 3" xfId="18884" xr:uid="{00000000-0005-0000-0000-0000D9360000}"/>
    <cellStyle name="Note 2 6 3 4 3_Summary" xfId="22670" xr:uid="{00000000-0005-0000-0000-0000DA360000}"/>
    <cellStyle name="Note 2 6 3 4 4" xfId="8094" xr:uid="{00000000-0005-0000-0000-0000DB360000}"/>
    <cellStyle name="Note 2 6 3 4 5" xfId="14713" xr:uid="{00000000-0005-0000-0000-0000DC360000}"/>
    <cellStyle name="Note 2 6 3 4_Summary" xfId="22668" xr:uid="{00000000-0005-0000-0000-0000DD360000}"/>
    <cellStyle name="Note 2 6 3 5" xfId="1779" xr:uid="{00000000-0005-0000-0000-0000DE360000}"/>
    <cellStyle name="Note 2 6 3 5 2" xfId="3915" xr:uid="{00000000-0005-0000-0000-0000DF360000}"/>
    <cellStyle name="Note 2 6 3 5 2 2" xfId="10511" xr:uid="{00000000-0005-0000-0000-0000E0360000}"/>
    <cellStyle name="Note 2 6 3 5 2 3" xfId="17130" xr:uid="{00000000-0005-0000-0000-0000E1360000}"/>
    <cellStyle name="Note 2 6 3 5 2_Summary" xfId="22672" xr:uid="{00000000-0005-0000-0000-0000E2360000}"/>
    <cellStyle name="Note 2 6 3 5 3" xfId="5950" xr:uid="{00000000-0005-0000-0000-0000E3360000}"/>
    <cellStyle name="Note 2 6 3 5 3 2" xfId="12546" xr:uid="{00000000-0005-0000-0000-0000E4360000}"/>
    <cellStyle name="Note 2 6 3 5 3 3" xfId="19165" xr:uid="{00000000-0005-0000-0000-0000E5360000}"/>
    <cellStyle name="Note 2 6 3 5 3_Summary" xfId="22673" xr:uid="{00000000-0005-0000-0000-0000E6360000}"/>
    <cellStyle name="Note 2 6 3 5 4" xfId="8375" xr:uid="{00000000-0005-0000-0000-0000E7360000}"/>
    <cellStyle name="Note 2 6 3 5 5" xfId="14994" xr:uid="{00000000-0005-0000-0000-0000E8360000}"/>
    <cellStyle name="Note 2 6 3 5_Summary" xfId="22671" xr:uid="{00000000-0005-0000-0000-0000E9360000}"/>
    <cellStyle name="Note 2 6 3 6" xfId="2058" xr:uid="{00000000-0005-0000-0000-0000EA360000}"/>
    <cellStyle name="Note 2 6 3 6 2" xfId="4194" xr:uid="{00000000-0005-0000-0000-0000EB360000}"/>
    <cellStyle name="Note 2 6 3 6 2 2" xfId="10790" xr:uid="{00000000-0005-0000-0000-0000EC360000}"/>
    <cellStyle name="Note 2 6 3 6 2 3" xfId="17409" xr:uid="{00000000-0005-0000-0000-0000ED360000}"/>
    <cellStyle name="Note 2 6 3 6 2_Summary" xfId="22675" xr:uid="{00000000-0005-0000-0000-0000EE360000}"/>
    <cellStyle name="Note 2 6 3 6 3" xfId="6229" xr:uid="{00000000-0005-0000-0000-0000EF360000}"/>
    <cellStyle name="Note 2 6 3 6 3 2" xfId="12825" xr:uid="{00000000-0005-0000-0000-0000F0360000}"/>
    <cellStyle name="Note 2 6 3 6 3 3" xfId="19444" xr:uid="{00000000-0005-0000-0000-0000F1360000}"/>
    <cellStyle name="Note 2 6 3 6 3_Summary" xfId="22676" xr:uid="{00000000-0005-0000-0000-0000F2360000}"/>
    <cellStyle name="Note 2 6 3 6 4" xfId="8654" xr:uid="{00000000-0005-0000-0000-0000F3360000}"/>
    <cellStyle name="Note 2 6 3 6 5" xfId="15273" xr:uid="{00000000-0005-0000-0000-0000F4360000}"/>
    <cellStyle name="Note 2 6 3 6_Summary" xfId="22674" xr:uid="{00000000-0005-0000-0000-0000F5360000}"/>
    <cellStyle name="Note 2 6 3 7" xfId="2333" xr:uid="{00000000-0005-0000-0000-0000F6360000}"/>
    <cellStyle name="Note 2 6 3 7 2" xfId="4469" xr:uid="{00000000-0005-0000-0000-0000F7360000}"/>
    <cellStyle name="Note 2 6 3 7 2 2" xfId="11065" xr:uid="{00000000-0005-0000-0000-0000F8360000}"/>
    <cellStyle name="Note 2 6 3 7 2 3" xfId="17684" xr:uid="{00000000-0005-0000-0000-0000F9360000}"/>
    <cellStyle name="Note 2 6 3 7 2_Summary" xfId="22678" xr:uid="{00000000-0005-0000-0000-0000FA360000}"/>
    <cellStyle name="Note 2 6 3 7 3" xfId="6504" xr:uid="{00000000-0005-0000-0000-0000FB360000}"/>
    <cellStyle name="Note 2 6 3 7 3 2" xfId="13100" xr:uid="{00000000-0005-0000-0000-0000FC360000}"/>
    <cellStyle name="Note 2 6 3 7 3 3" xfId="19719" xr:uid="{00000000-0005-0000-0000-0000FD360000}"/>
    <cellStyle name="Note 2 6 3 7 3_Summary" xfId="22679" xr:uid="{00000000-0005-0000-0000-0000FE360000}"/>
    <cellStyle name="Note 2 6 3 7 4" xfId="8929" xr:uid="{00000000-0005-0000-0000-0000FF360000}"/>
    <cellStyle name="Note 2 6 3 7 5" xfId="15548" xr:uid="{00000000-0005-0000-0000-000000370000}"/>
    <cellStyle name="Note 2 6 3 7_Summary" xfId="22677" xr:uid="{00000000-0005-0000-0000-000001370000}"/>
    <cellStyle name="Note 2 6 3 8" xfId="2899" xr:uid="{00000000-0005-0000-0000-000002370000}"/>
    <cellStyle name="Note 2 6 3 8 2" xfId="9495" xr:uid="{00000000-0005-0000-0000-000003370000}"/>
    <cellStyle name="Note 2 6 3 8 3" xfId="16114" xr:uid="{00000000-0005-0000-0000-000004370000}"/>
    <cellStyle name="Note 2 6 3 8_Summary" xfId="22680" xr:uid="{00000000-0005-0000-0000-000005370000}"/>
    <cellStyle name="Note 2 6 3 9" xfId="4934" xr:uid="{00000000-0005-0000-0000-000006370000}"/>
    <cellStyle name="Note 2 6 3 9 2" xfId="11530" xr:uid="{00000000-0005-0000-0000-000007370000}"/>
    <cellStyle name="Note 2 6 3 9 3" xfId="18149" xr:uid="{00000000-0005-0000-0000-000008370000}"/>
    <cellStyle name="Note 2 6 3 9_Summary" xfId="22681" xr:uid="{00000000-0005-0000-0000-000009370000}"/>
    <cellStyle name="Note 2 6 3_Summary" xfId="22660" xr:uid="{00000000-0005-0000-0000-00000A370000}"/>
    <cellStyle name="Note 2 6 4" xfId="380" xr:uid="{00000000-0005-0000-0000-00000B370000}"/>
    <cellStyle name="Note 2 6 4 10" xfId="717" xr:uid="{00000000-0005-0000-0000-00000C370000}"/>
    <cellStyle name="Note 2 6 4 10 2" xfId="13932" xr:uid="{00000000-0005-0000-0000-00000D370000}"/>
    <cellStyle name="Note 2 6 4 10_Summary" xfId="22683" xr:uid="{00000000-0005-0000-0000-00000E370000}"/>
    <cellStyle name="Note 2 6 4 11" xfId="7273" xr:uid="{00000000-0005-0000-0000-00000F370000}"/>
    <cellStyle name="Note 2 6 4 12" xfId="13595" xr:uid="{00000000-0005-0000-0000-000010370000}"/>
    <cellStyle name="Note 2 6 4 13" xfId="30323" xr:uid="{5B2652F1-52E6-4C46-B36B-59B3EA518195}"/>
    <cellStyle name="Note 2 6 4 14" xfId="31755" xr:uid="{7143F5F6-14E6-40E5-81E8-305400F369F9}"/>
    <cellStyle name="Note 2 6 4 2" xfId="1074" xr:uid="{00000000-0005-0000-0000-000011370000}"/>
    <cellStyle name="Note 2 6 4 2 2" xfId="3210" xr:uid="{00000000-0005-0000-0000-000012370000}"/>
    <cellStyle name="Note 2 6 4 2 2 2" xfId="9806" xr:uid="{00000000-0005-0000-0000-000013370000}"/>
    <cellStyle name="Note 2 6 4 2 2 3" xfId="16425" xr:uid="{00000000-0005-0000-0000-000014370000}"/>
    <cellStyle name="Note 2 6 4 2 2_Summary" xfId="22685" xr:uid="{00000000-0005-0000-0000-000015370000}"/>
    <cellStyle name="Note 2 6 4 2 3" xfId="5245" xr:uid="{00000000-0005-0000-0000-000016370000}"/>
    <cellStyle name="Note 2 6 4 2 3 2" xfId="11841" xr:uid="{00000000-0005-0000-0000-000017370000}"/>
    <cellStyle name="Note 2 6 4 2 3 3" xfId="18460" xr:uid="{00000000-0005-0000-0000-000018370000}"/>
    <cellStyle name="Note 2 6 4 2 3_Summary" xfId="22686" xr:uid="{00000000-0005-0000-0000-000019370000}"/>
    <cellStyle name="Note 2 6 4 2 4" xfId="7671" xr:uid="{00000000-0005-0000-0000-00001A370000}"/>
    <cellStyle name="Note 2 6 4 2 5" xfId="14289" xr:uid="{00000000-0005-0000-0000-00001B370000}"/>
    <cellStyle name="Note 2 6 4 2_Summary" xfId="22684" xr:uid="{00000000-0005-0000-0000-00001C370000}"/>
    <cellStyle name="Note 2 6 4 3" xfId="1356" xr:uid="{00000000-0005-0000-0000-00001D370000}"/>
    <cellStyle name="Note 2 6 4 3 2" xfId="3492" xr:uid="{00000000-0005-0000-0000-00001E370000}"/>
    <cellStyle name="Note 2 6 4 3 2 2" xfId="10088" xr:uid="{00000000-0005-0000-0000-00001F370000}"/>
    <cellStyle name="Note 2 6 4 3 2 3" xfId="16707" xr:uid="{00000000-0005-0000-0000-000020370000}"/>
    <cellStyle name="Note 2 6 4 3 2_Summary" xfId="22688" xr:uid="{00000000-0005-0000-0000-000021370000}"/>
    <cellStyle name="Note 2 6 4 3 3" xfId="5527" xr:uid="{00000000-0005-0000-0000-000022370000}"/>
    <cellStyle name="Note 2 6 4 3 3 2" xfId="12123" xr:uid="{00000000-0005-0000-0000-000023370000}"/>
    <cellStyle name="Note 2 6 4 3 3 3" xfId="18742" xr:uid="{00000000-0005-0000-0000-000024370000}"/>
    <cellStyle name="Note 2 6 4 3 3_Summary" xfId="22689" xr:uid="{00000000-0005-0000-0000-000025370000}"/>
    <cellStyle name="Note 2 6 4 3 4" xfId="7952" xr:uid="{00000000-0005-0000-0000-000026370000}"/>
    <cellStyle name="Note 2 6 4 3 5" xfId="14571" xr:uid="{00000000-0005-0000-0000-000027370000}"/>
    <cellStyle name="Note 2 6 4 3_Summary" xfId="22687" xr:uid="{00000000-0005-0000-0000-000028370000}"/>
    <cellStyle name="Note 2 6 4 4" xfId="1637" xr:uid="{00000000-0005-0000-0000-000029370000}"/>
    <cellStyle name="Note 2 6 4 4 2" xfId="3773" xr:uid="{00000000-0005-0000-0000-00002A370000}"/>
    <cellStyle name="Note 2 6 4 4 2 2" xfId="10369" xr:uid="{00000000-0005-0000-0000-00002B370000}"/>
    <cellStyle name="Note 2 6 4 4 2 3" xfId="16988" xr:uid="{00000000-0005-0000-0000-00002C370000}"/>
    <cellStyle name="Note 2 6 4 4 2_Summary" xfId="22691" xr:uid="{00000000-0005-0000-0000-00002D370000}"/>
    <cellStyle name="Note 2 6 4 4 3" xfId="5808" xr:uid="{00000000-0005-0000-0000-00002E370000}"/>
    <cellStyle name="Note 2 6 4 4 3 2" xfId="12404" xr:uid="{00000000-0005-0000-0000-00002F370000}"/>
    <cellStyle name="Note 2 6 4 4 3 3" xfId="19023" xr:uid="{00000000-0005-0000-0000-000030370000}"/>
    <cellStyle name="Note 2 6 4 4 3_Summary" xfId="22692" xr:uid="{00000000-0005-0000-0000-000031370000}"/>
    <cellStyle name="Note 2 6 4 4 4" xfId="8233" xr:uid="{00000000-0005-0000-0000-000032370000}"/>
    <cellStyle name="Note 2 6 4 4 5" xfId="14852" xr:uid="{00000000-0005-0000-0000-000033370000}"/>
    <cellStyle name="Note 2 6 4 4_Summary" xfId="22690" xr:uid="{00000000-0005-0000-0000-000034370000}"/>
    <cellStyle name="Note 2 6 4 5" xfId="1916" xr:uid="{00000000-0005-0000-0000-000035370000}"/>
    <cellStyle name="Note 2 6 4 5 2" xfId="4052" xr:uid="{00000000-0005-0000-0000-000036370000}"/>
    <cellStyle name="Note 2 6 4 5 2 2" xfId="10648" xr:uid="{00000000-0005-0000-0000-000037370000}"/>
    <cellStyle name="Note 2 6 4 5 2 3" xfId="17267" xr:uid="{00000000-0005-0000-0000-000038370000}"/>
    <cellStyle name="Note 2 6 4 5 2_Summary" xfId="22694" xr:uid="{00000000-0005-0000-0000-000039370000}"/>
    <cellStyle name="Note 2 6 4 5 3" xfId="6087" xr:uid="{00000000-0005-0000-0000-00003A370000}"/>
    <cellStyle name="Note 2 6 4 5 3 2" xfId="12683" xr:uid="{00000000-0005-0000-0000-00003B370000}"/>
    <cellStyle name="Note 2 6 4 5 3 3" xfId="19302" xr:uid="{00000000-0005-0000-0000-00003C370000}"/>
    <cellStyle name="Note 2 6 4 5 3_Summary" xfId="22695" xr:uid="{00000000-0005-0000-0000-00003D370000}"/>
    <cellStyle name="Note 2 6 4 5 4" xfId="8512" xr:uid="{00000000-0005-0000-0000-00003E370000}"/>
    <cellStyle name="Note 2 6 4 5 5" xfId="15131" xr:uid="{00000000-0005-0000-0000-00003F370000}"/>
    <cellStyle name="Note 2 6 4 5_Summary" xfId="22693" xr:uid="{00000000-0005-0000-0000-000040370000}"/>
    <cellStyle name="Note 2 6 4 6" xfId="2191" xr:uid="{00000000-0005-0000-0000-000041370000}"/>
    <cellStyle name="Note 2 6 4 6 2" xfId="4327" xr:uid="{00000000-0005-0000-0000-000042370000}"/>
    <cellStyle name="Note 2 6 4 6 2 2" xfId="10923" xr:uid="{00000000-0005-0000-0000-000043370000}"/>
    <cellStyle name="Note 2 6 4 6 2 3" xfId="17542" xr:uid="{00000000-0005-0000-0000-000044370000}"/>
    <cellStyle name="Note 2 6 4 6 2_Summary" xfId="22697" xr:uid="{00000000-0005-0000-0000-000045370000}"/>
    <cellStyle name="Note 2 6 4 6 3" xfId="6362" xr:uid="{00000000-0005-0000-0000-000046370000}"/>
    <cellStyle name="Note 2 6 4 6 3 2" xfId="12958" xr:uid="{00000000-0005-0000-0000-000047370000}"/>
    <cellStyle name="Note 2 6 4 6 3 3" xfId="19577" xr:uid="{00000000-0005-0000-0000-000048370000}"/>
    <cellStyle name="Note 2 6 4 6 3_Summary" xfId="22698" xr:uid="{00000000-0005-0000-0000-000049370000}"/>
    <cellStyle name="Note 2 6 4 6 4" xfId="8787" xr:uid="{00000000-0005-0000-0000-00004A370000}"/>
    <cellStyle name="Note 2 6 4 6 5" xfId="15406" xr:uid="{00000000-0005-0000-0000-00004B370000}"/>
    <cellStyle name="Note 2 6 4 6_Summary" xfId="22696" xr:uid="{00000000-0005-0000-0000-00004C370000}"/>
    <cellStyle name="Note 2 6 4 7" xfId="2464" xr:uid="{00000000-0005-0000-0000-00004D370000}"/>
    <cellStyle name="Note 2 6 4 7 2" xfId="4600" xr:uid="{00000000-0005-0000-0000-00004E370000}"/>
    <cellStyle name="Note 2 6 4 7 2 2" xfId="11196" xr:uid="{00000000-0005-0000-0000-00004F370000}"/>
    <cellStyle name="Note 2 6 4 7 2 3" xfId="17815" xr:uid="{00000000-0005-0000-0000-000050370000}"/>
    <cellStyle name="Note 2 6 4 7 2_Summary" xfId="22700" xr:uid="{00000000-0005-0000-0000-000051370000}"/>
    <cellStyle name="Note 2 6 4 7 3" xfId="6635" xr:uid="{00000000-0005-0000-0000-000052370000}"/>
    <cellStyle name="Note 2 6 4 7 3 2" xfId="13231" xr:uid="{00000000-0005-0000-0000-000053370000}"/>
    <cellStyle name="Note 2 6 4 7 3 3" xfId="19850" xr:uid="{00000000-0005-0000-0000-000054370000}"/>
    <cellStyle name="Note 2 6 4 7 3_Summary" xfId="22701" xr:uid="{00000000-0005-0000-0000-000055370000}"/>
    <cellStyle name="Note 2 6 4 7 4" xfId="9060" xr:uid="{00000000-0005-0000-0000-000056370000}"/>
    <cellStyle name="Note 2 6 4 7 5" xfId="15679" xr:uid="{00000000-0005-0000-0000-000057370000}"/>
    <cellStyle name="Note 2 6 4 7_Summary" xfId="22699" xr:uid="{00000000-0005-0000-0000-000058370000}"/>
    <cellStyle name="Note 2 6 4 8" xfId="2853" xr:uid="{00000000-0005-0000-0000-000059370000}"/>
    <cellStyle name="Note 2 6 4 8 2" xfId="9449" xr:uid="{00000000-0005-0000-0000-00005A370000}"/>
    <cellStyle name="Note 2 6 4 8 3" xfId="16068" xr:uid="{00000000-0005-0000-0000-00005B370000}"/>
    <cellStyle name="Note 2 6 4 8_Summary" xfId="22702" xr:uid="{00000000-0005-0000-0000-00005C370000}"/>
    <cellStyle name="Note 2 6 4 9" xfId="4888" xr:uid="{00000000-0005-0000-0000-00005D370000}"/>
    <cellStyle name="Note 2 6 4 9 2" xfId="11484" xr:uid="{00000000-0005-0000-0000-00005E370000}"/>
    <cellStyle name="Note 2 6 4 9 3" xfId="18103" xr:uid="{00000000-0005-0000-0000-00005F370000}"/>
    <cellStyle name="Note 2 6 4 9_Summary" xfId="22703" xr:uid="{00000000-0005-0000-0000-000060370000}"/>
    <cellStyle name="Note 2 6 4_Summary" xfId="22682" xr:uid="{00000000-0005-0000-0000-000061370000}"/>
    <cellStyle name="Note 2 6 5" xfId="887" xr:uid="{00000000-0005-0000-0000-000062370000}"/>
    <cellStyle name="Note 2 6 5 2" xfId="3023" xr:uid="{00000000-0005-0000-0000-000063370000}"/>
    <cellStyle name="Note 2 6 5 2 2" xfId="9619" xr:uid="{00000000-0005-0000-0000-000064370000}"/>
    <cellStyle name="Note 2 6 5 2 3" xfId="16238" xr:uid="{00000000-0005-0000-0000-000065370000}"/>
    <cellStyle name="Note 2 6 5 2_Summary" xfId="22705" xr:uid="{00000000-0005-0000-0000-000066370000}"/>
    <cellStyle name="Note 2 6 5 3" xfId="5058" xr:uid="{00000000-0005-0000-0000-000067370000}"/>
    <cellStyle name="Note 2 6 5 3 2" xfId="11654" xr:uid="{00000000-0005-0000-0000-000068370000}"/>
    <cellStyle name="Note 2 6 5 3 3" xfId="18273" xr:uid="{00000000-0005-0000-0000-000069370000}"/>
    <cellStyle name="Note 2 6 5 3_Summary" xfId="22706" xr:uid="{00000000-0005-0000-0000-00006A370000}"/>
    <cellStyle name="Note 2 6 5 4" xfId="7484" xr:uid="{00000000-0005-0000-0000-00006B370000}"/>
    <cellStyle name="Note 2 6 5 5" xfId="14102" xr:uid="{00000000-0005-0000-0000-00006C370000}"/>
    <cellStyle name="Note 2 6 5_Summary" xfId="22704" xr:uid="{00000000-0005-0000-0000-00006D370000}"/>
    <cellStyle name="Note 2 6 6" xfId="1172" xr:uid="{00000000-0005-0000-0000-00006E370000}"/>
    <cellStyle name="Note 2 6 6 2" xfId="3308" xr:uid="{00000000-0005-0000-0000-00006F370000}"/>
    <cellStyle name="Note 2 6 6 2 2" xfId="9904" xr:uid="{00000000-0005-0000-0000-000070370000}"/>
    <cellStyle name="Note 2 6 6 2 3" xfId="16523" xr:uid="{00000000-0005-0000-0000-000071370000}"/>
    <cellStyle name="Note 2 6 6 2_Summary" xfId="22708" xr:uid="{00000000-0005-0000-0000-000072370000}"/>
    <cellStyle name="Note 2 6 6 3" xfId="5343" xr:uid="{00000000-0005-0000-0000-000073370000}"/>
    <cellStyle name="Note 2 6 6 3 2" xfId="11939" xr:uid="{00000000-0005-0000-0000-000074370000}"/>
    <cellStyle name="Note 2 6 6 3 3" xfId="18558" xr:uid="{00000000-0005-0000-0000-000075370000}"/>
    <cellStyle name="Note 2 6 6 3_Summary" xfId="22709" xr:uid="{00000000-0005-0000-0000-000076370000}"/>
    <cellStyle name="Note 2 6 6 4" xfId="7768" xr:uid="{00000000-0005-0000-0000-000077370000}"/>
    <cellStyle name="Note 2 6 6 5" xfId="14387" xr:uid="{00000000-0005-0000-0000-000078370000}"/>
    <cellStyle name="Note 2 6 6_Summary" xfId="22707" xr:uid="{00000000-0005-0000-0000-000079370000}"/>
    <cellStyle name="Note 2 6 7" xfId="1454" xr:uid="{00000000-0005-0000-0000-00007A370000}"/>
    <cellStyle name="Note 2 6 7 2" xfId="3590" xr:uid="{00000000-0005-0000-0000-00007B370000}"/>
    <cellStyle name="Note 2 6 7 2 2" xfId="10186" xr:uid="{00000000-0005-0000-0000-00007C370000}"/>
    <cellStyle name="Note 2 6 7 2 3" xfId="16805" xr:uid="{00000000-0005-0000-0000-00007D370000}"/>
    <cellStyle name="Note 2 6 7 2_Summary" xfId="22711" xr:uid="{00000000-0005-0000-0000-00007E370000}"/>
    <cellStyle name="Note 2 6 7 3" xfId="5625" xr:uid="{00000000-0005-0000-0000-00007F370000}"/>
    <cellStyle name="Note 2 6 7 3 2" xfId="12221" xr:uid="{00000000-0005-0000-0000-000080370000}"/>
    <cellStyle name="Note 2 6 7 3 3" xfId="18840" xr:uid="{00000000-0005-0000-0000-000081370000}"/>
    <cellStyle name="Note 2 6 7 3_Summary" xfId="22712" xr:uid="{00000000-0005-0000-0000-000082370000}"/>
    <cellStyle name="Note 2 6 7 4" xfId="8050" xr:uid="{00000000-0005-0000-0000-000083370000}"/>
    <cellStyle name="Note 2 6 7 5" xfId="14669" xr:uid="{00000000-0005-0000-0000-000084370000}"/>
    <cellStyle name="Note 2 6 7_Summary" xfId="22710" xr:uid="{00000000-0005-0000-0000-000085370000}"/>
    <cellStyle name="Note 2 6 8" xfId="1735" xr:uid="{00000000-0005-0000-0000-000086370000}"/>
    <cellStyle name="Note 2 6 8 2" xfId="3871" xr:uid="{00000000-0005-0000-0000-000087370000}"/>
    <cellStyle name="Note 2 6 8 2 2" xfId="10467" xr:uid="{00000000-0005-0000-0000-000088370000}"/>
    <cellStyle name="Note 2 6 8 2 3" xfId="17086" xr:uid="{00000000-0005-0000-0000-000089370000}"/>
    <cellStyle name="Note 2 6 8 2_Summary" xfId="22714" xr:uid="{00000000-0005-0000-0000-00008A370000}"/>
    <cellStyle name="Note 2 6 8 3" xfId="5906" xr:uid="{00000000-0005-0000-0000-00008B370000}"/>
    <cellStyle name="Note 2 6 8 3 2" xfId="12502" xr:uid="{00000000-0005-0000-0000-00008C370000}"/>
    <cellStyle name="Note 2 6 8 3 3" xfId="19121" xr:uid="{00000000-0005-0000-0000-00008D370000}"/>
    <cellStyle name="Note 2 6 8 3_Summary" xfId="22715" xr:uid="{00000000-0005-0000-0000-00008E370000}"/>
    <cellStyle name="Note 2 6 8 4" xfId="8331" xr:uid="{00000000-0005-0000-0000-00008F370000}"/>
    <cellStyle name="Note 2 6 8 5" xfId="14950" xr:uid="{00000000-0005-0000-0000-000090370000}"/>
    <cellStyle name="Note 2 6 8_Summary" xfId="22713" xr:uid="{00000000-0005-0000-0000-000091370000}"/>
    <cellStyle name="Note 2 6 9" xfId="2014" xr:uid="{00000000-0005-0000-0000-000092370000}"/>
    <cellStyle name="Note 2 6 9 2" xfId="4150" xr:uid="{00000000-0005-0000-0000-000093370000}"/>
    <cellStyle name="Note 2 6 9 2 2" xfId="10746" xr:uid="{00000000-0005-0000-0000-000094370000}"/>
    <cellStyle name="Note 2 6 9 2 3" xfId="17365" xr:uid="{00000000-0005-0000-0000-000095370000}"/>
    <cellStyle name="Note 2 6 9 2_Summary" xfId="22717" xr:uid="{00000000-0005-0000-0000-000096370000}"/>
    <cellStyle name="Note 2 6 9 3" xfId="6185" xr:uid="{00000000-0005-0000-0000-000097370000}"/>
    <cellStyle name="Note 2 6 9 3 2" xfId="12781" xr:uid="{00000000-0005-0000-0000-000098370000}"/>
    <cellStyle name="Note 2 6 9 3 3" xfId="19400" xr:uid="{00000000-0005-0000-0000-000099370000}"/>
    <cellStyle name="Note 2 6 9 3_Summary" xfId="22718" xr:uid="{00000000-0005-0000-0000-00009A370000}"/>
    <cellStyle name="Note 2 6 9 4" xfId="8610" xr:uid="{00000000-0005-0000-0000-00009B370000}"/>
    <cellStyle name="Note 2 6 9 5" xfId="15229" xr:uid="{00000000-0005-0000-0000-00009C370000}"/>
    <cellStyle name="Note 2 6 9_Summary" xfId="22716" xr:uid="{00000000-0005-0000-0000-00009D370000}"/>
    <cellStyle name="Note 2 6_Summary" xfId="22609" xr:uid="{00000000-0005-0000-0000-00009E370000}"/>
    <cellStyle name="Note 2 60" xfId="25870" xr:uid="{A45E3C51-648C-4CBD-A29E-6C1A920926B7}"/>
    <cellStyle name="Note 2 61" xfId="26077" xr:uid="{E3147F48-2326-434F-98F8-31B12D0FF99B}"/>
    <cellStyle name="Note 2 62" xfId="26668" xr:uid="{D6A420FA-A922-4A28-B935-0CC79FCD1D79}"/>
    <cellStyle name="Note 2 63" xfId="26961" xr:uid="{657D2776-0E58-431B-BE2F-61EF5393C0DC}"/>
    <cellStyle name="Note 2 64" xfId="26574" xr:uid="{912785D2-3EF4-4137-A6EC-CD759E1A50EE}"/>
    <cellStyle name="Note 2 65" xfId="29450" xr:uid="{688D8C05-D931-4CE2-8A12-28BC90D2C693}"/>
    <cellStyle name="Note 2 66" xfId="31020" xr:uid="{3A5DFF80-68D6-4D14-B420-47402CB1A21B}"/>
    <cellStyle name="Note 2 7" xfId="184" xr:uid="{00000000-0005-0000-0000-00009F370000}"/>
    <cellStyle name="Note 2 7 10" xfId="2293" xr:uid="{00000000-0005-0000-0000-0000A0370000}"/>
    <cellStyle name="Note 2 7 10 2" xfId="4429" xr:uid="{00000000-0005-0000-0000-0000A1370000}"/>
    <cellStyle name="Note 2 7 10 2 2" xfId="11025" xr:uid="{00000000-0005-0000-0000-0000A2370000}"/>
    <cellStyle name="Note 2 7 10 2 3" xfId="17644" xr:uid="{00000000-0005-0000-0000-0000A3370000}"/>
    <cellStyle name="Note 2 7 10 2_Summary" xfId="22721" xr:uid="{00000000-0005-0000-0000-0000A4370000}"/>
    <cellStyle name="Note 2 7 10 3" xfId="6464" xr:uid="{00000000-0005-0000-0000-0000A5370000}"/>
    <cellStyle name="Note 2 7 10 3 2" xfId="13060" xr:uid="{00000000-0005-0000-0000-0000A6370000}"/>
    <cellStyle name="Note 2 7 10 3 3" xfId="19679" xr:uid="{00000000-0005-0000-0000-0000A7370000}"/>
    <cellStyle name="Note 2 7 10 3_Summary" xfId="22722" xr:uid="{00000000-0005-0000-0000-0000A8370000}"/>
    <cellStyle name="Note 2 7 10 4" xfId="8889" xr:uid="{00000000-0005-0000-0000-0000A9370000}"/>
    <cellStyle name="Note 2 7 10 5" xfId="15508" xr:uid="{00000000-0005-0000-0000-0000AA370000}"/>
    <cellStyle name="Note 2 7 10_Summary" xfId="22720" xr:uid="{00000000-0005-0000-0000-0000AB370000}"/>
    <cellStyle name="Note 2 7 11" xfId="2612" xr:uid="{00000000-0005-0000-0000-0000AC370000}"/>
    <cellStyle name="Note 2 7 11 2" xfId="9208" xr:uid="{00000000-0005-0000-0000-0000AD370000}"/>
    <cellStyle name="Note 2 7 11 3" xfId="15827" xr:uid="{00000000-0005-0000-0000-0000AE370000}"/>
    <cellStyle name="Note 2 7 11_Summary" xfId="22723" xr:uid="{00000000-0005-0000-0000-0000AF370000}"/>
    <cellStyle name="Note 2 7 12" xfId="2563" xr:uid="{00000000-0005-0000-0000-0000B0370000}"/>
    <cellStyle name="Note 2 7 12 2" xfId="9159" xr:uid="{00000000-0005-0000-0000-0000B1370000}"/>
    <cellStyle name="Note 2 7 12 3" xfId="15778" xr:uid="{00000000-0005-0000-0000-0000B2370000}"/>
    <cellStyle name="Note 2 7 12_Summary" xfId="22724" xr:uid="{00000000-0005-0000-0000-0000B3370000}"/>
    <cellStyle name="Note 2 7 13" xfId="501" xr:uid="{00000000-0005-0000-0000-0000B4370000}"/>
    <cellStyle name="Note 2 7 13 2" xfId="13716" xr:uid="{00000000-0005-0000-0000-0000B5370000}"/>
    <cellStyle name="Note 2 7 13_Summary" xfId="22725" xr:uid="{00000000-0005-0000-0000-0000B6370000}"/>
    <cellStyle name="Note 2 7 14" xfId="7092" xr:uid="{00000000-0005-0000-0000-0000B7370000}"/>
    <cellStyle name="Note 2 7 15" xfId="6979" xr:uid="{00000000-0005-0000-0000-0000B8370000}"/>
    <cellStyle name="Note 2 7 16" xfId="29471" xr:uid="{28A0A896-6D59-4C9D-900B-668A9614990F}"/>
    <cellStyle name="Note 2 7 17" xfId="31041" xr:uid="{7EC6633D-DA05-4ABA-B251-60707F34A2AF}"/>
    <cellStyle name="Note 2 7 2" xfId="316" xr:uid="{00000000-0005-0000-0000-0000B9370000}"/>
    <cellStyle name="Note 2 7 2 10" xfId="4737" xr:uid="{00000000-0005-0000-0000-0000BA370000}"/>
    <cellStyle name="Note 2 7 2 10 2" xfId="11333" xr:uid="{00000000-0005-0000-0000-0000BB370000}"/>
    <cellStyle name="Note 2 7 2 10 3" xfId="17952" xr:uid="{00000000-0005-0000-0000-0000BC370000}"/>
    <cellStyle name="Note 2 7 2 10_Summary" xfId="22727" xr:uid="{00000000-0005-0000-0000-0000BD370000}"/>
    <cellStyle name="Note 2 7 2 11" xfId="566" xr:uid="{00000000-0005-0000-0000-0000BE370000}"/>
    <cellStyle name="Note 2 7 2 11 2" xfId="13781" xr:uid="{00000000-0005-0000-0000-0000BF370000}"/>
    <cellStyle name="Note 2 7 2 11_Summary" xfId="22728" xr:uid="{00000000-0005-0000-0000-0000C0370000}"/>
    <cellStyle name="Note 2 7 2 12" xfId="7210" xr:uid="{00000000-0005-0000-0000-0000C1370000}"/>
    <cellStyle name="Note 2 7 2 13" xfId="13532" xr:uid="{00000000-0005-0000-0000-0000C2370000}"/>
    <cellStyle name="Note 2 7 2 14" xfId="29472" xr:uid="{24112237-4A83-471E-9F64-1DECB1B9D8A5}"/>
    <cellStyle name="Note 2 7 2 15" xfId="31042" xr:uid="{2680F354-059F-4E3F-8A7B-3ED8E35FC3D4}"/>
    <cellStyle name="Note 2 7 2 2" xfId="445" xr:uid="{00000000-0005-0000-0000-0000C3370000}"/>
    <cellStyle name="Note 2 7 2 2 10" xfId="839" xr:uid="{00000000-0005-0000-0000-0000C4370000}"/>
    <cellStyle name="Note 2 7 2 2 10 2" xfId="14054" xr:uid="{00000000-0005-0000-0000-0000C5370000}"/>
    <cellStyle name="Note 2 7 2 2 10_Summary" xfId="22730" xr:uid="{00000000-0005-0000-0000-0000C6370000}"/>
    <cellStyle name="Note 2 7 2 2 11" xfId="7338" xr:uid="{00000000-0005-0000-0000-0000C7370000}"/>
    <cellStyle name="Note 2 7 2 2 12" xfId="13660" xr:uid="{00000000-0005-0000-0000-0000C8370000}"/>
    <cellStyle name="Note 2 7 2 2 13" xfId="30327" xr:uid="{AA3E3385-35AB-4E1D-8BDC-E309E81D0C7F}"/>
    <cellStyle name="Note 2 7 2 2 14" xfId="31759" xr:uid="{C92D1F86-83AC-4B7E-81D2-DAFC0CD80E90}"/>
    <cellStyle name="Note 2 7 2 2 2" xfId="1139" xr:uid="{00000000-0005-0000-0000-0000C9370000}"/>
    <cellStyle name="Note 2 7 2 2 2 2" xfId="3275" xr:uid="{00000000-0005-0000-0000-0000CA370000}"/>
    <cellStyle name="Note 2 7 2 2 2 2 2" xfId="9871" xr:uid="{00000000-0005-0000-0000-0000CB370000}"/>
    <cellStyle name="Note 2 7 2 2 2 2 3" xfId="16490" xr:uid="{00000000-0005-0000-0000-0000CC370000}"/>
    <cellStyle name="Note 2 7 2 2 2 2_Summary" xfId="22732" xr:uid="{00000000-0005-0000-0000-0000CD370000}"/>
    <cellStyle name="Note 2 7 2 2 2 3" xfId="5310" xr:uid="{00000000-0005-0000-0000-0000CE370000}"/>
    <cellStyle name="Note 2 7 2 2 2 3 2" xfId="11906" xr:uid="{00000000-0005-0000-0000-0000CF370000}"/>
    <cellStyle name="Note 2 7 2 2 2 3 3" xfId="18525" xr:uid="{00000000-0005-0000-0000-0000D0370000}"/>
    <cellStyle name="Note 2 7 2 2 2 3_Summary" xfId="22733" xr:uid="{00000000-0005-0000-0000-0000D1370000}"/>
    <cellStyle name="Note 2 7 2 2 2 4" xfId="7735" xr:uid="{00000000-0005-0000-0000-0000D2370000}"/>
    <cellStyle name="Note 2 7 2 2 2 5" xfId="14354" xr:uid="{00000000-0005-0000-0000-0000D3370000}"/>
    <cellStyle name="Note 2 7 2 2 2_Summary" xfId="22731" xr:uid="{00000000-0005-0000-0000-0000D4370000}"/>
    <cellStyle name="Note 2 7 2 2 3" xfId="1421" xr:uid="{00000000-0005-0000-0000-0000D5370000}"/>
    <cellStyle name="Note 2 7 2 2 3 2" xfId="3557" xr:uid="{00000000-0005-0000-0000-0000D6370000}"/>
    <cellStyle name="Note 2 7 2 2 3 2 2" xfId="10153" xr:uid="{00000000-0005-0000-0000-0000D7370000}"/>
    <cellStyle name="Note 2 7 2 2 3 2 3" xfId="16772" xr:uid="{00000000-0005-0000-0000-0000D8370000}"/>
    <cellStyle name="Note 2 7 2 2 3 2_Summary" xfId="22735" xr:uid="{00000000-0005-0000-0000-0000D9370000}"/>
    <cellStyle name="Note 2 7 2 2 3 3" xfId="5592" xr:uid="{00000000-0005-0000-0000-0000DA370000}"/>
    <cellStyle name="Note 2 7 2 2 3 3 2" xfId="12188" xr:uid="{00000000-0005-0000-0000-0000DB370000}"/>
    <cellStyle name="Note 2 7 2 2 3 3 3" xfId="18807" xr:uid="{00000000-0005-0000-0000-0000DC370000}"/>
    <cellStyle name="Note 2 7 2 2 3 3_Summary" xfId="22736" xr:uid="{00000000-0005-0000-0000-0000DD370000}"/>
    <cellStyle name="Note 2 7 2 2 3 4" xfId="8017" xr:uid="{00000000-0005-0000-0000-0000DE370000}"/>
    <cellStyle name="Note 2 7 2 2 3 5" xfId="14636" xr:uid="{00000000-0005-0000-0000-0000DF370000}"/>
    <cellStyle name="Note 2 7 2 2 3_Summary" xfId="22734" xr:uid="{00000000-0005-0000-0000-0000E0370000}"/>
    <cellStyle name="Note 2 7 2 2 4" xfId="1702" xr:uid="{00000000-0005-0000-0000-0000E1370000}"/>
    <cellStyle name="Note 2 7 2 2 4 2" xfId="3838" xr:uid="{00000000-0005-0000-0000-0000E2370000}"/>
    <cellStyle name="Note 2 7 2 2 4 2 2" xfId="10434" xr:uid="{00000000-0005-0000-0000-0000E3370000}"/>
    <cellStyle name="Note 2 7 2 2 4 2 3" xfId="17053" xr:uid="{00000000-0005-0000-0000-0000E4370000}"/>
    <cellStyle name="Note 2 7 2 2 4 2_Summary" xfId="22738" xr:uid="{00000000-0005-0000-0000-0000E5370000}"/>
    <cellStyle name="Note 2 7 2 2 4 3" xfId="5873" xr:uid="{00000000-0005-0000-0000-0000E6370000}"/>
    <cellStyle name="Note 2 7 2 2 4 3 2" xfId="12469" xr:uid="{00000000-0005-0000-0000-0000E7370000}"/>
    <cellStyle name="Note 2 7 2 2 4 3 3" xfId="19088" xr:uid="{00000000-0005-0000-0000-0000E8370000}"/>
    <cellStyle name="Note 2 7 2 2 4 3_Summary" xfId="22739" xr:uid="{00000000-0005-0000-0000-0000E9370000}"/>
    <cellStyle name="Note 2 7 2 2 4 4" xfId="8298" xr:uid="{00000000-0005-0000-0000-0000EA370000}"/>
    <cellStyle name="Note 2 7 2 2 4 5" xfId="14917" xr:uid="{00000000-0005-0000-0000-0000EB370000}"/>
    <cellStyle name="Note 2 7 2 2 4_Summary" xfId="22737" xr:uid="{00000000-0005-0000-0000-0000EC370000}"/>
    <cellStyle name="Note 2 7 2 2 5" xfId="1981" xr:uid="{00000000-0005-0000-0000-0000ED370000}"/>
    <cellStyle name="Note 2 7 2 2 5 2" xfId="4117" xr:uid="{00000000-0005-0000-0000-0000EE370000}"/>
    <cellStyle name="Note 2 7 2 2 5 2 2" xfId="10713" xr:uid="{00000000-0005-0000-0000-0000EF370000}"/>
    <cellStyle name="Note 2 7 2 2 5 2 3" xfId="17332" xr:uid="{00000000-0005-0000-0000-0000F0370000}"/>
    <cellStyle name="Note 2 7 2 2 5 2_Summary" xfId="22741" xr:uid="{00000000-0005-0000-0000-0000F1370000}"/>
    <cellStyle name="Note 2 7 2 2 5 3" xfId="6152" xr:uid="{00000000-0005-0000-0000-0000F2370000}"/>
    <cellStyle name="Note 2 7 2 2 5 3 2" xfId="12748" xr:uid="{00000000-0005-0000-0000-0000F3370000}"/>
    <cellStyle name="Note 2 7 2 2 5 3 3" xfId="19367" xr:uid="{00000000-0005-0000-0000-0000F4370000}"/>
    <cellStyle name="Note 2 7 2 2 5 3_Summary" xfId="22742" xr:uid="{00000000-0005-0000-0000-0000F5370000}"/>
    <cellStyle name="Note 2 7 2 2 5 4" xfId="8577" xr:uid="{00000000-0005-0000-0000-0000F6370000}"/>
    <cellStyle name="Note 2 7 2 2 5 5" xfId="15196" xr:uid="{00000000-0005-0000-0000-0000F7370000}"/>
    <cellStyle name="Note 2 7 2 2 5_Summary" xfId="22740" xr:uid="{00000000-0005-0000-0000-0000F8370000}"/>
    <cellStyle name="Note 2 7 2 2 6" xfId="2256" xr:uid="{00000000-0005-0000-0000-0000F9370000}"/>
    <cellStyle name="Note 2 7 2 2 6 2" xfId="4392" xr:uid="{00000000-0005-0000-0000-0000FA370000}"/>
    <cellStyle name="Note 2 7 2 2 6 2 2" xfId="10988" xr:uid="{00000000-0005-0000-0000-0000FB370000}"/>
    <cellStyle name="Note 2 7 2 2 6 2 3" xfId="17607" xr:uid="{00000000-0005-0000-0000-0000FC370000}"/>
    <cellStyle name="Note 2 7 2 2 6 2_Summary" xfId="22744" xr:uid="{00000000-0005-0000-0000-0000FD370000}"/>
    <cellStyle name="Note 2 7 2 2 6 3" xfId="6427" xr:uid="{00000000-0005-0000-0000-0000FE370000}"/>
    <cellStyle name="Note 2 7 2 2 6 3 2" xfId="13023" xr:uid="{00000000-0005-0000-0000-0000FF370000}"/>
    <cellStyle name="Note 2 7 2 2 6 3 3" xfId="19642" xr:uid="{00000000-0005-0000-0000-000000380000}"/>
    <cellStyle name="Note 2 7 2 2 6 3_Summary" xfId="22745" xr:uid="{00000000-0005-0000-0000-000001380000}"/>
    <cellStyle name="Note 2 7 2 2 6 4" xfId="8852" xr:uid="{00000000-0005-0000-0000-000002380000}"/>
    <cellStyle name="Note 2 7 2 2 6 5" xfId="15471" xr:uid="{00000000-0005-0000-0000-000003380000}"/>
    <cellStyle name="Note 2 7 2 2 6_Summary" xfId="22743" xr:uid="{00000000-0005-0000-0000-000004380000}"/>
    <cellStyle name="Note 2 7 2 2 7" xfId="2529" xr:uid="{00000000-0005-0000-0000-000005380000}"/>
    <cellStyle name="Note 2 7 2 2 7 2" xfId="4665" xr:uid="{00000000-0005-0000-0000-000006380000}"/>
    <cellStyle name="Note 2 7 2 2 7 2 2" xfId="11261" xr:uid="{00000000-0005-0000-0000-000007380000}"/>
    <cellStyle name="Note 2 7 2 2 7 2 3" xfId="17880" xr:uid="{00000000-0005-0000-0000-000008380000}"/>
    <cellStyle name="Note 2 7 2 2 7 2_Summary" xfId="22747" xr:uid="{00000000-0005-0000-0000-000009380000}"/>
    <cellStyle name="Note 2 7 2 2 7 3" xfId="6700" xr:uid="{00000000-0005-0000-0000-00000A380000}"/>
    <cellStyle name="Note 2 7 2 2 7 3 2" xfId="13296" xr:uid="{00000000-0005-0000-0000-00000B380000}"/>
    <cellStyle name="Note 2 7 2 2 7 3 3" xfId="19915" xr:uid="{00000000-0005-0000-0000-00000C380000}"/>
    <cellStyle name="Note 2 7 2 2 7 3_Summary" xfId="22748" xr:uid="{00000000-0005-0000-0000-00000D380000}"/>
    <cellStyle name="Note 2 7 2 2 7 4" xfId="9125" xr:uid="{00000000-0005-0000-0000-00000E380000}"/>
    <cellStyle name="Note 2 7 2 2 7 5" xfId="15744" xr:uid="{00000000-0005-0000-0000-00000F380000}"/>
    <cellStyle name="Note 2 7 2 2 7_Summary" xfId="22746" xr:uid="{00000000-0005-0000-0000-000010380000}"/>
    <cellStyle name="Note 2 7 2 2 8" xfId="2975" xr:uid="{00000000-0005-0000-0000-000011380000}"/>
    <cellStyle name="Note 2 7 2 2 8 2" xfId="9571" xr:uid="{00000000-0005-0000-0000-000012380000}"/>
    <cellStyle name="Note 2 7 2 2 8 3" xfId="16190" xr:uid="{00000000-0005-0000-0000-000013380000}"/>
    <cellStyle name="Note 2 7 2 2 8_Summary" xfId="22749" xr:uid="{00000000-0005-0000-0000-000014380000}"/>
    <cellStyle name="Note 2 7 2 2 9" xfId="5010" xr:uid="{00000000-0005-0000-0000-000015380000}"/>
    <cellStyle name="Note 2 7 2 2 9 2" xfId="11606" xr:uid="{00000000-0005-0000-0000-000016380000}"/>
    <cellStyle name="Note 2 7 2 2 9 3" xfId="18225" xr:uid="{00000000-0005-0000-0000-000017380000}"/>
    <cellStyle name="Note 2 7 2 2 9_Summary" xfId="22750" xr:uid="{00000000-0005-0000-0000-000018380000}"/>
    <cellStyle name="Note 2 7 2 2_Summary" xfId="22729" xr:uid="{00000000-0005-0000-0000-000019380000}"/>
    <cellStyle name="Note 2 7 2 3" xfId="1011" xr:uid="{00000000-0005-0000-0000-00001A380000}"/>
    <cellStyle name="Note 2 7 2 3 2" xfId="3147" xr:uid="{00000000-0005-0000-0000-00001B380000}"/>
    <cellStyle name="Note 2 7 2 3 2 2" xfId="9743" xr:uid="{00000000-0005-0000-0000-00001C380000}"/>
    <cellStyle name="Note 2 7 2 3 2 3" xfId="16362" xr:uid="{00000000-0005-0000-0000-00001D380000}"/>
    <cellStyle name="Note 2 7 2 3 2_Summary" xfId="22752" xr:uid="{00000000-0005-0000-0000-00001E380000}"/>
    <cellStyle name="Note 2 7 2 3 3" xfId="5182" xr:uid="{00000000-0005-0000-0000-00001F380000}"/>
    <cellStyle name="Note 2 7 2 3 3 2" xfId="11778" xr:uid="{00000000-0005-0000-0000-000020380000}"/>
    <cellStyle name="Note 2 7 2 3 3 3" xfId="18397" xr:uid="{00000000-0005-0000-0000-000021380000}"/>
    <cellStyle name="Note 2 7 2 3 3_Summary" xfId="22753" xr:uid="{00000000-0005-0000-0000-000022380000}"/>
    <cellStyle name="Note 2 7 2 3 4" xfId="7608" xr:uid="{00000000-0005-0000-0000-000023380000}"/>
    <cellStyle name="Note 2 7 2 3 5" xfId="14226" xr:uid="{00000000-0005-0000-0000-000024380000}"/>
    <cellStyle name="Note 2 7 2 3_Summary" xfId="22751" xr:uid="{00000000-0005-0000-0000-000025380000}"/>
    <cellStyle name="Note 2 7 2 4" xfId="1293" xr:uid="{00000000-0005-0000-0000-000026380000}"/>
    <cellStyle name="Note 2 7 2 4 2" xfId="3429" xr:uid="{00000000-0005-0000-0000-000027380000}"/>
    <cellStyle name="Note 2 7 2 4 2 2" xfId="10025" xr:uid="{00000000-0005-0000-0000-000028380000}"/>
    <cellStyle name="Note 2 7 2 4 2 3" xfId="16644" xr:uid="{00000000-0005-0000-0000-000029380000}"/>
    <cellStyle name="Note 2 7 2 4 2_Summary" xfId="22755" xr:uid="{00000000-0005-0000-0000-00002A380000}"/>
    <cellStyle name="Note 2 7 2 4 3" xfId="5464" xr:uid="{00000000-0005-0000-0000-00002B380000}"/>
    <cellStyle name="Note 2 7 2 4 3 2" xfId="12060" xr:uid="{00000000-0005-0000-0000-00002C380000}"/>
    <cellStyle name="Note 2 7 2 4 3 3" xfId="18679" xr:uid="{00000000-0005-0000-0000-00002D380000}"/>
    <cellStyle name="Note 2 7 2 4 3_Summary" xfId="22756" xr:uid="{00000000-0005-0000-0000-00002E380000}"/>
    <cellStyle name="Note 2 7 2 4 4" xfId="7889" xr:uid="{00000000-0005-0000-0000-00002F380000}"/>
    <cellStyle name="Note 2 7 2 4 5" xfId="14508" xr:uid="{00000000-0005-0000-0000-000030380000}"/>
    <cellStyle name="Note 2 7 2 4_Summary" xfId="22754" xr:uid="{00000000-0005-0000-0000-000031380000}"/>
    <cellStyle name="Note 2 7 2 5" xfId="1574" xr:uid="{00000000-0005-0000-0000-000032380000}"/>
    <cellStyle name="Note 2 7 2 5 2" xfId="3710" xr:uid="{00000000-0005-0000-0000-000033380000}"/>
    <cellStyle name="Note 2 7 2 5 2 2" xfId="10306" xr:uid="{00000000-0005-0000-0000-000034380000}"/>
    <cellStyle name="Note 2 7 2 5 2 3" xfId="16925" xr:uid="{00000000-0005-0000-0000-000035380000}"/>
    <cellStyle name="Note 2 7 2 5 2_Summary" xfId="22758" xr:uid="{00000000-0005-0000-0000-000036380000}"/>
    <cellStyle name="Note 2 7 2 5 3" xfId="5745" xr:uid="{00000000-0005-0000-0000-000037380000}"/>
    <cellStyle name="Note 2 7 2 5 3 2" xfId="12341" xr:uid="{00000000-0005-0000-0000-000038380000}"/>
    <cellStyle name="Note 2 7 2 5 3 3" xfId="18960" xr:uid="{00000000-0005-0000-0000-000039380000}"/>
    <cellStyle name="Note 2 7 2 5 3_Summary" xfId="22759" xr:uid="{00000000-0005-0000-0000-00003A380000}"/>
    <cellStyle name="Note 2 7 2 5 4" xfId="8170" xr:uid="{00000000-0005-0000-0000-00003B380000}"/>
    <cellStyle name="Note 2 7 2 5 5" xfId="14789" xr:uid="{00000000-0005-0000-0000-00003C380000}"/>
    <cellStyle name="Note 2 7 2 5_Summary" xfId="22757" xr:uid="{00000000-0005-0000-0000-00003D380000}"/>
    <cellStyle name="Note 2 7 2 6" xfId="1853" xr:uid="{00000000-0005-0000-0000-00003E380000}"/>
    <cellStyle name="Note 2 7 2 6 2" xfId="3989" xr:uid="{00000000-0005-0000-0000-00003F380000}"/>
    <cellStyle name="Note 2 7 2 6 2 2" xfId="10585" xr:uid="{00000000-0005-0000-0000-000040380000}"/>
    <cellStyle name="Note 2 7 2 6 2 3" xfId="17204" xr:uid="{00000000-0005-0000-0000-000041380000}"/>
    <cellStyle name="Note 2 7 2 6 2_Summary" xfId="22761" xr:uid="{00000000-0005-0000-0000-000042380000}"/>
    <cellStyle name="Note 2 7 2 6 3" xfId="6024" xr:uid="{00000000-0005-0000-0000-000043380000}"/>
    <cellStyle name="Note 2 7 2 6 3 2" xfId="12620" xr:uid="{00000000-0005-0000-0000-000044380000}"/>
    <cellStyle name="Note 2 7 2 6 3 3" xfId="19239" xr:uid="{00000000-0005-0000-0000-000045380000}"/>
    <cellStyle name="Note 2 7 2 6 3_Summary" xfId="22762" xr:uid="{00000000-0005-0000-0000-000046380000}"/>
    <cellStyle name="Note 2 7 2 6 4" xfId="8449" xr:uid="{00000000-0005-0000-0000-000047380000}"/>
    <cellStyle name="Note 2 7 2 6 5" xfId="15068" xr:uid="{00000000-0005-0000-0000-000048380000}"/>
    <cellStyle name="Note 2 7 2 6_Summary" xfId="22760" xr:uid="{00000000-0005-0000-0000-000049380000}"/>
    <cellStyle name="Note 2 7 2 7" xfId="2128" xr:uid="{00000000-0005-0000-0000-00004A380000}"/>
    <cellStyle name="Note 2 7 2 7 2" xfId="4264" xr:uid="{00000000-0005-0000-0000-00004B380000}"/>
    <cellStyle name="Note 2 7 2 7 2 2" xfId="10860" xr:uid="{00000000-0005-0000-0000-00004C380000}"/>
    <cellStyle name="Note 2 7 2 7 2 3" xfId="17479" xr:uid="{00000000-0005-0000-0000-00004D380000}"/>
    <cellStyle name="Note 2 7 2 7 2_Summary" xfId="22764" xr:uid="{00000000-0005-0000-0000-00004E380000}"/>
    <cellStyle name="Note 2 7 2 7 3" xfId="6299" xr:uid="{00000000-0005-0000-0000-00004F380000}"/>
    <cellStyle name="Note 2 7 2 7 3 2" xfId="12895" xr:uid="{00000000-0005-0000-0000-000050380000}"/>
    <cellStyle name="Note 2 7 2 7 3 3" xfId="19514" xr:uid="{00000000-0005-0000-0000-000051380000}"/>
    <cellStyle name="Note 2 7 2 7 3_Summary" xfId="22765" xr:uid="{00000000-0005-0000-0000-000052380000}"/>
    <cellStyle name="Note 2 7 2 7 4" xfId="8724" xr:uid="{00000000-0005-0000-0000-000053380000}"/>
    <cellStyle name="Note 2 7 2 7 5" xfId="15343" xr:uid="{00000000-0005-0000-0000-000054380000}"/>
    <cellStyle name="Note 2 7 2 7_Summary" xfId="22763" xr:uid="{00000000-0005-0000-0000-000055380000}"/>
    <cellStyle name="Note 2 7 2 8" xfId="2401" xr:uid="{00000000-0005-0000-0000-000056380000}"/>
    <cellStyle name="Note 2 7 2 8 2" xfId="4537" xr:uid="{00000000-0005-0000-0000-000057380000}"/>
    <cellStyle name="Note 2 7 2 8 2 2" xfId="11133" xr:uid="{00000000-0005-0000-0000-000058380000}"/>
    <cellStyle name="Note 2 7 2 8 2 3" xfId="17752" xr:uid="{00000000-0005-0000-0000-000059380000}"/>
    <cellStyle name="Note 2 7 2 8 2_Summary" xfId="22767" xr:uid="{00000000-0005-0000-0000-00005A380000}"/>
    <cellStyle name="Note 2 7 2 8 3" xfId="6572" xr:uid="{00000000-0005-0000-0000-00005B380000}"/>
    <cellStyle name="Note 2 7 2 8 3 2" xfId="13168" xr:uid="{00000000-0005-0000-0000-00005C380000}"/>
    <cellStyle name="Note 2 7 2 8 3 3" xfId="19787" xr:uid="{00000000-0005-0000-0000-00005D380000}"/>
    <cellStyle name="Note 2 7 2 8 3_Summary" xfId="22768" xr:uid="{00000000-0005-0000-0000-00005E380000}"/>
    <cellStyle name="Note 2 7 2 8 4" xfId="8997" xr:uid="{00000000-0005-0000-0000-00005F380000}"/>
    <cellStyle name="Note 2 7 2 8 5" xfId="15616" xr:uid="{00000000-0005-0000-0000-000060380000}"/>
    <cellStyle name="Note 2 7 2 8_Summary" xfId="22766" xr:uid="{00000000-0005-0000-0000-000061380000}"/>
    <cellStyle name="Note 2 7 2 9" xfId="2702" xr:uid="{00000000-0005-0000-0000-000062380000}"/>
    <cellStyle name="Note 2 7 2 9 2" xfId="9298" xr:uid="{00000000-0005-0000-0000-000063380000}"/>
    <cellStyle name="Note 2 7 2 9 3" xfId="15917" xr:uid="{00000000-0005-0000-0000-000064380000}"/>
    <cellStyle name="Note 2 7 2 9_Summary" xfId="22769" xr:uid="{00000000-0005-0000-0000-000065380000}"/>
    <cellStyle name="Note 2 7 2_Summary" xfId="22726" xr:uid="{00000000-0005-0000-0000-000066380000}"/>
    <cellStyle name="Note 2 7 3" xfId="230" xr:uid="{00000000-0005-0000-0000-000067380000}"/>
    <cellStyle name="Note 2 7 3 10" xfId="767" xr:uid="{00000000-0005-0000-0000-000068380000}"/>
    <cellStyle name="Note 2 7 3 10 2" xfId="13982" xr:uid="{00000000-0005-0000-0000-000069380000}"/>
    <cellStyle name="Note 2 7 3 10_Summary" xfId="22771" xr:uid="{00000000-0005-0000-0000-00006A380000}"/>
    <cellStyle name="Note 2 7 3 11" xfId="7137" xr:uid="{00000000-0005-0000-0000-00006B380000}"/>
    <cellStyle name="Note 2 7 3 12" xfId="7012" xr:uid="{00000000-0005-0000-0000-00006C380000}"/>
    <cellStyle name="Note 2 7 3 13" xfId="29473" xr:uid="{826A2971-455E-4844-8DD7-C4976F0A58FC}"/>
    <cellStyle name="Note 2 7 3 14" xfId="31043" xr:uid="{240D5B84-8D51-4A78-928C-7358BA7C45CD}"/>
    <cellStyle name="Note 2 7 3 2" xfId="935" xr:uid="{00000000-0005-0000-0000-00006D380000}"/>
    <cellStyle name="Note 2 7 3 2 2" xfId="3071" xr:uid="{00000000-0005-0000-0000-00006E380000}"/>
    <cellStyle name="Note 2 7 3 2 2 2" xfId="9667" xr:uid="{00000000-0005-0000-0000-00006F380000}"/>
    <cellStyle name="Note 2 7 3 2 2 3" xfId="16286" xr:uid="{00000000-0005-0000-0000-000070380000}"/>
    <cellStyle name="Note 2 7 3 2 2_Summary" xfId="22773" xr:uid="{00000000-0005-0000-0000-000071380000}"/>
    <cellStyle name="Note 2 7 3 2 3" xfId="5106" xr:uid="{00000000-0005-0000-0000-000072380000}"/>
    <cellStyle name="Note 2 7 3 2 3 2" xfId="11702" xr:uid="{00000000-0005-0000-0000-000073380000}"/>
    <cellStyle name="Note 2 7 3 2 3 3" xfId="18321" xr:uid="{00000000-0005-0000-0000-000074380000}"/>
    <cellStyle name="Note 2 7 3 2 3_Summary" xfId="22774" xr:uid="{00000000-0005-0000-0000-000075380000}"/>
    <cellStyle name="Note 2 7 3 2 4" xfId="7532" xr:uid="{00000000-0005-0000-0000-000076380000}"/>
    <cellStyle name="Note 2 7 3 2 5" xfId="14150" xr:uid="{00000000-0005-0000-0000-000077380000}"/>
    <cellStyle name="Note 2 7 3 2 6" xfId="30328" xr:uid="{F4FDC171-8BEE-48BD-B934-B9AA4554410A}"/>
    <cellStyle name="Note 2 7 3 2 7" xfId="31760" xr:uid="{371BAF50-958D-4408-AAD0-D37515253DC5}"/>
    <cellStyle name="Note 2 7 3 2_Summary" xfId="22772" xr:uid="{00000000-0005-0000-0000-000078380000}"/>
    <cellStyle name="Note 2 7 3 3" xfId="1220" xr:uid="{00000000-0005-0000-0000-000079380000}"/>
    <cellStyle name="Note 2 7 3 3 2" xfId="3356" xr:uid="{00000000-0005-0000-0000-00007A380000}"/>
    <cellStyle name="Note 2 7 3 3 2 2" xfId="9952" xr:uid="{00000000-0005-0000-0000-00007B380000}"/>
    <cellStyle name="Note 2 7 3 3 2 3" xfId="16571" xr:uid="{00000000-0005-0000-0000-00007C380000}"/>
    <cellStyle name="Note 2 7 3 3 2_Summary" xfId="22776" xr:uid="{00000000-0005-0000-0000-00007D380000}"/>
    <cellStyle name="Note 2 7 3 3 3" xfId="5391" xr:uid="{00000000-0005-0000-0000-00007E380000}"/>
    <cellStyle name="Note 2 7 3 3 3 2" xfId="11987" xr:uid="{00000000-0005-0000-0000-00007F380000}"/>
    <cellStyle name="Note 2 7 3 3 3 3" xfId="18606" xr:uid="{00000000-0005-0000-0000-000080380000}"/>
    <cellStyle name="Note 2 7 3 3 3_Summary" xfId="22777" xr:uid="{00000000-0005-0000-0000-000081380000}"/>
    <cellStyle name="Note 2 7 3 3 4" xfId="7816" xr:uid="{00000000-0005-0000-0000-000082380000}"/>
    <cellStyle name="Note 2 7 3 3 5" xfId="14435" xr:uid="{00000000-0005-0000-0000-000083380000}"/>
    <cellStyle name="Note 2 7 3 3_Summary" xfId="22775" xr:uid="{00000000-0005-0000-0000-000084380000}"/>
    <cellStyle name="Note 2 7 3 4" xfId="1502" xr:uid="{00000000-0005-0000-0000-000085380000}"/>
    <cellStyle name="Note 2 7 3 4 2" xfId="3638" xr:uid="{00000000-0005-0000-0000-000086380000}"/>
    <cellStyle name="Note 2 7 3 4 2 2" xfId="10234" xr:uid="{00000000-0005-0000-0000-000087380000}"/>
    <cellStyle name="Note 2 7 3 4 2 3" xfId="16853" xr:uid="{00000000-0005-0000-0000-000088380000}"/>
    <cellStyle name="Note 2 7 3 4 2_Summary" xfId="22779" xr:uid="{00000000-0005-0000-0000-000089380000}"/>
    <cellStyle name="Note 2 7 3 4 3" xfId="5673" xr:uid="{00000000-0005-0000-0000-00008A380000}"/>
    <cellStyle name="Note 2 7 3 4 3 2" xfId="12269" xr:uid="{00000000-0005-0000-0000-00008B380000}"/>
    <cellStyle name="Note 2 7 3 4 3 3" xfId="18888" xr:uid="{00000000-0005-0000-0000-00008C380000}"/>
    <cellStyle name="Note 2 7 3 4 3_Summary" xfId="22780" xr:uid="{00000000-0005-0000-0000-00008D380000}"/>
    <cellStyle name="Note 2 7 3 4 4" xfId="8098" xr:uid="{00000000-0005-0000-0000-00008E380000}"/>
    <cellStyle name="Note 2 7 3 4 5" xfId="14717" xr:uid="{00000000-0005-0000-0000-00008F380000}"/>
    <cellStyle name="Note 2 7 3 4_Summary" xfId="22778" xr:uid="{00000000-0005-0000-0000-000090380000}"/>
    <cellStyle name="Note 2 7 3 5" xfId="1783" xr:uid="{00000000-0005-0000-0000-000091380000}"/>
    <cellStyle name="Note 2 7 3 5 2" xfId="3919" xr:uid="{00000000-0005-0000-0000-000092380000}"/>
    <cellStyle name="Note 2 7 3 5 2 2" xfId="10515" xr:uid="{00000000-0005-0000-0000-000093380000}"/>
    <cellStyle name="Note 2 7 3 5 2 3" xfId="17134" xr:uid="{00000000-0005-0000-0000-000094380000}"/>
    <cellStyle name="Note 2 7 3 5 2_Summary" xfId="22782" xr:uid="{00000000-0005-0000-0000-000095380000}"/>
    <cellStyle name="Note 2 7 3 5 3" xfId="5954" xr:uid="{00000000-0005-0000-0000-000096380000}"/>
    <cellStyle name="Note 2 7 3 5 3 2" xfId="12550" xr:uid="{00000000-0005-0000-0000-000097380000}"/>
    <cellStyle name="Note 2 7 3 5 3 3" xfId="19169" xr:uid="{00000000-0005-0000-0000-000098380000}"/>
    <cellStyle name="Note 2 7 3 5 3_Summary" xfId="22783" xr:uid="{00000000-0005-0000-0000-000099380000}"/>
    <cellStyle name="Note 2 7 3 5 4" xfId="8379" xr:uid="{00000000-0005-0000-0000-00009A380000}"/>
    <cellStyle name="Note 2 7 3 5 5" xfId="14998" xr:uid="{00000000-0005-0000-0000-00009B380000}"/>
    <cellStyle name="Note 2 7 3 5_Summary" xfId="22781" xr:uid="{00000000-0005-0000-0000-00009C380000}"/>
    <cellStyle name="Note 2 7 3 6" xfId="2062" xr:uid="{00000000-0005-0000-0000-00009D380000}"/>
    <cellStyle name="Note 2 7 3 6 2" xfId="4198" xr:uid="{00000000-0005-0000-0000-00009E380000}"/>
    <cellStyle name="Note 2 7 3 6 2 2" xfId="10794" xr:uid="{00000000-0005-0000-0000-00009F380000}"/>
    <cellStyle name="Note 2 7 3 6 2 3" xfId="17413" xr:uid="{00000000-0005-0000-0000-0000A0380000}"/>
    <cellStyle name="Note 2 7 3 6 2_Summary" xfId="22785" xr:uid="{00000000-0005-0000-0000-0000A1380000}"/>
    <cellStyle name="Note 2 7 3 6 3" xfId="6233" xr:uid="{00000000-0005-0000-0000-0000A2380000}"/>
    <cellStyle name="Note 2 7 3 6 3 2" xfId="12829" xr:uid="{00000000-0005-0000-0000-0000A3380000}"/>
    <cellStyle name="Note 2 7 3 6 3 3" xfId="19448" xr:uid="{00000000-0005-0000-0000-0000A4380000}"/>
    <cellStyle name="Note 2 7 3 6 3_Summary" xfId="22786" xr:uid="{00000000-0005-0000-0000-0000A5380000}"/>
    <cellStyle name="Note 2 7 3 6 4" xfId="8658" xr:uid="{00000000-0005-0000-0000-0000A6380000}"/>
    <cellStyle name="Note 2 7 3 6 5" xfId="15277" xr:uid="{00000000-0005-0000-0000-0000A7380000}"/>
    <cellStyle name="Note 2 7 3 6_Summary" xfId="22784" xr:uid="{00000000-0005-0000-0000-0000A8380000}"/>
    <cellStyle name="Note 2 7 3 7" xfId="2337" xr:uid="{00000000-0005-0000-0000-0000A9380000}"/>
    <cellStyle name="Note 2 7 3 7 2" xfId="4473" xr:uid="{00000000-0005-0000-0000-0000AA380000}"/>
    <cellStyle name="Note 2 7 3 7 2 2" xfId="11069" xr:uid="{00000000-0005-0000-0000-0000AB380000}"/>
    <cellStyle name="Note 2 7 3 7 2 3" xfId="17688" xr:uid="{00000000-0005-0000-0000-0000AC380000}"/>
    <cellStyle name="Note 2 7 3 7 2_Summary" xfId="22788" xr:uid="{00000000-0005-0000-0000-0000AD380000}"/>
    <cellStyle name="Note 2 7 3 7 3" xfId="6508" xr:uid="{00000000-0005-0000-0000-0000AE380000}"/>
    <cellStyle name="Note 2 7 3 7 3 2" xfId="13104" xr:uid="{00000000-0005-0000-0000-0000AF380000}"/>
    <cellStyle name="Note 2 7 3 7 3 3" xfId="19723" xr:uid="{00000000-0005-0000-0000-0000B0380000}"/>
    <cellStyle name="Note 2 7 3 7 3_Summary" xfId="22789" xr:uid="{00000000-0005-0000-0000-0000B1380000}"/>
    <cellStyle name="Note 2 7 3 7 4" xfId="8933" xr:uid="{00000000-0005-0000-0000-0000B2380000}"/>
    <cellStyle name="Note 2 7 3 7 5" xfId="15552" xr:uid="{00000000-0005-0000-0000-0000B3380000}"/>
    <cellStyle name="Note 2 7 3 7_Summary" xfId="22787" xr:uid="{00000000-0005-0000-0000-0000B4380000}"/>
    <cellStyle name="Note 2 7 3 8" xfId="2903" xr:uid="{00000000-0005-0000-0000-0000B5380000}"/>
    <cellStyle name="Note 2 7 3 8 2" xfId="9499" xr:uid="{00000000-0005-0000-0000-0000B6380000}"/>
    <cellStyle name="Note 2 7 3 8 3" xfId="16118" xr:uid="{00000000-0005-0000-0000-0000B7380000}"/>
    <cellStyle name="Note 2 7 3 8_Summary" xfId="22790" xr:uid="{00000000-0005-0000-0000-0000B8380000}"/>
    <cellStyle name="Note 2 7 3 9" xfId="4938" xr:uid="{00000000-0005-0000-0000-0000B9380000}"/>
    <cellStyle name="Note 2 7 3 9 2" xfId="11534" xr:uid="{00000000-0005-0000-0000-0000BA380000}"/>
    <cellStyle name="Note 2 7 3 9 3" xfId="18153" xr:uid="{00000000-0005-0000-0000-0000BB380000}"/>
    <cellStyle name="Note 2 7 3 9_Summary" xfId="22791" xr:uid="{00000000-0005-0000-0000-0000BC380000}"/>
    <cellStyle name="Note 2 7 3_Summary" xfId="22770" xr:uid="{00000000-0005-0000-0000-0000BD380000}"/>
    <cellStyle name="Note 2 7 4" xfId="384" xr:uid="{00000000-0005-0000-0000-0000BE380000}"/>
    <cellStyle name="Note 2 7 4 10" xfId="721" xr:uid="{00000000-0005-0000-0000-0000BF380000}"/>
    <cellStyle name="Note 2 7 4 10 2" xfId="13936" xr:uid="{00000000-0005-0000-0000-0000C0380000}"/>
    <cellStyle name="Note 2 7 4 10_Summary" xfId="22793" xr:uid="{00000000-0005-0000-0000-0000C1380000}"/>
    <cellStyle name="Note 2 7 4 11" xfId="7277" xr:uid="{00000000-0005-0000-0000-0000C2380000}"/>
    <cellStyle name="Note 2 7 4 12" xfId="13599" xr:uid="{00000000-0005-0000-0000-0000C3380000}"/>
    <cellStyle name="Note 2 7 4 13" xfId="30326" xr:uid="{23A544F2-B4DE-42E3-876C-FD85407C7C78}"/>
    <cellStyle name="Note 2 7 4 14" xfId="31758" xr:uid="{44E155B8-4C08-4FB1-8977-0565A6F41637}"/>
    <cellStyle name="Note 2 7 4 2" xfId="1078" xr:uid="{00000000-0005-0000-0000-0000C4380000}"/>
    <cellStyle name="Note 2 7 4 2 2" xfId="3214" xr:uid="{00000000-0005-0000-0000-0000C5380000}"/>
    <cellStyle name="Note 2 7 4 2 2 2" xfId="9810" xr:uid="{00000000-0005-0000-0000-0000C6380000}"/>
    <cellStyle name="Note 2 7 4 2 2 3" xfId="16429" xr:uid="{00000000-0005-0000-0000-0000C7380000}"/>
    <cellStyle name="Note 2 7 4 2 2_Summary" xfId="22795" xr:uid="{00000000-0005-0000-0000-0000C8380000}"/>
    <cellStyle name="Note 2 7 4 2 3" xfId="5249" xr:uid="{00000000-0005-0000-0000-0000C9380000}"/>
    <cellStyle name="Note 2 7 4 2 3 2" xfId="11845" xr:uid="{00000000-0005-0000-0000-0000CA380000}"/>
    <cellStyle name="Note 2 7 4 2 3 3" xfId="18464" xr:uid="{00000000-0005-0000-0000-0000CB380000}"/>
    <cellStyle name="Note 2 7 4 2 3_Summary" xfId="22796" xr:uid="{00000000-0005-0000-0000-0000CC380000}"/>
    <cellStyle name="Note 2 7 4 2 4" xfId="7675" xr:uid="{00000000-0005-0000-0000-0000CD380000}"/>
    <cellStyle name="Note 2 7 4 2 5" xfId="14293" xr:uid="{00000000-0005-0000-0000-0000CE380000}"/>
    <cellStyle name="Note 2 7 4 2_Summary" xfId="22794" xr:uid="{00000000-0005-0000-0000-0000CF380000}"/>
    <cellStyle name="Note 2 7 4 3" xfId="1360" xr:uid="{00000000-0005-0000-0000-0000D0380000}"/>
    <cellStyle name="Note 2 7 4 3 2" xfId="3496" xr:uid="{00000000-0005-0000-0000-0000D1380000}"/>
    <cellStyle name="Note 2 7 4 3 2 2" xfId="10092" xr:uid="{00000000-0005-0000-0000-0000D2380000}"/>
    <cellStyle name="Note 2 7 4 3 2 3" xfId="16711" xr:uid="{00000000-0005-0000-0000-0000D3380000}"/>
    <cellStyle name="Note 2 7 4 3 2_Summary" xfId="22798" xr:uid="{00000000-0005-0000-0000-0000D4380000}"/>
    <cellStyle name="Note 2 7 4 3 3" xfId="5531" xr:uid="{00000000-0005-0000-0000-0000D5380000}"/>
    <cellStyle name="Note 2 7 4 3 3 2" xfId="12127" xr:uid="{00000000-0005-0000-0000-0000D6380000}"/>
    <cellStyle name="Note 2 7 4 3 3 3" xfId="18746" xr:uid="{00000000-0005-0000-0000-0000D7380000}"/>
    <cellStyle name="Note 2 7 4 3 3_Summary" xfId="22799" xr:uid="{00000000-0005-0000-0000-0000D8380000}"/>
    <cellStyle name="Note 2 7 4 3 4" xfId="7956" xr:uid="{00000000-0005-0000-0000-0000D9380000}"/>
    <cellStyle name="Note 2 7 4 3 5" xfId="14575" xr:uid="{00000000-0005-0000-0000-0000DA380000}"/>
    <cellStyle name="Note 2 7 4 3_Summary" xfId="22797" xr:uid="{00000000-0005-0000-0000-0000DB380000}"/>
    <cellStyle name="Note 2 7 4 4" xfId="1641" xr:uid="{00000000-0005-0000-0000-0000DC380000}"/>
    <cellStyle name="Note 2 7 4 4 2" xfId="3777" xr:uid="{00000000-0005-0000-0000-0000DD380000}"/>
    <cellStyle name="Note 2 7 4 4 2 2" xfId="10373" xr:uid="{00000000-0005-0000-0000-0000DE380000}"/>
    <cellStyle name="Note 2 7 4 4 2 3" xfId="16992" xr:uid="{00000000-0005-0000-0000-0000DF380000}"/>
    <cellStyle name="Note 2 7 4 4 2_Summary" xfId="22801" xr:uid="{00000000-0005-0000-0000-0000E0380000}"/>
    <cellStyle name="Note 2 7 4 4 3" xfId="5812" xr:uid="{00000000-0005-0000-0000-0000E1380000}"/>
    <cellStyle name="Note 2 7 4 4 3 2" xfId="12408" xr:uid="{00000000-0005-0000-0000-0000E2380000}"/>
    <cellStyle name="Note 2 7 4 4 3 3" xfId="19027" xr:uid="{00000000-0005-0000-0000-0000E3380000}"/>
    <cellStyle name="Note 2 7 4 4 3_Summary" xfId="22802" xr:uid="{00000000-0005-0000-0000-0000E4380000}"/>
    <cellStyle name="Note 2 7 4 4 4" xfId="8237" xr:uid="{00000000-0005-0000-0000-0000E5380000}"/>
    <cellStyle name="Note 2 7 4 4 5" xfId="14856" xr:uid="{00000000-0005-0000-0000-0000E6380000}"/>
    <cellStyle name="Note 2 7 4 4_Summary" xfId="22800" xr:uid="{00000000-0005-0000-0000-0000E7380000}"/>
    <cellStyle name="Note 2 7 4 5" xfId="1920" xr:uid="{00000000-0005-0000-0000-0000E8380000}"/>
    <cellStyle name="Note 2 7 4 5 2" xfId="4056" xr:uid="{00000000-0005-0000-0000-0000E9380000}"/>
    <cellStyle name="Note 2 7 4 5 2 2" xfId="10652" xr:uid="{00000000-0005-0000-0000-0000EA380000}"/>
    <cellStyle name="Note 2 7 4 5 2 3" xfId="17271" xr:uid="{00000000-0005-0000-0000-0000EB380000}"/>
    <cellStyle name="Note 2 7 4 5 2_Summary" xfId="22804" xr:uid="{00000000-0005-0000-0000-0000EC380000}"/>
    <cellStyle name="Note 2 7 4 5 3" xfId="6091" xr:uid="{00000000-0005-0000-0000-0000ED380000}"/>
    <cellStyle name="Note 2 7 4 5 3 2" xfId="12687" xr:uid="{00000000-0005-0000-0000-0000EE380000}"/>
    <cellStyle name="Note 2 7 4 5 3 3" xfId="19306" xr:uid="{00000000-0005-0000-0000-0000EF380000}"/>
    <cellStyle name="Note 2 7 4 5 3_Summary" xfId="22805" xr:uid="{00000000-0005-0000-0000-0000F0380000}"/>
    <cellStyle name="Note 2 7 4 5 4" xfId="8516" xr:uid="{00000000-0005-0000-0000-0000F1380000}"/>
    <cellStyle name="Note 2 7 4 5 5" xfId="15135" xr:uid="{00000000-0005-0000-0000-0000F2380000}"/>
    <cellStyle name="Note 2 7 4 5_Summary" xfId="22803" xr:uid="{00000000-0005-0000-0000-0000F3380000}"/>
    <cellStyle name="Note 2 7 4 6" xfId="2195" xr:uid="{00000000-0005-0000-0000-0000F4380000}"/>
    <cellStyle name="Note 2 7 4 6 2" xfId="4331" xr:uid="{00000000-0005-0000-0000-0000F5380000}"/>
    <cellStyle name="Note 2 7 4 6 2 2" xfId="10927" xr:uid="{00000000-0005-0000-0000-0000F6380000}"/>
    <cellStyle name="Note 2 7 4 6 2 3" xfId="17546" xr:uid="{00000000-0005-0000-0000-0000F7380000}"/>
    <cellStyle name="Note 2 7 4 6 2_Summary" xfId="22807" xr:uid="{00000000-0005-0000-0000-0000F8380000}"/>
    <cellStyle name="Note 2 7 4 6 3" xfId="6366" xr:uid="{00000000-0005-0000-0000-0000F9380000}"/>
    <cellStyle name="Note 2 7 4 6 3 2" xfId="12962" xr:uid="{00000000-0005-0000-0000-0000FA380000}"/>
    <cellStyle name="Note 2 7 4 6 3 3" xfId="19581" xr:uid="{00000000-0005-0000-0000-0000FB380000}"/>
    <cellStyle name="Note 2 7 4 6 3_Summary" xfId="22808" xr:uid="{00000000-0005-0000-0000-0000FC380000}"/>
    <cellStyle name="Note 2 7 4 6 4" xfId="8791" xr:uid="{00000000-0005-0000-0000-0000FD380000}"/>
    <cellStyle name="Note 2 7 4 6 5" xfId="15410" xr:uid="{00000000-0005-0000-0000-0000FE380000}"/>
    <cellStyle name="Note 2 7 4 6_Summary" xfId="22806" xr:uid="{00000000-0005-0000-0000-0000FF380000}"/>
    <cellStyle name="Note 2 7 4 7" xfId="2468" xr:uid="{00000000-0005-0000-0000-000000390000}"/>
    <cellStyle name="Note 2 7 4 7 2" xfId="4604" xr:uid="{00000000-0005-0000-0000-000001390000}"/>
    <cellStyle name="Note 2 7 4 7 2 2" xfId="11200" xr:uid="{00000000-0005-0000-0000-000002390000}"/>
    <cellStyle name="Note 2 7 4 7 2 3" xfId="17819" xr:uid="{00000000-0005-0000-0000-000003390000}"/>
    <cellStyle name="Note 2 7 4 7 2_Summary" xfId="22810" xr:uid="{00000000-0005-0000-0000-000004390000}"/>
    <cellStyle name="Note 2 7 4 7 3" xfId="6639" xr:uid="{00000000-0005-0000-0000-000005390000}"/>
    <cellStyle name="Note 2 7 4 7 3 2" xfId="13235" xr:uid="{00000000-0005-0000-0000-000006390000}"/>
    <cellStyle name="Note 2 7 4 7 3 3" xfId="19854" xr:uid="{00000000-0005-0000-0000-000007390000}"/>
    <cellStyle name="Note 2 7 4 7 3_Summary" xfId="22811" xr:uid="{00000000-0005-0000-0000-000008390000}"/>
    <cellStyle name="Note 2 7 4 7 4" xfId="9064" xr:uid="{00000000-0005-0000-0000-000009390000}"/>
    <cellStyle name="Note 2 7 4 7 5" xfId="15683" xr:uid="{00000000-0005-0000-0000-00000A390000}"/>
    <cellStyle name="Note 2 7 4 7_Summary" xfId="22809" xr:uid="{00000000-0005-0000-0000-00000B390000}"/>
    <cellStyle name="Note 2 7 4 8" xfId="2857" xr:uid="{00000000-0005-0000-0000-00000C390000}"/>
    <cellStyle name="Note 2 7 4 8 2" xfId="9453" xr:uid="{00000000-0005-0000-0000-00000D390000}"/>
    <cellStyle name="Note 2 7 4 8 3" xfId="16072" xr:uid="{00000000-0005-0000-0000-00000E390000}"/>
    <cellStyle name="Note 2 7 4 8_Summary" xfId="22812" xr:uid="{00000000-0005-0000-0000-00000F390000}"/>
    <cellStyle name="Note 2 7 4 9" xfId="4892" xr:uid="{00000000-0005-0000-0000-000010390000}"/>
    <cellStyle name="Note 2 7 4 9 2" xfId="11488" xr:uid="{00000000-0005-0000-0000-000011390000}"/>
    <cellStyle name="Note 2 7 4 9 3" xfId="18107" xr:uid="{00000000-0005-0000-0000-000012390000}"/>
    <cellStyle name="Note 2 7 4 9_Summary" xfId="22813" xr:uid="{00000000-0005-0000-0000-000013390000}"/>
    <cellStyle name="Note 2 7 4_Summary" xfId="22792" xr:uid="{00000000-0005-0000-0000-000014390000}"/>
    <cellStyle name="Note 2 7 5" xfId="891" xr:uid="{00000000-0005-0000-0000-000015390000}"/>
    <cellStyle name="Note 2 7 5 2" xfId="3027" xr:uid="{00000000-0005-0000-0000-000016390000}"/>
    <cellStyle name="Note 2 7 5 2 2" xfId="9623" xr:uid="{00000000-0005-0000-0000-000017390000}"/>
    <cellStyle name="Note 2 7 5 2 3" xfId="16242" xr:uid="{00000000-0005-0000-0000-000018390000}"/>
    <cellStyle name="Note 2 7 5 2_Summary" xfId="22815" xr:uid="{00000000-0005-0000-0000-000019390000}"/>
    <cellStyle name="Note 2 7 5 3" xfId="5062" xr:uid="{00000000-0005-0000-0000-00001A390000}"/>
    <cellStyle name="Note 2 7 5 3 2" xfId="11658" xr:uid="{00000000-0005-0000-0000-00001B390000}"/>
    <cellStyle name="Note 2 7 5 3 3" xfId="18277" xr:uid="{00000000-0005-0000-0000-00001C390000}"/>
    <cellStyle name="Note 2 7 5 3_Summary" xfId="22816" xr:uid="{00000000-0005-0000-0000-00001D390000}"/>
    <cellStyle name="Note 2 7 5 4" xfId="7488" xr:uid="{00000000-0005-0000-0000-00001E390000}"/>
    <cellStyle name="Note 2 7 5 5" xfId="14106" xr:uid="{00000000-0005-0000-0000-00001F390000}"/>
    <cellStyle name="Note 2 7 5_Summary" xfId="22814" xr:uid="{00000000-0005-0000-0000-000020390000}"/>
    <cellStyle name="Note 2 7 6" xfId="1176" xr:uid="{00000000-0005-0000-0000-000021390000}"/>
    <cellStyle name="Note 2 7 6 2" xfId="3312" xr:uid="{00000000-0005-0000-0000-000022390000}"/>
    <cellStyle name="Note 2 7 6 2 2" xfId="9908" xr:uid="{00000000-0005-0000-0000-000023390000}"/>
    <cellStyle name="Note 2 7 6 2 3" xfId="16527" xr:uid="{00000000-0005-0000-0000-000024390000}"/>
    <cellStyle name="Note 2 7 6 2_Summary" xfId="22818" xr:uid="{00000000-0005-0000-0000-000025390000}"/>
    <cellStyle name="Note 2 7 6 3" xfId="5347" xr:uid="{00000000-0005-0000-0000-000026390000}"/>
    <cellStyle name="Note 2 7 6 3 2" xfId="11943" xr:uid="{00000000-0005-0000-0000-000027390000}"/>
    <cellStyle name="Note 2 7 6 3 3" xfId="18562" xr:uid="{00000000-0005-0000-0000-000028390000}"/>
    <cellStyle name="Note 2 7 6 3_Summary" xfId="22819" xr:uid="{00000000-0005-0000-0000-000029390000}"/>
    <cellStyle name="Note 2 7 6 4" xfId="7772" xr:uid="{00000000-0005-0000-0000-00002A390000}"/>
    <cellStyle name="Note 2 7 6 5" xfId="14391" xr:uid="{00000000-0005-0000-0000-00002B390000}"/>
    <cellStyle name="Note 2 7 6_Summary" xfId="22817" xr:uid="{00000000-0005-0000-0000-00002C390000}"/>
    <cellStyle name="Note 2 7 7" xfId="1458" xr:uid="{00000000-0005-0000-0000-00002D390000}"/>
    <cellStyle name="Note 2 7 7 2" xfId="3594" xr:uid="{00000000-0005-0000-0000-00002E390000}"/>
    <cellStyle name="Note 2 7 7 2 2" xfId="10190" xr:uid="{00000000-0005-0000-0000-00002F390000}"/>
    <cellStyle name="Note 2 7 7 2 3" xfId="16809" xr:uid="{00000000-0005-0000-0000-000030390000}"/>
    <cellStyle name="Note 2 7 7 2_Summary" xfId="22821" xr:uid="{00000000-0005-0000-0000-000031390000}"/>
    <cellStyle name="Note 2 7 7 3" xfId="5629" xr:uid="{00000000-0005-0000-0000-000032390000}"/>
    <cellStyle name="Note 2 7 7 3 2" xfId="12225" xr:uid="{00000000-0005-0000-0000-000033390000}"/>
    <cellStyle name="Note 2 7 7 3 3" xfId="18844" xr:uid="{00000000-0005-0000-0000-000034390000}"/>
    <cellStyle name="Note 2 7 7 3_Summary" xfId="22822" xr:uid="{00000000-0005-0000-0000-000035390000}"/>
    <cellStyle name="Note 2 7 7 4" xfId="8054" xr:uid="{00000000-0005-0000-0000-000036390000}"/>
    <cellStyle name="Note 2 7 7 5" xfId="14673" xr:uid="{00000000-0005-0000-0000-000037390000}"/>
    <cellStyle name="Note 2 7 7_Summary" xfId="22820" xr:uid="{00000000-0005-0000-0000-000038390000}"/>
    <cellStyle name="Note 2 7 8" xfId="1739" xr:uid="{00000000-0005-0000-0000-000039390000}"/>
    <cellStyle name="Note 2 7 8 2" xfId="3875" xr:uid="{00000000-0005-0000-0000-00003A390000}"/>
    <cellStyle name="Note 2 7 8 2 2" xfId="10471" xr:uid="{00000000-0005-0000-0000-00003B390000}"/>
    <cellStyle name="Note 2 7 8 2 3" xfId="17090" xr:uid="{00000000-0005-0000-0000-00003C390000}"/>
    <cellStyle name="Note 2 7 8 2_Summary" xfId="22824" xr:uid="{00000000-0005-0000-0000-00003D390000}"/>
    <cellStyle name="Note 2 7 8 3" xfId="5910" xr:uid="{00000000-0005-0000-0000-00003E390000}"/>
    <cellStyle name="Note 2 7 8 3 2" xfId="12506" xr:uid="{00000000-0005-0000-0000-00003F390000}"/>
    <cellStyle name="Note 2 7 8 3 3" xfId="19125" xr:uid="{00000000-0005-0000-0000-000040390000}"/>
    <cellStyle name="Note 2 7 8 3_Summary" xfId="22825" xr:uid="{00000000-0005-0000-0000-000041390000}"/>
    <cellStyle name="Note 2 7 8 4" xfId="8335" xr:uid="{00000000-0005-0000-0000-000042390000}"/>
    <cellStyle name="Note 2 7 8 5" xfId="14954" xr:uid="{00000000-0005-0000-0000-000043390000}"/>
    <cellStyle name="Note 2 7 8_Summary" xfId="22823" xr:uid="{00000000-0005-0000-0000-000044390000}"/>
    <cellStyle name="Note 2 7 9" xfId="2018" xr:uid="{00000000-0005-0000-0000-000045390000}"/>
    <cellStyle name="Note 2 7 9 2" xfId="4154" xr:uid="{00000000-0005-0000-0000-000046390000}"/>
    <cellStyle name="Note 2 7 9 2 2" xfId="10750" xr:uid="{00000000-0005-0000-0000-000047390000}"/>
    <cellStyle name="Note 2 7 9 2 3" xfId="17369" xr:uid="{00000000-0005-0000-0000-000048390000}"/>
    <cellStyle name="Note 2 7 9 2_Summary" xfId="22827" xr:uid="{00000000-0005-0000-0000-000049390000}"/>
    <cellStyle name="Note 2 7 9 3" xfId="6189" xr:uid="{00000000-0005-0000-0000-00004A390000}"/>
    <cellStyle name="Note 2 7 9 3 2" xfId="12785" xr:uid="{00000000-0005-0000-0000-00004B390000}"/>
    <cellStyle name="Note 2 7 9 3 3" xfId="19404" xr:uid="{00000000-0005-0000-0000-00004C390000}"/>
    <cellStyle name="Note 2 7 9 3_Summary" xfId="22828" xr:uid="{00000000-0005-0000-0000-00004D390000}"/>
    <cellStyle name="Note 2 7 9 4" xfId="8614" xr:uid="{00000000-0005-0000-0000-00004E390000}"/>
    <cellStyle name="Note 2 7 9 5" xfId="15233" xr:uid="{00000000-0005-0000-0000-00004F390000}"/>
    <cellStyle name="Note 2 7 9_Summary" xfId="22826" xr:uid="{00000000-0005-0000-0000-000050390000}"/>
    <cellStyle name="Note 2 7_Summary" xfId="22719" xr:uid="{00000000-0005-0000-0000-000051390000}"/>
    <cellStyle name="Note 2 8" xfId="188" xr:uid="{00000000-0005-0000-0000-000052390000}"/>
    <cellStyle name="Note 2 8 10" xfId="2297" xr:uid="{00000000-0005-0000-0000-000053390000}"/>
    <cellStyle name="Note 2 8 10 2" xfId="4433" xr:uid="{00000000-0005-0000-0000-000054390000}"/>
    <cellStyle name="Note 2 8 10 2 2" xfId="11029" xr:uid="{00000000-0005-0000-0000-000055390000}"/>
    <cellStyle name="Note 2 8 10 2 3" xfId="17648" xr:uid="{00000000-0005-0000-0000-000056390000}"/>
    <cellStyle name="Note 2 8 10 2_Summary" xfId="22831" xr:uid="{00000000-0005-0000-0000-000057390000}"/>
    <cellStyle name="Note 2 8 10 3" xfId="6468" xr:uid="{00000000-0005-0000-0000-000058390000}"/>
    <cellStyle name="Note 2 8 10 3 2" xfId="13064" xr:uid="{00000000-0005-0000-0000-000059390000}"/>
    <cellStyle name="Note 2 8 10 3 3" xfId="19683" xr:uid="{00000000-0005-0000-0000-00005A390000}"/>
    <cellStyle name="Note 2 8 10 3_Summary" xfId="22832" xr:uid="{00000000-0005-0000-0000-00005B390000}"/>
    <cellStyle name="Note 2 8 10 4" xfId="8893" xr:uid="{00000000-0005-0000-0000-00005C390000}"/>
    <cellStyle name="Note 2 8 10 5" xfId="15512" xr:uid="{00000000-0005-0000-0000-00005D390000}"/>
    <cellStyle name="Note 2 8 10_Summary" xfId="22830" xr:uid="{00000000-0005-0000-0000-00005E390000}"/>
    <cellStyle name="Note 2 8 11" xfId="2616" xr:uid="{00000000-0005-0000-0000-00005F390000}"/>
    <cellStyle name="Note 2 8 11 2" xfId="9212" xr:uid="{00000000-0005-0000-0000-000060390000}"/>
    <cellStyle name="Note 2 8 11 3" xfId="15831" xr:uid="{00000000-0005-0000-0000-000061390000}"/>
    <cellStyle name="Note 2 8 11_Summary" xfId="22833" xr:uid="{00000000-0005-0000-0000-000062390000}"/>
    <cellStyle name="Note 2 8 12" xfId="2561" xr:uid="{00000000-0005-0000-0000-000063390000}"/>
    <cellStyle name="Note 2 8 12 2" xfId="9157" xr:uid="{00000000-0005-0000-0000-000064390000}"/>
    <cellStyle name="Note 2 8 12 3" xfId="15776" xr:uid="{00000000-0005-0000-0000-000065390000}"/>
    <cellStyle name="Note 2 8 12_Summary" xfId="22834" xr:uid="{00000000-0005-0000-0000-000066390000}"/>
    <cellStyle name="Note 2 8 13" xfId="505" xr:uid="{00000000-0005-0000-0000-000067390000}"/>
    <cellStyle name="Note 2 8 13 2" xfId="13720" xr:uid="{00000000-0005-0000-0000-000068390000}"/>
    <cellStyle name="Note 2 8 13_Summary" xfId="22835" xr:uid="{00000000-0005-0000-0000-000069390000}"/>
    <cellStyle name="Note 2 8 14" xfId="7096" xr:uid="{00000000-0005-0000-0000-00006A390000}"/>
    <cellStyle name="Note 2 8 15" xfId="6999" xr:uid="{00000000-0005-0000-0000-00006B390000}"/>
    <cellStyle name="Note 2 8 16" xfId="29474" xr:uid="{583A6255-6213-456B-A44C-12971D2321EF}"/>
    <cellStyle name="Note 2 8 17" xfId="31044" xr:uid="{21873D5C-4BB3-434F-956F-C0B9FFC0AC9B}"/>
    <cellStyle name="Note 2 8 2" xfId="320" xr:uid="{00000000-0005-0000-0000-00006C390000}"/>
    <cellStyle name="Note 2 8 2 10" xfId="4741" xr:uid="{00000000-0005-0000-0000-00006D390000}"/>
    <cellStyle name="Note 2 8 2 10 2" xfId="11337" xr:uid="{00000000-0005-0000-0000-00006E390000}"/>
    <cellStyle name="Note 2 8 2 10 3" xfId="17956" xr:uid="{00000000-0005-0000-0000-00006F390000}"/>
    <cellStyle name="Note 2 8 2 10_Summary" xfId="22837" xr:uid="{00000000-0005-0000-0000-000070390000}"/>
    <cellStyle name="Note 2 8 2 11" xfId="570" xr:uid="{00000000-0005-0000-0000-000071390000}"/>
    <cellStyle name="Note 2 8 2 11 2" xfId="13785" xr:uid="{00000000-0005-0000-0000-000072390000}"/>
    <cellStyle name="Note 2 8 2 11_Summary" xfId="22838" xr:uid="{00000000-0005-0000-0000-000073390000}"/>
    <cellStyle name="Note 2 8 2 12" xfId="7214" xr:uid="{00000000-0005-0000-0000-000074390000}"/>
    <cellStyle name="Note 2 8 2 13" xfId="13536" xr:uid="{00000000-0005-0000-0000-000075390000}"/>
    <cellStyle name="Note 2 8 2 14" xfId="29475" xr:uid="{DEE6B4F2-A28B-4C0D-9211-976E05DCDB66}"/>
    <cellStyle name="Note 2 8 2 15" xfId="31045" xr:uid="{05481873-134E-4034-BE69-CF6563558595}"/>
    <cellStyle name="Note 2 8 2 2" xfId="449" xr:uid="{00000000-0005-0000-0000-000076390000}"/>
    <cellStyle name="Note 2 8 2 2 10" xfId="843" xr:uid="{00000000-0005-0000-0000-000077390000}"/>
    <cellStyle name="Note 2 8 2 2 10 2" xfId="14058" xr:uid="{00000000-0005-0000-0000-000078390000}"/>
    <cellStyle name="Note 2 8 2 2 10_Summary" xfId="22840" xr:uid="{00000000-0005-0000-0000-000079390000}"/>
    <cellStyle name="Note 2 8 2 2 11" xfId="7342" xr:uid="{00000000-0005-0000-0000-00007A390000}"/>
    <cellStyle name="Note 2 8 2 2 12" xfId="13664" xr:uid="{00000000-0005-0000-0000-00007B390000}"/>
    <cellStyle name="Note 2 8 2 2 13" xfId="30330" xr:uid="{1D6FC38B-5D35-404A-8E32-28EFD402BB46}"/>
    <cellStyle name="Note 2 8 2 2 14" xfId="31762" xr:uid="{8AAB3892-B403-416B-A1BC-B067E72D7CF2}"/>
    <cellStyle name="Note 2 8 2 2 2" xfId="1143" xr:uid="{00000000-0005-0000-0000-00007C390000}"/>
    <cellStyle name="Note 2 8 2 2 2 2" xfId="3279" xr:uid="{00000000-0005-0000-0000-00007D390000}"/>
    <cellStyle name="Note 2 8 2 2 2 2 2" xfId="9875" xr:uid="{00000000-0005-0000-0000-00007E390000}"/>
    <cellStyle name="Note 2 8 2 2 2 2 3" xfId="16494" xr:uid="{00000000-0005-0000-0000-00007F390000}"/>
    <cellStyle name="Note 2 8 2 2 2 2_Summary" xfId="22842" xr:uid="{00000000-0005-0000-0000-000080390000}"/>
    <cellStyle name="Note 2 8 2 2 2 3" xfId="5314" xr:uid="{00000000-0005-0000-0000-000081390000}"/>
    <cellStyle name="Note 2 8 2 2 2 3 2" xfId="11910" xr:uid="{00000000-0005-0000-0000-000082390000}"/>
    <cellStyle name="Note 2 8 2 2 2 3 3" xfId="18529" xr:uid="{00000000-0005-0000-0000-000083390000}"/>
    <cellStyle name="Note 2 8 2 2 2 3_Summary" xfId="22843" xr:uid="{00000000-0005-0000-0000-000084390000}"/>
    <cellStyle name="Note 2 8 2 2 2 4" xfId="7739" xr:uid="{00000000-0005-0000-0000-000085390000}"/>
    <cellStyle name="Note 2 8 2 2 2 5" xfId="14358" xr:uid="{00000000-0005-0000-0000-000086390000}"/>
    <cellStyle name="Note 2 8 2 2 2_Summary" xfId="22841" xr:uid="{00000000-0005-0000-0000-000087390000}"/>
    <cellStyle name="Note 2 8 2 2 3" xfId="1425" xr:uid="{00000000-0005-0000-0000-000088390000}"/>
    <cellStyle name="Note 2 8 2 2 3 2" xfId="3561" xr:uid="{00000000-0005-0000-0000-000089390000}"/>
    <cellStyle name="Note 2 8 2 2 3 2 2" xfId="10157" xr:uid="{00000000-0005-0000-0000-00008A390000}"/>
    <cellStyle name="Note 2 8 2 2 3 2 3" xfId="16776" xr:uid="{00000000-0005-0000-0000-00008B390000}"/>
    <cellStyle name="Note 2 8 2 2 3 2_Summary" xfId="22845" xr:uid="{00000000-0005-0000-0000-00008C390000}"/>
    <cellStyle name="Note 2 8 2 2 3 3" xfId="5596" xr:uid="{00000000-0005-0000-0000-00008D390000}"/>
    <cellStyle name="Note 2 8 2 2 3 3 2" xfId="12192" xr:uid="{00000000-0005-0000-0000-00008E390000}"/>
    <cellStyle name="Note 2 8 2 2 3 3 3" xfId="18811" xr:uid="{00000000-0005-0000-0000-00008F390000}"/>
    <cellStyle name="Note 2 8 2 2 3 3_Summary" xfId="22846" xr:uid="{00000000-0005-0000-0000-000090390000}"/>
    <cellStyle name="Note 2 8 2 2 3 4" xfId="8021" xr:uid="{00000000-0005-0000-0000-000091390000}"/>
    <cellStyle name="Note 2 8 2 2 3 5" xfId="14640" xr:uid="{00000000-0005-0000-0000-000092390000}"/>
    <cellStyle name="Note 2 8 2 2 3_Summary" xfId="22844" xr:uid="{00000000-0005-0000-0000-000093390000}"/>
    <cellStyle name="Note 2 8 2 2 4" xfId="1706" xr:uid="{00000000-0005-0000-0000-000094390000}"/>
    <cellStyle name="Note 2 8 2 2 4 2" xfId="3842" xr:uid="{00000000-0005-0000-0000-000095390000}"/>
    <cellStyle name="Note 2 8 2 2 4 2 2" xfId="10438" xr:uid="{00000000-0005-0000-0000-000096390000}"/>
    <cellStyle name="Note 2 8 2 2 4 2 3" xfId="17057" xr:uid="{00000000-0005-0000-0000-000097390000}"/>
    <cellStyle name="Note 2 8 2 2 4 2_Summary" xfId="22848" xr:uid="{00000000-0005-0000-0000-000098390000}"/>
    <cellStyle name="Note 2 8 2 2 4 3" xfId="5877" xr:uid="{00000000-0005-0000-0000-000099390000}"/>
    <cellStyle name="Note 2 8 2 2 4 3 2" xfId="12473" xr:uid="{00000000-0005-0000-0000-00009A390000}"/>
    <cellStyle name="Note 2 8 2 2 4 3 3" xfId="19092" xr:uid="{00000000-0005-0000-0000-00009B390000}"/>
    <cellStyle name="Note 2 8 2 2 4 3_Summary" xfId="22849" xr:uid="{00000000-0005-0000-0000-00009C390000}"/>
    <cellStyle name="Note 2 8 2 2 4 4" xfId="8302" xr:uid="{00000000-0005-0000-0000-00009D390000}"/>
    <cellStyle name="Note 2 8 2 2 4 5" xfId="14921" xr:uid="{00000000-0005-0000-0000-00009E390000}"/>
    <cellStyle name="Note 2 8 2 2 4_Summary" xfId="22847" xr:uid="{00000000-0005-0000-0000-00009F390000}"/>
    <cellStyle name="Note 2 8 2 2 5" xfId="1985" xr:uid="{00000000-0005-0000-0000-0000A0390000}"/>
    <cellStyle name="Note 2 8 2 2 5 2" xfId="4121" xr:uid="{00000000-0005-0000-0000-0000A1390000}"/>
    <cellStyle name="Note 2 8 2 2 5 2 2" xfId="10717" xr:uid="{00000000-0005-0000-0000-0000A2390000}"/>
    <cellStyle name="Note 2 8 2 2 5 2 3" xfId="17336" xr:uid="{00000000-0005-0000-0000-0000A3390000}"/>
    <cellStyle name="Note 2 8 2 2 5 2_Summary" xfId="22851" xr:uid="{00000000-0005-0000-0000-0000A4390000}"/>
    <cellStyle name="Note 2 8 2 2 5 3" xfId="6156" xr:uid="{00000000-0005-0000-0000-0000A5390000}"/>
    <cellStyle name="Note 2 8 2 2 5 3 2" xfId="12752" xr:uid="{00000000-0005-0000-0000-0000A6390000}"/>
    <cellStyle name="Note 2 8 2 2 5 3 3" xfId="19371" xr:uid="{00000000-0005-0000-0000-0000A7390000}"/>
    <cellStyle name="Note 2 8 2 2 5 3_Summary" xfId="22852" xr:uid="{00000000-0005-0000-0000-0000A8390000}"/>
    <cellStyle name="Note 2 8 2 2 5 4" xfId="8581" xr:uid="{00000000-0005-0000-0000-0000A9390000}"/>
    <cellStyle name="Note 2 8 2 2 5 5" xfId="15200" xr:uid="{00000000-0005-0000-0000-0000AA390000}"/>
    <cellStyle name="Note 2 8 2 2 5_Summary" xfId="22850" xr:uid="{00000000-0005-0000-0000-0000AB390000}"/>
    <cellStyle name="Note 2 8 2 2 6" xfId="2260" xr:uid="{00000000-0005-0000-0000-0000AC390000}"/>
    <cellStyle name="Note 2 8 2 2 6 2" xfId="4396" xr:uid="{00000000-0005-0000-0000-0000AD390000}"/>
    <cellStyle name="Note 2 8 2 2 6 2 2" xfId="10992" xr:uid="{00000000-0005-0000-0000-0000AE390000}"/>
    <cellStyle name="Note 2 8 2 2 6 2 3" xfId="17611" xr:uid="{00000000-0005-0000-0000-0000AF390000}"/>
    <cellStyle name="Note 2 8 2 2 6 2_Summary" xfId="22854" xr:uid="{00000000-0005-0000-0000-0000B0390000}"/>
    <cellStyle name="Note 2 8 2 2 6 3" xfId="6431" xr:uid="{00000000-0005-0000-0000-0000B1390000}"/>
    <cellStyle name="Note 2 8 2 2 6 3 2" xfId="13027" xr:uid="{00000000-0005-0000-0000-0000B2390000}"/>
    <cellStyle name="Note 2 8 2 2 6 3 3" xfId="19646" xr:uid="{00000000-0005-0000-0000-0000B3390000}"/>
    <cellStyle name="Note 2 8 2 2 6 3_Summary" xfId="22855" xr:uid="{00000000-0005-0000-0000-0000B4390000}"/>
    <cellStyle name="Note 2 8 2 2 6 4" xfId="8856" xr:uid="{00000000-0005-0000-0000-0000B5390000}"/>
    <cellStyle name="Note 2 8 2 2 6 5" xfId="15475" xr:uid="{00000000-0005-0000-0000-0000B6390000}"/>
    <cellStyle name="Note 2 8 2 2 6_Summary" xfId="22853" xr:uid="{00000000-0005-0000-0000-0000B7390000}"/>
    <cellStyle name="Note 2 8 2 2 7" xfId="2533" xr:uid="{00000000-0005-0000-0000-0000B8390000}"/>
    <cellStyle name="Note 2 8 2 2 7 2" xfId="4669" xr:uid="{00000000-0005-0000-0000-0000B9390000}"/>
    <cellStyle name="Note 2 8 2 2 7 2 2" xfId="11265" xr:uid="{00000000-0005-0000-0000-0000BA390000}"/>
    <cellStyle name="Note 2 8 2 2 7 2 3" xfId="17884" xr:uid="{00000000-0005-0000-0000-0000BB390000}"/>
    <cellStyle name="Note 2 8 2 2 7 2_Summary" xfId="22857" xr:uid="{00000000-0005-0000-0000-0000BC390000}"/>
    <cellStyle name="Note 2 8 2 2 7 3" xfId="6704" xr:uid="{00000000-0005-0000-0000-0000BD390000}"/>
    <cellStyle name="Note 2 8 2 2 7 3 2" xfId="13300" xr:uid="{00000000-0005-0000-0000-0000BE390000}"/>
    <cellStyle name="Note 2 8 2 2 7 3 3" xfId="19919" xr:uid="{00000000-0005-0000-0000-0000BF390000}"/>
    <cellStyle name="Note 2 8 2 2 7 3_Summary" xfId="22858" xr:uid="{00000000-0005-0000-0000-0000C0390000}"/>
    <cellStyle name="Note 2 8 2 2 7 4" xfId="9129" xr:uid="{00000000-0005-0000-0000-0000C1390000}"/>
    <cellStyle name="Note 2 8 2 2 7 5" xfId="15748" xr:uid="{00000000-0005-0000-0000-0000C2390000}"/>
    <cellStyle name="Note 2 8 2 2 7_Summary" xfId="22856" xr:uid="{00000000-0005-0000-0000-0000C3390000}"/>
    <cellStyle name="Note 2 8 2 2 8" xfId="2979" xr:uid="{00000000-0005-0000-0000-0000C4390000}"/>
    <cellStyle name="Note 2 8 2 2 8 2" xfId="9575" xr:uid="{00000000-0005-0000-0000-0000C5390000}"/>
    <cellStyle name="Note 2 8 2 2 8 3" xfId="16194" xr:uid="{00000000-0005-0000-0000-0000C6390000}"/>
    <cellStyle name="Note 2 8 2 2 8_Summary" xfId="22859" xr:uid="{00000000-0005-0000-0000-0000C7390000}"/>
    <cellStyle name="Note 2 8 2 2 9" xfId="5014" xr:uid="{00000000-0005-0000-0000-0000C8390000}"/>
    <cellStyle name="Note 2 8 2 2 9 2" xfId="11610" xr:uid="{00000000-0005-0000-0000-0000C9390000}"/>
    <cellStyle name="Note 2 8 2 2 9 3" xfId="18229" xr:uid="{00000000-0005-0000-0000-0000CA390000}"/>
    <cellStyle name="Note 2 8 2 2 9_Summary" xfId="22860" xr:uid="{00000000-0005-0000-0000-0000CB390000}"/>
    <cellStyle name="Note 2 8 2 2_Summary" xfId="22839" xr:uid="{00000000-0005-0000-0000-0000CC390000}"/>
    <cellStyle name="Note 2 8 2 3" xfId="1015" xr:uid="{00000000-0005-0000-0000-0000CD390000}"/>
    <cellStyle name="Note 2 8 2 3 2" xfId="3151" xr:uid="{00000000-0005-0000-0000-0000CE390000}"/>
    <cellStyle name="Note 2 8 2 3 2 2" xfId="9747" xr:uid="{00000000-0005-0000-0000-0000CF390000}"/>
    <cellStyle name="Note 2 8 2 3 2 3" xfId="16366" xr:uid="{00000000-0005-0000-0000-0000D0390000}"/>
    <cellStyle name="Note 2 8 2 3 2_Summary" xfId="22862" xr:uid="{00000000-0005-0000-0000-0000D1390000}"/>
    <cellStyle name="Note 2 8 2 3 3" xfId="5186" xr:uid="{00000000-0005-0000-0000-0000D2390000}"/>
    <cellStyle name="Note 2 8 2 3 3 2" xfId="11782" xr:uid="{00000000-0005-0000-0000-0000D3390000}"/>
    <cellStyle name="Note 2 8 2 3 3 3" xfId="18401" xr:uid="{00000000-0005-0000-0000-0000D4390000}"/>
    <cellStyle name="Note 2 8 2 3 3_Summary" xfId="22863" xr:uid="{00000000-0005-0000-0000-0000D5390000}"/>
    <cellStyle name="Note 2 8 2 3 4" xfId="7612" xr:uid="{00000000-0005-0000-0000-0000D6390000}"/>
    <cellStyle name="Note 2 8 2 3 5" xfId="14230" xr:uid="{00000000-0005-0000-0000-0000D7390000}"/>
    <cellStyle name="Note 2 8 2 3_Summary" xfId="22861" xr:uid="{00000000-0005-0000-0000-0000D8390000}"/>
    <cellStyle name="Note 2 8 2 4" xfId="1297" xr:uid="{00000000-0005-0000-0000-0000D9390000}"/>
    <cellStyle name="Note 2 8 2 4 2" xfId="3433" xr:uid="{00000000-0005-0000-0000-0000DA390000}"/>
    <cellStyle name="Note 2 8 2 4 2 2" xfId="10029" xr:uid="{00000000-0005-0000-0000-0000DB390000}"/>
    <cellStyle name="Note 2 8 2 4 2 3" xfId="16648" xr:uid="{00000000-0005-0000-0000-0000DC390000}"/>
    <cellStyle name="Note 2 8 2 4 2_Summary" xfId="22865" xr:uid="{00000000-0005-0000-0000-0000DD390000}"/>
    <cellStyle name="Note 2 8 2 4 3" xfId="5468" xr:uid="{00000000-0005-0000-0000-0000DE390000}"/>
    <cellStyle name="Note 2 8 2 4 3 2" xfId="12064" xr:uid="{00000000-0005-0000-0000-0000DF390000}"/>
    <cellStyle name="Note 2 8 2 4 3 3" xfId="18683" xr:uid="{00000000-0005-0000-0000-0000E0390000}"/>
    <cellStyle name="Note 2 8 2 4 3_Summary" xfId="22866" xr:uid="{00000000-0005-0000-0000-0000E1390000}"/>
    <cellStyle name="Note 2 8 2 4 4" xfId="7893" xr:uid="{00000000-0005-0000-0000-0000E2390000}"/>
    <cellStyle name="Note 2 8 2 4 5" xfId="14512" xr:uid="{00000000-0005-0000-0000-0000E3390000}"/>
    <cellStyle name="Note 2 8 2 4_Summary" xfId="22864" xr:uid="{00000000-0005-0000-0000-0000E4390000}"/>
    <cellStyle name="Note 2 8 2 5" xfId="1578" xr:uid="{00000000-0005-0000-0000-0000E5390000}"/>
    <cellStyle name="Note 2 8 2 5 2" xfId="3714" xr:uid="{00000000-0005-0000-0000-0000E6390000}"/>
    <cellStyle name="Note 2 8 2 5 2 2" xfId="10310" xr:uid="{00000000-0005-0000-0000-0000E7390000}"/>
    <cellStyle name="Note 2 8 2 5 2 3" xfId="16929" xr:uid="{00000000-0005-0000-0000-0000E8390000}"/>
    <cellStyle name="Note 2 8 2 5 2_Summary" xfId="22868" xr:uid="{00000000-0005-0000-0000-0000E9390000}"/>
    <cellStyle name="Note 2 8 2 5 3" xfId="5749" xr:uid="{00000000-0005-0000-0000-0000EA390000}"/>
    <cellStyle name="Note 2 8 2 5 3 2" xfId="12345" xr:uid="{00000000-0005-0000-0000-0000EB390000}"/>
    <cellStyle name="Note 2 8 2 5 3 3" xfId="18964" xr:uid="{00000000-0005-0000-0000-0000EC390000}"/>
    <cellStyle name="Note 2 8 2 5 3_Summary" xfId="22869" xr:uid="{00000000-0005-0000-0000-0000ED390000}"/>
    <cellStyle name="Note 2 8 2 5 4" xfId="8174" xr:uid="{00000000-0005-0000-0000-0000EE390000}"/>
    <cellStyle name="Note 2 8 2 5 5" xfId="14793" xr:uid="{00000000-0005-0000-0000-0000EF390000}"/>
    <cellStyle name="Note 2 8 2 5_Summary" xfId="22867" xr:uid="{00000000-0005-0000-0000-0000F0390000}"/>
    <cellStyle name="Note 2 8 2 6" xfId="1857" xr:uid="{00000000-0005-0000-0000-0000F1390000}"/>
    <cellStyle name="Note 2 8 2 6 2" xfId="3993" xr:uid="{00000000-0005-0000-0000-0000F2390000}"/>
    <cellStyle name="Note 2 8 2 6 2 2" xfId="10589" xr:uid="{00000000-0005-0000-0000-0000F3390000}"/>
    <cellStyle name="Note 2 8 2 6 2 3" xfId="17208" xr:uid="{00000000-0005-0000-0000-0000F4390000}"/>
    <cellStyle name="Note 2 8 2 6 2_Summary" xfId="22871" xr:uid="{00000000-0005-0000-0000-0000F5390000}"/>
    <cellStyle name="Note 2 8 2 6 3" xfId="6028" xr:uid="{00000000-0005-0000-0000-0000F6390000}"/>
    <cellStyle name="Note 2 8 2 6 3 2" xfId="12624" xr:uid="{00000000-0005-0000-0000-0000F7390000}"/>
    <cellStyle name="Note 2 8 2 6 3 3" xfId="19243" xr:uid="{00000000-0005-0000-0000-0000F8390000}"/>
    <cellStyle name="Note 2 8 2 6 3_Summary" xfId="22872" xr:uid="{00000000-0005-0000-0000-0000F9390000}"/>
    <cellStyle name="Note 2 8 2 6 4" xfId="8453" xr:uid="{00000000-0005-0000-0000-0000FA390000}"/>
    <cellStyle name="Note 2 8 2 6 5" xfId="15072" xr:uid="{00000000-0005-0000-0000-0000FB390000}"/>
    <cellStyle name="Note 2 8 2 6_Summary" xfId="22870" xr:uid="{00000000-0005-0000-0000-0000FC390000}"/>
    <cellStyle name="Note 2 8 2 7" xfId="2132" xr:uid="{00000000-0005-0000-0000-0000FD390000}"/>
    <cellStyle name="Note 2 8 2 7 2" xfId="4268" xr:uid="{00000000-0005-0000-0000-0000FE390000}"/>
    <cellStyle name="Note 2 8 2 7 2 2" xfId="10864" xr:uid="{00000000-0005-0000-0000-0000FF390000}"/>
    <cellStyle name="Note 2 8 2 7 2 3" xfId="17483" xr:uid="{00000000-0005-0000-0000-0000003A0000}"/>
    <cellStyle name="Note 2 8 2 7 2_Summary" xfId="22874" xr:uid="{00000000-0005-0000-0000-0000013A0000}"/>
    <cellStyle name="Note 2 8 2 7 3" xfId="6303" xr:uid="{00000000-0005-0000-0000-0000023A0000}"/>
    <cellStyle name="Note 2 8 2 7 3 2" xfId="12899" xr:uid="{00000000-0005-0000-0000-0000033A0000}"/>
    <cellStyle name="Note 2 8 2 7 3 3" xfId="19518" xr:uid="{00000000-0005-0000-0000-0000043A0000}"/>
    <cellStyle name="Note 2 8 2 7 3_Summary" xfId="22875" xr:uid="{00000000-0005-0000-0000-0000053A0000}"/>
    <cellStyle name="Note 2 8 2 7 4" xfId="8728" xr:uid="{00000000-0005-0000-0000-0000063A0000}"/>
    <cellStyle name="Note 2 8 2 7 5" xfId="15347" xr:uid="{00000000-0005-0000-0000-0000073A0000}"/>
    <cellStyle name="Note 2 8 2 7_Summary" xfId="22873" xr:uid="{00000000-0005-0000-0000-0000083A0000}"/>
    <cellStyle name="Note 2 8 2 8" xfId="2405" xr:uid="{00000000-0005-0000-0000-0000093A0000}"/>
    <cellStyle name="Note 2 8 2 8 2" xfId="4541" xr:uid="{00000000-0005-0000-0000-00000A3A0000}"/>
    <cellStyle name="Note 2 8 2 8 2 2" xfId="11137" xr:uid="{00000000-0005-0000-0000-00000B3A0000}"/>
    <cellStyle name="Note 2 8 2 8 2 3" xfId="17756" xr:uid="{00000000-0005-0000-0000-00000C3A0000}"/>
    <cellStyle name="Note 2 8 2 8 2_Summary" xfId="22877" xr:uid="{00000000-0005-0000-0000-00000D3A0000}"/>
    <cellStyle name="Note 2 8 2 8 3" xfId="6576" xr:uid="{00000000-0005-0000-0000-00000E3A0000}"/>
    <cellStyle name="Note 2 8 2 8 3 2" xfId="13172" xr:uid="{00000000-0005-0000-0000-00000F3A0000}"/>
    <cellStyle name="Note 2 8 2 8 3 3" xfId="19791" xr:uid="{00000000-0005-0000-0000-0000103A0000}"/>
    <cellStyle name="Note 2 8 2 8 3_Summary" xfId="22878" xr:uid="{00000000-0005-0000-0000-0000113A0000}"/>
    <cellStyle name="Note 2 8 2 8 4" xfId="9001" xr:uid="{00000000-0005-0000-0000-0000123A0000}"/>
    <cellStyle name="Note 2 8 2 8 5" xfId="15620" xr:uid="{00000000-0005-0000-0000-0000133A0000}"/>
    <cellStyle name="Note 2 8 2 8_Summary" xfId="22876" xr:uid="{00000000-0005-0000-0000-0000143A0000}"/>
    <cellStyle name="Note 2 8 2 9" xfId="2706" xr:uid="{00000000-0005-0000-0000-0000153A0000}"/>
    <cellStyle name="Note 2 8 2 9 2" xfId="9302" xr:uid="{00000000-0005-0000-0000-0000163A0000}"/>
    <cellStyle name="Note 2 8 2 9 3" xfId="15921" xr:uid="{00000000-0005-0000-0000-0000173A0000}"/>
    <cellStyle name="Note 2 8 2 9_Summary" xfId="22879" xr:uid="{00000000-0005-0000-0000-0000183A0000}"/>
    <cellStyle name="Note 2 8 2_Summary" xfId="22836" xr:uid="{00000000-0005-0000-0000-0000193A0000}"/>
    <cellStyle name="Note 2 8 3" xfId="234" xr:uid="{00000000-0005-0000-0000-00001A3A0000}"/>
    <cellStyle name="Note 2 8 3 10" xfId="771" xr:uid="{00000000-0005-0000-0000-00001B3A0000}"/>
    <cellStyle name="Note 2 8 3 10 2" xfId="13986" xr:uid="{00000000-0005-0000-0000-00001C3A0000}"/>
    <cellStyle name="Note 2 8 3 10_Summary" xfId="22881" xr:uid="{00000000-0005-0000-0000-00001D3A0000}"/>
    <cellStyle name="Note 2 8 3 11" xfId="7141" xr:uid="{00000000-0005-0000-0000-00001E3A0000}"/>
    <cellStyle name="Note 2 8 3 12" xfId="6983" xr:uid="{00000000-0005-0000-0000-00001F3A0000}"/>
    <cellStyle name="Note 2 8 3 13" xfId="29476" xr:uid="{57645CAB-8DFC-4B65-8CE0-2A0A75EE0E53}"/>
    <cellStyle name="Note 2 8 3 14" xfId="31046" xr:uid="{4A55684C-BC1B-491E-9B65-57D0432AEC4A}"/>
    <cellStyle name="Note 2 8 3 2" xfId="939" xr:uid="{00000000-0005-0000-0000-0000203A0000}"/>
    <cellStyle name="Note 2 8 3 2 2" xfId="3075" xr:uid="{00000000-0005-0000-0000-0000213A0000}"/>
    <cellStyle name="Note 2 8 3 2 2 2" xfId="9671" xr:uid="{00000000-0005-0000-0000-0000223A0000}"/>
    <cellStyle name="Note 2 8 3 2 2 3" xfId="16290" xr:uid="{00000000-0005-0000-0000-0000233A0000}"/>
    <cellStyle name="Note 2 8 3 2 2_Summary" xfId="22883" xr:uid="{00000000-0005-0000-0000-0000243A0000}"/>
    <cellStyle name="Note 2 8 3 2 3" xfId="5110" xr:uid="{00000000-0005-0000-0000-0000253A0000}"/>
    <cellStyle name="Note 2 8 3 2 3 2" xfId="11706" xr:uid="{00000000-0005-0000-0000-0000263A0000}"/>
    <cellStyle name="Note 2 8 3 2 3 3" xfId="18325" xr:uid="{00000000-0005-0000-0000-0000273A0000}"/>
    <cellStyle name="Note 2 8 3 2 3_Summary" xfId="22884" xr:uid="{00000000-0005-0000-0000-0000283A0000}"/>
    <cellStyle name="Note 2 8 3 2 4" xfId="7536" xr:uid="{00000000-0005-0000-0000-0000293A0000}"/>
    <cellStyle name="Note 2 8 3 2 5" xfId="14154" xr:uid="{00000000-0005-0000-0000-00002A3A0000}"/>
    <cellStyle name="Note 2 8 3 2 6" xfId="30331" xr:uid="{D8620293-1843-4A02-A7F1-1BEADB3DA055}"/>
    <cellStyle name="Note 2 8 3 2 7" xfId="31763" xr:uid="{9D64B1BA-2EC2-4F15-A42F-956689C43B12}"/>
    <cellStyle name="Note 2 8 3 2_Summary" xfId="22882" xr:uid="{00000000-0005-0000-0000-00002B3A0000}"/>
    <cellStyle name="Note 2 8 3 3" xfId="1224" xr:uid="{00000000-0005-0000-0000-00002C3A0000}"/>
    <cellStyle name="Note 2 8 3 3 2" xfId="3360" xr:uid="{00000000-0005-0000-0000-00002D3A0000}"/>
    <cellStyle name="Note 2 8 3 3 2 2" xfId="9956" xr:uid="{00000000-0005-0000-0000-00002E3A0000}"/>
    <cellStyle name="Note 2 8 3 3 2 3" xfId="16575" xr:uid="{00000000-0005-0000-0000-00002F3A0000}"/>
    <cellStyle name="Note 2 8 3 3 2_Summary" xfId="22886" xr:uid="{00000000-0005-0000-0000-0000303A0000}"/>
    <cellStyle name="Note 2 8 3 3 3" xfId="5395" xr:uid="{00000000-0005-0000-0000-0000313A0000}"/>
    <cellStyle name="Note 2 8 3 3 3 2" xfId="11991" xr:uid="{00000000-0005-0000-0000-0000323A0000}"/>
    <cellStyle name="Note 2 8 3 3 3 3" xfId="18610" xr:uid="{00000000-0005-0000-0000-0000333A0000}"/>
    <cellStyle name="Note 2 8 3 3 3_Summary" xfId="22887" xr:uid="{00000000-0005-0000-0000-0000343A0000}"/>
    <cellStyle name="Note 2 8 3 3 4" xfId="7820" xr:uid="{00000000-0005-0000-0000-0000353A0000}"/>
    <cellStyle name="Note 2 8 3 3 5" xfId="14439" xr:uid="{00000000-0005-0000-0000-0000363A0000}"/>
    <cellStyle name="Note 2 8 3 3_Summary" xfId="22885" xr:uid="{00000000-0005-0000-0000-0000373A0000}"/>
    <cellStyle name="Note 2 8 3 4" xfId="1506" xr:uid="{00000000-0005-0000-0000-0000383A0000}"/>
    <cellStyle name="Note 2 8 3 4 2" xfId="3642" xr:uid="{00000000-0005-0000-0000-0000393A0000}"/>
    <cellStyle name="Note 2 8 3 4 2 2" xfId="10238" xr:uid="{00000000-0005-0000-0000-00003A3A0000}"/>
    <cellStyle name="Note 2 8 3 4 2 3" xfId="16857" xr:uid="{00000000-0005-0000-0000-00003B3A0000}"/>
    <cellStyle name="Note 2 8 3 4 2_Summary" xfId="22889" xr:uid="{00000000-0005-0000-0000-00003C3A0000}"/>
    <cellStyle name="Note 2 8 3 4 3" xfId="5677" xr:uid="{00000000-0005-0000-0000-00003D3A0000}"/>
    <cellStyle name="Note 2 8 3 4 3 2" xfId="12273" xr:uid="{00000000-0005-0000-0000-00003E3A0000}"/>
    <cellStyle name="Note 2 8 3 4 3 3" xfId="18892" xr:uid="{00000000-0005-0000-0000-00003F3A0000}"/>
    <cellStyle name="Note 2 8 3 4 3_Summary" xfId="22890" xr:uid="{00000000-0005-0000-0000-0000403A0000}"/>
    <cellStyle name="Note 2 8 3 4 4" xfId="8102" xr:uid="{00000000-0005-0000-0000-0000413A0000}"/>
    <cellStyle name="Note 2 8 3 4 5" xfId="14721" xr:uid="{00000000-0005-0000-0000-0000423A0000}"/>
    <cellStyle name="Note 2 8 3 4_Summary" xfId="22888" xr:uid="{00000000-0005-0000-0000-0000433A0000}"/>
    <cellStyle name="Note 2 8 3 5" xfId="1787" xr:uid="{00000000-0005-0000-0000-0000443A0000}"/>
    <cellStyle name="Note 2 8 3 5 2" xfId="3923" xr:uid="{00000000-0005-0000-0000-0000453A0000}"/>
    <cellStyle name="Note 2 8 3 5 2 2" xfId="10519" xr:uid="{00000000-0005-0000-0000-0000463A0000}"/>
    <cellStyle name="Note 2 8 3 5 2 3" xfId="17138" xr:uid="{00000000-0005-0000-0000-0000473A0000}"/>
    <cellStyle name="Note 2 8 3 5 2_Summary" xfId="22892" xr:uid="{00000000-0005-0000-0000-0000483A0000}"/>
    <cellStyle name="Note 2 8 3 5 3" xfId="5958" xr:uid="{00000000-0005-0000-0000-0000493A0000}"/>
    <cellStyle name="Note 2 8 3 5 3 2" xfId="12554" xr:uid="{00000000-0005-0000-0000-00004A3A0000}"/>
    <cellStyle name="Note 2 8 3 5 3 3" xfId="19173" xr:uid="{00000000-0005-0000-0000-00004B3A0000}"/>
    <cellStyle name="Note 2 8 3 5 3_Summary" xfId="22893" xr:uid="{00000000-0005-0000-0000-00004C3A0000}"/>
    <cellStyle name="Note 2 8 3 5 4" xfId="8383" xr:uid="{00000000-0005-0000-0000-00004D3A0000}"/>
    <cellStyle name="Note 2 8 3 5 5" xfId="15002" xr:uid="{00000000-0005-0000-0000-00004E3A0000}"/>
    <cellStyle name="Note 2 8 3 5_Summary" xfId="22891" xr:uid="{00000000-0005-0000-0000-00004F3A0000}"/>
    <cellStyle name="Note 2 8 3 6" xfId="2066" xr:uid="{00000000-0005-0000-0000-0000503A0000}"/>
    <cellStyle name="Note 2 8 3 6 2" xfId="4202" xr:uid="{00000000-0005-0000-0000-0000513A0000}"/>
    <cellStyle name="Note 2 8 3 6 2 2" xfId="10798" xr:uid="{00000000-0005-0000-0000-0000523A0000}"/>
    <cellStyle name="Note 2 8 3 6 2 3" xfId="17417" xr:uid="{00000000-0005-0000-0000-0000533A0000}"/>
    <cellStyle name="Note 2 8 3 6 2_Summary" xfId="22895" xr:uid="{00000000-0005-0000-0000-0000543A0000}"/>
    <cellStyle name="Note 2 8 3 6 3" xfId="6237" xr:uid="{00000000-0005-0000-0000-0000553A0000}"/>
    <cellStyle name="Note 2 8 3 6 3 2" xfId="12833" xr:uid="{00000000-0005-0000-0000-0000563A0000}"/>
    <cellStyle name="Note 2 8 3 6 3 3" xfId="19452" xr:uid="{00000000-0005-0000-0000-0000573A0000}"/>
    <cellStyle name="Note 2 8 3 6 3_Summary" xfId="22896" xr:uid="{00000000-0005-0000-0000-0000583A0000}"/>
    <cellStyle name="Note 2 8 3 6 4" xfId="8662" xr:uid="{00000000-0005-0000-0000-0000593A0000}"/>
    <cellStyle name="Note 2 8 3 6 5" xfId="15281" xr:uid="{00000000-0005-0000-0000-00005A3A0000}"/>
    <cellStyle name="Note 2 8 3 6_Summary" xfId="22894" xr:uid="{00000000-0005-0000-0000-00005B3A0000}"/>
    <cellStyle name="Note 2 8 3 7" xfId="2341" xr:uid="{00000000-0005-0000-0000-00005C3A0000}"/>
    <cellStyle name="Note 2 8 3 7 2" xfId="4477" xr:uid="{00000000-0005-0000-0000-00005D3A0000}"/>
    <cellStyle name="Note 2 8 3 7 2 2" xfId="11073" xr:uid="{00000000-0005-0000-0000-00005E3A0000}"/>
    <cellStyle name="Note 2 8 3 7 2 3" xfId="17692" xr:uid="{00000000-0005-0000-0000-00005F3A0000}"/>
    <cellStyle name="Note 2 8 3 7 2_Summary" xfId="22898" xr:uid="{00000000-0005-0000-0000-0000603A0000}"/>
    <cellStyle name="Note 2 8 3 7 3" xfId="6512" xr:uid="{00000000-0005-0000-0000-0000613A0000}"/>
    <cellStyle name="Note 2 8 3 7 3 2" xfId="13108" xr:uid="{00000000-0005-0000-0000-0000623A0000}"/>
    <cellStyle name="Note 2 8 3 7 3 3" xfId="19727" xr:uid="{00000000-0005-0000-0000-0000633A0000}"/>
    <cellStyle name="Note 2 8 3 7 3_Summary" xfId="22899" xr:uid="{00000000-0005-0000-0000-0000643A0000}"/>
    <cellStyle name="Note 2 8 3 7 4" xfId="8937" xr:uid="{00000000-0005-0000-0000-0000653A0000}"/>
    <cellStyle name="Note 2 8 3 7 5" xfId="15556" xr:uid="{00000000-0005-0000-0000-0000663A0000}"/>
    <cellStyle name="Note 2 8 3 7_Summary" xfId="22897" xr:uid="{00000000-0005-0000-0000-0000673A0000}"/>
    <cellStyle name="Note 2 8 3 8" xfId="2907" xr:uid="{00000000-0005-0000-0000-0000683A0000}"/>
    <cellStyle name="Note 2 8 3 8 2" xfId="9503" xr:uid="{00000000-0005-0000-0000-0000693A0000}"/>
    <cellStyle name="Note 2 8 3 8 3" xfId="16122" xr:uid="{00000000-0005-0000-0000-00006A3A0000}"/>
    <cellStyle name="Note 2 8 3 8_Summary" xfId="22900" xr:uid="{00000000-0005-0000-0000-00006B3A0000}"/>
    <cellStyle name="Note 2 8 3 9" xfId="4942" xr:uid="{00000000-0005-0000-0000-00006C3A0000}"/>
    <cellStyle name="Note 2 8 3 9 2" xfId="11538" xr:uid="{00000000-0005-0000-0000-00006D3A0000}"/>
    <cellStyle name="Note 2 8 3 9 3" xfId="18157" xr:uid="{00000000-0005-0000-0000-00006E3A0000}"/>
    <cellStyle name="Note 2 8 3 9_Summary" xfId="22901" xr:uid="{00000000-0005-0000-0000-00006F3A0000}"/>
    <cellStyle name="Note 2 8 3_Summary" xfId="22880" xr:uid="{00000000-0005-0000-0000-0000703A0000}"/>
    <cellStyle name="Note 2 8 4" xfId="388" xr:uid="{00000000-0005-0000-0000-0000713A0000}"/>
    <cellStyle name="Note 2 8 4 10" xfId="725" xr:uid="{00000000-0005-0000-0000-0000723A0000}"/>
    <cellStyle name="Note 2 8 4 10 2" xfId="13940" xr:uid="{00000000-0005-0000-0000-0000733A0000}"/>
    <cellStyle name="Note 2 8 4 10_Summary" xfId="22903" xr:uid="{00000000-0005-0000-0000-0000743A0000}"/>
    <cellStyle name="Note 2 8 4 11" xfId="7281" xr:uid="{00000000-0005-0000-0000-0000753A0000}"/>
    <cellStyle name="Note 2 8 4 12" xfId="13603" xr:uid="{00000000-0005-0000-0000-0000763A0000}"/>
    <cellStyle name="Note 2 8 4 13" xfId="30329" xr:uid="{2410CFD0-F6CB-419D-BF1C-F2503FBF7A4D}"/>
    <cellStyle name="Note 2 8 4 14" xfId="31761" xr:uid="{F9B9805C-C4CB-468D-896C-F7F8C6962E36}"/>
    <cellStyle name="Note 2 8 4 2" xfId="1082" xr:uid="{00000000-0005-0000-0000-0000773A0000}"/>
    <cellStyle name="Note 2 8 4 2 2" xfId="3218" xr:uid="{00000000-0005-0000-0000-0000783A0000}"/>
    <cellStyle name="Note 2 8 4 2 2 2" xfId="9814" xr:uid="{00000000-0005-0000-0000-0000793A0000}"/>
    <cellStyle name="Note 2 8 4 2 2 3" xfId="16433" xr:uid="{00000000-0005-0000-0000-00007A3A0000}"/>
    <cellStyle name="Note 2 8 4 2 2_Summary" xfId="22905" xr:uid="{00000000-0005-0000-0000-00007B3A0000}"/>
    <cellStyle name="Note 2 8 4 2 3" xfId="5253" xr:uid="{00000000-0005-0000-0000-00007C3A0000}"/>
    <cellStyle name="Note 2 8 4 2 3 2" xfId="11849" xr:uid="{00000000-0005-0000-0000-00007D3A0000}"/>
    <cellStyle name="Note 2 8 4 2 3 3" xfId="18468" xr:uid="{00000000-0005-0000-0000-00007E3A0000}"/>
    <cellStyle name="Note 2 8 4 2 3_Summary" xfId="22906" xr:uid="{00000000-0005-0000-0000-00007F3A0000}"/>
    <cellStyle name="Note 2 8 4 2 4" xfId="7679" xr:uid="{00000000-0005-0000-0000-0000803A0000}"/>
    <cellStyle name="Note 2 8 4 2 5" xfId="14297" xr:uid="{00000000-0005-0000-0000-0000813A0000}"/>
    <cellStyle name="Note 2 8 4 2_Summary" xfId="22904" xr:uid="{00000000-0005-0000-0000-0000823A0000}"/>
    <cellStyle name="Note 2 8 4 3" xfId="1364" xr:uid="{00000000-0005-0000-0000-0000833A0000}"/>
    <cellStyle name="Note 2 8 4 3 2" xfId="3500" xr:uid="{00000000-0005-0000-0000-0000843A0000}"/>
    <cellStyle name="Note 2 8 4 3 2 2" xfId="10096" xr:uid="{00000000-0005-0000-0000-0000853A0000}"/>
    <cellStyle name="Note 2 8 4 3 2 3" xfId="16715" xr:uid="{00000000-0005-0000-0000-0000863A0000}"/>
    <cellStyle name="Note 2 8 4 3 2_Summary" xfId="22908" xr:uid="{00000000-0005-0000-0000-0000873A0000}"/>
    <cellStyle name="Note 2 8 4 3 3" xfId="5535" xr:uid="{00000000-0005-0000-0000-0000883A0000}"/>
    <cellStyle name="Note 2 8 4 3 3 2" xfId="12131" xr:uid="{00000000-0005-0000-0000-0000893A0000}"/>
    <cellStyle name="Note 2 8 4 3 3 3" xfId="18750" xr:uid="{00000000-0005-0000-0000-00008A3A0000}"/>
    <cellStyle name="Note 2 8 4 3 3_Summary" xfId="22909" xr:uid="{00000000-0005-0000-0000-00008B3A0000}"/>
    <cellStyle name="Note 2 8 4 3 4" xfId="7960" xr:uid="{00000000-0005-0000-0000-00008C3A0000}"/>
    <cellStyle name="Note 2 8 4 3 5" xfId="14579" xr:uid="{00000000-0005-0000-0000-00008D3A0000}"/>
    <cellStyle name="Note 2 8 4 3_Summary" xfId="22907" xr:uid="{00000000-0005-0000-0000-00008E3A0000}"/>
    <cellStyle name="Note 2 8 4 4" xfId="1645" xr:uid="{00000000-0005-0000-0000-00008F3A0000}"/>
    <cellStyle name="Note 2 8 4 4 2" xfId="3781" xr:uid="{00000000-0005-0000-0000-0000903A0000}"/>
    <cellStyle name="Note 2 8 4 4 2 2" xfId="10377" xr:uid="{00000000-0005-0000-0000-0000913A0000}"/>
    <cellStyle name="Note 2 8 4 4 2 3" xfId="16996" xr:uid="{00000000-0005-0000-0000-0000923A0000}"/>
    <cellStyle name="Note 2 8 4 4 2_Summary" xfId="22911" xr:uid="{00000000-0005-0000-0000-0000933A0000}"/>
    <cellStyle name="Note 2 8 4 4 3" xfId="5816" xr:uid="{00000000-0005-0000-0000-0000943A0000}"/>
    <cellStyle name="Note 2 8 4 4 3 2" xfId="12412" xr:uid="{00000000-0005-0000-0000-0000953A0000}"/>
    <cellStyle name="Note 2 8 4 4 3 3" xfId="19031" xr:uid="{00000000-0005-0000-0000-0000963A0000}"/>
    <cellStyle name="Note 2 8 4 4 3_Summary" xfId="22912" xr:uid="{00000000-0005-0000-0000-0000973A0000}"/>
    <cellStyle name="Note 2 8 4 4 4" xfId="8241" xr:uid="{00000000-0005-0000-0000-0000983A0000}"/>
    <cellStyle name="Note 2 8 4 4 5" xfId="14860" xr:uid="{00000000-0005-0000-0000-0000993A0000}"/>
    <cellStyle name="Note 2 8 4 4_Summary" xfId="22910" xr:uid="{00000000-0005-0000-0000-00009A3A0000}"/>
    <cellStyle name="Note 2 8 4 5" xfId="1924" xr:uid="{00000000-0005-0000-0000-00009B3A0000}"/>
    <cellStyle name="Note 2 8 4 5 2" xfId="4060" xr:uid="{00000000-0005-0000-0000-00009C3A0000}"/>
    <cellStyle name="Note 2 8 4 5 2 2" xfId="10656" xr:uid="{00000000-0005-0000-0000-00009D3A0000}"/>
    <cellStyle name="Note 2 8 4 5 2 3" xfId="17275" xr:uid="{00000000-0005-0000-0000-00009E3A0000}"/>
    <cellStyle name="Note 2 8 4 5 2_Summary" xfId="22914" xr:uid="{00000000-0005-0000-0000-00009F3A0000}"/>
    <cellStyle name="Note 2 8 4 5 3" xfId="6095" xr:uid="{00000000-0005-0000-0000-0000A03A0000}"/>
    <cellStyle name="Note 2 8 4 5 3 2" xfId="12691" xr:uid="{00000000-0005-0000-0000-0000A13A0000}"/>
    <cellStyle name="Note 2 8 4 5 3 3" xfId="19310" xr:uid="{00000000-0005-0000-0000-0000A23A0000}"/>
    <cellStyle name="Note 2 8 4 5 3_Summary" xfId="22915" xr:uid="{00000000-0005-0000-0000-0000A33A0000}"/>
    <cellStyle name="Note 2 8 4 5 4" xfId="8520" xr:uid="{00000000-0005-0000-0000-0000A43A0000}"/>
    <cellStyle name="Note 2 8 4 5 5" xfId="15139" xr:uid="{00000000-0005-0000-0000-0000A53A0000}"/>
    <cellStyle name="Note 2 8 4 5_Summary" xfId="22913" xr:uid="{00000000-0005-0000-0000-0000A63A0000}"/>
    <cellStyle name="Note 2 8 4 6" xfId="2199" xr:uid="{00000000-0005-0000-0000-0000A73A0000}"/>
    <cellStyle name="Note 2 8 4 6 2" xfId="4335" xr:uid="{00000000-0005-0000-0000-0000A83A0000}"/>
    <cellStyle name="Note 2 8 4 6 2 2" xfId="10931" xr:uid="{00000000-0005-0000-0000-0000A93A0000}"/>
    <cellStyle name="Note 2 8 4 6 2 3" xfId="17550" xr:uid="{00000000-0005-0000-0000-0000AA3A0000}"/>
    <cellStyle name="Note 2 8 4 6 2_Summary" xfId="22917" xr:uid="{00000000-0005-0000-0000-0000AB3A0000}"/>
    <cellStyle name="Note 2 8 4 6 3" xfId="6370" xr:uid="{00000000-0005-0000-0000-0000AC3A0000}"/>
    <cellStyle name="Note 2 8 4 6 3 2" xfId="12966" xr:uid="{00000000-0005-0000-0000-0000AD3A0000}"/>
    <cellStyle name="Note 2 8 4 6 3 3" xfId="19585" xr:uid="{00000000-0005-0000-0000-0000AE3A0000}"/>
    <cellStyle name="Note 2 8 4 6 3_Summary" xfId="22918" xr:uid="{00000000-0005-0000-0000-0000AF3A0000}"/>
    <cellStyle name="Note 2 8 4 6 4" xfId="8795" xr:uid="{00000000-0005-0000-0000-0000B03A0000}"/>
    <cellStyle name="Note 2 8 4 6 5" xfId="15414" xr:uid="{00000000-0005-0000-0000-0000B13A0000}"/>
    <cellStyle name="Note 2 8 4 6_Summary" xfId="22916" xr:uid="{00000000-0005-0000-0000-0000B23A0000}"/>
    <cellStyle name="Note 2 8 4 7" xfId="2472" xr:uid="{00000000-0005-0000-0000-0000B33A0000}"/>
    <cellStyle name="Note 2 8 4 7 2" xfId="4608" xr:uid="{00000000-0005-0000-0000-0000B43A0000}"/>
    <cellStyle name="Note 2 8 4 7 2 2" xfId="11204" xr:uid="{00000000-0005-0000-0000-0000B53A0000}"/>
    <cellStyle name="Note 2 8 4 7 2 3" xfId="17823" xr:uid="{00000000-0005-0000-0000-0000B63A0000}"/>
    <cellStyle name="Note 2 8 4 7 2_Summary" xfId="22920" xr:uid="{00000000-0005-0000-0000-0000B73A0000}"/>
    <cellStyle name="Note 2 8 4 7 3" xfId="6643" xr:uid="{00000000-0005-0000-0000-0000B83A0000}"/>
    <cellStyle name="Note 2 8 4 7 3 2" xfId="13239" xr:uid="{00000000-0005-0000-0000-0000B93A0000}"/>
    <cellStyle name="Note 2 8 4 7 3 3" xfId="19858" xr:uid="{00000000-0005-0000-0000-0000BA3A0000}"/>
    <cellStyle name="Note 2 8 4 7 3_Summary" xfId="22921" xr:uid="{00000000-0005-0000-0000-0000BB3A0000}"/>
    <cellStyle name="Note 2 8 4 7 4" xfId="9068" xr:uid="{00000000-0005-0000-0000-0000BC3A0000}"/>
    <cellStyle name="Note 2 8 4 7 5" xfId="15687" xr:uid="{00000000-0005-0000-0000-0000BD3A0000}"/>
    <cellStyle name="Note 2 8 4 7_Summary" xfId="22919" xr:uid="{00000000-0005-0000-0000-0000BE3A0000}"/>
    <cellStyle name="Note 2 8 4 8" xfId="2861" xr:uid="{00000000-0005-0000-0000-0000BF3A0000}"/>
    <cellStyle name="Note 2 8 4 8 2" xfId="9457" xr:uid="{00000000-0005-0000-0000-0000C03A0000}"/>
    <cellStyle name="Note 2 8 4 8 3" xfId="16076" xr:uid="{00000000-0005-0000-0000-0000C13A0000}"/>
    <cellStyle name="Note 2 8 4 8_Summary" xfId="22922" xr:uid="{00000000-0005-0000-0000-0000C23A0000}"/>
    <cellStyle name="Note 2 8 4 9" xfId="4896" xr:uid="{00000000-0005-0000-0000-0000C33A0000}"/>
    <cellStyle name="Note 2 8 4 9 2" xfId="11492" xr:uid="{00000000-0005-0000-0000-0000C43A0000}"/>
    <cellStyle name="Note 2 8 4 9 3" xfId="18111" xr:uid="{00000000-0005-0000-0000-0000C53A0000}"/>
    <cellStyle name="Note 2 8 4 9_Summary" xfId="22923" xr:uid="{00000000-0005-0000-0000-0000C63A0000}"/>
    <cellStyle name="Note 2 8 4_Summary" xfId="22902" xr:uid="{00000000-0005-0000-0000-0000C73A0000}"/>
    <cellStyle name="Note 2 8 5" xfId="895" xr:uid="{00000000-0005-0000-0000-0000C83A0000}"/>
    <cellStyle name="Note 2 8 5 2" xfId="3031" xr:uid="{00000000-0005-0000-0000-0000C93A0000}"/>
    <cellStyle name="Note 2 8 5 2 2" xfId="9627" xr:uid="{00000000-0005-0000-0000-0000CA3A0000}"/>
    <cellStyle name="Note 2 8 5 2 3" xfId="16246" xr:uid="{00000000-0005-0000-0000-0000CB3A0000}"/>
    <cellStyle name="Note 2 8 5 2_Summary" xfId="22925" xr:uid="{00000000-0005-0000-0000-0000CC3A0000}"/>
    <cellStyle name="Note 2 8 5 3" xfId="5066" xr:uid="{00000000-0005-0000-0000-0000CD3A0000}"/>
    <cellStyle name="Note 2 8 5 3 2" xfId="11662" xr:uid="{00000000-0005-0000-0000-0000CE3A0000}"/>
    <cellStyle name="Note 2 8 5 3 3" xfId="18281" xr:uid="{00000000-0005-0000-0000-0000CF3A0000}"/>
    <cellStyle name="Note 2 8 5 3_Summary" xfId="22926" xr:uid="{00000000-0005-0000-0000-0000D03A0000}"/>
    <cellStyle name="Note 2 8 5 4" xfId="7492" xr:uid="{00000000-0005-0000-0000-0000D13A0000}"/>
    <cellStyle name="Note 2 8 5 5" xfId="14110" xr:uid="{00000000-0005-0000-0000-0000D23A0000}"/>
    <cellStyle name="Note 2 8 5_Summary" xfId="22924" xr:uid="{00000000-0005-0000-0000-0000D33A0000}"/>
    <cellStyle name="Note 2 8 6" xfId="1180" xr:uid="{00000000-0005-0000-0000-0000D43A0000}"/>
    <cellStyle name="Note 2 8 6 2" xfId="3316" xr:uid="{00000000-0005-0000-0000-0000D53A0000}"/>
    <cellStyle name="Note 2 8 6 2 2" xfId="9912" xr:uid="{00000000-0005-0000-0000-0000D63A0000}"/>
    <cellStyle name="Note 2 8 6 2 3" xfId="16531" xr:uid="{00000000-0005-0000-0000-0000D73A0000}"/>
    <cellStyle name="Note 2 8 6 2_Summary" xfId="22928" xr:uid="{00000000-0005-0000-0000-0000D83A0000}"/>
    <cellStyle name="Note 2 8 6 3" xfId="5351" xr:uid="{00000000-0005-0000-0000-0000D93A0000}"/>
    <cellStyle name="Note 2 8 6 3 2" xfId="11947" xr:uid="{00000000-0005-0000-0000-0000DA3A0000}"/>
    <cellStyle name="Note 2 8 6 3 3" xfId="18566" xr:uid="{00000000-0005-0000-0000-0000DB3A0000}"/>
    <cellStyle name="Note 2 8 6 3_Summary" xfId="22929" xr:uid="{00000000-0005-0000-0000-0000DC3A0000}"/>
    <cellStyle name="Note 2 8 6 4" xfId="7776" xr:uid="{00000000-0005-0000-0000-0000DD3A0000}"/>
    <cellStyle name="Note 2 8 6 5" xfId="14395" xr:uid="{00000000-0005-0000-0000-0000DE3A0000}"/>
    <cellStyle name="Note 2 8 6_Summary" xfId="22927" xr:uid="{00000000-0005-0000-0000-0000DF3A0000}"/>
    <cellStyle name="Note 2 8 7" xfId="1462" xr:uid="{00000000-0005-0000-0000-0000E03A0000}"/>
    <cellStyle name="Note 2 8 7 2" xfId="3598" xr:uid="{00000000-0005-0000-0000-0000E13A0000}"/>
    <cellStyle name="Note 2 8 7 2 2" xfId="10194" xr:uid="{00000000-0005-0000-0000-0000E23A0000}"/>
    <cellStyle name="Note 2 8 7 2 3" xfId="16813" xr:uid="{00000000-0005-0000-0000-0000E33A0000}"/>
    <cellStyle name="Note 2 8 7 2_Summary" xfId="22931" xr:uid="{00000000-0005-0000-0000-0000E43A0000}"/>
    <cellStyle name="Note 2 8 7 3" xfId="5633" xr:uid="{00000000-0005-0000-0000-0000E53A0000}"/>
    <cellStyle name="Note 2 8 7 3 2" xfId="12229" xr:uid="{00000000-0005-0000-0000-0000E63A0000}"/>
    <cellStyle name="Note 2 8 7 3 3" xfId="18848" xr:uid="{00000000-0005-0000-0000-0000E73A0000}"/>
    <cellStyle name="Note 2 8 7 3_Summary" xfId="22932" xr:uid="{00000000-0005-0000-0000-0000E83A0000}"/>
    <cellStyle name="Note 2 8 7 4" xfId="8058" xr:uid="{00000000-0005-0000-0000-0000E93A0000}"/>
    <cellStyle name="Note 2 8 7 5" xfId="14677" xr:uid="{00000000-0005-0000-0000-0000EA3A0000}"/>
    <cellStyle name="Note 2 8 7_Summary" xfId="22930" xr:uid="{00000000-0005-0000-0000-0000EB3A0000}"/>
    <cellStyle name="Note 2 8 8" xfId="1743" xr:uid="{00000000-0005-0000-0000-0000EC3A0000}"/>
    <cellStyle name="Note 2 8 8 2" xfId="3879" xr:uid="{00000000-0005-0000-0000-0000ED3A0000}"/>
    <cellStyle name="Note 2 8 8 2 2" xfId="10475" xr:uid="{00000000-0005-0000-0000-0000EE3A0000}"/>
    <cellStyle name="Note 2 8 8 2 3" xfId="17094" xr:uid="{00000000-0005-0000-0000-0000EF3A0000}"/>
    <cellStyle name="Note 2 8 8 2_Summary" xfId="22934" xr:uid="{00000000-0005-0000-0000-0000F03A0000}"/>
    <cellStyle name="Note 2 8 8 3" xfId="5914" xr:uid="{00000000-0005-0000-0000-0000F13A0000}"/>
    <cellStyle name="Note 2 8 8 3 2" xfId="12510" xr:uid="{00000000-0005-0000-0000-0000F23A0000}"/>
    <cellStyle name="Note 2 8 8 3 3" xfId="19129" xr:uid="{00000000-0005-0000-0000-0000F33A0000}"/>
    <cellStyle name="Note 2 8 8 3_Summary" xfId="22935" xr:uid="{00000000-0005-0000-0000-0000F43A0000}"/>
    <cellStyle name="Note 2 8 8 4" xfId="8339" xr:uid="{00000000-0005-0000-0000-0000F53A0000}"/>
    <cellStyle name="Note 2 8 8 5" xfId="14958" xr:uid="{00000000-0005-0000-0000-0000F63A0000}"/>
    <cellStyle name="Note 2 8 8_Summary" xfId="22933" xr:uid="{00000000-0005-0000-0000-0000F73A0000}"/>
    <cellStyle name="Note 2 8 9" xfId="2022" xr:uid="{00000000-0005-0000-0000-0000F83A0000}"/>
    <cellStyle name="Note 2 8 9 2" xfId="4158" xr:uid="{00000000-0005-0000-0000-0000F93A0000}"/>
    <cellStyle name="Note 2 8 9 2 2" xfId="10754" xr:uid="{00000000-0005-0000-0000-0000FA3A0000}"/>
    <cellStyle name="Note 2 8 9 2 3" xfId="17373" xr:uid="{00000000-0005-0000-0000-0000FB3A0000}"/>
    <cellStyle name="Note 2 8 9 2_Summary" xfId="22937" xr:uid="{00000000-0005-0000-0000-0000FC3A0000}"/>
    <cellStyle name="Note 2 8 9 3" xfId="6193" xr:uid="{00000000-0005-0000-0000-0000FD3A0000}"/>
    <cellStyle name="Note 2 8 9 3 2" xfId="12789" xr:uid="{00000000-0005-0000-0000-0000FE3A0000}"/>
    <cellStyle name="Note 2 8 9 3 3" xfId="19408" xr:uid="{00000000-0005-0000-0000-0000FF3A0000}"/>
    <cellStyle name="Note 2 8 9 3_Summary" xfId="22938" xr:uid="{00000000-0005-0000-0000-0000003B0000}"/>
    <cellStyle name="Note 2 8 9 4" xfId="8618" xr:uid="{00000000-0005-0000-0000-0000013B0000}"/>
    <cellStyle name="Note 2 8 9 5" xfId="15237" xr:uid="{00000000-0005-0000-0000-0000023B0000}"/>
    <cellStyle name="Note 2 8 9_Summary" xfId="22936" xr:uid="{00000000-0005-0000-0000-0000033B0000}"/>
    <cellStyle name="Note 2 8_Summary" xfId="22829" xr:uid="{00000000-0005-0000-0000-0000043B0000}"/>
    <cellStyle name="Note 2 9" xfId="191" xr:uid="{00000000-0005-0000-0000-0000053B0000}"/>
    <cellStyle name="Note 2 9 10" xfId="2300" xr:uid="{00000000-0005-0000-0000-0000063B0000}"/>
    <cellStyle name="Note 2 9 10 2" xfId="4436" xr:uid="{00000000-0005-0000-0000-0000073B0000}"/>
    <cellStyle name="Note 2 9 10 2 2" xfId="11032" xr:uid="{00000000-0005-0000-0000-0000083B0000}"/>
    <cellStyle name="Note 2 9 10 2 3" xfId="17651" xr:uid="{00000000-0005-0000-0000-0000093B0000}"/>
    <cellStyle name="Note 2 9 10 2_Summary" xfId="22941" xr:uid="{00000000-0005-0000-0000-00000A3B0000}"/>
    <cellStyle name="Note 2 9 10 3" xfId="6471" xr:uid="{00000000-0005-0000-0000-00000B3B0000}"/>
    <cellStyle name="Note 2 9 10 3 2" xfId="13067" xr:uid="{00000000-0005-0000-0000-00000C3B0000}"/>
    <cellStyle name="Note 2 9 10 3 3" xfId="19686" xr:uid="{00000000-0005-0000-0000-00000D3B0000}"/>
    <cellStyle name="Note 2 9 10 3_Summary" xfId="22942" xr:uid="{00000000-0005-0000-0000-00000E3B0000}"/>
    <cellStyle name="Note 2 9 10 4" xfId="8896" xr:uid="{00000000-0005-0000-0000-00000F3B0000}"/>
    <cellStyle name="Note 2 9 10 5" xfId="15515" xr:uid="{00000000-0005-0000-0000-0000103B0000}"/>
    <cellStyle name="Note 2 9 10_Summary" xfId="22940" xr:uid="{00000000-0005-0000-0000-0000113B0000}"/>
    <cellStyle name="Note 2 9 11" xfId="2619" xr:uid="{00000000-0005-0000-0000-0000123B0000}"/>
    <cellStyle name="Note 2 9 11 2" xfId="9215" xr:uid="{00000000-0005-0000-0000-0000133B0000}"/>
    <cellStyle name="Note 2 9 11 3" xfId="15834" xr:uid="{00000000-0005-0000-0000-0000143B0000}"/>
    <cellStyle name="Note 2 9 11_Summary" xfId="22943" xr:uid="{00000000-0005-0000-0000-0000153B0000}"/>
    <cellStyle name="Note 2 9 12" xfId="2650" xr:uid="{00000000-0005-0000-0000-0000163B0000}"/>
    <cellStyle name="Note 2 9 12 2" xfId="9246" xr:uid="{00000000-0005-0000-0000-0000173B0000}"/>
    <cellStyle name="Note 2 9 12 3" xfId="15865" xr:uid="{00000000-0005-0000-0000-0000183B0000}"/>
    <cellStyle name="Note 2 9 12_Summary" xfId="22944" xr:uid="{00000000-0005-0000-0000-0000193B0000}"/>
    <cellStyle name="Note 2 9 13" xfId="508" xr:uid="{00000000-0005-0000-0000-00001A3B0000}"/>
    <cellStyle name="Note 2 9 13 2" xfId="13723" xr:uid="{00000000-0005-0000-0000-00001B3B0000}"/>
    <cellStyle name="Note 2 9 13_Summary" xfId="22945" xr:uid="{00000000-0005-0000-0000-00001C3B0000}"/>
    <cellStyle name="Note 2 9 14" xfId="7099" xr:uid="{00000000-0005-0000-0000-00001D3B0000}"/>
    <cellStyle name="Note 2 9 15" xfId="7025" xr:uid="{00000000-0005-0000-0000-00001E3B0000}"/>
    <cellStyle name="Note 2 9 16" xfId="29477" xr:uid="{B2CC6645-AC5E-41FC-A178-9F11E00A9354}"/>
    <cellStyle name="Note 2 9 17" xfId="31047" xr:uid="{B0ECCEF5-702E-4CD5-B2D8-54B4A4FEC721}"/>
    <cellStyle name="Note 2 9 2" xfId="323" xr:uid="{00000000-0005-0000-0000-00001F3B0000}"/>
    <cellStyle name="Note 2 9 2 10" xfId="4744" xr:uid="{00000000-0005-0000-0000-0000203B0000}"/>
    <cellStyle name="Note 2 9 2 10 2" xfId="11340" xr:uid="{00000000-0005-0000-0000-0000213B0000}"/>
    <cellStyle name="Note 2 9 2 10 3" xfId="17959" xr:uid="{00000000-0005-0000-0000-0000223B0000}"/>
    <cellStyle name="Note 2 9 2 10_Summary" xfId="22947" xr:uid="{00000000-0005-0000-0000-0000233B0000}"/>
    <cellStyle name="Note 2 9 2 11" xfId="573" xr:uid="{00000000-0005-0000-0000-0000243B0000}"/>
    <cellStyle name="Note 2 9 2 11 2" xfId="13788" xr:uid="{00000000-0005-0000-0000-0000253B0000}"/>
    <cellStyle name="Note 2 9 2 11_Summary" xfId="22948" xr:uid="{00000000-0005-0000-0000-0000263B0000}"/>
    <cellStyle name="Note 2 9 2 12" xfId="7217" xr:uid="{00000000-0005-0000-0000-0000273B0000}"/>
    <cellStyle name="Note 2 9 2 13" xfId="13539" xr:uid="{00000000-0005-0000-0000-0000283B0000}"/>
    <cellStyle name="Note 2 9 2 14" xfId="29478" xr:uid="{EBB25466-45E9-4159-AEFF-447B35123EB2}"/>
    <cellStyle name="Note 2 9 2 15" xfId="31048" xr:uid="{6574F49D-E96F-4374-980E-EC86EBC93DEC}"/>
    <cellStyle name="Note 2 9 2 2" xfId="452" xr:uid="{00000000-0005-0000-0000-0000293B0000}"/>
    <cellStyle name="Note 2 9 2 2 10" xfId="846" xr:uid="{00000000-0005-0000-0000-00002A3B0000}"/>
    <cellStyle name="Note 2 9 2 2 10 2" xfId="14061" xr:uid="{00000000-0005-0000-0000-00002B3B0000}"/>
    <cellStyle name="Note 2 9 2 2 10_Summary" xfId="22950" xr:uid="{00000000-0005-0000-0000-00002C3B0000}"/>
    <cellStyle name="Note 2 9 2 2 11" xfId="7345" xr:uid="{00000000-0005-0000-0000-00002D3B0000}"/>
    <cellStyle name="Note 2 9 2 2 12" xfId="13667" xr:uid="{00000000-0005-0000-0000-00002E3B0000}"/>
    <cellStyle name="Note 2 9 2 2 13" xfId="30333" xr:uid="{02E5F786-4D19-42F4-8A13-31B16288C4BE}"/>
    <cellStyle name="Note 2 9 2 2 14" xfId="31765" xr:uid="{06B70638-8A18-4624-976C-335252966E91}"/>
    <cellStyle name="Note 2 9 2 2 2" xfId="1146" xr:uid="{00000000-0005-0000-0000-00002F3B0000}"/>
    <cellStyle name="Note 2 9 2 2 2 2" xfId="3282" xr:uid="{00000000-0005-0000-0000-0000303B0000}"/>
    <cellStyle name="Note 2 9 2 2 2 2 2" xfId="9878" xr:uid="{00000000-0005-0000-0000-0000313B0000}"/>
    <cellStyle name="Note 2 9 2 2 2 2 3" xfId="16497" xr:uid="{00000000-0005-0000-0000-0000323B0000}"/>
    <cellStyle name="Note 2 9 2 2 2 2_Summary" xfId="22952" xr:uid="{00000000-0005-0000-0000-0000333B0000}"/>
    <cellStyle name="Note 2 9 2 2 2 3" xfId="5317" xr:uid="{00000000-0005-0000-0000-0000343B0000}"/>
    <cellStyle name="Note 2 9 2 2 2 3 2" xfId="11913" xr:uid="{00000000-0005-0000-0000-0000353B0000}"/>
    <cellStyle name="Note 2 9 2 2 2 3 3" xfId="18532" xr:uid="{00000000-0005-0000-0000-0000363B0000}"/>
    <cellStyle name="Note 2 9 2 2 2 3_Summary" xfId="22953" xr:uid="{00000000-0005-0000-0000-0000373B0000}"/>
    <cellStyle name="Note 2 9 2 2 2 4" xfId="7742" xr:uid="{00000000-0005-0000-0000-0000383B0000}"/>
    <cellStyle name="Note 2 9 2 2 2 5" xfId="14361" xr:uid="{00000000-0005-0000-0000-0000393B0000}"/>
    <cellStyle name="Note 2 9 2 2 2_Summary" xfId="22951" xr:uid="{00000000-0005-0000-0000-00003A3B0000}"/>
    <cellStyle name="Note 2 9 2 2 3" xfId="1428" xr:uid="{00000000-0005-0000-0000-00003B3B0000}"/>
    <cellStyle name="Note 2 9 2 2 3 2" xfId="3564" xr:uid="{00000000-0005-0000-0000-00003C3B0000}"/>
    <cellStyle name="Note 2 9 2 2 3 2 2" xfId="10160" xr:uid="{00000000-0005-0000-0000-00003D3B0000}"/>
    <cellStyle name="Note 2 9 2 2 3 2 3" xfId="16779" xr:uid="{00000000-0005-0000-0000-00003E3B0000}"/>
    <cellStyle name="Note 2 9 2 2 3 2_Summary" xfId="22955" xr:uid="{00000000-0005-0000-0000-00003F3B0000}"/>
    <cellStyle name="Note 2 9 2 2 3 3" xfId="5599" xr:uid="{00000000-0005-0000-0000-0000403B0000}"/>
    <cellStyle name="Note 2 9 2 2 3 3 2" xfId="12195" xr:uid="{00000000-0005-0000-0000-0000413B0000}"/>
    <cellStyle name="Note 2 9 2 2 3 3 3" xfId="18814" xr:uid="{00000000-0005-0000-0000-0000423B0000}"/>
    <cellStyle name="Note 2 9 2 2 3 3_Summary" xfId="22956" xr:uid="{00000000-0005-0000-0000-0000433B0000}"/>
    <cellStyle name="Note 2 9 2 2 3 4" xfId="8024" xr:uid="{00000000-0005-0000-0000-0000443B0000}"/>
    <cellStyle name="Note 2 9 2 2 3 5" xfId="14643" xr:uid="{00000000-0005-0000-0000-0000453B0000}"/>
    <cellStyle name="Note 2 9 2 2 3_Summary" xfId="22954" xr:uid="{00000000-0005-0000-0000-0000463B0000}"/>
    <cellStyle name="Note 2 9 2 2 4" xfId="1709" xr:uid="{00000000-0005-0000-0000-0000473B0000}"/>
    <cellStyle name="Note 2 9 2 2 4 2" xfId="3845" xr:uid="{00000000-0005-0000-0000-0000483B0000}"/>
    <cellStyle name="Note 2 9 2 2 4 2 2" xfId="10441" xr:uid="{00000000-0005-0000-0000-0000493B0000}"/>
    <cellStyle name="Note 2 9 2 2 4 2 3" xfId="17060" xr:uid="{00000000-0005-0000-0000-00004A3B0000}"/>
    <cellStyle name="Note 2 9 2 2 4 2_Summary" xfId="22958" xr:uid="{00000000-0005-0000-0000-00004B3B0000}"/>
    <cellStyle name="Note 2 9 2 2 4 3" xfId="5880" xr:uid="{00000000-0005-0000-0000-00004C3B0000}"/>
    <cellStyle name="Note 2 9 2 2 4 3 2" xfId="12476" xr:uid="{00000000-0005-0000-0000-00004D3B0000}"/>
    <cellStyle name="Note 2 9 2 2 4 3 3" xfId="19095" xr:uid="{00000000-0005-0000-0000-00004E3B0000}"/>
    <cellStyle name="Note 2 9 2 2 4 3_Summary" xfId="22959" xr:uid="{00000000-0005-0000-0000-00004F3B0000}"/>
    <cellStyle name="Note 2 9 2 2 4 4" xfId="8305" xr:uid="{00000000-0005-0000-0000-0000503B0000}"/>
    <cellStyle name="Note 2 9 2 2 4 5" xfId="14924" xr:uid="{00000000-0005-0000-0000-0000513B0000}"/>
    <cellStyle name="Note 2 9 2 2 4_Summary" xfId="22957" xr:uid="{00000000-0005-0000-0000-0000523B0000}"/>
    <cellStyle name="Note 2 9 2 2 5" xfId="1988" xr:uid="{00000000-0005-0000-0000-0000533B0000}"/>
    <cellStyle name="Note 2 9 2 2 5 2" xfId="4124" xr:uid="{00000000-0005-0000-0000-0000543B0000}"/>
    <cellStyle name="Note 2 9 2 2 5 2 2" xfId="10720" xr:uid="{00000000-0005-0000-0000-0000553B0000}"/>
    <cellStyle name="Note 2 9 2 2 5 2 3" xfId="17339" xr:uid="{00000000-0005-0000-0000-0000563B0000}"/>
    <cellStyle name="Note 2 9 2 2 5 2_Summary" xfId="22961" xr:uid="{00000000-0005-0000-0000-0000573B0000}"/>
    <cellStyle name="Note 2 9 2 2 5 3" xfId="6159" xr:uid="{00000000-0005-0000-0000-0000583B0000}"/>
    <cellStyle name="Note 2 9 2 2 5 3 2" xfId="12755" xr:uid="{00000000-0005-0000-0000-0000593B0000}"/>
    <cellStyle name="Note 2 9 2 2 5 3 3" xfId="19374" xr:uid="{00000000-0005-0000-0000-00005A3B0000}"/>
    <cellStyle name="Note 2 9 2 2 5 3_Summary" xfId="22962" xr:uid="{00000000-0005-0000-0000-00005B3B0000}"/>
    <cellStyle name="Note 2 9 2 2 5 4" xfId="8584" xr:uid="{00000000-0005-0000-0000-00005C3B0000}"/>
    <cellStyle name="Note 2 9 2 2 5 5" xfId="15203" xr:uid="{00000000-0005-0000-0000-00005D3B0000}"/>
    <cellStyle name="Note 2 9 2 2 5_Summary" xfId="22960" xr:uid="{00000000-0005-0000-0000-00005E3B0000}"/>
    <cellStyle name="Note 2 9 2 2 6" xfId="2263" xr:uid="{00000000-0005-0000-0000-00005F3B0000}"/>
    <cellStyle name="Note 2 9 2 2 6 2" xfId="4399" xr:uid="{00000000-0005-0000-0000-0000603B0000}"/>
    <cellStyle name="Note 2 9 2 2 6 2 2" xfId="10995" xr:uid="{00000000-0005-0000-0000-0000613B0000}"/>
    <cellStyle name="Note 2 9 2 2 6 2 3" xfId="17614" xr:uid="{00000000-0005-0000-0000-0000623B0000}"/>
    <cellStyle name="Note 2 9 2 2 6 2_Summary" xfId="22964" xr:uid="{00000000-0005-0000-0000-0000633B0000}"/>
    <cellStyle name="Note 2 9 2 2 6 3" xfId="6434" xr:uid="{00000000-0005-0000-0000-0000643B0000}"/>
    <cellStyle name="Note 2 9 2 2 6 3 2" xfId="13030" xr:uid="{00000000-0005-0000-0000-0000653B0000}"/>
    <cellStyle name="Note 2 9 2 2 6 3 3" xfId="19649" xr:uid="{00000000-0005-0000-0000-0000663B0000}"/>
    <cellStyle name="Note 2 9 2 2 6 3_Summary" xfId="22965" xr:uid="{00000000-0005-0000-0000-0000673B0000}"/>
    <cellStyle name="Note 2 9 2 2 6 4" xfId="8859" xr:uid="{00000000-0005-0000-0000-0000683B0000}"/>
    <cellStyle name="Note 2 9 2 2 6 5" xfId="15478" xr:uid="{00000000-0005-0000-0000-0000693B0000}"/>
    <cellStyle name="Note 2 9 2 2 6_Summary" xfId="22963" xr:uid="{00000000-0005-0000-0000-00006A3B0000}"/>
    <cellStyle name="Note 2 9 2 2 7" xfId="2536" xr:uid="{00000000-0005-0000-0000-00006B3B0000}"/>
    <cellStyle name="Note 2 9 2 2 7 2" xfId="4672" xr:uid="{00000000-0005-0000-0000-00006C3B0000}"/>
    <cellStyle name="Note 2 9 2 2 7 2 2" xfId="11268" xr:uid="{00000000-0005-0000-0000-00006D3B0000}"/>
    <cellStyle name="Note 2 9 2 2 7 2 3" xfId="17887" xr:uid="{00000000-0005-0000-0000-00006E3B0000}"/>
    <cellStyle name="Note 2 9 2 2 7 2_Summary" xfId="22967" xr:uid="{00000000-0005-0000-0000-00006F3B0000}"/>
    <cellStyle name="Note 2 9 2 2 7 3" xfId="6707" xr:uid="{00000000-0005-0000-0000-0000703B0000}"/>
    <cellStyle name="Note 2 9 2 2 7 3 2" xfId="13303" xr:uid="{00000000-0005-0000-0000-0000713B0000}"/>
    <cellStyle name="Note 2 9 2 2 7 3 3" xfId="19922" xr:uid="{00000000-0005-0000-0000-0000723B0000}"/>
    <cellStyle name="Note 2 9 2 2 7 3_Summary" xfId="22968" xr:uid="{00000000-0005-0000-0000-0000733B0000}"/>
    <cellStyle name="Note 2 9 2 2 7 4" xfId="9132" xr:uid="{00000000-0005-0000-0000-0000743B0000}"/>
    <cellStyle name="Note 2 9 2 2 7 5" xfId="15751" xr:uid="{00000000-0005-0000-0000-0000753B0000}"/>
    <cellStyle name="Note 2 9 2 2 7_Summary" xfId="22966" xr:uid="{00000000-0005-0000-0000-0000763B0000}"/>
    <cellStyle name="Note 2 9 2 2 8" xfId="2982" xr:uid="{00000000-0005-0000-0000-0000773B0000}"/>
    <cellStyle name="Note 2 9 2 2 8 2" xfId="9578" xr:uid="{00000000-0005-0000-0000-0000783B0000}"/>
    <cellStyle name="Note 2 9 2 2 8 3" xfId="16197" xr:uid="{00000000-0005-0000-0000-0000793B0000}"/>
    <cellStyle name="Note 2 9 2 2 8_Summary" xfId="22969" xr:uid="{00000000-0005-0000-0000-00007A3B0000}"/>
    <cellStyle name="Note 2 9 2 2 9" xfId="5017" xr:uid="{00000000-0005-0000-0000-00007B3B0000}"/>
    <cellStyle name="Note 2 9 2 2 9 2" xfId="11613" xr:uid="{00000000-0005-0000-0000-00007C3B0000}"/>
    <cellStyle name="Note 2 9 2 2 9 3" xfId="18232" xr:uid="{00000000-0005-0000-0000-00007D3B0000}"/>
    <cellStyle name="Note 2 9 2 2 9_Summary" xfId="22970" xr:uid="{00000000-0005-0000-0000-00007E3B0000}"/>
    <cellStyle name="Note 2 9 2 2_Summary" xfId="22949" xr:uid="{00000000-0005-0000-0000-00007F3B0000}"/>
    <cellStyle name="Note 2 9 2 3" xfId="1018" xr:uid="{00000000-0005-0000-0000-0000803B0000}"/>
    <cellStyle name="Note 2 9 2 3 2" xfId="3154" xr:uid="{00000000-0005-0000-0000-0000813B0000}"/>
    <cellStyle name="Note 2 9 2 3 2 2" xfId="9750" xr:uid="{00000000-0005-0000-0000-0000823B0000}"/>
    <cellStyle name="Note 2 9 2 3 2 3" xfId="16369" xr:uid="{00000000-0005-0000-0000-0000833B0000}"/>
    <cellStyle name="Note 2 9 2 3 2_Summary" xfId="22972" xr:uid="{00000000-0005-0000-0000-0000843B0000}"/>
    <cellStyle name="Note 2 9 2 3 3" xfId="5189" xr:uid="{00000000-0005-0000-0000-0000853B0000}"/>
    <cellStyle name="Note 2 9 2 3 3 2" xfId="11785" xr:uid="{00000000-0005-0000-0000-0000863B0000}"/>
    <cellStyle name="Note 2 9 2 3 3 3" xfId="18404" xr:uid="{00000000-0005-0000-0000-0000873B0000}"/>
    <cellStyle name="Note 2 9 2 3 3_Summary" xfId="22973" xr:uid="{00000000-0005-0000-0000-0000883B0000}"/>
    <cellStyle name="Note 2 9 2 3 4" xfId="7615" xr:uid="{00000000-0005-0000-0000-0000893B0000}"/>
    <cellStyle name="Note 2 9 2 3 5" xfId="14233" xr:uid="{00000000-0005-0000-0000-00008A3B0000}"/>
    <cellStyle name="Note 2 9 2 3_Summary" xfId="22971" xr:uid="{00000000-0005-0000-0000-00008B3B0000}"/>
    <cellStyle name="Note 2 9 2 4" xfId="1300" xr:uid="{00000000-0005-0000-0000-00008C3B0000}"/>
    <cellStyle name="Note 2 9 2 4 2" xfId="3436" xr:uid="{00000000-0005-0000-0000-00008D3B0000}"/>
    <cellStyle name="Note 2 9 2 4 2 2" xfId="10032" xr:uid="{00000000-0005-0000-0000-00008E3B0000}"/>
    <cellStyle name="Note 2 9 2 4 2 3" xfId="16651" xr:uid="{00000000-0005-0000-0000-00008F3B0000}"/>
    <cellStyle name="Note 2 9 2 4 2_Summary" xfId="22975" xr:uid="{00000000-0005-0000-0000-0000903B0000}"/>
    <cellStyle name="Note 2 9 2 4 3" xfId="5471" xr:uid="{00000000-0005-0000-0000-0000913B0000}"/>
    <cellStyle name="Note 2 9 2 4 3 2" xfId="12067" xr:uid="{00000000-0005-0000-0000-0000923B0000}"/>
    <cellStyle name="Note 2 9 2 4 3 3" xfId="18686" xr:uid="{00000000-0005-0000-0000-0000933B0000}"/>
    <cellStyle name="Note 2 9 2 4 3_Summary" xfId="22976" xr:uid="{00000000-0005-0000-0000-0000943B0000}"/>
    <cellStyle name="Note 2 9 2 4 4" xfId="7896" xr:uid="{00000000-0005-0000-0000-0000953B0000}"/>
    <cellStyle name="Note 2 9 2 4 5" xfId="14515" xr:uid="{00000000-0005-0000-0000-0000963B0000}"/>
    <cellStyle name="Note 2 9 2 4_Summary" xfId="22974" xr:uid="{00000000-0005-0000-0000-0000973B0000}"/>
    <cellStyle name="Note 2 9 2 5" xfId="1581" xr:uid="{00000000-0005-0000-0000-0000983B0000}"/>
    <cellStyle name="Note 2 9 2 5 2" xfId="3717" xr:uid="{00000000-0005-0000-0000-0000993B0000}"/>
    <cellStyle name="Note 2 9 2 5 2 2" xfId="10313" xr:uid="{00000000-0005-0000-0000-00009A3B0000}"/>
    <cellStyle name="Note 2 9 2 5 2 3" xfId="16932" xr:uid="{00000000-0005-0000-0000-00009B3B0000}"/>
    <cellStyle name="Note 2 9 2 5 2_Summary" xfId="22978" xr:uid="{00000000-0005-0000-0000-00009C3B0000}"/>
    <cellStyle name="Note 2 9 2 5 3" xfId="5752" xr:uid="{00000000-0005-0000-0000-00009D3B0000}"/>
    <cellStyle name="Note 2 9 2 5 3 2" xfId="12348" xr:uid="{00000000-0005-0000-0000-00009E3B0000}"/>
    <cellStyle name="Note 2 9 2 5 3 3" xfId="18967" xr:uid="{00000000-0005-0000-0000-00009F3B0000}"/>
    <cellStyle name="Note 2 9 2 5 3_Summary" xfId="22979" xr:uid="{00000000-0005-0000-0000-0000A03B0000}"/>
    <cellStyle name="Note 2 9 2 5 4" xfId="8177" xr:uid="{00000000-0005-0000-0000-0000A13B0000}"/>
    <cellStyle name="Note 2 9 2 5 5" xfId="14796" xr:uid="{00000000-0005-0000-0000-0000A23B0000}"/>
    <cellStyle name="Note 2 9 2 5_Summary" xfId="22977" xr:uid="{00000000-0005-0000-0000-0000A33B0000}"/>
    <cellStyle name="Note 2 9 2 6" xfId="1860" xr:uid="{00000000-0005-0000-0000-0000A43B0000}"/>
    <cellStyle name="Note 2 9 2 6 2" xfId="3996" xr:uid="{00000000-0005-0000-0000-0000A53B0000}"/>
    <cellStyle name="Note 2 9 2 6 2 2" xfId="10592" xr:uid="{00000000-0005-0000-0000-0000A63B0000}"/>
    <cellStyle name="Note 2 9 2 6 2 3" xfId="17211" xr:uid="{00000000-0005-0000-0000-0000A73B0000}"/>
    <cellStyle name="Note 2 9 2 6 2_Summary" xfId="22981" xr:uid="{00000000-0005-0000-0000-0000A83B0000}"/>
    <cellStyle name="Note 2 9 2 6 3" xfId="6031" xr:uid="{00000000-0005-0000-0000-0000A93B0000}"/>
    <cellStyle name="Note 2 9 2 6 3 2" xfId="12627" xr:uid="{00000000-0005-0000-0000-0000AA3B0000}"/>
    <cellStyle name="Note 2 9 2 6 3 3" xfId="19246" xr:uid="{00000000-0005-0000-0000-0000AB3B0000}"/>
    <cellStyle name="Note 2 9 2 6 3_Summary" xfId="22982" xr:uid="{00000000-0005-0000-0000-0000AC3B0000}"/>
    <cellStyle name="Note 2 9 2 6 4" xfId="8456" xr:uid="{00000000-0005-0000-0000-0000AD3B0000}"/>
    <cellStyle name="Note 2 9 2 6 5" xfId="15075" xr:uid="{00000000-0005-0000-0000-0000AE3B0000}"/>
    <cellStyle name="Note 2 9 2 6_Summary" xfId="22980" xr:uid="{00000000-0005-0000-0000-0000AF3B0000}"/>
    <cellStyle name="Note 2 9 2 7" xfId="2135" xr:uid="{00000000-0005-0000-0000-0000B03B0000}"/>
    <cellStyle name="Note 2 9 2 7 2" xfId="4271" xr:uid="{00000000-0005-0000-0000-0000B13B0000}"/>
    <cellStyle name="Note 2 9 2 7 2 2" xfId="10867" xr:uid="{00000000-0005-0000-0000-0000B23B0000}"/>
    <cellStyle name="Note 2 9 2 7 2 3" xfId="17486" xr:uid="{00000000-0005-0000-0000-0000B33B0000}"/>
    <cellStyle name="Note 2 9 2 7 2_Summary" xfId="22984" xr:uid="{00000000-0005-0000-0000-0000B43B0000}"/>
    <cellStyle name="Note 2 9 2 7 3" xfId="6306" xr:uid="{00000000-0005-0000-0000-0000B53B0000}"/>
    <cellStyle name="Note 2 9 2 7 3 2" xfId="12902" xr:uid="{00000000-0005-0000-0000-0000B63B0000}"/>
    <cellStyle name="Note 2 9 2 7 3 3" xfId="19521" xr:uid="{00000000-0005-0000-0000-0000B73B0000}"/>
    <cellStyle name="Note 2 9 2 7 3_Summary" xfId="22985" xr:uid="{00000000-0005-0000-0000-0000B83B0000}"/>
    <cellStyle name="Note 2 9 2 7 4" xfId="8731" xr:uid="{00000000-0005-0000-0000-0000B93B0000}"/>
    <cellStyle name="Note 2 9 2 7 5" xfId="15350" xr:uid="{00000000-0005-0000-0000-0000BA3B0000}"/>
    <cellStyle name="Note 2 9 2 7_Summary" xfId="22983" xr:uid="{00000000-0005-0000-0000-0000BB3B0000}"/>
    <cellStyle name="Note 2 9 2 8" xfId="2408" xr:uid="{00000000-0005-0000-0000-0000BC3B0000}"/>
    <cellStyle name="Note 2 9 2 8 2" xfId="4544" xr:uid="{00000000-0005-0000-0000-0000BD3B0000}"/>
    <cellStyle name="Note 2 9 2 8 2 2" xfId="11140" xr:uid="{00000000-0005-0000-0000-0000BE3B0000}"/>
    <cellStyle name="Note 2 9 2 8 2 3" xfId="17759" xr:uid="{00000000-0005-0000-0000-0000BF3B0000}"/>
    <cellStyle name="Note 2 9 2 8 2_Summary" xfId="22987" xr:uid="{00000000-0005-0000-0000-0000C03B0000}"/>
    <cellStyle name="Note 2 9 2 8 3" xfId="6579" xr:uid="{00000000-0005-0000-0000-0000C13B0000}"/>
    <cellStyle name="Note 2 9 2 8 3 2" xfId="13175" xr:uid="{00000000-0005-0000-0000-0000C23B0000}"/>
    <cellStyle name="Note 2 9 2 8 3 3" xfId="19794" xr:uid="{00000000-0005-0000-0000-0000C33B0000}"/>
    <cellStyle name="Note 2 9 2 8 3_Summary" xfId="22988" xr:uid="{00000000-0005-0000-0000-0000C43B0000}"/>
    <cellStyle name="Note 2 9 2 8 4" xfId="9004" xr:uid="{00000000-0005-0000-0000-0000C53B0000}"/>
    <cellStyle name="Note 2 9 2 8 5" xfId="15623" xr:uid="{00000000-0005-0000-0000-0000C63B0000}"/>
    <cellStyle name="Note 2 9 2 8_Summary" xfId="22986" xr:uid="{00000000-0005-0000-0000-0000C73B0000}"/>
    <cellStyle name="Note 2 9 2 9" xfId="2709" xr:uid="{00000000-0005-0000-0000-0000C83B0000}"/>
    <cellStyle name="Note 2 9 2 9 2" xfId="9305" xr:uid="{00000000-0005-0000-0000-0000C93B0000}"/>
    <cellStyle name="Note 2 9 2 9 3" xfId="15924" xr:uid="{00000000-0005-0000-0000-0000CA3B0000}"/>
    <cellStyle name="Note 2 9 2 9_Summary" xfId="22989" xr:uid="{00000000-0005-0000-0000-0000CB3B0000}"/>
    <cellStyle name="Note 2 9 2_Summary" xfId="22946" xr:uid="{00000000-0005-0000-0000-0000CC3B0000}"/>
    <cellStyle name="Note 2 9 3" xfId="237" xr:uid="{00000000-0005-0000-0000-0000CD3B0000}"/>
    <cellStyle name="Note 2 9 3 10" xfId="774" xr:uid="{00000000-0005-0000-0000-0000CE3B0000}"/>
    <cellStyle name="Note 2 9 3 10 2" xfId="13989" xr:uid="{00000000-0005-0000-0000-0000CF3B0000}"/>
    <cellStyle name="Note 2 9 3 10_Summary" xfId="22991" xr:uid="{00000000-0005-0000-0000-0000D03B0000}"/>
    <cellStyle name="Note 2 9 3 11" xfId="7144" xr:uid="{00000000-0005-0000-0000-0000D13B0000}"/>
    <cellStyle name="Note 2 9 3 12" xfId="7000" xr:uid="{00000000-0005-0000-0000-0000D23B0000}"/>
    <cellStyle name="Note 2 9 3 13" xfId="29479" xr:uid="{17E00C2F-39F3-4A0E-9E4A-9C0CDFEDBB4F}"/>
    <cellStyle name="Note 2 9 3 14" xfId="31049" xr:uid="{A45A4088-03A8-46F6-91CD-DE2F9AFE43E8}"/>
    <cellStyle name="Note 2 9 3 2" xfId="942" xr:uid="{00000000-0005-0000-0000-0000D33B0000}"/>
    <cellStyle name="Note 2 9 3 2 2" xfId="3078" xr:uid="{00000000-0005-0000-0000-0000D43B0000}"/>
    <cellStyle name="Note 2 9 3 2 2 2" xfId="9674" xr:uid="{00000000-0005-0000-0000-0000D53B0000}"/>
    <cellStyle name="Note 2 9 3 2 2 3" xfId="16293" xr:uid="{00000000-0005-0000-0000-0000D63B0000}"/>
    <cellStyle name="Note 2 9 3 2 2_Summary" xfId="22993" xr:uid="{00000000-0005-0000-0000-0000D73B0000}"/>
    <cellStyle name="Note 2 9 3 2 3" xfId="5113" xr:uid="{00000000-0005-0000-0000-0000D83B0000}"/>
    <cellStyle name="Note 2 9 3 2 3 2" xfId="11709" xr:uid="{00000000-0005-0000-0000-0000D93B0000}"/>
    <cellStyle name="Note 2 9 3 2 3 3" xfId="18328" xr:uid="{00000000-0005-0000-0000-0000DA3B0000}"/>
    <cellStyle name="Note 2 9 3 2 3_Summary" xfId="22994" xr:uid="{00000000-0005-0000-0000-0000DB3B0000}"/>
    <cellStyle name="Note 2 9 3 2 4" xfId="7539" xr:uid="{00000000-0005-0000-0000-0000DC3B0000}"/>
    <cellStyle name="Note 2 9 3 2 5" xfId="14157" xr:uid="{00000000-0005-0000-0000-0000DD3B0000}"/>
    <cellStyle name="Note 2 9 3 2 6" xfId="30334" xr:uid="{CC030417-8148-48CC-BAEC-6D3A0AA8DABF}"/>
    <cellStyle name="Note 2 9 3 2 7" xfId="31766" xr:uid="{872EA5BA-23F8-4E01-B8E2-422BD888BF6F}"/>
    <cellStyle name="Note 2 9 3 2_Summary" xfId="22992" xr:uid="{00000000-0005-0000-0000-0000DE3B0000}"/>
    <cellStyle name="Note 2 9 3 3" xfId="1227" xr:uid="{00000000-0005-0000-0000-0000DF3B0000}"/>
    <cellStyle name="Note 2 9 3 3 2" xfId="3363" xr:uid="{00000000-0005-0000-0000-0000E03B0000}"/>
    <cellStyle name="Note 2 9 3 3 2 2" xfId="9959" xr:uid="{00000000-0005-0000-0000-0000E13B0000}"/>
    <cellStyle name="Note 2 9 3 3 2 3" xfId="16578" xr:uid="{00000000-0005-0000-0000-0000E23B0000}"/>
    <cellStyle name="Note 2 9 3 3 2_Summary" xfId="22996" xr:uid="{00000000-0005-0000-0000-0000E33B0000}"/>
    <cellStyle name="Note 2 9 3 3 3" xfId="5398" xr:uid="{00000000-0005-0000-0000-0000E43B0000}"/>
    <cellStyle name="Note 2 9 3 3 3 2" xfId="11994" xr:uid="{00000000-0005-0000-0000-0000E53B0000}"/>
    <cellStyle name="Note 2 9 3 3 3 3" xfId="18613" xr:uid="{00000000-0005-0000-0000-0000E63B0000}"/>
    <cellStyle name="Note 2 9 3 3 3_Summary" xfId="22997" xr:uid="{00000000-0005-0000-0000-0000E73B0000}"/>
    <cellStyle name="Note 2 9 3 3 4" xfId="7823" xr:uid="{00000000-0005-0000-0000-0000E83B0000}"/>
    <cellStyle name="Note 2 9 3 3 5" xfId="14442" xr:uid="{00000000-0005-0000-0000-0000E93B0000}"/>
    <cellStyle name="Note 2 9 3 3_Summary" xfId="22995" xr:uid="{00000000-0005-0000-0000-0000EA3B0000}"/>
    <cellStyle name="Note 2 9 3 4" xfId="1509" xr:uid="{00000000-0005-0000-0000-0000EB3B0000}"/>
    <cellStyle name="Note 2 9 3 4 2" xfId="3645" xr:uid="{00000000-0005-0000-0000-0000EC3B0000}"/>
    <cellStyle name="Note 2 9 3 4 2 2" xfId="10241" xr:uid="{00000000-0005-0000-0000-0000ED3B0000}"/>
    <cellStyle name="Note 2 9 3 4 2 3" xfId="16860" xr:uid="{00000000-0005-0000-0000-0000EE3B0000}"/>
    <cellStyle name="Note 2 9 3 4 2_Summary" xfId="22999" xr:uid="{00000000-0005-0000-0000-0000EF3B0000}"/>
    <cellStyle name="Note 2 9 3 4 3" xfId="5680" xr:uid="{00000000-0005-0000-0000-0000F03B0000}"/>
    <cellStyle name="Note 2 9 3 4 3 2" xfId="12276" xr:uid="{00000000-0005-0000-0000-0000F13B0000}"/>
    <cellStyle name="Note 2 9 3 4 3 3" xfId="18895" xr:uid="{00000000-0005-0000-0000-0000F23B0000}"/>
    <cellStyle name="Note 2 9 3 4 3_Summary" xfId="23000" xr:uid="{00000000-0005-0000-0000-0000F33B0000}"/>
    <cellStyle name="Note 2 9 3 4 4" xfId="8105" xr:uid="{00000000-0005-0000-0000-0000F43B0000}"/>
    <cellStyle name="Note 2 9 3 4 5" xfId="14724" xr:uid="{00000000-0005-0000-0000-0000F53B0000}"/>
    <cellStyle name="Note 2 9 3 4_Summary" xfId="22998" xr:uid="{00000000-0005-0000-0000-0000F63B0000}"/>
    <cellStyle name="Note 2 9 3 5" xfId="1790" xr:uid="{00000000-0005-0000-0000-0000F73B0000}"/>
    <cellStyle name="Note 2 9 3 5 2" xfId="3926" xr:uid="{00000000-0005-0000-0000-0000F83B0000}"/>
    <cellStyle name="Note 2 9 3 5 2 2" xfId="10522" xr:uid="{00000000-0005-0000-0000-0000F93B0000}"/>
    <cellStyle name="Note 2 9 3 5 2 3" xfId="17141" xr:uid="{00000000-0005-0000-0000-0000FA3B0000}"/>
    <cellStyle name="Note 2 9 3 5 2_Summary" xfId="23002" xr:uid="{00000000-0005-0000-0000-0000FB3B0000}"/>
    <cellStyle name="Note 2 9 3 5 3" xfId="5961" xr:uid="{00000000-0005-0000-0000-0000FC3B0000}"/>
    <cellStyle name="Note 2 9 3 5 3 2" xfId="12557" xr:uid="{00000000-0005-0000-0000-0000FD3B0000}"/>
    <cellStyle name="Note 2 9 3 5 3 3" xfId="19176" xr:uid="{00000000-0005-0000-0000-0000FE3B0000}"/>
    <cellStyle name="Note 2 9 3 5 3_Summary" xfId="23003" xr:uid="{00000000-0005-0000-0000-0000FF3B0000}"/>
    <cellStyle name="Note 2 9 3 5 4" xfId="8386" xr:uid="{00000000-0005-0000-0000-0000003C0000}"/>
    <cellStyle name="Note 2 9 3 5 5" xfId="15005" xr:uid="{00000000-0005-0000-0000-0000013C0000}"/>
    <cellStyle name="Note 2 9 3 5_Summary" xfId="23001" xr:uid="{00000000-0005-0000-0000-0000023C0000}"/>
    <cellStyle name="Note 2 9 3 6" xfId="2069" xr:uid="{00000000-0005-0000-0000-0000033C0000}"/>
    <cellStyle name="Note 2 9 3 6 2" xfId="4205" xr:uid="{00000000-0005-0000-0000-0000043C0000}"/>
    <cellStyle name="Note 2 9 3 6 2 2" xfId="10801" xr:uid="{00000000-0005-0000-0000-0000053C0000}"/>
    <cellStyle name="Note 2 9 3 6 2 3" xfId="17420" xr:uid="{00000000-0005-0000-0000-0000063C0000}"/>
    <cellStyle name="Note 2 9 3 6 2_Summary" xfId="23005" xr:uid="{00000000-0005-0000-0000-0000073C0000}"/>
    <cellStyle name="Note 2 9 3 6 3" xfId="6240" xr:uid="{00000000-0005-0000-0000-0000083C0000}"/>
    <cellStyle name="Note 2 9 3 6 3 2" xfId="12836" xr:uid="{00000000-0005-0000-0000-0000093C0000}"/>
    <cellStyle name="Note 2 9 3 6 3 3" xfId="19455" xr:uid="{00000000-0005-0000-0000-00000A3C0000}"/>
    <cellStyle name="Note 2 9 3 6 3_Summary" xfId="23006" xr:uid="{00000000-0005-0000-0000-00000B3C0000}"/>
    <cellStyle name="Note 2 9 3 6 4" xfId="8665" xr:uid="{00000000-0005-0000-0000-00000C3C0000}"/>
    <cellStyle name="Note 2 9 3 6 5" xfId="15284" xr:uid="{00000000-0005-0000-0000-00000D3C0000}"/>
    <cellStyle name="Note 2 9 3 6_Summary" xfId="23004" xr:uid="{00000000-0005-0000-0000-00000E3C0000}"/>
    <cellStyle name="Note 2 9 3 7" xfId="2344" xr:uid="{00000000-0005-0000-0000-00000F3C0000}"/>
    <cellStyle name="Note 2 9 3 7 2" xfId="4480" xr:uid="{00000000-0005-0000-0000-0000103C0000}"/>
    <cellStyle name="Note 2 9 3 7 2 2" xfId="11076" xr:uid="{00000000-0005-0000-0000-0000113C0000}"/>
    <cellStyle name="Note 2 9 3 7 2 3" xfId="17695" xr:uid="{00000000-0005-0000-0000-0000123C0000}"/>
    <cellStyle name="Note 2 9 3 7 2_Summary" xfId="23008" xr:uid="{00000000-0005-0000-0000-0000133C0000}"/>
    <cellStyle name="Note 2 9 3 7 3" xfId="6515" xr:uid="{00000000-0005-0000-0000-0000143C0000}"/>
    <cellStyle name="Note 2 9 3 7 3 2" xfId="13111" xr:uid="{00000000-0005-0000-0000-0000153C0000}"/>
    <cellStyle name="Note 2 9 3 7 3 3" xfId="19730" xr:uid="{00000000-0005-0000-0000-0000163C0000}"/>
    <cellStyle name="Note 2 9 3 7 3_Summary" xfId="23009" xr:uid="{00000000-0005-0000-0000-0000173C0000}"/>
    <cellStyle name="Note 2 9 3 7 4" xfId="8940" xr:uid="{00000000-0005-0000-0000-0000183C0000}"/>
    <cellStyle name="Note 2 9 3 7 5" xfId="15559" xr:uid="{00000000-0005-0000-0000-0000193C0000}"/>
    <cellStyle name="Note 2 9 3 7_Summary" xfId="23007" xr:uid="{00000000-0005-0000-0000-00001A3C0000}"/>
    <cellStyle name="Note 2 9 3 8" xfId="2910" xr:uid="{00000000-0005-0000-0000-00001B3C0000}"/>
    <cellStyle name="Note 2 9 3 8 2" xfId="9506" xr:uid="{00000000-0005-0000-0000-00001C3C0000}"/>
    <cellStyle name="Note 2 9 3 8 3" xfId="16125" xr:uid="{00000000-0005-0000-0000-00001D3C0000}"/>
    <cellStyle name="Note 2 9 3 8_Summary" xfId="23010" xr:uid="{00000000-0005-0000-0000-00001E3C0000}"/>
    <cellStyle name="Note 2 9 3 9" xfId="4945" xr:uid="{00000000-0005-0000-0000-00001F3C0000}"/>
    <cellStyle name="Note 2 9 3 9 2" xfId="11541" xr:uid="{00000000-0005-0000-0000-0000203C0000}"/>
    <cellStyle name="Note 2 9 3 9 3" xfId="18160" xr:uid="{00000000-0005-0000-0000-0000213C0000}"/>
    <cellStyle name="Note 2 9 3 9_Summary" xfId="23011" xr:uid="{00000000-0005-0000-0000-0000223C0000}"/>
    <cellStyle name="Note 2 9 3_Summary" xfId="22990" xr:uid="{00000000-0005-0000-0000-0000233C0000}"/>
    <cellStyle name="Note 2 9 4" xfId="391" xr:uid="{00000000-0005-0000-0000-0000243C0000}"/>
    <cellStyle name="Note 2 9 4 10" xfId="728" xr:uid="{00000000-0005-0000-0000-0000253C0000}"/>
    <cellStyle name="Note 2 9 4 10 2" xfId="13943" xr:uid="{00000000-0005-0000-0000-0000263C0000}"/>
    <cellStyle name="Note 2 9 4 10_Summary" xfId="23013" xr:uid="{00000000-0005-0000-0000-0000273C0000}"/>
    <cellStyle name="Note 2 9 4 11" xfId="7284" xr:uid="{00000000-0005-0000-0000-0000283C0000}"/>
    <cellStyle name="Note 2 9 4 12" xfId="13606" xr:uid="{00000000-0005-0000-0000-0000293C0000}"/>
    <cellStyle name="Note 2 9 4 13" xfId="30332" xr:uid="{F9D01E11-A8AF-4C59-8569-3B2858CAFB79}"/>
    <cellStyle name="Note 2 9 4 14" xfId="31764" xr:uid="{3543B8E2-13B8-4F55-AAC3-362CBB11A33E}"/>
    <cellStyle name="Note 2 9 4 2" xfId="1085" xr:uid="{00000000-0005-0000-0000-00002A3C0000}"/>
    <cellStyle name="Note 2 9 4 2 2" xfId="3221" xr:uid="{00000000-0005-0000-0000-00002B3C0000}"/>
    <cellStyle name="Note 2 9 4 2 2 2" xfId="9817" xr:uid="{00000000-0005-0000-0000-00002C3C0000}"/>
    <cellStyle name="Note 2 9 4 2 2 3" xfId="16436" xr:uid="{00000000-0005-0000-0000-00002D3C0000}"/>
    <cellStyle name="Note 2 9 4 2 2_Summary" xfId="23015" xr:uid="{00000000-0005-0000-0000-00002E3C0000}"/>
    <cellStyle name="Note 2 9 4 2 3" xfId="5256" xr:uid="{00000000-0005-0000-0000-00002F3C0000}"/>
    <cellStyle name="Note 2 9 4 2 3 2" xfId="11852" xr:uid="{00000000-0005-0000-0000-0000303C0000}"/>
    <cellStyle name="Note 2 9 4 2 3 3" xfId="18471" xr:uid="{00000000-0005-0000-0000-0000313C0000}"/>
    <cellStyle name="Note 2 9 4 2 3_Summary" xfId="23016" xr:uid="{00000000-0005-0000-0000-0000323C0000}"/>
    <cellStyle name="Note 2 9 4 2 4" xfId="7682" xr:uid="{00000000-0005-0000-0000-0000333C0000}"/>
    <cellStyle name="Note 2 9 4 2 5" xfId="14300" xr:uid="{00000000-0005-0000-0000-0000343C0000}"/>
    <cellStyle name="Note 2 9 4 2_Summary" xfId="23014" xr:uid="{00000000-0005-0000-0000-0000353C0000}"/>
    <cellStyle name="Note 2 9 4 3" xfId="1367" xr:uid="{00000000-0005-0000-0000-0000363C0000}"/>
    <cellStyle name="Note 2 9 4 3 2" xfId="3503" xr:uid="{00000000-0005-0000-0000-0000373C0000}"/>
    <cellStyle name="Note 2 9 4 3 2 2" xfId="10099" xr:uid="{00000000-0005-0000-0000-0000383C0000}"/>
    <cellStyle name="Note 2 9 4 3 2 3" xfId="16718" xr:uid="{00000000-0005-0000-0000-0000393C0000}"/>
    <cellStyle name="Note 2 9 4 3 2_Summary" xfId="23018" xr:uid="{00000000-0005-0000-0000-00003A3C0000}"/>
    <cellStyle name="Note 2 9 4 3 3" xfId="5538" xr:uid="{00000000-0005-0000-0000-00003B3C0000}"/>
    <cellStyle name="Note 2 9 4 3 3 2" xfId="12134" xr:uid="{00000000-0005-0000-0000-00003C3C0000}"/>
    <cellStyle name="Note 2 9 4 3 3 3" xfId="18753" xr:uid="{00000000-0005-0000-0000-00003D3C0000}"/>
    <cellStyle name="Note 2 9 4 3 3_Summary" xfId="23019" xr:uid="{00000000-0005-0000-0000-00003E3C0000}"/>
    <cellStyle name="Note 2 9 4 3 4" xfId="7963" xr:uid="{00000000-0005-0000-0000-00003F3C0000}"/>
    <cellStyle name="Note 2 9 4 3 5" xfId="14582" xr:uid="{00000000-0005-0000-0000-0000403C0000}"/>
    <cellStyle name="Note 2 9 4 3_Summary" xfId="23017" xr:uid="{00000000-0005-0000-0000-0000413C0000}"/>
    <cellStyle name="Note 2 9 4 4" xfId="1648" xr:uid="{00000000-0005-0000-0000-0000423C0000}"/>
    <cellStyle name="Note 2 9 4 4 2" xfId="3784" xr:uid="{00000000-0005-0000-0000-0000433C0000}"/>
    <cellStyle name="Note 2 9 4 4 2 2" xfId="10380" xr:uid="{00000000-0005-0000-0000-0000443C0000}"/>
    <cellStyle name="Note 2 9 4 4 2 3" xfId="16999" xr:uid="{00000000-0005-0000-0000-0000453C0000}"/>
    <cellStyle name="Note 2 9 4 4 2_Summary" xfId="23021" xr:uid="{00000000-0005-0000-0000-0000463C0000}"/>
    <cellStyle name="Note 2 9 4 4 3" xfId="5819" xr:uid="{00000000-0005-0000-0000-0000473C0000}"/>
    <cellStyle name="Note 2 9 4 4 3 2" xfId="12415" xr:uid="{00000000-0005-0000-0000-0000483C0000}"/>
    <cellStyle name="Note 2 9 4 4 3 3" xfId="19034" xr:uid="{00000000-0005-0000-0000-0000493C0000}"/>
    <cellStyle name="Note 2 9 4 4 3_Summary" xfId="23022" xr:uid="{00000000-0005-0000-0000-00004A3C0000}"/>
    <cellStyle name="Note 2 9 4 4 4" xfId="8244" xr:uid="{00000000-0005-0000-0000-00004B3C0000}"/>
    <cellStyle name="Note 2 9 4 4 5" xfId="14863" xr:uid="{00000000-0005-0000-0000-00004C3C0000}"/>
    <cellStyle name="Note 2 9 4 4_Summary" xfId="23020" xr:uid="{00000000-0005-0000-0000-00004D3C0000}"/>
    <cellStyle name="Note 2 9 4 5" xfId="1927" xr:uid="{00000000-0005-0000-0000-00004E3C0000}"/>
    <cellStyle name="Note 2 9 4 5 2" xfId="4063" xr:uid="{00000000-0005-0000-0000-00004F3C0000}"/>
    <cellStyle name="Note 2 9 4 5 2 2" xfId="10659" xr:uid="{00000000-0005-0000-0000-0000503C0000}"/>
    <cellStyle name="Note 2 9 4 5 2 3" xfId="17278" xr:uid="{00000000-0005-0000-0000-0000513C0000}"/>
    <cellStyle name="Note 2 9 4 5 2_Summary" xfId="23024" xr:uid="{00000000-0005-0000-0000-0000523C0000}"/>
    <cellStyle name="Note 2 9 4 5 3" xfId="6098" xr:uid="{00000000-0005-0000-0000-0000533C0000}"/>
    <cellStyle name="Note 2 9 4 5 3 2" xfId="12694" xr:uid="{00000000-0005-0000-0000-0000543C0000}"/>
    <cellStyle name="Note 2 9 4 5 3 3" xfId="19313" xr:uid="{00000000-0005-0000-0000-0000553C0000}"/>
    <cellStyle name="Note 2 9 4 5 3_Summary" xfId="23025" xr:uid="{00000000-0005-0000-0000-0000563C0000}"/>
    <cellStyle name="Note 2 9 4 5 4" xfId="8523" xr:uid="{00000000-0005-0000-0000-0000573C0000}"/>
    <cellStyle name="Note 2 9 4 5 5" xfId="15142" xr:uid="{00000000-0005-0000-0000-0000583C0000}"/>
    <cellStyle name="Note 2 9 4 5_Summary" xfId="23023" xr:uid="{00000000-0005-0000-0000-0000593C0000}"/>
    <cellStyle name="Note 2 9 4 6" xfId="2202" xr:uid="{00000000-0005-0000-0000-00005A3C0000}"/>
    <cellStyle name="Note 2 9 4 6 2" xfId="4338" xr:uid="{00000000-0005-0000-0000-00005B3C0000}"/>
    <cellStyle name="Note 2 9 4 6 2 2" xfId="10934" xr:uid="{00000000-0005-0000-0000-00005C3C0000}"/>
    <cellStyle name="Note 2 9 4 6 2 3" xfId="17553" xr:uid="{00000000-0005-0000-0000-00005D3C0000}"/>
    <cellStyle name="Note 2 9 4 6 2_Summary" xfId="23027" xr:uid="{00000000-0005-0000-0000-00005E3C0000}"/>
    <cellStyle name="Note 2 9 4 6 3" xfId="6373" xr:uid="{00000000-0005-0000-0000-00005F3C0000}"/>
    <cellStyle name="Note 2 9 4 6 3 2" xfId="12969" xr:uid="{00000000-0005-0000-0000-0000603C0000}"/>
    <cellStyle name="Note 2 9 4 6 3 3" xfId="19588" xr:uid="{00000000-0005-0000-0000-0000613C0000}"/>
    <cellStyle name="Note 2 9 4 6 3_Summary" xfId="23028" xr:uid="{00000000-0005-0000-0000-0000623C0000}"/>
    <cellStyle name="Note 2 9 4 6 4" xfId="8798" xr:uid="{00000000-0005-0000-0000-0000633C0000}"/>
    <cellStyle name="Note 2 9 4 6 5" xfId="15417" xr:uid="{00000000-0005-0000-0000-0000643C0000}"/>
    <cellStyle name="Note 2 9 4 6_Summary" xfId="23026" xr:uid="{00000000-0005-0000-0000-0000653C0000}"/>
    <cellStyle name="Note 2 9 4 7" xfId="2475" xr:uid="{00000000-0005-0000-0000-0000663C0000}"/>
    <cellStyle name="Note 2 9 4 7 2" xfId="4611" xr:uid="{00000000-0005-0000-0000-0000673C0000}"/>
    <cellStyle name="Note 2 9 4 7 2 2" xfId="11207" xr:uid="{00000000-0005-0000-0000-0000683C0000}"/>
    <cellStyle name="Note 2 9 4 7 2 3" xfId="17826" xr:uid="{00000000-0005-0000-0000-0000693C0000}"/>
    <cellStyle name="Note 2 9 4 7 2_Summary" xfId="23030" xr:uid="{00000000-0005-0000-0000-00006A3C0000}"/>
    <cellStyle name="Note 2 9 4 7 3" xfId="6646" xr:uid="{00000000-0005-0000-0000-00006B3C0000}"/>
    <cellStyle name="Note 2 9 4 7 3 2" xfId="13242" xr:uid="{00000000-0005-0000-0000-00006C3C0000}"/>
    <cellStyle name="Note 2 9 4 7 3 3" xfId="19861" xr:uid="{00000000-0005-0000-0000-00006D3C0000}"/>
    <cellStyle name="Note 2 9 4 7 3_Summary" xfId="23031" xr:uid="{00000000-0005-0000-0000-00006E3C0000}"/>
    <cellStyle name="Note 2 9 4 7 4" xfId="9071" xr:uid="{00000000-0005-0000-0000-00006F3C0000}"/>
    <cellStyle name="Note 2 9 4 7 5" xfId="15690" xr:uid="{00000000-0005-0000-0000-0000703C0000}"/>
    <cellStyle name="Note 2 9 4 7_Summary" xfId="23029" xr:uid="{00000000-0005-0000-0000-0000713C0000}"/>
    <cellStyle name="Note 2 9 4 8" xfId="2864" xr:uid="{00000000-0005-0000-0000-0000723C0000}"/>
    <cellStyle name="Note 2 9 4 8 2" xfId="9460" xr:uid="{00000000-0005-0000-0000-0000733C0000}"/>
    <cellStyle name="Note 2 9 4 8 3" xfId="16079" xr:uid="{00000000-0005-0000-0000-0000743C0000}"/>
    <cellStyle name="Note 2 9 4 8_Summary" xfId="23032" xr:uid="{00000000-0005-0000-0000-0000753C0000}"/>
    <cellStyle name="Note 2 9 4 9" xfId="4899" xr:uid="{00000000-0005-0000-0000-0000763C0000}"/>
    <cellStyle name="Note 2 9 4 9 2" xfId="11495" xr:uid="{00000000-0005-0000-0000-0000773C0000}"/>
    <cellStyle name="Note 2 9 4 9 3" xfId="18114" xr:uid="{00000000-0005-0000-0000-0000783C0000}"/>
    <cellStyle name="Note 2 9 4 9_Summary" xfId="23033" xr:uid="{00000000-0005-0000-0000-0000793C0000}"/>
    <cellStyle name="Note 2 9 4_Summary" xfId="23012" xr:uid="{00000000-0005-0000-0000-00007A3C0000}"/>
    <cellStyle name="Note 2 9 5" xfId="898" xr:uid="{00000000-0005-0000-0000-00007B3C0000}"/>
    <cellStyle name="Note 2 9 5 2" xfId="3034" xr:uid="{00000000-0005-0000-0000-00007C3C0000}"/>
    <cellStyle name="Note 2 9 5 2 2" xfId="9630" xr:uid="{00000000-0005-0000-0000-00007D3C0000}"/>
    <cellStyle name="Note 2 9 5 2 3" xfId="16249" xr:uid="{00000000-0005-0000-0000-00007E3C0000}"/>
    <cellStyle name="Note 2 9 5 2_Summary" xfId="23035" xr:uid="{00000000-0005-0000-0000-00007F3C0000}"/>
    <cellStyle name="Note 2 9 5 3" xfId="5069" xr:uid="{00000000-0005-0000-0000-0000803C0000}"/>
    <cellStyle name="Note 2 9 5 3 2" xfId="11665" xr:uid="{00000000-0005-0000-0000-0000813C0000}"/>
    <cellStyle name="Note 2 9 5 3 3" xfId="18284" xr:uid="{00000000-0005-0000-0000-0000823C0000}"/>
    <cellStyle name="Note 2 9 5 3_Summary" xfId="23036" xr:uid="{00000000-0005-0000-0000-0000833C0000}"/>
    <cellStyle name="Note 2 9 5 4" xfId="7495" xr:uid="{00000000-0005-0000-0000-0000843C0000}"/>
    <cellStyle name="Note 2 9 5 5" xfId="14113" xr:uid="{00000000-0005-0000-0000-0000853C0000}"/>
    <cellStyle name="Note 2 9 5_Summary" xfId="23034" xr:uid="{00000000-0005-0000-0000-0000863C0000}"/>
    <cellStyle name="Note 2 9 6" xfId="1183" xr:uid="{00000000-0005-0000-0000-0000873C0000}"/>
    <cellStyle name="Note 2 9 6 2" xfId="3319" xr:uid="{00000000-0005-0000-0000-0000883C0000}"/>
    <cellStyle name="Note 2 9 6 2 2" xfId="9915" xr:uid="{00000000-0005-0000-0000-0000893C0000}"/>
    <cellStyle name="Note 2 9 6 2 3" xfId="16534" xr:uid="{00000000-0005-0000-0000-00008A3C0000}"/>
    <cellStyle name="Note 2 9 6 2_Summary" xfId="23038" xr:uid="{00000000-0005-0000-0000-00008B3C0000}"/>
    <cellStyle name="Note 2 9 6 3" xfId="5354" xr:uid="{00000000-0005-0000-0000-00008C3C0000}"/>
    <cellStyle name="Note 2 9 6 3 2" xfId="11950" xr:uid="{00000000-0005-0000-0000-00008D3C0000}"/>
    <cellStyle name="Note 2 9 6 3 3" xfId="18569" xr:uid="{00000000-0005-0000-0000-00008E3C0000}"/>
    <cellStyle name="Note 2 9 6 3_Summary" xfId="23039" xr:uid="{00000000-0005-0000-0000-00008F3C0000}"/>
    <cellStyle name="Note 2 9 6 4" xfId="7779" xr:uid="{00000000-0005-0000-0000-0000903C0000}"/>
    <cellStyle name="Note 2 9 6 5" xfId="14398" xr:uid="{00000000-0005-0000-0000-0000913C0000}"/>
    <cellStyle name="Note 2 9 6_Summary" xfId="23037" xr:uid="{00000000-0005-0000-0000-0000923C0000}"/>
    <cellStyle name="Note 2 9 7" xfId="1465" xr:uid="{00000000-0005-0000-0000-0000933C0000}"/>
    <cellStyle name="Note 2 9 7 2" xfId="3601" xr:uid="{00000000-0005-0000-0000-0000943C0000}"/>
    <cellStyle name="Note 2 9 7 2 2" xfId="10197" xr:uid="{00000000-0005-0000-0000-0000953C0000}"/>
    <cellStyle name="Note 2 9 7 2 3" xfId="16816" xr:uid="{00000000-0005-0000-0000-0000963C0000}"/>
    <cellStyle name="Note 2 9 7 2_Summary" xfId="23041" xr:uid="{00000000-0005-0000-0000-0000973C0000}"/>
    <cellStyle name="Note 2 9 7 3" xfId="5636" xr:uid="{00000000-0005-0000-0000-0000983C0000}"/>
    <cellStyle name="Note 2 9 7 3 2" xfId="12232" xr:uid="{00000000-0005-0000-0000-0000993C0000}"/>
    <cellStyle name="Note 2 9 7 3 3" xfId="18851" xr:uid="{00000000-0005-0000-0000-00009A3C0000}"/>
    <cellStyle name="Note 2 9 7 3_Summary" xfId="23042" xr:uid="{00000000-0005-0000-0000-00009B3C0000}"/>
    <cellStyle name="Note 2 9 7 4" xfId="8061" xr:uid="{00000000-0005-0000-0000-00009C3C0000}"/>
    <cellStyle name="Note 2 9 7 5" xfId="14680" xr:uid="{00000000-0005-0000-0000-00009D3C0000}"/>
    <cellStyle name="Note 2 9 7_Summary" xfId="23040" xr:uid="{00000000-0005-0000-0000-00009E3C0000}"/>
    <cellStyle name="Note 2 9 8" xfId="1746" xr:uid="{00000000-0005-0000-0000-00009F3C0000}"/>
    <cellStyle name="Note 2 9 8 2" xfId="3882" xr:uid="{00000000-0005-0000-0000-0000A03C0000}"/>
    <cellStyle name="Note 2 9 8 2 2" xfId="10478" xr:uid="{00000000-0005-0000-0000-0000A13C0000}"/>
    <cellStyle name="Note 2 9 8 2 3" xfId="17097" xr:uid="{00000000-0005-0000-0000-0000A23C0000}"/>
    <cellStyle name="Note 2 9 8 2_Summary" xfId="23044" xr:uid="{00000000-0005-0000-0000-0000A33C0000}"/>
    <cellStyle name="Note 2 9 8 3" xfId="5917" xr:uid="{00000000-0005-0000-0000-0000A43C0000}"/>
    <cellStyle name="Note 2 9 8 3 2" xfId="12513" xr:uid="{00000000-0005-0000-0000-0000A53C0000}"/>
    <cellStyle name="Note 2 9 8 3 3" xfId="19132" xr:uid="{00000000-0005-0000-0000-0000A63C0000}"/>
    <cellStyle name="Note 2 9 8 3_Summary" xfId="23045" xr:uid="{00000000-0005-0000-0000-0000A73C0000}"/>
    <cellStyle name="Note 2 9 8 4" xfId="8342" xr:uid="{00000000-0005-0000-0000-0000A83C0000}"/>
    <cellStyle name="Note 2 9 8 5" xfId="14961" xr:uid="{00000000-0005-0000-0000-0000A93C0000}"/>
    <cellStyle name="Note 2 9 8_Summary" xfId="23043" xr:uid="{00000000-0005-0000-0000-0000AA3C0000}"/>
    <cellStyle name="Note 2 9 9" xfId="2025" xr:uid="{00000000-0005-0000-0000-0000AB3C0000}"/>
    <cellStyle name="Note 2 9 9 2" xfId="4161" xr:uid="{00000000-0005-0000-0000-0000AC3C0000}"/>
    <cellStyle name="Note 2 9 9 2 2" xfId="10757" xr:uid="{00000000-0005-0000-0000-0000AD3C0000}"/>
    <cellStyle name="Note 2 9 9 2 3" xfId="17376" xr:uid="{00000000-0005-0000-0000-0000AE3C0000}"/>
    <cellStyle name="Note 2 9 9 2_Summary" xfId="23047" xr:uid="{00000000-0005-0000-0000-0000AF3C0000}"/>
    <cellStyle name="Note 2 9 9 3" xfId="6196" xr:uid="{00000000-0005-0000-0000-0000B03C0000}"/>
    <cellStyle name="Note 2 9 9 3 2" xfId="12792" xr:uid="{00000000-0005-0000-0000-0000B13C0000}"/>
    <cellStyle name="Note 2 9 9 3 3" xfId="19411" xr:uid="{00000000-0005-0000-0000-0000B23C0000}"/>
    <cellStyle name="Note 2 9 9 3_Summary" xfId="23048" xr:uid="{00000000-0005-0000-0000-0000B33C0000}"/>
    <cellStyle name="Note 2 9 9 4" xfId="8621" xr:uid="{00000000-0005-0000-0000-0000B43C0000}"/>
    <cellStyle name="Note 2 9 9 5" xfId="15240" xr:uid="{00000000-0005-0000-0000-0000B53C0000}"/>
    <cellStyle name="Note 2 9 9_Summary" xfId="23046" xr:uid="{00000000-0005-0000-0000-0000B63C0000}"/>
    <cellStyle name="Note 2 9_Summary" xfId="22939" xr:uid="{00000000-0005-0000-0000-0000B73C0000}"/>
    <cellStyle name="Note 2_PO Creation" xfId="29480" xr:uid="{34C13DEA-AA80-4591-B83B-CE04E3104237}"/>
    <cellStyle name="Note 3" xfId="6821" xr:uid="{00000000-0005-0000-0000-0000B93C0000}"/>
    <cellStyle name="Note 3 10" xfId="29482" xr:uid="{A7233E45-B530-4638-96D8-38A72A2C9C67}"/>
    <cellStyle name="Note 3 10 2" xfId="29483" xr:uid="{DB7031BF-08FA-409C-AF55-C78510FC6DF0}"/>
    <cellStyle name="Note 3 10 2 2" xfId="30336" xr:uid="{8E78412F-EDF6-463A-A94C-4AF4A4BE8E9A}"/>
    <cellStyle name="Note 3 10 2 2 2" xfId="31768" xr:uid="{2EC5099D-404D-4EF0-AC1F-24D93257D7B9}"/>
    <cellStyle name="Note 3 10 2 3" xfId="31051" xr:uid="{2471FB76-2C7A-4329-BE1B-387BC86ED4D7}"/>
    <cellStyle name="Note 3 10 3" xfId="29484" xr:uid="{78CEEA87-64AA-49CE-B996-77EFB2A6583D}"/>
    <cellStyle name="Note 3 10 3 2" xfId="30337" xr:uid="{A4E76BDD-58B9-4638-ADA0-E4A9B5B9CC60}"/>
    <cellStyle name="Note 3 10 3 2 2" xfId="31769" xr:uid="{83165297-9A5D-4ED2-AE7D-166932968772}"/>
    <cellStyle name="Note 3 10 3 3" xfId="31052" xr:uid="{6B4698D2-60AA-4F4B-8C6C-B30E7F939515}"/>
    <cellStyle name="Note 3 10 4" xfId="30335" xr:uid="{06A37EED-C1B5-40AB-A47F-4A4FAAB52830}"/>
    <cellStyle name="Note 3 10 4 2" xfId="31767" xr:uid="{4ED8E222-532F-4C12-A2A6-0739C7EF9F44}"/>
    <cellStyle name="Note 3 10 5" xfId="31050" xr:uid="{0E5B4D5A-AFE3-4746-B9AA-EA22B8B63382}"/>
    <cellStyle name="Note 3 11" xfId="29485" xr:uid="{0DAC433F-E307-45B0-856C-7A1FC1BF9EC6}"/>
    <cellStyle name="Note 3 11 2" xfId="30338" xr:uid="{DEF657BF-2B39-46C1-AAD3-A6917836DDDB}"/>
    <cellStyle name="Note 3 11 2 2" xfId="31770" xr:uid="{DFB65C1E-9A78-4F0E-80ED-9E38B381DF28}"/>
    <cellStyle name="Note 3 11 3" xfId="31053" xr:uid="{280C5DB0-AC9D-47F3-8F1B-83EA4D9775B7}"/>
    <cellStyle name="Note 3 12" xfId="29486" xr:uid="{096BACAE-40E0-4243-8D78-ABAD92523C9D}"/>
    <cellStyle name="Note 3 12 2" xfId="30339" xr:uid="{3F7C4A79-086E-46AA-890A-4E23A4FC15E6}"/>
    <cellStyle name="Note 3 12 2 2" xfId="31771" xr:uid="{8FEBB1C8-344D-489E-9CA8-6F82C1E6127F}"/>
    <cellStyle name="Note 3 12 3" xfId="31054" xr:uid="{6DFC2C63-AEE2-44D7-8070-E7F38D0C3177}"/>
    <cellStyle name="Note 3 13" xfId="29481" xr:uid="{E1DF86F8-48F0-4539-930E-EE3664AD7B4A}"/>
    <cellStyle name="Note 3 2" xfId="13406" xr:uid="{00000000-0005-0000-0000-0000BA3C0000}"/>
    <cellStyle name="Note 3 2 2" xfId="29488" xr:uid="{8EE82EBE-35CC-49AC-B5D5-B9EB71BA868D}"/>
    <cellStyle name="Note 3 2 2 2" xfId="30341" xr:uid="{ADC1A3E2-12F8-4A1C-986D-F6EBDC2E845B}"/>
    <cellStyle name="Note 3 2 2 2 2" xfId="31773" xr:uid="{792BA59C-9832-46A3-8BBB-373E643F33ED}"/>
    <cellStyle name="Note 3 2 2 3" xfId="31056" xr:uid="{E1CEEA47-948E-4EAA-A062-E61F1E547F83}"/>
    <cellStyle name="Note 3 2 3" xfId="29489" xr:uid="{995A1D05-B1E3-4E65-B236-CDD5550E0BB3}"/>
    <cellStyle name="Note 3 2 3 2" xfId="30342" xr:uid="{953FCD83-EA1F-431B-AA28-1C455F731AD4}"/>
    <cellStyle name="Note 3 2 3 2 2" xfId="31774" xr:uid="{D85FD3DB-A7E7-44A0-8917-A4B535F3E206}"/>
    <cellStyle name="Note 3 2 3 3" xfId="31057" xr:uid="{94637CBE-9E3E-4176-83E0-094B3DAF68A8}"/>
    <cellStyle name="Note 3 2 4" xfId="30340" xr:uid="{1310EF29-7D4B-4CB2-A190-988AD8B78E7D}"/>
    <cellStyle name="Note 3 2 4 2" xfId="31772" xr:uid="{3B2CCAB6-74D6-4C32-A930-4A9D02F7A922}"/>
    <cellStyle name="Note 3 2 5" xfId="29487" xr:uid="{72684187-FF43-44AB-9C73-4796AB786023}"/>
    <cellStyle name="Note 3 2 6" xfId="31055" xr:uid="{7593C350-5D46-40C5-9BD9-FA1B379020D8}"/>
    <cellStyle name="Note 3 3" xfId="20022" xr:uid="{00000000-0005-0000-0000-0000BB3C0000}"/>
    <cellStyle name="Note 3 3 2" xfId="29491" xr:uid="{D570B08A-BEA8-4C95-947F-93633752D688}"/>
    <cellStyle name="Note 3 3 2 2" xfId="30344" xr:uid="{46E4CD71-D502-4F88-B389-AE9CBF5A27BA}"/>
    <cellStyle name="Note 3 3 2 2 2" xfId="31776" xr:uid="{7A72B6D1-443C-4079-9C4A-E10F7ACCD484}"/>
    <cellStyle name="Note 3 3 2 3" xfId="31059" xr:uid="{93E12FD6-7636-4D83-8697-3A41A2AB3F08}"/>
    <cellStyle name="Note 3 3 3" xfId="29492" xr:uid="{34B9A4FF-5BA6-4C90-8A2A-095B6DDA99DC}"/>
    <cellStyle name="Note 3 3 3 2" xfId="30345" xr:uid="{BB3EBA4A-3971-4A8B-9754-6BA1055626AD}"/>
    <cellStyle name="Note 3 3 3 2 2" xfId="31777" xr:uid="{9A85706F-B336-4A57-9C19-49CB3A9F2750}"/>
    <cellStyle name="Note 3 3 3 3" xfId="31060" xr:uid="{D7D7B85B-DC6D-46DA-A4EF-D77A78FA2FE1}"/>
    <cellStyle name="Note 3 3 4" xfId="30343" xr:uid="{1FFD1B78-E138-4A2B-8334-291C25D6CE23}"/>
    <cellStyle name="Note 3 3 4 2" xfId="31775" xr:uid="{5E118813-4247-4070-9CEB-2374CE48858F}"/>
    <cellStyle name="Note 3 3 5" xfId="29490" xr:uid="{F769490F-A3CB-445E-88DB-874253AFC0DC}"/>
    <cellStyle name="Note 3 3 6" xfId="31058" xr:uid="{079A9789-C324-4BA4-9B1E-1E936CC6F14A}"/>
    <cellStyle name="Note 3 4" xfId="25645" xr:uid="{00000000-0005-0000-0000-0000CE000000}"/>
    <cellStyle name="Note 3 4 2" xfId="29494" xr:uid="{299F3CBB-2DB9-41BA-B0DC-FCE9BC5CE86B}"/>
    <cellStyle name="Note 3 4 2 2" xfId="30347" xr:uid="{59226FC2-CC95-4A90-8FD2-6CC151C5D6E1}"/>
    <cellStyle name="Note 3 4 2 2 2" xfId="31779" xr:uid="{4AF8F07C-BDD9-42D1-886A-079B39A34E61}"/>
    <cellStyle name="Note 3 4 2 3" xfId="31062" xr:uid="{708A6C18-F60D-4012-9A90-C771FF97796C}"/>
    <cellStyle name="Note 3 4 3" xfId="29495" xr:uid="{2B7C3FC7-A4DF-4E7F-8735-FB66F2C534A5}"/>
    <cellStyle name="Note 3 4 3 2" xfId="30348" xr:uid="{3F8B78E7-3A54-4F9A-A622-2979A2DABC3F}"/>
    <cellStyle name="Note 3 4 3 2 2" xfId="31780" xr:uid="{FBB1BBA1-5318-4350-85AA-B3A0183D05F0}"/>
    <cellStyle name="Note 3 4 3 3" xfId="31063" xr:uid="{9C44A23C-5080-4FF7-85E9-A04E1674771E}"/>
    <cellStyle name="Note 3 4 4" xfId="30346" xr:uid="{6EBD637A-9DBE-4DC7-8A30-3AFD6A3BA955}"/>
    <cellStyle name="Note 3 4 4 2" xfId="31778" xr:uid="{D7CFB009-4F3B-4E99-BFA1-80B5D9B30565}"/>
    <cellStyle name="Note 3 4 5" xfId="29493" xr:uid="{89E2E294-0587-4E3C-96EB-CDB6EE41BD5C}"/>
    <cellStyle name="Note 3 4 6" xfId="31061" xr:uid="{2D518414-C5F4-4550-869D-4FFF8208E8D1}"/>
    <cellStyle name="Note 3 5" xfId="29496" xr:uid="{528FA091-B550-4D04-92B3-62B4E869881C}"/>
    <cellStyle name="Note 3 5 2" xfId="29497" xr:uid="{CFF36BAE-A3E9-4710-9610-39BDB314081A}"/>
    <cellStyle name="Note 3 5 2 2" xfId="30350" xr:uid="{3D6334F9-9744-497B-BBE7-E692DC607F25}"/>
    <cellStyle name="Note 3 5 2 2 2" xfId="31782" xr:uid="{44A03B8B-5274-4D4A-8439-A167EC03FCDB}"/>
    <cellStyle name="Note 3 5 2 3" xfId="31065" xr:uid="{6ADDC525-9791-4C15-98EB-043CA1B35C02}"/>
    <cellStyle name="Note 3 5 3" xfId="29498" xr:uid="{F27AA5C4-AA14-4231-85E3-1D6CC150EBA3}"/>
    <cellStyle name="Note 3 5 3 2" xfId="30351" xr:uid="{96ABD41D-70DC-49AB-9F15-BA6620909A52}"/>
    <cellStyle name="Note 3 5 3 2 2" xfId="31783" xr:uid="{C56657D6-D7B5-4873-9ADA-1CD6203A4774}"/>
    <cellStyle name="Note 3 5 3 3" xfId="31066" xr:uid="{21023465-6150-4539-AD9A-8AE1079B2EA1}"/>
    <cellStyle name="Note 3 5 4" xfId="30349" xr:uid="{7E8BC11B-DF9B-40FD-BB21-6441870D9EAA}"/>
    <cellStyle name="Note 3 5 4 2" xfId="31781" xr:uid="{A6288A4F-8B98-45BF-926E-197D87131207}"/>
    <cellStyle name="Note 3 5 5" xfId="31064" xr:uid="{BF159739-E376-4ACD-81C8-60A097B07D7C}"/>
    <cellStyle name="Note 3 6" xfId="29499" xr:uid="{502BA396-7276-4CF0-B183-3430323EC365}"/>
    <cellStyle name="Note 3 6 2" xfId="29500" xr:uid="{B6860F5D-82E4-4CA3-A524-D2A249E37E27}"/>
    <cellStyle name="Note 3 6 2 2" xfId="30353" xr:uid="{CBCD0CE2-CA15-42E6-A839-A6C5FBF5F933}"/>
    <cellStyle name="Note 3 6 2 2 2" xfId="31785" xr:uid="{C6D2FD1E-6DB5-4506-AA89-B94841640D49}"/>
    <cellStyle name="Note 3 6 2 3" xfId="31068" xr:uid="{52D5E54F-9A1D-41A3-8455-88113F9BCF81}"/>
    <cellStyle name="Note 3 6 3" xfId="29501" xr:uid="{10F2600E-4DD8-4D62-A178-F26E10707C79}"/>
    <cellStyle name="Note 3 6 3 2" xfId="30354" xr:uid="{35651161-37C0-4D46-8272-AA97E7CA4B2D}"/>
    <cellStyle name="Note 3 6 3 2 2" xfId="31786" xr:uid="{3D12D526-8C08-4EC2-B80A-542BFCD63FA1}"/>
    <cellStyle name="Note 3 6 3 3" xfId="31069" xr:uid="{EC089238-2ADE-46FA-A751-7E1BE855747A}"/>
    <cellStyle name="Note 3 6 4" xfId="30352" xr:uid="{54020EE1-BCC7-49D0-9B26-A7AA00646E3C}"/>
    <cellStyle name="Note 3 6 4 2" xfId="31784" xr:uid="{7C3DDD65-EB53-4D4F-8E54-FC9E79A90AEB}"/>
    <cellStyle name="Note 3 6 5" xfId="31067" xr:uid="{7CABC380-957F-43AC-B0E3-D3966B62BFED}"/>
    <cellStyle name="Note 3 7" xfId="29502" xr:uid="{FFBCB5AC-1176-47A4-8350-BA08A2156562}"/>
    <cellStyle name="Note 3 7 2" xfId="29503" xr:uid="{75E579C8-2D47-43F7-A1CF-C000BAD390BA}"/>
    <cellStyle name="Note 3 7 2 2" xfId="30356" xr:uid="{23AB832B-B04E-44FC-8AF1-F387B0BD48D8}"/>
    <cellStyle name="Note 3 7 2 2 2" xfId="31788" xr:uid="{7F29F4FB-107B-4023-9058-57CD4A5E7F1E}"/>
    <cellStyle name="Note 3 7 2 3" xfId="31071" xr:uid="{B3CFEC6E-09D7-411E-B6C9-1CF102937B09}"/>
    <cellStyle name="Note 3 7 3" xfId="29504" xr:uid="{B4D7F4D2-B713-405B-A415-E6EA9075A9E2}"/>
    <cellStyle name="Note 3 7 3 2" xfId="30357" xr:uid="{B0EE403B-8D5C-4A5B-9EB6-7F7B494568AD}"/>
    <cellStyle name="Note 3 7 3 2 2" xfId="31789" xr:uid="{8D94626E-5C6F-49D8-8906-FC2A7F97B82F}"/>
    <cellStyle name="Note 3 7 3 3" xfId="31072" xr:uid="{FFEA562A-FF45-48BF-888B-340050224E5B}"/>
    <cellStyle name="Note 3 7 4" xfId="30355" xr:uid="{20D26B70-8ED2-409E-81F3-C91830684CED}"/>
    <cellStyle name="Note 3 7 4 2" xfId="31787" xr:uid="{68D36100-67A2-4695-A386-3ED1EF776380}"/>
    <cellStyle name="Note 3 7 5" xfId="31070" xr:uid="{B4A21399-155D-4651-98F5-CA62D3405445}"/>
    <cellStyle name="Note 3 8" xfId="29505" xr:uid="{BCBEB2BC-C73E-477E-B443-964905E3D75E}"/>
    <cellStyle name="Note 3 8 2" xfId="29506" xr:uid="{72CDA85B-9E95-41DC-AE27-D7DB2ED865EB}"/>
    <cellStyle name="Note 3 8 2 2" xfId="30359" xr:uid="{B2828F2A-49FD-4889-B756-C3E8679F11EB}"/>
    <cellStyle name="Note 3 8 2 2 2" xfId="31791" xr:uid="{616FE131-50A0-40A1-ADE8-65F602A0A45B}"/>
    <cellStyle name="Note 3 8 2 3" xfId="31074" xr:uid="{FFF35E18-1ABD-420A-827A-DC47E530CBD0}"/>
    <cellStyle name="Note 3 8 3" xfId="29507" xr:uid="{B99D9F1B-111B-4D68-92AB-CF54BC5BF7E7}"/>
    <cellStyle name="Note 3 8 3 2" xfId="30360" xr:uid="{98F20C81-6D7D-49EF-88A3-A13AE7455AAA}"/>
    <cellStyle name="Note 3 8 3 2 2" xfId="31792" xr:uid="{2CF90C7F-FF91-49EF-B8C2-F669FA061D86}"/>
    <cellStyle name="Note 3 8 3 3" xfId="31075" xr:uid="{C16AFF65-63E8-458F-A245-3CD9A4F84862}"/>
    <cellStyle name="Note 3 8 4" xfId="30358" xr:uid="{57F27DE5-119F-4860-B368-6476D801C379}"/>
    <cellStyle name="Note 3 8 4 2" xfId="31790" xr:uid="{62F13828-59F7-4847-989A-C046C8948531}"/>
    <cellStyle name="Note 3 8 5" xfId="31073" xr:uid="{501B10DC-0FDE-412D-9280-BE587840F872}"/>
    <cellStyle name="Note 3 9" xfId="29508" xr:uid="{EFED483F-0F07-467B-B4A0-EB80E5249457}"/>
    <cellStyle name="Note 3 9 2" xfId="29509" xr:uid="{B5D06863-211F-48B9-8663-A3C3DB71A7F1}"/>
    <cellStyle name="Note 3 9 2 2" xfId="30362" xr:uid="{618EF2FC-8D9F-4CD0-812B-128E4FC85CFE}"/>
    <cellStyle name="Note 3 9 2 2 2" xfId="31794" xr:uid="{9B1C5967-E5E5-45AC-8112-FD6B5838CFD8}"/>
    <cellStyle name="Note 3 9 2 3" xfId="31077" xr:uid="{08EFFDBF-F2EC-450D-BC08-A0DE9C9D870F}"/>
    <cellStyle name="Note 3 9 3" xfId="29510" xr:uid="{7599776F-B9EB-4DBB-9E45-19948185DDE1}"/>
    <cellStyle name="Note 3 9 3 2" xfId="30363" xr:uid="{A89F4EB2-9E23-4A00-A035-3FB7D354618E}"/>
    <cellStyle name="Note 3 9 3 2 2" xfId="31795" xr:uid="{B090604B-DB18-4FC4-856B-BA5F4400BDDA}"/>
    <cellStyle name="Note 3 9 3 3" xfId="31078" xr:uid="{EA7B6812-7C3E-42F0-A7A6-EE832B4364D1}"/>
    <cellStyle name="Note 3 9 4" xfId="30361" xr:uid="{904C10A6-6376-4BD4-9CC8-A67F41922BA2}"/>
    <cellStyle name="Note 3 9 4 2" xfId="31793" xr:uid="{44088C58-7600-414A-B67F-E5E4F6742FD9}"/>
    <cellStyle name="Note 3 9 5" xfId="31076" xr:uid="{AE86652E-DE81-463B-BA9F-81F32A5E5048}"/>
    <cellStyle name="Note 3_PO Creation" xfId="29511" xr:uid="{330FF439-F2BD-45A8-B00F-C5F179DB615F}"/>
    <cellStyle name="Note 4" xfId="25655" xr:uid="{00000000-0005-0000-0000-0000D6000000}"/>
    <cellStyle name="Note 4 10" xfId="29513" xr:uid="{6B0DF3B1-D0C1-46B3-9A81-B61A09130034}"/>
    <cellStyle name="Note 4 10 2" xfId="29514" xr:uid="{7BE21CBB-A8AD-4EEE-9104-EE8C6468201A}"/>
    <cellStyle name="Note 4 10 2 2" xfId="30365" xr:uid="{19B9EC15-6C14-4C75-935D-4A0F262BCCF4}"/>
    <cellStyle name="Note 4 10 2 2 2" xfId="31797" xr:uid="{FAE0C03C-4838-481F-8E92-D4BBA42CB853}"/>
    <cellStyle name="Note 4 10 2 3" xfId="31080" xr:uid="{DA328CC8-F803-404F-BDE5-C7646951D5B2}"/>
    <cellStyle name="Note 4 10 3" xfId="29515" xr:uid="{CD15C67E-8DC9-4684-B72A-509224CA22EA}"/>
    <cellStyle name="Note 4 10 3 2" xfId="30366" xr:uid="{B74F8C72-A247-47CC-AA98-4DAA535FFE91}"/>
    <cellStyle name="Note 4 10 3 2 2" xfId="31798" xr:uid="{D1D13222-7325-41F2-BC90-7A24176EA9E4}"/>
    <cellStyle name="Note 4 10 3 3" xfId="31081" xr:uid="{75DDFEBC-82CB-4386-8484-CBE2F6DFD5BD}"/>
    <cellStyle name="Note 4 10 4" xfId="30364" xr:uid="{256A62B2-47A2-49E1-8C42-2E59E3CE2769}"/>
    <cellStyle name="Note 4 10 4 2" xfId="31796" xr:uid="{A3D69FFB-43AB-4335-A2EB-8B13212F8A97}"/>
    <cellStyle name="Note 4 10 5" xfId="31079" xr:uid="{D13807A0-AC6F-4303-9B41-A274829F2682}"/>
    <cellStyle name="Note 4 11" xfId="29512" xr:uid="{5CE07AC3-8CE4-4606-9F6F-29E40772872A}"/>
    <cellStyle name="Note 4 2" xfId="25699" xr:uid="{00000000-0005-0000-0000-0000D6000000}"/>
    <cellStyle name="Note 4 2 2" xfId="29517" xr:uid="{7C0B1FCA-205E-40E5-82AB-190935C34C5E}"/>
    <cellStyle name="Note 4 2 2 2" xfId="30368" xr:uid="{C9D3B7F4-E6F4-4683-83FA-509335A8488E}"/>
    <cellStyle name="Note 4 2 2 2 2" xfId="31800" xr:uid="{44CFE1FD-0A20-48E6-9E53-0CD74CE29484}"/>
    <cellStyle name="Note 4 2 2 3" xfId="31083" xr:uid="{AD56C6FF-0707-4278-9347-D43F5665AEE6}"/>
    <cellStyle name="Note 4 2 3" xfId="29518" xr:uid="{3C65717A-2DDA-4DA3-8BF3-619E4E84C6DB}"/>
    <cellStyle name="Note 4 2 3 2" xfId="30369" xr:uid="{EE4EFE74-6A85-466A-88A8-2502549F97BE}"/>
    <cellStyle name="Note 4 2 3 2 2" xfId="31801" xr:uid="{5EDDBCD4-D75B-4E0A-A4E8-CAC10F634628}"/>
    <cellStyle name="Note 4 2 3 3" xfId="31084" xr:uid="{F8704F1C-C3D9-4C93-B290-C93A87B29F87}"/>
    <cellStyle name="Note 4 2 4" xfId="30367" xr:uid="{07961D10-73D2-49FF-A616-A0DF2BDFF7E6}"/>
    <cellStyle name="Note 4 2 4 2" xfId="31799" xr:uid="{B2204BE8-4A3C-466F-82A9-C30FF8062EFF}"/>
    <cellStyle name="Note 4 2 5" xfId="29516" xr:uid="{7AB33DB1-B478-4264-ADF0-013F4A531AEF}"/>
    <cellStyle name="Note 4 2 6" xfId="31082" xr:uid="{123BC19A-2279-415A-AC85-EA556E9570E4}"/>
    <cellStyle name="Note 4 3" xfId="29519" xr:uid="{075D6B69-87CA-4F04-AA7F-1A585D46410A}"/>
    <cellStyle name="Note 4 3 2" xfId="29520" xr:uid="{CB7C314D-F31D-4748-90E2-84BE16220820}"/>
    <cellStyle name="Note 4 3 2 2" xfId="30371" xr:uid="{DF6871C8-BEEE-45DE-A84C-2A1B76F09338}"/>
    <cellStyle name="Note 4 3 2 2 2" xfId="31803" xr:uid="{069BD8CF-D575-4895-BE8A-DEFE67445BF4}"/>
    <cellStyle name="Note 4 3 2 3" xfId="31086" xr:uid="{FE4727D6-BF7D-4F72-A486-DB241CA6E21A}"/>
    <cellStyle name="Note 4 3 3" xfId="29521" xr:uid="{3BFA5A9E-C054-4B50-9EE4-C7736A961A40}"/>
    <cellStyle name="Note 4 3 3 2" xfId="30372" xr:uid="{8E2A846D-E568-4A60-8EDC-471D5DEFF791}"/>
    <cellStyle name="Note 4 3 3 2 2" xfId="31804" xr:uid="{1A9BE356-A4C6-4F9A-A82E-9BB092DDD066}"/>
    <cellStyle name="Note 4 3 3 3" xfId="31087" xr:uid="{875D8F55-DE00-4180-B19F-DC9FF6B15FA2}"/>
    <cellStyle name="Note 4 3 4" xfId="30370" xr:uid="{D74C62A3-3C18-47D0-8097-710DAD165FB1}"/>
    <cellStyle name="Note 4 3 4 2" xfId="31802" xr:uid="{ACDA7F73-E5D4-4666-8CC4-3326DA72298F}"/>
    <cellStyle name="Note 4 3 5" xfId="31085" xr:uid="{3E7D442A-5F4B-449C-863F-564575A2DA0B}"/>
    <cellStyle name="Note 4 4" xfId="29522" xr:uid="{4E5735E2-8DAE-4B51-805C-E5BBAA33A95B}"/>
    <cellStyle name="Note 4 4 2" xfId="29523" xr:uid="{63F3DEC5-76BF-4803-A2B5-27687A928DDE}"/>
    <cellStyle name="Note 4 4 2 2" xfId="30374" xr:uid="{AB748434-E12D-4F88-AFB7-1AD7A6BC3215}"/>
    <cellStyle name="Note 4 4 2 2 2" xfId="31806" xr:uid="{7B7E4AB7-EC2D-4518-9838-B4AEBBB62644}"/>
    <cellStyle name="Note 4 4 2 3" xfId="31089" xr:uid="{169A837E-26DD-4BD3-950C-1F7100953790}"/>
    <cellStyle name="Note 4 4 3" xfId="29524" xr:uid="{9473BDAD-CCE2-478C-A83E-D7CB312D66A1}"/>
    <cellStyle name="Note 4 4 3 2" xfId="30375" xr:uid="{F3AE1973-2A60-47AD-AF03-01006713D5EB}"/>
    <cellStyle name="Note 4 4 3 2 2" xfId="31807" xr:uid="{4B4F5AF6-AB2D-40E4-A003-B7D9B3E5C15C}"/>
    <cellStyle name="Note 4 4 3 3" xfId="31090" xr:uid="{E46FEDCB-8D82-48D8-A191-2A31A076F3A5}"/>
    <cellStyle name="Note 4 4 4" xfId="30373" xr:uid="{14A50BCC-D170-4DBE-B661-C9DC2CE488C8}"/>
    <cellStyle name="Note 4 4 4 2" xfId="31805" xr:uid="{84125D56-5F16-4F58-A37E-2B1328E25C78}"/>
    <cellStyle name="Note 4 4 5" xfId="31088" xr:uid="{8C624942-ECDA-4B14-B61B-62E409570A14}"/>
    <cellStyle name="Note 4 5" xfId="29525" xr:uid="{CEB5F2F9-AF1C-4F17-BBF5-F1E4CFC84EE5}"/>
    <cellStyle name="Note 4 5 2" xfId="29526" xr:uid="{BCFAD13A-4A59-40DB-886B-B4CC539F708D}"/>
    <cellStyle name="Note 4 5 2 2" xfId="30377" xr:uid="{9D2324EA-C0FB-4137-877C-2FE9B5434BBC}"/>
    <cellStyle name="Note 4 5 2 2 2" xfId="31809" xr:uid="{915BB7D8-98F6-4AA2-9018-EC6DA1FEA72A}"/>
    <cellStyle name="Note 4 5 2 3" xfId="31092" xr:uid="{1C2EF656-A31B-4C1E-B1A4-5937CCEA2C86}"/>
    <cellStyle name="Note 4 5 3" xfId="29527" xr:uid="{9D24269A-FF72-41EA-B8BA-FC2916B8E5C5}"/>
    <cellStyle name="Note 4 5 3 2" xfId="30378" xr:uid="{BDE71A88-1267-4632-B398-C2776C992163}"/>
    <cellStyle name="Note 4 5 3 2 2" xfId="31810" xr:uid="{872F6B9F-3827-4D65-AD79-E3547D43ED13}"/>
    <cellStyle name="Note 4 5 3 3" xfId="31093" xr:uid="{2C05B6F7-69C0-416C-B0BE-64CF778B577B}"/>
    <cellStyle name="Note 4 5 4" xfId="30376" xr:uid="{73B64325-F474-4591-865E-7A80C51CDAA7}"/>
    <cellStyle name="Note 4 5 4 2" xfId="31808" xr:uid="{706F5BAB-3A8E-45CF-9711-24A7A8B7715D}"/>
    <cellStyle name="Note 4 5 5" xfId="31091" xr:uid="{089CF1E1-1631-4652-9BD0-7D799ACD3165}"/>
    <cellStyle name="Note 4 6" xfId="29528" xr:uid="{834EEB04-8B1D-4F07-92C3-84DCC8AE5C0C}"/>
    <cellStyle name="Note 4 6 2" xfId="29529" xr:uid="{3E1F85D3-1D32-4A89-98DD-0CE98533C67E}"/>
    <cellStyle name="Note 4 6 2 2" xfId="30380" xr:uid="{6AB09B9B-2DD2-41B5-89B7-CA92095CA1AE}"/>
    <cellStyle name="Note 4 6 2 2 2" xfId="31812" xr:uid="{AB1F2237-D852-4D7F-A92B-60CBCEF1E251}"/>
    <cellStyle name="Note 4 6 2 3" xfId="31095" xr:uid="{A85E2B7E-C6E3-4CB0-968B-EE79D455F0CD}"/>
    <cellStyle name="Note 4 6 3" xfId="29530" xr:uid="{C4B8B783-C21F-4C18-BA0A-7A0D9E91AD46}"/>
    <cellStyle name="Note 4 6 3 2" xfId="30381" xr:uid="{D4994155-6229-4B3D-BF37-057EA27D2DD0}"/>
    <cellStyle name="Note 4 6 3 2 2" xfId="31813" xr:uid="{5A06DA5D-B062-4386-B254-C11618D89345}"/>
    <cellStyle name="Note 4 6 3 3" xfId="31096" xr:uid="{5DEB71A3-5DA1-4C15-81BE-DBF9FF8BB80E}"/>
    <cellStyle name="Note 4 6 4" xfId="30379" xr:uid="{C5A73257-727C-4C3B-BABC-41D0D7D447C6}"/>
    <cellStyle name="Note 4 6 4 2" xfId="31811" xr:uid="{1C527FEA-9974-4069-8CAC-C5AF765C7400}"/>
    <cellStyle name="Note 4 6 5" xfId="31094" xr:uid="{CD37D050-6134-4452-88D2-13C6E4CA11DE}"/>
    <cellStyle name="Note 4 7" xfId="29531" xr:uid="{668BBE93-2CD8-4C13-B8FE-6C7EC64F0AE3}"/>
    <cellStyle name="Note 4 7 2" xfId="29532" xr:uid="{0B65E335-033A-41E6-9924-81DC57F219A0}"/>
    <cellStyle name="Note 4 7 2 2" xfId="30383" xr:uid="{C72FE748-27B2-4B70-8234-4AFC16FFD465}"/>
    <cellStyle name="Note 4 7 2 2 2" xfId="31815" xr:uid="{2219F636-0086-4605-8BDA-E2BBD701B40F}"/>
    <cellStyle name="Note 4 7 2 3" xfId="31098" xr:uid="{908717CC-16EC-4F9B-9F75-E96FD0CBB0A5}"/>
    <cellStyle name="Note 4 7 3" xfId="29533" xr:uid="{E1B85085-3DBC-4A34-A42E-5E3CB9ECEE48}"/>
    <cellStyle name="Note 4 7 3 2" xfId="30384" xr:uid="{62AD5EB5-B428-4B48-9919-9FF1425FDA8A}"/>
    <cellStyle name="Note 4 7 3 2 2" xfId="31816" xr:uid="{8B4BE505-ADA9-47BE-8A09-45519A574003}"/>
    <cellStyle name="Note 4 7 3 3" xfId="31099" xr:uid="{253879BF-8B8C-461F-9DD0-A0107CA5835E}"/>
    <cellStyle name="Note 4 7 4" xfId="30382" xr:uid="{D380048F-07FD-428E-85A2-CECC5788B07A}"/>
    <cellStyle name="Note 4 7 4 2" xfId="31814" xr:uid="{E98A17EA-624F-4D48-B666-9D22ADF6BCC3}"/>
    <cellStyle name="Note 4 7 5" xfId="31097" xr:uid="{C6FC0A7B-BB4E-4A62-90E2-0C583929A18E}"/>
    <cellStyle name="Note 4 8" xfId="29534" xr:uid="{0A885235-C7EF-4CE1-B4FC-958DEE552E0B}"/>
    <cellStyle name="Note 4 8 2" xfId="29535" xr:uid="{A7EF1BCC-79D9-4A4E-A463-40CE62BA000A}"/>
    <cellStyle name="Note 4 8 2 2" xfId="30386" xr:uid="{5A6A5131-6F4C-477C-A544-0E94759EFBD2}"/>
    <cellStyle name="Note 4 8 2 2 2" xfId="31818" xr:uid="{861F5D5D-4528-4A23-8D37-FD9345C3CA7A}"/>
    <cellStyle name="Note 4 8 2 3" xfId="31101" xr:uid="{83C00DBB-8A58-411E-B121-BF9DFF2AF031}"/>
    <cellStyle name="Note 4 8 3" xfId="29536" xr:uid="{A02970DF-EF54-4D71-8B24-6D24AD2B050E}"/>
    <cellStyle name="Note 4 8 3 2" xfId="30387" xr:uid="{4D795319-5A5D-45D6-903D-37902C6BAD38}"/>
    <cellStyle name="Note 4 8 3 2 2" xfId="31819" xr:uid="{074BB179-8A6F-4618-85C7-5D940F4204B6}"/>
    <cellStyle name="Note 4 8 3 3" xfId="31102" xr:uid="{C1232331-F543-4F8D-8058-B646105F3B1D}"/>
    <cellStyle name="Note 4 8 4" xfId="30385" xr:uid="{734749A1-0F53-402D-ACFE-99773A52C3B5}"/>
    <cellStyle name="Note 4 8 4 2" xfId="31817" xr:uid="{3B93FE44-0F4E-4032-B954-83FB86C1DB26}"/>
    <cellStyle name="Note 4 8 5" xfId="31100" xr:uid="{440DE741-5628-42EA-BF11-FB755713222F}"/>
    <cellStyle name="Note 4 9" xfId="29537" xr:uid="{75F393C0-07C2-43DC-AA68-9F7BE921B0E7}"/>
    <cellStyle name="Note 4 9 2" xfId="29538" xr:uid="{44BDE56B-8CF2-43AB-864F-1771DA38A8CD}"/>
    <cellStyle name="Note 4 9 2 2" xfId="30389" xr:uid="{9623193D-7100-40C8-93A5-E0FDD3ACE2D0}"/>
    <cellStyle name="Note 4 9 2 2 2" xfId="31821" xr:uid="{2C8B36D4-391E-47B2-8294-6362EA049F5A}"/>
    <cellStyle name="Note 4 9 2 3" xfId="31104" xr:uid="{04E9DD12-B145-43C3-BA3B-5124241C1FF4}"/>
    <cellStyle name="Note 4 9 3" xfId="29539" xr:uid="{AEF79707-F001-4316-82D5-48FE1C4B5EED}"/>
    <cellStyle name="Note 4 9 3 2" xfId="30390" xr:uid="{1052D0D9-6292-4EA6-A845-142C58E65EA3}"/>
    <cellStyle name="Note 4 9 3 2 2" xfId="31822" xr:uid="{90421471-B3F4-4299-BEEB-B8EA1E3ACA9A}"/>
    <cellStyle name="Note 4 9 3 3" xfId="31105" xr:uid="{5786B236-2B71-47AF-A24D-9F8071EE9E5C}"/>
    <cellStyle name="Note 4 9 4" xfId="30388" xr:uid="{98F1EB10-2434-4140-8EF3-90B4FE81A1F3}"/>
    <cellStyle name="Note 4 9 4 2" xfId="31820" xr:uid="{AF6EA1F7-2D21-4B36-8E5B-714FECA26DE0}"/>
    <cellStyle name="Note 4 9 5" xfId="31103" xr:uid="{5F99D050-13EF-470D-BD32-6C53D4189FA7}"/>
    <cellStyle name="Note 5" xfId="29540" xr:uid="{B666A5A1-858C-4C08-9003-69621D6887AC}"/>
    <cellStyle name="Note 5 10" xfId="29541" xr:uid="{43A71411-17CD-4F18-97DB-A6EAC4D0CBFC}"/>
    <cellStyle name="Note 5 10 2" xfId="29542" xr:uid="{8EB2BA99-A301-409D-B395-68E447F7A21D}"/>
    <cellStyle name="Note 5 10 2 2" xfId="30392" xr:uid="{B38DE3E1-925B-4CAD-B005-5198E9CBBF4B}"/>
    <cellStyle name="Note 5 10 2 2 2" xfId="31824" xr:uid="{48826304-FE00-4296-86B7-80E91A658A8F}"/>
    <cellStyle name="Note 5 10 2 3" xfId="31107" xr:uid="{737A1962-8B23-432D-B9C8-3B1B453112CC}"/>
    <cellStyle name="Note 5 10 3" xfId="29543" xr:uid="{DEA3F0E9-518E-431F-81AA-C635F094B41B}"/>
    <cellStyle name="Note 5 10 3 2" xfId="30393" xr:uid="{4B3C7AD0-6CD8-4335-90A2-75EB8997E859}"/>
    <cellStyle name="Note 5 10 3 2 2" xfId="31825" xr:uid="{EBA05190-F72A-4D93-BC1D-C60C6F9038A0}"/>
    <cellStyle name="Note 5 10 3 3" xfId="31108" xr:uid="{2910D683-4F25-4D64-8A21-F6E83E63095E}"/>
    <cellStyle name="Note 5 10 4" xfId="30391" xr:uid="{693A0EDE-633A-4029-984A-0907B4F5DC00}"/>
    <cellStyle name="Note 5 10 4 2" xfId="31823" xr:uid="{41170344-99BD-4A25-9A95-D51B603ED619}"/>
    <cellStyle name="Note 5 10 5" xfId="31106" xr:uid="{C0630F21-DDBB-407F-869D-4C5C3F7CF575}"/>
    <cellStyle name="Note 5 2" xfId="29544" xr:uid="{0637C8D2-E797-4C02-B858-EF8F8B6F7AF9}"/>
    <cellStyle name="Note 5 2 2" xfId="29545" xr:uid="{F7505160-74B7-4A8D-BFFE-6595E573B2D7}"/>
    <cellStyle name="Note 5 2 2 2" xfId="30395" xr:uid="{6A0339C1-AE94-47B8-81C4-1087E8417E1D}"/>
    <cellStyle name="Note 5 2 2 2 2" xfId="31827" xr:uid="{08D8344A-FA77-4DC1-A9E1-F9C381BBA416}"/>
    <cellStyle name="Note 5 2 2 3" xfId="31110" xr:uid="{AFBF975A-DC6E-418E-A683-233E11E71D05}"/>
    <cellStyle name="Note 5 2 3" xfId="29546" xr:uid="{472AE3B1-6C3C-439C-B535-CBA735F3D2F2}"/>
    <cellStyle name="Note 5 2 3 2" xfId="30396" xr:uid="{7C2EE0FD-E485-41CB-8AC8-9E6DB8586776}"/>
    <cellStyle name="Note 5 2 3 2 2" xfId="31828" xr:uid="{706E0678-B9A3-4F94-82CD-7964C4451574}"/>
    <cellStyle name="Note 5 2 3 3" xfId="31111" xr:uid="{EA2E2083-E27E-4DC3-9068-DFAF0BF2D435}"/>
    <cellStyle name="Note 5 2 4" xfId="30394" xr:uid="{5EE5F133-30AC-4DD1-848E-4E0DA476DFE0}"/>
    <cellStyle name="Note 5 2 4 2" xfId="31826" xr:uid="{A573CBA8-33FE-4E2B-86DC-1917F6A15768}"/>
    <cellStyle name="Note 5 2 5" xfId="31109" xr:uid="{FCEEBA42-8871-47BD-905A-50723137B176}"/>
    <cellStyle name="Note 5 3" xfId="29547" xr:uid="{7B2F7A6B-5BBC-43F3-8C7A-6794CF6CAC4B}"/>
    <cellStyle name="Note 5 3 2" xfId="29548" xr:uid="{72A2B152-784F-4D07-87F3-1DFD2EE15484}"/>
    <cellStyle name="Note 5 3 2 2" xfId="30398" xr:uid="{ABCCB7DF-06A6-418C-B0AA-E0ECD69E06CB}"/>
    <cellStyle name="Note 5 3 2 2 2" xfId="31830" xr:uid="{6449BD22-3C46-4F52-AEBB-09CCE266543A}"/>
    <cellStyle name="Note 5 3 2 3" xfId="31113" xr:uid="{FC1E8A4E-9153-4A97-8CB2-517408F4E3AE}"/>
    <cellStyle name="Note 5 3 3" xfId="29549" xr:uid="{D8C3DDEB-4D40-431F-8A96-F6B48AA5B938}"/>
    <cellStyle name="Note 5 3 3 2" xfId="30399" xr:uid="{C468C4FA-FFEB-4A6D-A98D-23CFFFB12274}"/>
    <cellStyle name="Note 5 3 3 2 2" xfId="31831" xr:uid="{E01DC576-A479-4B59-B45E-DCF06C936033}"/>
    <cellStyle name="Note 5 3 3 3" xfId="31114" xr:uid="{FE93D1EE-596E-4313-BB8F-B36E431056A5}"/>
    <cellStyle name="Note 5 3 4" xfId="30397" xr:uid="{EE376CB4-E129-42E7-9FE9-2843E31685F7}"/>
    <cellStyle name="Note 5 3 4 2" xfId="31829" xr:uid="{04B1DBFD-6381-4E09-8F4F-7D3BC8A79821}"/>
    <cellStyle name="Note 5 3 5" xfId="31112" xr:uid="{C6E6D3F6-D78D-4D18-A946-6E5C2D172E24}"/>
    <cellStyle name="Note 5 4" xfId="29550" xr:uid="{57A0D229-2526-497E-A592-A7F5F459CB48}"/>
    <cellStyle name="Note 5 4 2" xfId="29551" xr:uid="{C003DCA1-560C-48E2-A132-1C7D63BFF371}"/>
    <cellStyle name="Note 5 4 2 2" xfId="30401" xr:uid="{3E5E0407-A06E-4F77-933E-9A0C484A5EF2}"/>
    <cellStyle name="Note 5 4 2 2 2" xfId="31833" xr:uid="{ABC1B458-9AE9-4A1B-8931-92FD9A2BE627}"/>
    <cellStyle name="Note 5 4 2 3" xfId="31116" xr:uid="{4676A4B1-D879-4A0C-95FB-3BC78769A53A}"/>
    <cellStyle name="Note 5 4 3" xfId="29552" xr:uid="{9639B720-0594-4CA3-9A56-3DF4BDED39D4}"/>
    <cellStyle name="Note 5 4 3 2" xfId="30402" xr:uid="{8DD37696-FFCC-4756-8100-6B650F6ED6B2}"/>
    <cellStyle name="Note 5 4 3 2 2" xfId="31834" xr:uid="{9AFE3FC3-1225-43EF-AEE5-9A38BFE4DC71}"/>
    <cellStyle name="Note 5 4 3 3" xfId="31117" xr:uid="{DC58CDED-00AE-412D-A323-78378A5B32A6}"/>
    <cellStyle name="Note 5 4 4" xfId="30400" xr:uid="{2CC61472-E718-4336-9CD6-D5906AF21CAE}"/>
    <cellStyle name="Note 5 4 4 2" xfId="31832" xr:uid="{FF045891-5F51-4BE5-AB51-36DB60BFE820}"/>
    <cellStyle name="Note 5 4 5" xfId="31115" xr:uid="{088FD3C1-D399-4BD3-A864-3CC9D1C5FEE0}"/>
    <cellStyle name="Note 5 5" xfId="29553" xr:uid="{818B100F-0BD8-4CCD-AADE-2F910ED91922}"/>
    <cellStyle name="Note 5 5 2" xfId="29554" xr:uid="{040BD15A-41BA-47BC-B5E4-339B4D931BE4}"/>
    <cellStyle name="Note 5 5 2 2" xfId="30404" xr:uid="{A52733DC-53F6-4D91-8775-7D270ACCF95C}"/>
    <cellStyle name="Note 5 5 2 2 2" xfId="31836" xr:uid="{1BB186F4-0157-4DE6-ACB8-9AC24AF39BAC}"/>
    <cellStyle name="Note 5 5 2 3" xfId="31119" xr:uid="{C83821A7-5F8E-470A-A56F-3ACE780181D1}"/>
    <cellStyle name="Note 5 5 3" xfId="29555" xr:uid="{75E227D2-2EBB-4A29-9DAD-B08713A4248C}"/>
    <cellStyle name="Note 5 5 3 2" xfId="30405" xr:uid="{5350FD43-F135-449D-A469-3E7321754A2C}"/>
    <cellStyle name="Note 5 5 3 2 2" xfId="31837" xr:uid="{A3707602-A966-4DDD-8F91-FF724216E710}"/>
    <cellStyle name="Note 5 5 3 3" xfId="31120" xr:uid="{3C213630-E53E-44BE-A580-3C5AA573567D}"/>
    <cellStyle name="Note 5 5 4" xfId="30403" xr:uid="{3C1D8218-3B55-4280-B14A-406842B44AC1}"/>
    <cellStyle name="Note 5 5 4 2" xfId="31835" xr:uid="{192D57A0-1949-4659-9368-6A3EB6C730C2}"/>
    <cellStyle name="Note 5 5 5" xfId="31118" xr:uid="{E4908098-A824-42DA-830A-522CC8CCE270}"/>
    <cellStyle name="Note 5 6" xfId="29556" xr:uid="{5B8515EB-ABB7-4B09-8786-3AA56391D9F9}"/>
    <cellStyle name="Note 5 6 2" xfId="29557" xr:uid="{4A04E313-62EC-495F-962D-3AFB65F1E9D0}"/>
    <cellStyle name="Note 5 6 2 2" xfId="30407" xr:uid="{EEE85EB3-A056-4D02-8399-A02B1CA018B4}"/>
    <cellStyle name="Note 5 6 2 2 2" xfId="31839" xr:uid="{388D916F-92DE-4AFC-BFE5-74B1A1D17789}"/>
    <cellStyle name="Note 5 6 2 3" xfId="31122" xr:uid="{C6ADFFA2-AA94-46B4-933A-E1320C09BC82}"/>
    <cellStyle name="Note 5 6 3" xfId="29558" xr:uid="{F787FC26-FC74-4616-BA9B-219D78E18CDA}"/>
    <cellStyle name="Note 5 6 3 2" xfId="30408" xr:uid="{3DFAB3D7-16B3-4ACB-8832-CDFCABF91F25}"/>
    <cellStyle name="Note 5 6 3 2 2" xfId="31840" xr:uid="{9A27E3AF-1067-4C10-B0CC-5EB0A8ACAF88}"/>
    <cellStyle name="Note 5 6 3 3" xfId="31123" xr:uid="{83AF66E8-1F99-4432-B087-3D4168553971}"/>
    <cellStyle name="Note 5 6 4" xfId="30406" xr:uid="{F2157ED2-5355-43E0-BCC0-D378ECDF5F68}"/>
    <cellStyle name="Note 5 6 4 2" xfId="31838" xr:uid="{A69170E8-70B2-4301-B02F-50E3EF61E429}"/>
    <cellStyle name="Note 5 6 5" xfId="31121" xr:uid="{253D6103-E8B5-4A66-8748-FFEF54511F39}"/>
    <cellStyle name="Note 5 7" xfId="29559" xr:uid="{0C5D191F-3E4E-40AF-9CF7-58EF3AA255D8}"/>
    <cellStyle name="Note 5 7 2" xfId="29560" xr:uid="{2AC9DB35-754D-4B6B-914F-C1852909EE99}"/>
    <cellStyle name="Note 5 7 2 2" xfId="30410" xr:uid="{6FBDE258-960E-4927-8B29-5FC2FBB97D26}"/>
    <cellStyle name="Note 5 7 2 2 2" xfId="31842" xr:uid="{EDB34464-7EB5-4D7E-BC6F-4EF2837E8C5C}"/>
    <cellStyle name="Note 5 7 2 3" xfId="31125" xr:uid="{66E88CA8-CBDA-466E-908A-4FC0AE547C2F}"/>
    <cellStyle name="Note 5 7 3" xfId="29561" xr:uid="{08D61610-DA58-4D7C-8095-92348099F3BE}"/>
    <cellStyle name="Note 5 7 3 2" xfId="30411" xr:uid="{E51DD8A3-C8EA-4C0C-9212-AC85B30429E4}"/>
    <cellStyle name="Note 5 7 3 2 2" xfId="31843" xr:uid="{8F17D57A-D8F1-428C-A62C-3D812671A425}"/>
    <cellStyle name="Note 5 7 3 3" xfId="31126" xr:uid="{E3FB0A5E-2F25-4539-B5FB-C81AA5AAA718}"/>
    <cellStyle name="Note 5 7 4" xfId="30409" xr:uid="{603D2A05-BD02-4587-9C3A-FDB42CB2F183}"/>
    <cellStyle name="Note 5 7 4 2" xfId="31841" xr:uid="{1A9E905F-F5B5-400F-8E48-F0E612361173}"/>
    <cellStyle name="Note 5 7 5" xfId="31124" xr:uid="{DF111D86-147A-42C7-A068-2EF7297CADC2}"/>
    <cellStyle name="Note 5 8" xfId="29562" xr:uid="{FD897623-3D9A-4EC1-9368-CFC574CF71B2}"/>
    <cellStyle name="Note 5 8 2" xfId="29563" xr:uid="{2E44F4A2-5374-4F90-8AD6-84EF00711E04}"/>
    <cellStyle name="Note 5 8 2 2" xfId="30413" xr:uid="{85318D97-1CF4-47BD-ABBF-2A1070DEF096}"/>
    <cellStyle name="Note 5 8 2 2 2" xfId="31845" xr:uid="{0CEC40E4-709A-416B-A106-8815E3BB2AA4}"/>
    <cellStyle name="Note 5 8 2 3" xfId="31128" xr:uid="{301A6191-0BA0-4F39-8125-30675295060E}"/>
    <cellStyle name="Note 5 8 3" xfId="29564" xr:uid="{200F67CA-65D8-4555-9FDF-CA56594C1F3D}"/>
    <cellStyle name="Note 5 8 3 2" xfId="30414" xr:uid="{B4325E9C-6184-4CAA-82F6-C3D900E30070}"/>
    <cellStyle name="Note 5 8 3 2 2" xfId="31846" xr:uid="{1FF6A9CB-0233-4C98-A84B-B5860BBA5739}"/>
    <cellStyle name="Note 5 8 3 3" xfId="31129" xr:uid="{C194E34F-9594-4BDE-94CF-A11B37E8366A}"/>
    <cellStyle name="Note 5 8 4" xfId="30412" xr:uid="{91AF753C-A21B-4300-8142-385C2D760745}"/>
    <cellStyle name="Note 5 8 4 2" xfId="31844" xr:uid="{2D2ECD76-B97F-45BF-86F2-7AB35AB3CE1C}"/>
    <cellStyle name="Note 5 8 5" xfId="31127" xr:uid="{8BC34C25-2D80-465C-998C-FC9159B2D596}"/>
    <cellStyle name="Note 5 9" xfId="29565" xr:uid="{5ACFEA9C-2FEF-469F-A276-871EE680BC04}"/>
    <cellStyle name="Note 5 9 2" xfId="29566" xr:uid="{2AD94D45-6283-48AB-ABC4-90D3D0A40855}"/>
    <cellStyle name="Note 5 9 2 2" xfId="30416" xr:uid="{82DCE47F-A388-45B3-8188-F5D8B8D0A9A6}"/>
    <cellStyle name="Note 5 9 2 2 2" xfId="31848" xr:uid="{D4474B2E-E935-4B95-8F04-399061013F0A}"/>
    <cellStyle name="Note 5 9 2 3" xfId="31131" xr:uid="{988A5B95-D350-4978-871F-EF5A3C13B89E}"/>
    <cellStyle name="Note 5 9 3" xfId="29567" xr:uid="{1B3CA69C-129E-427F-9872-90C2331BE687}"/>
    <cellStyle name="Note 5 9 3 2" xfId="30417" xr:uid="{C71779DB-7FEB-4B0C-8C79-D4368B24F70B}"/>
    <cellStyle name="Note 5 9 3 2 2" xfId="31849" xr:uid="{4AEC3E85-B84A-4472-B6C5-BFD8022734F1}"/>
    <cellStyle name="Note 5 9 3 3" xfId="31132" xr:uid="{6740257B-C2F3-4BB4-8E76-9376A0DEEF18}"/>
    <cellStyle name="Note 5 9 4" xfId="30415" xr:uid="{947C3451-82A4-41EE-B91F-F60B688DBEFD}"/>
    <cellStyle name="Note 5 9 4 2" xfId="31847" xr:uid="{1DD535A9-BEA9-417C-B9D4-7A475D607CAE}"/>
    <cellStyle name="Note 5 9 5" xfId="31130" xr:uid="{3583086C-5A0D-4DDF-A361-73CAB5ED174B}"/>
    <cellStyle name="Output" xfId="32" builtinId="21" customBuiltin="1"/>
    <cellStyle name="Output 2" xfId="116" xr:uid="{00000000-0005-0000-0000-0000BE3C0000}"/>
    <cellStyle name="Output 2 10" xfId="143" xr:uid="{00000000-0005-0000-0000-0000BF3C0000}"/>
    <cellStyle name="Output 2 10 10" xfId="2586" xr:uid="{00000000-0005-0000-0000-0000C03C0000}"/>
    <cellStyle name="Output 2 10 10 2" xfId="9182" xr:uid="{00000000-0005-0000-0000-0000C13C0000}"/>
    <cellStyle name="Output 2 10 10 3" xfId="15801" xr:uid="{00000000-0005-0000-0000-0000C23C0000}"/>
    <cellStyle name="Output 2 10 10_Summary" xfId="23051" xr:uid="{00000000-0005-0000-0000-0000C33C0000}"/>
    <cellStyle name="Output 2 10 11" xfId="2632" xr:uid="{00000000-0005-0000-0000-0000C43C0000}"/>
    <cellStyle name="Output 2 10 11 2" xfId="9228" xr:uid="{00000000-0005-0000-0000-0000C53C0000}"/>
    <cellStyle name="Output 2 10 11 3" xfId="15847" xr:uid="{00000000-0005-0000-0000-0000C63C0000}"/>
    <cellStyle name="Output 2 10 11_Summary" xfId="23052" xr:uid="{00000000-0005-0000-0000-0000C73C0000}"/>
    <cellStyle name="Output 2 10 12" xfId="478" xr:uid="{00000000-0005-0000-0000-0000C83C0000}"/>
    <cellStyle name="Output 2 10 12 2" xfId="13693" xr:uid="{00000000-0005-0000-0000-0000C93C0000}"/>
    <cellStyle name="Output 2 10 12_Summary" xfId="23053" xr:uid="{00000000-0005-0000-0000-0000CA3C0000}"/>
    <cellStyle name="Output 2 10 13" xfId="7057" xr:uid="{00000000-0005-0000-0000-0000CB3C0000}"/>
    <cellStyle name="Output 2 10 14" xfId="6976" xr:uid="{00000000-0005-0000-0000-0000CC3C0000}"/>
    <cellStyle name="Output 2 10 15" xfId="29569" xr:uid="{66FF2F7C-42CC-4F63-8F58-B25E492C05FA}"/>
    <cellStyle name="Output 2 10 16" xfId="31134" xr:uid="{E26AA5DA-FAB9-4786-8AD0-15119BD04A9B}"/>
    <cellStyle name="Output 2 10 2" xfId="292" xr:uid="{00000000-0005-0000-0000-0000CD3C0000}"/>
    <cellStyle name="Output 2 10 2 10" xfId="4713" xr:uid="{00000000-0005-0000-0000-0000CE3C0000}"/>
    <cellStyle name="Output 2 10 2 10 2" xfId="11309" xr:uid="{00000000-0005-0000-0000-0000CF3C0000}"/>
    <cellStyle name="Output 2 10 2 10 3" xfId="17928" xr:uid="{00000000-0005-0000-0000-0000D03C0000}"/>
    <cellStyle name="Output 2 10 2 10_Summary" xfId="23055" xr:uid="{00000000-0005-0000-0000-0000D13C0000}"/>
    <cellStyle name="Output 2 10 2 11" xfId="542" xr:uid="{00000000-0005-0000-0000-0000D23C0000}"/>
    <cellStyle name="Output 2 10 2 11 2" xfId="13757" xr:uid="{00000000-0005-0000-0000-0000D33C0000}"/>
    <cellStyle name="Output 2 10 2 11_Summary" xfId="23056" xr:uid="{00000000-0005-0000-0000-0000D43C0000}"/>
    <cellStyle name="Output 2 10 2 12" xfId="7186" xr:uid="{00000000-0005-0000-0000-0000D53C0000}"/>
    <cellStyle name="Output 2 10 2 13" xfId="13508" xr:uid="{00000000-0005-0000-0000-0000D63C0000}"/>
    <cellStyle name="Output 2 10 2 14" xfId="29570" xr:uid="{9F0FA6BF-CD7A-4C80-898D-123B8AF3DBD9}"/>
    <cellStyle name="Output 2 10 2 15" xfId="31135" xr:uid="{7BA1B59A-0653-4992-BE56-EBA0857A874A}"/>
    <cellStyle name="Output 2 10 2 2" xfId="421" xr:uid="{00000000-0005-0000-0000-0000D73C0000}"/>
    <cellStyle name="Output 2 10 2 2 10" xfId="815" xr:uid="{00000000-0005-0000-0000-0000D83C0000}"/>
    <cellStyle name="Output 2 10 2 2 10 2" xfId="14030" xr:uid="{00000000-0005-0000-0000-0000D93C0000}"/>
    <cellStyle name="Output 2 10 2 2 10_Summary" xfId="23058" xr:uid="{00000000-0005-0000-0000-0000DA3C0000}"/>
    <cellStyle name="Output 2 10 2 2 11" xfId="7314" xr:uid="{00000000-0005-0000-0000-0000DB3C0000}"/>
    <cellStyle name="Output 2 10 2 2 12" xfId="13636" xr:uid="{00000000-0005-0000-0000-0000DC3C0000}"/>
    <cellStyle name="Output 2 10 2 2 13" xfId="30420" xr:uid="{F5E7208F-0B64-4A45-A336-05EE6A27DB1D}"/>
    <cellStyle name="Output 2 10 2 2 14" xfId="31852" xr:uid="{FD8552F2-5BE2-4519-A053-1F5BA218488D}"/>
    <cellStyle name="Output 2 10 2 2 2" xfId="1115" xr:uid="{00000000-0005-0000-0000-0000DD3C0000}"/>
    <cellStyle name="Output 2 10 2 2 2 2" xfId="3251" xr:uid="{00000000-0005-0000-0000-0000DE3C0000}"/>
    <cellStyle name="Output 2 10 2 2 2 2 2" xfId="9847" xr:uid="{00000000-0005-0000-0000-0000DF3C0000}"/>
    <cellStyle name="Output 2 10 2 2 2 2 3" xfId="16466" xr:uid="{00000000-0005-0000-0000-0000E03C0000}"/>
    <cellStyle name="Output 2 10 2 2 2 2_Summary" xfId="23060" xr:uid="{00000000-0005-0000-0000-0000E13C0000}"/>
    <cellStyle name="Output 2 10 2 2 2 3" xfId="5286" xr:uid="{00000000-0005-0000-0000-0000E23C0000}"/>
    <cellStyle name="Output 2 10 2 2 2 3 2" xfId="11882" xr:uid="{00000000-0005-0000-0000-0000E33C0000}"/>
    <cellStyle name="Output 2 10 2 2 2 3 3" xfId="18501" xr:uid="{00000000-0005-0000-0000-0000E43C0000}"/>
    <cellStyle name="Output 2 10 2 2 2 3_Summary" xfId="23061" xr:uid="{00000000-0005-0000-0000-0000E53C0000}"/>
    <cellStyle name="Output 2 10 2 2 2 4" xfId="7711" xr:uid="{00000000-0005-0000-0000-0000E63C0000}"/>
    <cellStyle name="Output 2 10 2 2 2 5" xfId="14330" xr:uid="{00000000-0005-0000-0000-0000E73C0000}"/>
    <cellStyle name="Output 2 10 2 2 2_Summary" xfId="23059" xr:uid="{00000000-0005-0000-0000-0000E83C0000}"/>
    <cellStyle name="Output 2 10 2 2 3" xfId="1397" xr:uid="{00000000-0005-0000-0000-0000E93C0000}"/>
    <cellStyle name="Output 2 10 2 2 3 2" xfId="3533" xr:uid="{00000000-0005-0000-0000-0000EA3C0000}"/>
    <cellStyle name="Output 2 10 2 2 3 2 2" xfId="10129" xr:uid="{00000000-0005-0000-0000-0000EB3C0000}"/>
    <cellStyle name="Output 2 10 2 2 3 2 3" xfId="16748" xr:uid="{00000000-0005-0000-0000-0000EC3C0000}"/>
    <cellStyle name="Output 2 10 2 2 3 2_Summary" xfId="23063" xr:uid="{00000000-0005-0000-0000-0000ED3C0000}"/>
    <cellStyle name="Output 2 10 2 2 3 3" xfId="5568" xr:uid="{00000000-0005-0000-0000-0000EE3C0000}"/>
    <cellStyle name="Output 2 10 2 2 3 3 2" xfId="12164" xr:uid="{00000000-0005-0000-0000-0000EF3C0000}"/>
    <cellStyle name="Output 2 10 2 2 3 3 3" xfId="18783" xr:uid="{00000000-0005-0000-0000-0000F03C0000}"/>
    <cellStyle name="Output 2 10 2 2 3 3_Summary" xfId="23064" xr:uid="{00000000-0005-0000-0000-0000F13C0000}"/>
    <cellStyle name="Output 2 10 2 2 3 4" xfId="7993" xr:uid="{00000000-0005-0000-0000-0000F23C0000}"/>
    <cellStyle name="Output 2 10 2 2 3 5" xfId="14612" xr:uid="{00000000-0005-0000-0000-0000F33C0000}"/>
    <cellStyle name="Output 2 10 2 2 3_Summary" xfId="23062" xr:uid="{00000000-0005-0000-0000-0000F43C0000}"/>
    <cellStyle name="Output 2 10 2 2 4" xfId="1678" xr:uid="{00000000-0005-0000-0000-0000F53C0000}"/>
    <cellStyle name="Output 2 10 2 2 4 2" xfId="3814" xr:uid="{00000000-0005-0000-0000-0000F63C0000}"/>
    <cellStyle name="Output 2 10 2 2 4 2 2" xfId="10410" xr:uid="{00000000-0005-0000-0000-0000F73C0000}"/>
    <cellStyle name="Output 2 10 2 2 4 2 3" xfId="17029" xr:uid="{00000000-0005-0000-0000-0000F83C0000}"/>
    <cellStyle name="Output 2 10 2 2 4 2_Summary" xfId="23066" xr:uid="{00000000-0005-0000-0000-0000F93C0000}"/>
    <cellStyle name="Output 2 10 2 2 4 3" xfId="5849" xr:uid="{00000000-0005-0000-0000-0000FA3C0000}"/>
    <cellStyle name="Output 2 10 2 2 4 3 2" xfId="12445" xr:uid="{00000000-0005-0000-0000-0000FB3C0000}"/>
    <cellStyle name="Output 2 10 2 2 4 3 3" xfId="19064" xr:uid="{00000000-0005-0000-0000-0000FC3C0000}"/>
    <cellStyle name="Output 2 10 2 2 4 3_Summary" xfId="23067" xr:uid="{00000000-0005-0000-0000-0000FD3C0000}"/>
    <cellStyle name="Output 2 10 2 2 4 4" xfId="8274" xr:uid="{00000000-0005-0000-0000-0000FE3C0000}"/>
    <cellStyle name="Output 2 10 2 2 4 5" xfId="14893" xr:uid="{00000000-0005-0000-0000-0000FF3C0000}"/>
    <cellStyle name="Output 2 10 2 2 4_Summary" xfId="23065" xr:uid="{00000000-0005-0000-0000-0000003D0000}"/>
    <cellStyle name="Output 2 10 2 2 5" xfId="1957" xr:uid="{00000000-0005-0000-0000-0000013D0000}"/>
    <cellStyle name="Output 2 10 2 2 5 2" xfId="4093" xr:uid="{00000000-0005-0000-0000-0000023D0000}"/>
    <cellStyle name="Output 2 10 2 2 5 2 2" xfId="10689" xr:uid="{00000000-0005-0000-0000-0000033D0000}"/>
    <cellStyle name="Output 2 10 2 2 5 2 3" xfId="17308" xr:uid="{00000000-0005-0000-0000-0000043D0000}"/>
    <cellStyle name="Output 2 10 2 2 5 2_Summary" xfId="23069" xr:uid="{00000000-0005-0000-0000-0000053D0000}"/>
    <cellStyle name="Output 2 10 2 2 5 3" xfId="6128" xr:uid="{00000000-0005-0000-0000-0000063D0000}"/>
    <cellStyle name="Output 2 10 2 2 5 3 2" xfId="12724" xr:uid="{00000000-0005-0000-0000-0000073D0000}"/>
    <cellStyle name="Output 2 10 2 2 5 3 3" xfId="19343" xr:uid="{00000000-0005-0000-0000-0000083D0000}"/>
    <cellStyle name="Output 2 10 2 2 5 3_Summary" xfId="23070" xr:uid="{00000000-0005-0000-0000-0000093D0000}"/>
    <cellStyle name="Output 2 10 2 2 5 4" xfId="8553" xr:uid="{00000000-0005-0000-0000-00000A3D0000}"/>
    <cellStyle name="Output 2 10 2 2 5 5" xfId="15172" xr:uid="{00000000-0005-0000-0000-00000B3D0000}"/>
    <cellStyle name="Output 2 10 2 2 5_Summary" xfId="23068" xr:uid="{00000000-0005-0000-0000-00000C3D0000}"/>
    <cellStyle name="Output 2 10 2 2 6" xfId="2232" xr:uid="{00000000-0005-0000-0000-00000D3D0000}"/>
    <cellStyle name="Output 2 10 2 2 6 2" xfId="4368" xr:uid="{00000000-0005-0000-0000-00000E3D0000}"/>
    <cellStyle name="Output 2 10 2 2 6 2 2" xfId="10964" xr:uid="{00000000-0005-0000-0000-00000F3D0000}"/>
    <cellStyle name="Output 2 10 2 2 6 2 3" xfId="17583" xr:uid="{00000000-0005-0000-0000-0000103D0000}"/>
    <cellStyle name="Output 2 10 2 2 6 2_Summary" xfId="23072" xr:uid="{00000000-0005-0000-0000-0000113D0000}"/>
    <cellStyle name="Output 2 10 2 2 6 3" xfId="6403" xr:uid="{00000000-0005-0000-0000-0000123D0000}"/>
    <cellStyle name="Output 2 10 2 2 6 3 2" xfId="12999" xr:uid="{00000000-0005-0000-0000-0000133D0000}"/>
    <cellStyle name="Output 2 10 2 2 6 3 3" xfId="19618" xr:uid="{00000000-0005-0000-0000-0000143D0000}"/>
    <cellStyle name="Output 2 10 2 2 6 3_Summary" xfId="23073" xr:uid="{00000000-0005-0000-0000-0000153D0000}"/>
    <cellStyle name="Output 2 10 2 2 6 4" xfId="8828" xr:uid="{00000000-0005-0000-0000-0000163D0000}"/>
    <cellStyle name="Output 2 10 2 2 6 5" xfId="15447" xr:uid="{00000000-0005-0000-0000-0000173D0000}"/>
    <cellStyle name="Output 2 10 2 2 6_Summary" xfId="23071" xr:uid="{00000000-0005-0000-0000-0000183D0000}"/>
    <cellStyle name="Output 2 10 2 2 7" xfId="2505" xr:uid="{00000000-0005-0000-0000-0000193D0000}"/>
    <cellStyle name="Output 2 10 2 2 7 2" xfId="4641" xr:uid="{00000000-0005-0000-0000-00001A3D0000}"/>
    <cellStyle name="Output 2 10 2 2 7 2 2" xfId="11237" xr:uid="{00000000-0005-0000-0000-00001B3D0000}"/>
    <cellStyle name="Output 2 10 2 2 7 2 3" xfId="17856" xr:uid="{00000000-0005-0000-0000-00001C3D0000}"/>
    <cellStyle name="Output 2 10 2 2 7 2_Summary" xfId="23075" xr:uid="{00000000-0005-0000-0000-00001D3D0000}"/>
    <cellStyle name="Output 2 10 2 2 7 3" xfId="6676" xr:uid="{00000000-0005-0000-0000-00001E3D0000}"/>
    <cellStyle name="Output 2 10 2 2 7 3 2" xfId="13272" xr:uid="{00000000-0005-0000-0000-00001F3D0000}"/>
    <cellStyle name="Output 2 10 2 2 7 3 3" xfId="19891" xr:uid="{00000000-0005-0000-0000-0000203D0000}"/>
    <cellStyle name="Output 2 10 2 2 7 3_Summary" xfId="23076" xr:uid="{00000000-0005-0000-0000-0000213D0000}"/>
    <cellStyle name="Output 2 10 2 2 7 4" xfId="9101" xr:uid="{00000000-0005-0000-0000-0000223D0000}"/>
    <cellStyle name="Output 2 10 2 2 7 5" xfId="15720" xr:uid="{00000000-0005-0000-0000-0000233D0000}"/>
    <cellStyle name="Output 2 10 2 2 7_Summary" xfId="23074" xr:uid="{00000000-0005-0000-0000-0000243D0000}"/>
    <cellStyle name="Output 2 10 2 2 8" xfId="2951" xr:uid="{00000000-0005-0000-0000-0000253D0000}"/>
    <cellStyle name="Output 2 10 2 2 8 2" xfId="9547" xr:uid="{00000000-0005-0000-0000-0000263D0000}"/>
    <cellStyle name="Output 2 10 2 2 8 3" xfId="16166" xr:uid="{00000000-0005-0000-0000-0000273D0000}"/>
    <cellStyle name="Output 2 10 2 2 8_Summary" xfId="23077" xr:uid="{00000000-0005-0000-0000-0000283D0000}"/>
    <cellStyle name="Output 2 10 2 2 9" xfId="4986" xr:uid="{00000000-0005-0000-0000-0000293D0000}"/>
    <cellStyle name="Output 2 10 2 2 9 2" xfId="11582" xr:uid="{00000000-0005-0000-0000-00002A3D0000}"/>
    <cellStyle name="Output 2 10 2 2 9 3" xfId="18201" xr:uid="{00000000-0005-0000-0000-00002B3D0000}"/>
    <cellStyle name="Output 2 10 2 2 9_Summary" xfId="23078" xr:uid="{00000000-0005-0000-0000-00002C3D0000}"/>
    <cellStyle name="Output 2 10 2 2_Summary" xfId="23057" xr:uid="{00000000-0005-0000-0000-00002D3D0000}"/>
    <cellStyle name="Output 2 10 2 3" xfId="987" xr:uid="{00000000-0005-0000-0000-00002E3D0000}"/>
    <cellStyle name="Output 2 10 2 3 2" xfId="3123" xr:uid="{00000000-0005-0000-0000-00002F3D0000}"/>
    <cellStyle name="Output 2 10 2 3 2 2" xfId="9719" xr:uid="{00000000-0005-0000-0000-0000303D0000}"/>
    <cellStyle name="Output 2 10 2 3 2 3" xfId="16338" xr:uid="{00000000-0005-0000-0000-0000313D0000}"/>
    <cellStyle name="Output 2 10 2 3 2_Summary" xfId="23080" xr:uid="{00000000-0005-0000-0000-0000323D0000}"/>
    <cellStyle name="Output 2 10 2 3 3" xfId="5158" xr:uid="{00000000-0005-0000-0000-0000333D0000}"/>
    <cellStyle name="Output 2 10 2 3 3 2" xfId="11754" xr:uid="{00000000-0005-0000-0000-0000343D0000}"/>
    <cellStyle name="Output 2 10 2 3 3 3" xfId="18373" xr:uid="{00000000-0005-0000-0000-0000353D0000}"/>
    <cellStyle name="Output 2 10 2 3 3_Summary" xfId="23081" xr:uid="{00000000-0005-0000-0000-0000363D0000}"/>
    <cellStyle name="Output 2 10 2 3 4" xfId="7584" xr:uid="{00000000-0005-0000-0000-0000373D0000}"/>
    <cellStyle name="Output 2 10 2 3 5" xfId="14202" xr:uid="{00000000-0005-0000-0000-0000383D0000}"/>
    <cellStyle name="Output 2 10 2 3_Summary" xfId="23079" xr:uid="{00000000-0005-0000-0000-0000393D0000}"/>
    <cellStyle name="Output 2 10 2 4" xfId="1269" xr:uid="{00000000-0005-0000-0000-00003A3D0000}"/>
    <cellStyle name="Output 2 10 2 4 2" xfId="3405" xr:uid="{00000000-0005-0000-0000-00003B3D0000}"/>
    <cellStyle name="Output 2 10 2 4 2 2" xfId="10001" xr:uid="{00000000-0005-0000-0000-00003C3D0000}"/>
    <cellStyle name="Output 2 10 2 4 2 3" xfId="16620" xr:uid="{00000000-0005-0000-0000-00003D3D0000}"/>
    <cellStyle name="Output 2 10 2 4 2_Summary" xfId="23083" xr:uid="{00000000-0005-0000-0000-00003E3D0000}"/>
    <cellStyle name="Output 2 10 2 4 3" xfId="5440" xr:uid="{00000000-0005-0000-0000-00003F3D0000}"/>
    <cellStyle name="Output 2 10 2 4 3 2" xfId="12036" xr:uid="{00000000-0005-0000-0000-0000403D0000}"/>
    <cellStyle name="Output 2 10 2 4 3 3" xfId="18655" xr:uid="{00000000-0005-0000-0000-0000413D0000}"/>
    <cellStyle name="Output 2 10 2 4 3_Summary" xfId="23084" xr:uid="{00000000-0005-0000-0000-0000423D0000}"/>
    <cellStyle name="Output 2 10 2 4 4" xfId="7865" xr:uid="{00000000-0005-0000-0000-0000433D0000}"/>
    <cellStyle name="Output 2 10 2 4 5" xfId="14484" xr:uid="{00000000-0005-0000-0000-0000443D0000}"/>
    <cellStyle name="Output 2 10 2 4_Summary" xfId="23082" xr:uid="{00000000-0005-0000-0000-0000453D0000}"/>
    <cellStyle name="Output 2 10 2 5" xfId="1550" xr:uid="{00000000-0005-0000-0000-0000463D0000}"/>
    <cellStyle name="Output 2 10 2 5 2" xfId="3686" xr:uid="{00000000-0005-0000-0000-0000473D0000}"/>
    <cellStyle name="Output 2 10 2 5 2 2" xfId="10282" xr:uid="{00000000-0005-0000-0000-0000483D0000}"/>
    <cellStyle name="Output 2 10 2 5 2 3" xfId="16901" xr:uid="{00000000-0005-0000-0000-0000493D0000}"/>
    <cellStyle name="Output 2 10 2 5 2_Summary" xfId="23086" xr:uid="{00000000-0005-0000-0000-00004A3D0000}"/>
    <cellStyle name="Output 2 10 2 5 3" xfId="5721" xr:uid="{00000000-0005-0000-0000-00004B3D0000}"/>
    <cellStyle name="Output 2 10 2 5 3 2" xfId="12317" xr:uid="{00000000-0005-0000-0000-00004C3D0000}"/>
    <cellStyle name="Output 2 10 2 5 3 3" xfId="18936" xr:uid="{00000000-0005-0000-0000-00004D3D0000}"/>
    <cellStyle name="Output 2 10 2 5 3_Summary" xfId="23087" xr:uid="{00000000-0005-0000-0000-00004E3D0000}"/>
    <cellStyle name="Output 2 10 2 5 4" xfId="8146" xr:uid="{00000000-0005-0000-0000-00004F3D0000}"/>
    <cellStyle name="Output 2 10 2 5 5" xfId="14765" xr:uid="{00000000-0005-0000-0000-0000503D0000}"/>
    <cellStyle name="Output 2 10 2 5_Summary" xfId="23085" xr:uid="{00000000-0005-0000-0000-0000513D0000}"/>
    <cellStyle name="Output 2 10 2 6" xfId="1829" xr:uid="{00000000-0005-0000-0000-0000523D0000}"/>
    <cellStyle name="Output 2 10 2 6 2" xfId="3965" xr:uid="{00000000-0005-0000-0000-0000533D0000}"/>
    <cellStyle name="Output 2 10 2 6 2 2" xfId="10561" xr:uid="{00000000-0005-0000-0000-0000543D0000}"/>
    <cellStyle name="Output 2 10 2 6 2 3" xfId="17180" xr:uid="{00000000-0005-0000-0000-0000553D0000}"/>
    <cellStyle name="Output 2 10 2 6 2_Summary" xfId="23089" xr:uid="{00000000-0005-0000-0000-0000563D0000}"/>
    <cellStyle name="Output 2 10 2 6 3" xfId="6000" xr:uid="{00000000-0005-0000-0000-0000573D0000}"/>
    <cellStyle name="Output 2 10 2 6 3 2" xfId="12596" xr:uid="{00000000-0005-0000-0000-0000583D0000}"/>
    <cellStyle name="Output 2 10 2 6 3 3" xfId="19215" xr:uid="{00000000-0005-0000-0000-0000593D0000}"/>
    <cellStyle name="Output 2 10 2 6 3_Summary" xfId="23090" xr:uid="{00000000-0005-0000-0000-00005A3D0000}"/>
    <cellStyle name="Output 2 10 2 6 4" xfId="8425" xr:uid="{00000000-0005-0000-0000-00005B3D0000}"/>
    <cellStyle name="Output 2 10 2 6 5" xfId="15044" xr:uid="{00000000-0005-0000-0000-00005C3D0000}"/>
    <cellStyle name="Output 2 10 2 6_Summary" xfId="23088" xr:uid="{00000000-0005-0000-0000-00005D3D0000}"/>
    <cellStyle name="Output 2 10 2 7" xfId="2104" xr:uid="{00000000-0005-0000-0000-00005E3D0000}"/>
    <cellStyle name="Output 2 10 2 7 2" xfId="4240" xr:uid="{00000000-0005-0000-0000-00005F3D0000}"/>
    <cellStyle name="Output 2 10 2 7 2 2" xfId="10836" xr:uid="{00000000-0005-0000-0000-0000603D0000}"/>
    <cellStyle name="Output 2 10 2 7 2 3" xfId="17455" xr:uid="{00000000-0005-0000-0000-0000613D0000}"/>
    <cellStyle name="Output 2 10 2 7 2_Summary" xfId="23092" xr:uid="{00000000-0005-0000-0000-0000623D0000}"/>
    <cellStyle name="Output 2 10 2 7 3" xfId="6275" xr:uid="{00000000-0005-0000-0000-0000633D0000}"/>
    <cellStyle name="Output 2 10 2 7 3 2" xfId="12871" xr:uid="{00000000-0005-0000-0000-0000643D0000}"/>
    <cellStyle name="Output 2 10 2 7 3 3" xfId="19490" xr:uid="{00000000-0005-0000-0000-0000653D0000}"/>
    <cellStyle name="Output 2 10 2 7 3_Summary" xfId="23093" xr:uid="{00000000-0005-0000-0000-0000663D0000}"/>
    <cellStyle name="Output 2 10 2 7 4" xfId="8700" xr:uid="{00000000-0005-0000-0000-0000673D0000}"/>
    <cellStyle name="Output 2 10 2 7 5" xfId="15319" xr:uid="{00000000-0005-0000-0000-0000683D0000}"/>
    <cellStyle name="Output 2 10 2 7_Summary" xfId="23091" xr:uid="{00000000-0005-0000-0000-0000693D0000}"/>
    <cellStyle name="Output 2 10 2 8" xfId="2377" xr:uid="{00000000-0005-0000-0000-00006A3D0000}"/>
    <cellStyle name="Output 2 10 2 8 2" xfId="4513" xr:uid="{00000000-0005-0000-0000-00006B3D0000}"/>
    <cellStyle name="Output 2 10 2 8 2 2" xfId="11109" xr:uid="{00000000-0005-0000-0000-00006C3D0000}"/>
    <cellStyle name="Output 2 10 2 8 2 3" xfId="17728" xr:uid="{00000000-0005-0000-0000-00006D3D0000}"/>
    <cellStyle name="Output 2 10 2 8 2_Summary" xfId="23095" xr:uid="{00000000-0005-0000-0000-00006E3D0000}"/>
    <cellStyle name="Output 2 10 2 8 3" xfId="6548" xr:uid="{00000000-0005-0000-0000-00006F3D0000}"/>
    <cellStyle name="Output 2 10 2 8 3 2" xfId="13144" xr:uid="{00000000-0005-0000-0000-0000703D0000}"/>
    <cellStyle name="Output 2 10 2 8 3 3" xfId="19763" xr:uid="{00000000-0005-0000-0000-0000713D0000}"/>
    <cellStyle name="Output 2 10 2 8 3_Summary" xfId="23096" xr:uid="{00000000-0005-0000-0000-0000723D0000}"/>
    <cellStyle name="Output 2 10 2 8 4" xfId="8973" xr:uid="{00000000-0005-0000-0000-0000733D0000}"/>
    <cellStyle name="Output 2 10 2 8 5" xfId="15592" xr:uid="{00000000-0005-0000-0000-0000743D0000}"/>
    <cellStyle name="Output 2 10 2 8_Summary" xfId="23094" xr:uid="{00000000-0005-0000-0000-0000753D0000}"/>
    <cellStyle name="Output 2 10 2 9" xfId="2678" xr:uid="{00000000-0005-0000-0000-0000763D0000}"/>
    <cellStyle name="Output 2 10 2 9 2" xfId="9274" xr:uid="{00000000-0005-0000-0000-0000773D0000}"/>
    <cellStyle name="Output 2 10 2 9 3" xfId="15893" xr:uid="{00000000-0005-0000-0000-0000783D0000}"/>
    <cellStyle name="Output 2 10 2 9_Summary" xfId="23097" xr:uid="{00000000-0005-0000-0000-0000793D0000}"/>
    <cellStyle name="Output 2 10 2_Summary" xfId="23054" xr:uid="{00000000-0005-0000-0000-00007A3D0000}"/>
    <cellStyle name="Output 2 10 3" xfId="360" xr:uid="{00000000-0005-0000-0000-00007B3D0000}"/>
    <cellStyle name="Output 2 10 3 10" xfId="687" xr:uid="{00000000-0005-0000-0000-00007C3D0000}"/>
    <cellStyle name="Output 2 10 3 10 2" xfId="13902" xr:uid="{00000000-0005-0000-0000-00007D3D0000}"/>
    <cellStyle name="Output 2 10 3 10_Summary" xfId="23099" xr:uid="{00000000-0005-0000-0000-00007E3D0000}"/>
    <cellStyle name="Output 2 10 3 11" xfId="7253" xr:uid="{00000000-0005-0000-0000-00007F3D0000}"/>
    <cellStyle name="Output 2 10 3 12" xfId="13575" xr:uid="{00000000-0005-0000-0000-0000803D0000}"/>
    <cellStyle name="Output 2 10 3 13" xfId="29571" xr:uid="{FA33A4EE-91FE-4764-9DD5-4B7CAE331C6E}"/>
    <cellStyle name="Output 2 10 3 14" xfId="31136" xr:uid="{926C4695-A423-4DA4-970F-33D5067CB556}"/>
    <cellStyle name="Output 2 10 3 2" xfId="1054" xr:uid="{00000000-0005-0000-0000-0000813D0000}"/>
    <cellStyle name="Output 2 10 3 2 2" xfId="3190" xr:uid="{00000000-0005-0000-0000-0000823D0000}"/>
    <cellStyle name="Output 2 10 3 2 2 2" xfId="9786" xr:uid="{00000000-0005-0000-0000-0000833D0000}"/>
    <cellStyle name="Output 2 10 3 2 2 3" xfId="16405" xr:uid="{00000000-0005-0000-0000-0000843D0000}"/>
    <cellStyle name="Output 2 10 3 2 2_Summary" xfId="23101" xr:uid="{00000000-0005-0000-0000-0000853D0000}"/>
    <cellStyle name="Output 2 10 3 2 3" xfId="5225" xr:uid="{00000000-0005-0000-0000-0000863D0000}"/>
    <cellStyle name="Output 2 10 3 2 3 2" xfId="11821" xr:uid="{00000000-0005-0000-0000-0000873D0000}"/>
    <cellStyle name="Output 2 10 3 2 3 3" xfId="18440" xr:uid="{00000000-0005-0000-0000-0000883D0000}"/>
    <cellStyle name="Output 2 10 3 2 3_Summary" xfId="23102" xr:uid="{00000000-0005-0000-0000-0000893D0000}"/>
    <cellStyle name="Output 2 10 3 2 4" xfId="7651" xr:uid="{00000000-0005-0000-0000-00008A3D0000}"/>
    <cellStyle name="Output 2 10 3 2 5" xfId="14269" xr:uid="{00000000-0005-0000-0000-00008B3D0000}"/>
    <cellStyle name="Output 2 10 3 2 6" xfId="30421" xr:uid="{9DAB172E-407E-4EED-AB00-340735086BF7}"/>
    <cellStyle name="Output 2 10 3 2 7" xfId="31853" xr:uid="{A47913DF-E4CE-4BA4-8C0C-6969E9ADE364}"/>
    <cellStyle name="Output 2 10 3 2_Summary" xfId="23100" xr:uid="{00000000-0005-0000-0000-00008C3D0000}"/>
    <cellStyle name="Output 2 10 3 3" xfId="1336" xr:uid="{00000000-0005-0000-0000-00008D3D0000}"/>
    <cellStyle name="Output 2 10 3 3 2" xfId="3472" xr:uid="{00000000-0005-0000-0000-00008E3D0000}"/>
    <cellStyle name="Output 2 10 3 3 2 2" xfId="10068" xr:uid="{00000000-0005-0000-0000-00008F3D0000}"/>
    <cellStyle name="Output 2 10 3 3 2 3" xfId="16687" xr:uid="{00000000-0005-0000-0000-0000903D0000}"/>
    <cellStyle name="Output 2 10 3 3 2_Summary" xfId="23104" xr:uid="{00000000-0005-0000-0000-0000913D0000}"/>
    <cellStyle name="Output 2 10 3 3 3" xfId="5507" xr:uid="{00000000-0005-0000-0000-0000923D0000}"/>
    <cellStyle name="Output 2 10 3 3 3 2" xfId="12103" xr:uid="{00000000-0005-0000-0000-0000933D0000}"/>
    <cellStyle name="Output 2 10 3 3 3 3" xfId="18722" xr:uid="{00000000-0005-0000-0000-0000943D0000}"/>
    <cellStyle name="Output 2 10 3 3 3_Summary" xfId="23105" xr:uid="{00000000-0005-0000-0000-0000953D0000}"/>
    <cellStyle name="Output 2 10 3 3 4" xfId="7932" xr:uid="{00000000-0005-0000-0000-0000963D0000}"/>
    <cellStyle name="Output 2 10 3 3 5" xfId="14551" xr:uid="{00000000-0005-0000-0000-0000973D0000}"/>
    <cellStyle name="Output 2 10 3 3_Summary" xfId="23103" xr:uid="{00000000-0005-0000-0000-0000983D0000}"/>
    <cellStyle name="Output 2 10 3 4" xfId="1617" xr:uid="{00000000-0005-0000-0000-0000993D0000}"/>
    <cellStyle name="Output 2 10 3 4 2" xfId="3753" xr:uid="{00000000-0005-0000-0000-00009A3D0000}"/>
    <cellStyle name="Output 2 10 3 4 2 2" xfId="10349" xr:uid="{00000000-0005-0000-0000-00009B3D0000}"/>
    <cellStyle name="Output 2 10 3 4 2 3" xfId="16968" xr:uid="{00000000-0005-0000-0000-00009C3D0000}"/>
    <cellStyle name="Output 2 10 3 4 2_Summary" xfId="23107" xr:uid="{00000000-0005-0000-0000-00009D3D0000}"/>
    <cellStyle name="Output 2 10 3 4 3" xfId="5788" xr:uid="{00000000-0005-0000-0000-00009E3D0000}"/>
    <cellStyle name="Output 2 10 3 4 3 2" xfId="12384" xr:uid="{00000000-0005-0000-0000-00009F3D0000}"/>
    <cellStyle name="Output 2 10 3 4 3 3" xfId="19003" xr:uid="{00000000-0005-0000-0000-0000A03D0000}"/>
    <cellStyle name="Output 2 10 3 4 3_Summary" xfId="23108" xr:uid="{00000000-0005-0000-0000-0000A13D0000}"/>
    <cellStyle name="Output 2 10 3 4 4" xfId="8213" xr:uid="{00000000-0005-0000-0000-0000A23D0000}"/>
    <cellStyle name="Output 2 10 3 4 5" xfId="14832" xr:uid="{00000000-0005-0000-0000-0000A33D0000}"/>
    <cellStyle name="Output 2 10 3 4_Summary" xfId="23106" xr:uid="{00000000-0005-0000-0000-0000A43D0000}"/>
    <cellStyle name="Output 2 10 3 5" xfId="1896" xr:uid="{00000000-0005-0000-0000-0000A53D0000}"/>
    <cellStyle name="Output 2 10 3 5 2" xfId="4032" xr:uid="{00000000-0005-0000-0000-0000A63D0000}"/>
    <cellStyle name="Output 2 10 3 5 2 2" xfId="10628" xr:uid="{00000000-0005-0000-0000-0000A73D0000}"/>
    <cellStyle name="Output 2 10 3 5 2 3" xfId="17247" xr:uid="{00000000-0005-0000-0000-0000A83D0000}"/>
    <cellStyle name="Output 2 10 3 5 2_Summary" xfId="23110" xr:uid="{00000000-0005-0000-0000-0000A93D0000}"/>
    <cellStyle name="Output 2 10 3 5 3" xfId="6067" xr:uid="{00000000-0005-0000-0000-0000AA3D0000}"/>
    <cellStyle name="Output 2 10 3 5 3 2" xfId="12663" xr:uid="{00000000-0005-0000-0000-0000AB3D0000}"/>
    <cellStyle name="Output 2 10 3 5 3 3" xfId="19282" xr:uid="{00000000-0005-0000-0000-0000AC3D0000}"/>
    <cellStyle name="Output 2 10 3 5 3_Summary" xfId="23111" xr:uid="{00000000-0005-0000-0000-0000AD3D0000}"/>
    <cellStyle name="Output 2 10 3 5 4" xfId="8492" xr:uid="{00000000-0005-0000-0000-0000AE3D0000}"/>
    <cellStyle name="Output 2 10 3 5 5" xfId="15111" xr:uid="{00000000-0005-0000-0000-0000AF3D0000}"/>
    <cellStyle name="Output 2 10 3 5_Summary" xfId="23109" xr:uid="{00000000-0005-0000-0000-0000B03D0000}"/>
    <cellStyle name="Output 2 10 3 6" xfId="2171" xr:uid="{00000000-0005-0000-0000-0000B13D0000}"/>
    <cellStyle name="Output 2 10 3 6 2" xfId="4307" xr:uid="{00000000-0005-0000-0000-0000B23D0000}"/>
    <cellStyle name="Output 2 10 3 6 2 2" xfId="10903" xr:uid="{00000000-0005-0000-0000-0000B33D0000}"/>
    <cellStyle name="Output 2 10 3 6 2 3" xfId="17522" xr:uid="{00000000-0005-0000-0000-0000B43D0000}"/>
    <cellStyle name="Output 2 10 3 6 2_Summary" xfId="23113" xr:uid="{00000000-0005-0000-0000-0000B53D0000}"/>
    <cellStyle name="Output 2 10 3 6 3" xfId="6342" xr:uid="{00000000-0005-0000-0000-0000B63D0000}"/>
    <cellStyle name="Output 2 10 3 6 3 2" xfId="12938" xr:uid="{00000000-0005-0000-0000-0000B73D0000}"/>
    <cellStyle name="Output 2 10 3 6 3 3" xfId="19557" xr:uid="{00000000-0005-0000-0000-0000B83D0000}"/>
    <cellStyle name="Output 2 10 3 6 3_Summary" xfId="23114" xr:uid="{00000000-0005-0000-0000-0000B93D0000}"/>
    <cellStyle name="Output 2 10 3 6 4" xfId="8767" xr:uid="{00000000-0005-0000-0000-0000BA3D0000}"/>
    <cellStyle name="Output 2 10 3 6 5" xfId="15386" xr:uid="{00000000-0005-0000-0000-0000BB3D0000}"/>
    <cellStyle name="Output 2 10 3 6_Summary" xfId="23112" xr:uid="{00000000-0005-0000-0000-0000BC3D0000}"/>
    <cellStyle name="Output 2 10 3 7" xfId="2444" xr:uid="{00000000-0005-0000-0000-0000BD3D0000}"/>
    <cellStyle name="Output 2 10 3 7 2" xfId="4580" xr:uid="{00000000-0005-0000-0000-0000BE3D0000}"/>
    <cellStyle name="Output 2 10 3 7 2 2" xfId="11176" xr:uid="{00000000-0005-0000-0000-0000BF3D0000}"/>
    <cellStyle name="Output 2 10 3 7 2 3" xfId="17795" xr:uid="{00000000-0005-0000-0000-0000C03D0000}"/>
    <cellStyle name="Output 2 10 3 7 2_Summary" xfId="23116" xr:uid="{00000000-0005-0000-0000-0000C13D0000}"/>
    <cellStyle name="Output 2 10 3 7 3" xfId="6615" xr:uid="{00000000-0005-0000-0000-0000C23D0000}"/>
    <cellStyle name="Output 2 10 3 7 3 2" xfId="13211" xr:uid="{00000000-0005-0000-0000-0000C33D0000}"/>
    <cellStyle name="Output 2 10 3 7 3 3" xfId="19830" xr:uid="{00000000-0005-0000-0000-0000C43D0000}"/>
    <cellStyle name="Output 2 10 3 7 3_Summary" xfId="23117" xr:uid="{00000000-0005-0000-0000-0000C53D0000}"/>
    <cellStyle name="Output 2 10 3 7 4" xfId="9040" xr:uid="{00000000-0005-0000-0000-0000C63D0000}"/>
    <cellStyle name="Output 2 10 3 7 5" xfId="15659" xr:uid="{00000000-0005-0000-0000-0000C73D0000}"/>
    <cellStyle name="Output 2 10 3 7_Summary" xfId="23115" xr:uid="{00000000-0005-0000-0000-0000C83D0000}"/>
    <cellStyle name="Output 2 10 3 8" xfId="2823" xr:uid="{00000000-0005-0000-0000-0000C93D0000}"/>
    <cellStyle name="Output 2 10 3 8 2" xfId="9419" xr:uid="{00000000-0005-0000-0000-0000CA3D0000}"/>
    <cellStyle name="Output 2 10 3 8 3" xfId="16038" xr:uid="{00000000-0005-0000-0000-0000CB3D0000}"/>
    <cellStyle name="Output 2 10 3 8_Summary" xfId="23118" xr:uid="{00000000-0005-0000-0000-0000CC3D0000}"/>
    <cellStyle name="Output 2 10 3 9" xfId="4858" xr:uid="{00000000-0005-0000-0000-0000CD3D0000}"/>
    <cellStyle name="Output 2 10 3 9 2" xfId="11454" xr:uid="{00000000-0005-0000-0000-0000CE3D0000}"/>
    <cellStyle name="Output 2 10 3 9 3" xfId="18073" xr:uid="{00000000-0005-0000-0000-0000CF3D0000}"/>
    <cellStyle name="Output 2 10 3 9_Summary" xfId="23119" xr:uid="{00000000-0005-0000-0000-0000D03D0000}"/>
    <cellStyle name="Output 2 10 3_Summary" xfId="23098" xr:uid="{00000000-0005-0000-0000-0000D13D0000}"/>
    <cellStyle name="Output 2 10 4" xfId="693" xr:uid="{00000000-0005-0000-0000-0000D23D0000}"/>
    <cellStyle name="Output 2 10 4 2" xfId="2829" xr:uid="{00000000-0005-0000-0000-0000D33D0000}"/>
    <cellStyle name="Output 2 10 4 2 2" xfId="9425" xr:uid="{00000000-0005-0000-0000-0000D43D0000}"/>
    <cellStyle name="Output 2 10 4 2 3" xfId="16044" xr:uid="{00000000-0005-0000-0000-0000D53D0000}"/>
    <cellStyle name="Output 2 10 4 2_Summary" xfId="23121" xr:uid="{00000000-0005-0000-0000-0000D63D0000}"/>
    <cellStyle name="Output 2 10 4 3" xfId="4864" xr:uid="{00000000-0005-0000-0000-0000D73D0000}"/>
    <cellStyle name="Output 2 10 4 3 2" xfId="11460" xr:uid="{00000000-0005-0000-0000-0000D83D0000}"/>
    <cellStyle name="Output 2 10 4 3 3" xfId="18079" xr:uid="{00000000-0005-0000-0000-0000D93D0000}"/>
    <cellStyle name="Output 2 10 4 3_Summary" xfId="23122" xr:uid="{00000000-0005-0000-0000-0000DA3D0000}"/>
    <cellStyle name="Output 2 10 4 4" xfId="7443" xr:uid="{00000000-0005-0000-0000-0000DB3D0000}"/>
    <cellStyle name="Output 2 10 4 5" xfId="13908" xr:uid="{00000000-0005-0000-0000-0000DC3D0000}"/>
    <cellStyle name="Output 2 10 4 6" xfId="30419" xr:uid="{C69358D0-A194-46F5-B9DB-0E477AE1958C}"/>
    <cellStyle name="Output 2 10 4 7" xfId="31851" xr:uid="{4252E186-3680-4856-A332-5DB50ED53505}"/>
    <cellStyle name="Output 2 10 4_Summary" xfId="23120" xr:uid="{00000000-0005-0000-0000-0000DD3D0000}"/>
    <cellStyle name="Output 2 10 5" xfId="866" xr:uid="{00000000-0005-0000-0000-0000DE3D0000}"/>
    <cellStyle name="Output 2 10 5 2" xfId="3002" xr:uid="{00000000-0005-0000-0000-0000DF3D0000}"/>
    <cellStyle name="Output 2 10 5 2 2" xfId="9598" xr:uid="{00000000-0005-0000-0000-0000E03D0000}"/>
    <cellStyle name="Output 2 10 5 2 3" xfId="16217" xr:uid="{00000000-0005-0000-0000-0000E13D0000}"/>
    <cellStyle name="Output 2 10 5 2_Summary" xfId="23124" xr:uid="{00000000-0005-0000-0000-0000E23D0000}"/>
    <cellStyle name="Output 2 10 5 3" xfId="5037" xr:uid="{00000000-0005-0000-0000-0000E33D0000}"/>
    <cellStyle name="Output 2 10 5 3 2" xfId="11633" xr:uid="{00000000-0005-0000-0000-0000E43D0000}"/>
    <cellStyle name="Output 2 10 5 3 3" xfId="18252" xr:uid="{00000000-0005-0000-0000-0000E53D0000}"/>
    <cellStyle name="Output 2 10 5 3_Summary" xfId="23125" xr:uid="{00000000-0005-0000-0000-0000E63D0000}"/>
    <cellStyle name="Output 2 10 5 4" xfId="7463" xr:uid="{00000000-0005-0000-0000-0000E73D0000}"/>
    <cellStyle name="Output 2 10 5 5" xfId="14081" xr:uid="{00000000-0005-0000-0000-0000E83D0000}"/>
    <cellStyle name="Output 2 10 5_Summary" xfId="23123" xr:uid="{00000000-0005-0000-0000-0000E93D0000}"/>
    <cellStyle name="Output 2 10 6" xfId="592" xr:uid="{00000000-0005-0000-0000-0000EA3D0000}"/>
    <cellStyle name="Output 2 10 6 2" xfId="2728" xr:uid="{00000000-0005-0000-0000-0000EB3D0000}"/>
    <cellStyle name="Output 2 10 6 2 2" xfId="9324" xr:uid="{00000000-0005-0000-0000-0000EC3D0000}"/>
    <cellStyle name="Output 2 10 6 2 3" xfId="15943" xr:uid="{00000000-0005-0000-0000-0000ED3D0000}"/>
    <cellStyle name="Output 2 10 6 2_Summary" xfId="23127" xr:uid="{00000000-0005-0000-0000-0000EE3D0000}"/>
    <cellStyle name="Output 2 10 6 3" xfId="4763" xr:uid="{00000000-0005-0000-0000-0000EF3D0000}"/>
    <cellStyle name="Output 2 10 6 3 2" xfId="11359" xr:uid="{00000000-0005-0000-0000-0000F03D0000}"/>
    <cellStyle name="Output 2 10 6 3 3" xfId="17978" xr:uid="{00000000-0005-0000-0000-0000F13D0000}"/>
    <cellStyle name="Output 2 10 6 3_Summary" xfId="23128" xr:uid="{00000000-0005-0000-0000-0000F23D0000}"/>
    <cellStyle name="Output 2 10 6 4" xfId="7364" xr:uid="{00000000-0005-0000-0000-0000F33D0000}"/>
    <cellStyle name="Output 2 10 6 5" xfId="13807" xr:uid="{00000000-0005-0000-0000-0000F43D0000}"/>
    <cellStyle name="Output 2 10 6_Summary" xfId="23126" xr:uid="{00000000-0005-0000-0000-0000F53D0000}"/>
    <cellStyle name="Output 2 10 7" xfId="602" xr:uid="{00000000-0005-0000-0000-0000F63D0000}"/>
    <cellStyle name="Output 2 10 7 2" xfId="2738" xr:uid="{00000000-0005-0000-0000-0000F73D0000}"/>
    <cellStyle name="Output 2 10 7 2 2" xfId="9334" xr:uid="{00000000-0005-0000-0000-0000F83D0000}"/>
    <cellStyle name="Output 2 10 7 2 3" xfId="15953" xr:uid="{00000000-0005-0000-0000-0000F93D0000}"/>
    <cellStyle name="Output 2 10 7 2_Summary" xfId="23130" xr:uid="{00000000-0005-0000-0000-0000FA3D0000}"/>
    <cellStyle name="Output 2 10 7 3" xfId="4773" xr:uid="{00000000-0005-0000-0000-0000FB3D0000}"/>
    <cellStyle name="Output 2 10 7 3 2" xfId="11369" xr:uid="{00000000-0005-0000-0000-0000FC3D0000}"/>
    <cellStyle name="Output 2 10 7 3 3" xfId="17988" xr:uid="{00000000-0005-0000-0000-0000FD3D0000}"/>
    <cellStyle name="Output 2 10 7 3_Summary" xfId="23131" xr:uid="{00000000-0005-0000-0000-0000FE3D0000}"/>
    <cellStyle name="Output 2 10 7 4" xfId="7374" xr:uid="{00000000-0005-0000-0000-0000FF3D0000}"/>
    <cellStyle name="Output 2 10 7 5" xfId="13817" xr:uid="{00000000-0005-0000-0000-0000003E0000}"/>
    <cellStyle name="Output 2 10 7_Summary" xfId="23129" xr:uid="{00000000-0005-0000-0000-0000013E0000}"/>
    <cellStyle name="Output 2 10 8" xfId="957" xr:uid="{00000000-0005-0000-0000-0000023E0000}"/>
    <cellStyle name="Output 2 10 8 2" xfId="3093" xr:uid="{00000000-0005-0000-0000-0000033E0000}"/>
    <cellStyle name="Output 2 10 8 2 2" xfId="9689" xr:uid="{00000000-0005-0000-0000-0000043E0000}"/>
    <cellStyle name="Output 2 10 8 2 3" xfId="16308" xr:uid="{00000000-0005-0000-0000-0000053E0000}"/>
    <cellStyle name="Output 2 10 8 2_Summary" xfId="23133" xr:uid="{00000000-0005-0000-0000-0000063E0000}"/>
    <cellStyle name="Output 2 10 8 3" xfId="5128" xr:uid="{00000000-0005-0000-0000-0000073E0000}"/>
    <cellStyle name="Output 2 10 8 3 2" xfId="11724" xr:uid="{00000000-0005-0000-0000-0000083E0000}"/>
    <cellStyle name="Output 2 10 8 3 3" xfId="18343" xr:uid="{00000000-0005-0000-0000-0000093E0000}"/>
    <cellStyle name="Output 2 10 8 3_Summary" xfId="23134" xr:uid="{00000000-0005-0000-0000-00000A3E0000}"/>
    <cellStyle name="Output 2 10 8 4" xfId="7554" xr:uid="{00000000-0005-0000-0000-00000B3E0000}"/>
    <cellStyle name="Output 2 10 8 5" xfId="14172" xr:uid="{00000000-0005-0000-0000-00000C3E0000}"/>
    <cellStyle name="Output 2 10 8_Summary" xfId="23132" xr:uid="{00000000-0005-0000-0000-00000D3E0000}"/>
    <cellStyle name="Output 2 10 9" xfId="1240" xr:uid="{00000000-0005-0000-0000-00000E3E0000}"/>
    <cellStyle name="Output 2 10 9 2" xfId="3376" xr:uid="{00000000-0005-0000-0000-00000F3E0000}"/>
    <cellStyle name="Output 2 10 9 2 2" xfId="9972" xr:uid="{00000000-0005-0000-0000-0000103E0000}"/>
    <cellStyle name="Output 2 10 9 2 3" xfId="16591" xr:uid="{00000000-0005-0000-0000-0000113E0000}"/>
    <cellStyle name="Output 2 10 9 2_Summary" xfId="23136" xr:uid="{00000000-0005-0000-0000-0000123E0000}"/>
    <cellStyle name="Output 2 10 9 3" xfId="5411" xr:uid="{00000000-0005-0000-0000-0000133E0000}"/>
    <cellStyle name="Output 2 10 9 3 2" xfId="12007" xr:uid="{00000000-0005-0000-0000-0000143E0000}"/>
    <cellStyle name="Output 2 10 9 3 3" xfId="18626" xr:uid="{00000000-0005-0000-0000-0000153E0000}"/>
    <cellStyle name="Output 2 10 9 3_Summary" xfId="23137" xr:uid="{00000000-0005-0000-0000-0000163E0000}"/>
    <cellStyle name="Output 2 10 9 4" xfId="7836" xr:uid="{00000000-0005-0000-0000-0000173E0000}"/>
    <cellStyle name="Output 2 10 9 5" xfId="14455" xr:uid="{00000000-0005-0000-0000-0000183E0000}"/>
    <cellStyle name="Output 2 10 9_Summary" xfId="23135" xr:uid="{00000000-0005-0000-0000-0000193E0000}"/>
    <cellStyle name="Output 2 10_Summary" xfId="23050" xr:uid="{00000000-0005-0000-0000-00001A3E0000}"/>
    <cellStyle name="Output 2 11" xfId="144" xr:uid="{00000000-0005-0000-0000-00001B3E0000}"/>
    <cellStyle name="Output 2 11 10" xfId="2587" xr:uid="{00000000-0005-0000-0000-00001C3E0000}"/>
    <cellStyle name="Output 2 11 10 2" xfId="9183" xr:uid="{00000000-0005-0000-0000-00001D3E0000}"/>
    <cellStyle name="Output 2 11 10 3" xfId="15802" xr:uid="{00000000-0005-0000-0000-00001E3E0000}"/>
    <cellStyle name="Output 2 11 10_Summary" xfId="23139" xr:uid="{00000000-0005-0000-0000-00001F3E0000}"/>
    <cellStyle name="Output 2 11 11" xfId="2571" xr:uid="{00000000-0005-0000-0000-0000203E0000}"/>
    <cellStyle name="Output 2 11 11 2" xfId="9167" xr:uid="{00000000-0005-0000-0000-0000213E0000}"/>
    <cellStyle name="Output 2 11 11 3" xfId="15786" xr:uid="{00000000-0005-0000-0000-0000223E0000}"/>
    <cellStyle name="Output 2 11 11_Summary" xfId="23140" xr:uid="{00000000-0005-0000-0000-0000233E0000}"/>
    <cellStyle name="Output 2 11 12" xfId="479" xr:uid="{00000000-0005-0000-0000-0000243E0000}"/>
    <cellStyle name="Output 2 11 12 2" xfId="13694" xr:uid="{00000000-0005-0000-0000-0000253E0000}"/>
    <cellStyle name="Output 2 11 12_Summary" xfId="23141" xr:uid="{00000000-0005-0000-0000-0000263E0000}"/>
    <cellStyle name="Output 2 11 13" xfId="7058" xr:uid="{00000000-0005-0000-0000-0000273E0000}"/>
    <cellStyle name="Output 2 11 14" xfId="7033" xr:uid="{00000000-0005-0000-0000-0000283E0000}"/>
    <cellStyle name="Output 2 11 15" xfId="29572" xr:uid="{64717683-0623-44F6-9A73-D90CF098F6AA}"/>
    <cellStyle name="Output 2 11 16" xfId="31137" xr:uid="{3BC46BEB-3B3A-4865-ACDD-5865FD1C13CE}"/>
    <cellStyle name="Output 2 11 2" xfId="293" xr:uid="{00000000-0005-0000-0000-0000293E0000}"/>
    <cellStyle name="Output 2 11 2 10" xfId="4714" xr:uid="{00000000-0005-0000-0000-00002A3E0000}"/>
    <cellStyle name="Output 2 11 2 10 2" xfId="11310" xr:uid="{00000000-0005-0000-0000-00002B3E0000}"/>
    <cellStyle name="Output 2 11 2 10 3" xfId="17929" xr:uid="{00000000-0005-0000-0000-00002C3E0000}"/>
    <cellStyle name="Output 2 11 2 10_Summary" xfId="23143" xr:uid="{00000000-0005-0000-0000-00002D3E0000}"/>
    <cellStyle name="Output 2 11 2 11" xfId="543" xr:uid="{00000000-0005-0000-0000-00002E3E0000}"/>
    <cellStyle name="Output 2 11 2 11 2" xfId="13758" xr:uid="{00000000-0005-0000-0000-00002F3E0000}"/>
    <cellStyle name="Output 2 11 2 11_Summary" xfId="23144" xr:uid="{00000000-0005-0000-0000-0000303E0000}"/>
    <cellStyle name="Output 2 11 2 12" xfId="7187" xr:uid="{00000000-0005-0000-0000-0000313E0000}"/>
    <cellStyle name="Output 2 11 2 13" xfId="13509" xr:uid="{00000000-0005-0000-0000-0000323E0000}"/>
    <cellStyle name="Output 2 11 2 14" xfId="30422" xr:uid="{969BC330-158D-461A-B533-6A1B8A567EAC}"/>
    <cellStyle name="Output 2 11 2 15" xfId="31854" xr:uid="{671C9351-DA57-485F-AC59-411A1E7BD487}"/>
    <cellStyle name="Output 2 11 2 2" xfId="422" xr:uid="{00000000-0005-0000-0000-0000333E0000}"/>
    <cellStyle name="Output 2 11 2 2 10" xfId="816" xr:uid="{00000000-0005-0000-0000-0000343E0000}"/>
    <cellStyle name="Output 2 11 2 2 10 2" xfId="14031" xr:uid="{00000000-0005-0000-0000-0000353E0000}"/>
    <cellStyle name="Output 2 11 2 2 10_Summary" xfId="23146" xr:uid="{00000000-0005-0000-0000-0000363E0000}"/>
    <cellStyle name="Output 2 11 2 2 11" xfId="7315" xr:uid="{00000000-0005-0000-0000-0000373E0000}"/>
    <cellStyle name="Output 2 11 2 2 12" xfId="13637" xr:uid="{00000000-0005-0000-0000-0000383E0000}"/>
    <cellStyle name="Output 2 11 2 2 2" xfId="1116" xr:uid="{00000000-0005-0000-0000-0000393E0000}"/>
    <cellStyle name="Output 2 11 2 2 2 2" xfId="3252" xr:uid="{00000000-0005-0000-0000-00003A3E0000}"/>
    <cellStyle name="Output 2 11 2 2 2 2 2" xfId="9848" xr:uid="{00000000-0005-0000-0000-00003B3E0000}"/>
    <cellStyle name="Output 2 11 2 2 2 2 3" xfId="16467" xr:uid="{00000000-0005-0000-0000-00003C3E0000}"/>
    <cellStyle name="Output 2 11 2 2 2 2_Summary" xfId="23148" xr:uid="{00000000-0005-0000-0000-00003D3E0000}"/>
    <cellStyle name="Output 2 11 2 2 2 3" xfId="5287" xr:uid="{00000000-0005-0000-0000-00003E3E0000}"/>
    <cellStyle name="Output 2 11 2 2 2 3 2" xfId="11883" xr:uid="{00000000-0005-0000-0000-00003F3E0000}"/>
    <cellStyle name="Output 2 11 2 2 2 3 3" xfId="18502" xr:uid="{00000000-0005-0000-0000-0000403E0000}"/>
    <cellStyle name="Output 2 11 2 2 2 3_Summary" xfId="23149" xr:uid="{00000000-0005-0000-0000-0000413E0000}"/>
    <cellStyle name="Output 2 11 2 2 2 4" xfId="7712" xr:uid="{00000000-0005-0000-0000-0000423E0000}"/>
    <cellStyle name="Output 2 11 2 2 2 5" xfId="14331" xr:uid="{00000000-0005-0000-0000-0000433E0000}"/>
    <cellStyle name="Output 2 11 2 2 2_Summary" xfId="23147" xr:uid="{00000000-0005-0000-0000-0000443E0000}"/>
    <cellStyle name="Output 2 11 2 2 3" xfId="1398" xr:uid="{00000000-0005-0000-0000-0000453E0000}"/>
    <cellStyle name="Output 2 11 2 2 3 2" xfId="3534" xr:uid="{00000000-0005-0000-0000-0000463E0000}"/>
    <cellStyle name="Output 2 11 2 2 3 2 2" xfId="10130" xr:uid="{00000000-0005-0000-0000-0000473E0000}"/>
    <cellStyle name="Output 2 11 2 2 3 2 3" xfId="16749" xr:uid="{00000000-0005-0000-0000-0000483E0000}"/>
    <cellStyle name="Output 2 11 2 2 3 2_Summary" xfId="23151" xr:uid="{00000000-0005-0000-0000-0000493E0000}"/>
    <cellStyle name="Output 2 11 2 2 3 3" xfId="5569" xr:uid="{00000000-0005-0000-0000-00004A3E0000}"/>
    <cellStyle name="Output 2 11 2 2 3 3 2" xfId="12165" xr:uid="{00000000-0005-0000-0000-00004B3E0000}"/>
    <cellStyle name="Output 2 11 2 2 3 3 3" xfId="18784" xr:uid="{00000000-0005-0000-0000-00004C3E0000}"/>
    <cellStyle name="Output 2 11 2 2 3 3_Summary" xfId="23152" xr:uid="{00000000-0005-0000-0000-00004D3E0000}"/>
    <cellStyle name="Output 2 11 2 2 3 4" xfId="7994" xr:uid="{00000000-0005-0000-0000-00004E3E0000}"/>
    <cellStyle name="Output 2 11 2 2 3 5" xfId="14613" xr:uid="{00000000-0005-0000-0000-00004F3E0000}"/>
    <cellStyle name="Output 2 11 2 2 3_Summary" xfId="23150" xr:uid="{00000000-0005-0000-0000-0000503E0000}"/>
    <cellStyle name="Output 2 11 2 2 4" xfId="1679" xr:uid="{00000000-0005-0000-0000-0000513E0000}"/>
    <cellStyle name="Output 2 11 2 2 4 2" xfId="3815" xr:uid="{00000000-0005-0000-0000-0000523E0000}"/>
    <cellStyle name="Output 2 11 2 2 4 2 2" xfId="10411" xr:uid="{00000000-0005-0000-0000-0000533E0000}"/>
    <cellStyle name="Output 2 11 2 2 4 2 3" xfId="17030" xr:uid="{00000000-0005-0000-0000-0000543E0000}"/>
    <cellStyle name="Output 2 11 2 2 4 2_Summary" xfId="23154" xr:uid="{00000000-0005-0000-0000-0000553E0000}"/>
    <cellStyle name="Output 2 11 2 2 4 3" xfId="5850" xr:uid="{00000000-0005-0000-0000-0000563E0000}"/>
    <cellStyle name="Output 2 11 2 2 4 3 2" xfId="12446" xr:uid="{00000000-0005-0000-0000-0000573E0000}"/>
    <cellStyle name="Output 2 11 2 2 4 3 3" xfId="19065" xr:uid="{00000000-0005-0000-0000-0000583E0000}"/>
    <cellStyle name="Output 2 11 2 2 4 3_Summary" xfId="23155" xr:uid="{00000000-0005-0000-0000-0000593E0000}"/>
    <cellStyle name="Output 2 11 2 2 4 4" xfId="8275" xr:uid="{00000000-0005-0000-0000-00005A3E0000}"/>
    <cellStyle name="Output 2 11 2 2 4 5" xfId="14894" xr:uid="{00000000-0005-0000-0000-00005B3E0000}"/>
    <cellStyle name="Output 2 11 2 2 4_Summary" xfId="23153" xr:uid="{00000000-0005-0000-0000-00005C3E0000}"/>
    <cellStyle name="Output 2 11 2 2 5" xfId="1958" xr:uid="{00000000-0005-0000-0000-00005D3E0000}"/>
    <cellStyle name="Output 2 11 2 2 5 2" xfId="4094" xr:uid="{00000000-0005-0000-0000-00005E3E0000}"/>
    <cellStyle name="Output 2 11 2 2 5 2 2" xfId="10690" xr:uid="{00000000-0005-0000-0000-00005F3E0000}"/>
    <cellStyle name="Output 2 11 2 2 5 2 3" xfId="17309" xr:uid="{00000000-0005-0000-0000-0000603E0000}"/>
    <cellStyle name="Output 2 11 2 2 5 2_Summary" xfId="23157" xr:uid="{00000000-0005-0000-0000-0000613E0000}"/>
    <cellStyle name="Output 2 11 2 2 5 3" xfId="6129" xr:uid="{00000000-0005-0000-0000-0000623E0000}"/>
    <cellStyle name="Output 2 11 2 2 5 3 2" xfId="12725" xr:uid="{00000000-0005-0000-0000-0000633E0000}"/>
    <cellStyle name="Output 2 11 2 2 5 3 3" xfId="19344" xr:uid="{00000000-0005-0000-0000-0000643E0000}"/>
    <cellStyle name="Output 2 11 2 2 5 3_Summary" xfId="23158" xr:uid="{00000000-0005-0000-0000-0000653E0000}"/>
    <cellStyle name="Output 2 11 2 2 5 4" xfId="8554" xr:uid="{00000000-0005-0000-0000-0000663E0000}"/>
    <cellStyle name="Output 2 11 2 2 5 5" xfId="15173" xr:uid="{00000000-0005-0000-0000-0000673E0000}"/>
    <cellStyle name="Output 2 11 2 2 5_Summary" xfId="23156" xr:uid="{00000000-0005-0000-0000-0000683E0000}"/>
    <cellStyle name="Output 2 11 2 2 6" xfId="2233" xr:uid="{00000000-0005-0000-0000-0000693E0000}"/>
    <cellStyle name="Output 2 11 2 2 6 2" xfId="4369" xr:uid="{00000000-0005-0000-0000-00006A3E0000}"/>
    <cellStyle name="Output 2 11 2 2 6 2 2" xfId="10965" xr:uid="{00000000-0005-0000-0000-00006B3E0000}"/>
    <cellStyle name="Output 2 11 2 2 6 2 3" xfId="17584" xr:uid="{00000000-0005-0000-0000-00006C3E0000}"/>
    <cellStyle name="Output 2 11 2 2 6 2_Summary" xfId="23160" xr:uid="{00000000-0005-0000-0000-00006D3E0000}"/>
    <cellStyle name="Output 2 11 2 2 6 3" xfId="6404" xr:uid="{00000000-0005-0000-0000-00006E3E0000}"/>
    <cellStyle name="Output 2 11 2 2 6 3 2" xfId="13000" xr:uid="{00000000-0005-0000-0000-00006F3E0000}"/>
    <cellStyle name="Output 2 11 2 2 6 3 3" xfId="19619" xr:uid="{00000000-0005-0000-0000-0000703E0000}"/>
    <cellStyle name="Output 2 11 2 2 6 3_Summary" xfId="23161" xr:uid="{00000000-0005-0000-0000-0000713E0000}"/>
    <cellStyle name="Output 2 11 2 2 6 4" xfId="8829" xr:uid="{00000000-0005-0000-0000-0000723E0000}"/>
    <cellStyle name="Output 2 11 2 2 6 5" xfId="15448" xr:uid="{00000000-0005-0000-0000-0000733E0000}"/>
    <cellStyle name="Output 2 11 2 2 6_Summary" xfId="23159" xr:uid="{00000000-0005-0000-0000-0000743E0000}"/>
    <cellStyle name="Output 2 11 2 2 7" xfId="2506" xr:uid="{00000000-0005-0000-0000-0000753E0000}"/>
    <cellStyle name="Output 2 11 2 2 7 2" xfId="4642" xr:uid="{00000000-0005-0000-0000-0000763E0000}"/>
    <cellStyle name="Output 2 11 2 2 7 2 2" xfId="11238" xr:uid="{00000000-0005-0000-0000-0000773E0000}"/>
    <cellStyle name="Output 2 11 2 2 7 2 3" xfId="17857" xr:uid="{00000000-0005-0000-0000-0000783E0000}"/>
    <cellStyle name="Output 2 11 2 2 7 2_Summary" xfId="23163" xr:uid="{00000000-0005-0000-0000-0000793E0000}"/>
    <cellStyle name="Output 2 11 2 2 7 3" xfId="6677" xr:uid="{00000000-0005-0000-0000-00007A3E0000}"/>
    <cellStyle name="Output 2 11 2 2 7 3 2" xfId="13273" xr:uid="{00000000-0005-0000-0000-00007B3E0000}"/>
    <cellStyle name="Output 2 11 2 2 7 3 3" xfId="19892" xr:uid="{00000000-0005-0000-0000-00007C3E0000}"/>
    <cellStyle name="Output 2 11 2 2 7 3_Summary" xfId="23164" xr:uid="{00000000-0005-0000-0000-00007D3E0000}"/>
    <cellStyle name="Output 2 11 2 2 7 4" xfId="9102" xr:uid="{00000000-0005-0000-0000-00007E3E0000}"/>
    <cellStyle name="Output 2 11 2 2 7 5" xfId="15721" xr:uid="{00000000-0005-0000-0000-00007F3E0000}"/>
    <cellStyle name="Output 2 11 2 2 7_Summary" xfId="23162" xr:uid="{00000000-0005-0000-0000-0000803E0000}"/>
    <cellStyle name="Output 2 11 2 2 8" xfId="2952" xr:uid="{00000000-0005-0000-0000-0000813E0000}"/>
    <cellStyle name="Output 2 11 2 2 8 2" xfId="9548" xr:uid="{00000000-0005-0000-0000-0000823E0000}"/>
    <cellStyle name="Output 2 11 2 2 8 3" xfId="16167" xr:uid="{00000000-0005-0000-0000-0000833E0000}"/>
    <cellStyle name="Output 2 11 2 2 8_Summary" xfId="23165" xr:uid="{00000000-0005-0000-0000-0000843E0000}"/>
    <cellStyle name="Output 2 11 2 2 9" xfId="4987" xr:uid="{00000000-0005-0000-0000-0000853E0000}"/>
    <cellStyle name="Output 2 11 2 2 9 2" xfId="11583" xr:uid="{00000000-0005-0000-0000-0000863E0000}"/>
    <cellStyle name="Output 2 11 2 2 9 3" xfId="18202" xr:uid="{00000000-0005-0000-0000-0000873E0000}"/>
    <cellStyle name="Output 2 11 2 2 9_Summary" xfId="23166" xr:uid="{00000000-0005-0000-0000-0000883E0000}"/>
    <cellStyle name="Output 2 11 2 2_Summary" xfId="23145" xr:uid="{00000000-0005-0000-0000-0000893E0000}"/>
    <cellStyle name="Output 2 11 2 3" xfId="988" xr:uid="{00000000-0005-0000-0000-00008A3E0000}"/>
    <cellStyle name="Output 2 11 2 3 2" xfId="3124" xr:uid="{00000000-0005-0000-0000-00008B3E0000}"/>
    <cellStyle name="Output 2 11 2 3 2 2" xfId="9720" xr:uid="{00000000-0005-0000-0000-00008C3E0000}"/>
    <cellStyle name="Output 2 11 2 3 2 3" xfId="16339" xr:uid="{00000000-0005-0000-0000-00008D3E0000}"/>
    <cellStyle name="Output 2 11 2 3 2_Summary" xfId="23168" xr:uid="{00000000-0005-0000-0000-00008E3E0000}"/>
    <cellStyle name="Output 2 11 2 3 3" xfId="5159" xr:uid="{00000000-0005-0000-0000-00008F3E0000}"/>
    <cellStyle name="Output 2 11 2 3 3 2" xfId="11755" xr:uid="{00000000-0005-0000-0000-0000903E0000}"/>
    <cellStyle name="Output 2 11 2 3 3 3" xfId="18374" xr:uid="{00000000-0005-0000-0000-0000913E0000}"/>
    <cellStyle name="Output 2 11 2 3 3_Summary" xfId="23169" xr:uid="{00000000-0005-0000-0000-0000923E0000}"/>
    <cellStyle name="Output 2 11 2 3 4" xfId="7585" xr:uid="{00000000-0005-0000-0000-0000933E0000}"/>
    <cellStyle name="Output 2 11 2 3 5" xfId="14203" xr:uid="{00000000-0005-0000-0000-0000943E0000}"/>
    <cellStyle name="Output 2 11 2 3_Summary" xfId="23167" xr:uid="{00000000-0005-0000-0000-0000953E0000}"/>
    <cellStyle name="Output 2 11 2 4" xfId="1270" xr:uid="{00000000-0005-0000-0000-0000963E0000}"/>
    <cellStyle name="Output 2 11 2 4 2" xfId="3406" xr:uid="{00000000-0005-0000-0000-0000973E0000}"/>
    <cellStyle name="Output 2 11 2 4 2 2" xfId="10002" xr:uid="{00000000-0005-0000-0000-0000983E0000}"/>
    <cellStyle name="Output 2 11 2 4 2 3" xfId="16621" xr:uid="{00000000-0005-0000-0000-0000993E0000}"/>
    <cellStyle name="Output 2 11 2 4 2_Summary" xfId="23171" xr:uid="{00000000-0005-0000-0000-00009A3E0000}"/>
    <cellStyle name="Output 2 11 2 4 3" xfId="5441" xr:uid="{00000000-0005-0000-0000-00009B3E0000}"/>
    <cellStyle name="Output 2 11 2 4 3 2" xfId="12037" xr:uid="{00000000-0005-0000-0000-00009C3E0000}"/>
    <cellStyle name="Output 2 11 2 4 3 3" xfId="18656" xr:uid="{00000000-0005-0000-0000-00009D3E0000}"/>
    <cellStyle name="Output 2 11 2 4 3_Summary" xfId="23172" xr:uid="{00000000-0005-0000-0000-00009E3E0000}"/>
    <cellStyle name="Output 2 11 2 4 4" xfId="7866" xr:uid="{00000000-0005-0000-0000-00009F3E0000}"/>
    <cellStyle name="Output 2 11 2 4 5" xfId="14485" xr:uid="{00000000-0005-0000-0000-0000A03E0000}"/>
    <cellStyle name="Output 2 11 2 4_Summary" xfId="23170" xr:uid="{00000000-0005-0000-0000-0000A13E0000}"/>
    <cellStyle name="Output 2 11 2 5" xfId="1551" xr:uid="{00000000-0005-0000-0000-0000A23E0000}"/>
    <cellStyle name="Output 2 11 2 5 2" xfId="3687" xr:uid="{00000000-0005-0000-0000-0000A33E0000}"/>
    <cellStyle name="Output 2 11 2 5 2 2" xfId="10283" xr:uid="{00000000-0005-0000-0000-0000A43E0000}"/>
    <cellStyle name="Output 2 11 2 5 2 3" xfId="16902" xr:uid="{00000000-0005-0000-0000-0000A53E0000}"/>
    <cellStyle name="Output 2 11 2 5 2_Summary" xfId="23174" xr:uid="{00000000-0005-0000-0000-0000A63E0000}"/>
    <cellStyle name="Output 2 11 2 5 3" xfId="5722" xr:uid="{00000000-0005-0000-0000-0000A73E0000}"/>
    <cellStyle name="Output 2 11 2 5 3 2" xfId="12318" xr:uid="{00000000-0005-0000-0000-0000A83E0000}"/>
    <cellStyle name="Output 2 11 2 5 3 3" xfId="18937" xr:uid="{00000000-0005-0000-0000-0000A93E0000}"/>
    <cellStyle name="Output 2 11 2 5 3_Summary" xfId="23175" xr:uid="{00000000-0005-0000-0000-0000AA3E0000}"/>
    <cellStyle name="Output 2 11 2 5 4" xfId="8147" xr:uid="{00000000-0005-0000-0000-0000AB3E0000}"/>
    <cellStyle name="Output 2 11 2 5 5" xfId="14766" xr:uid="{00000000-0005-0000-0000-0000AC3E0000}"/>
    <cellStyle name="Output 2 11 2 5_Summary" xfId="23173" xr:uid="{00000000-0005-0000-0000-0000AD3E0000}"/>
    <cellStyle name="Output 2 11 2 6" xfId="1830" xr:uid="{00000000-0005-0000-0000-0000AE3E0000}"/>
    <cellStyle name="Output 2 11 2 6 2" xfId="3966" xr:uid="{00000000-0005-0000-0000-0000AF3E0000}"/>
    <cellStyle name="Output 2 11 2 6 2 2" xfId="10562" xr:uid="{00000000-0005-0000-0000-0000B03E0000}"/>
    <cellStyle name="Output 2 11 2 6 2 3" xfId="17181" xr:uid="{00000000-0005-0000-0000-0000B13E0000}"/>
    <cellStyle name="Output 2 11 2 6 2_Summary" xfId="23177" xr:uid="{00000000-0005-0000-0000-0000B23E0000}"/>
    <cellStyle name="Output 2 11 2 6 3" xfId="6001" xr:uid="{00000000-0005-0000-0000-0000B33E0000}"/>
    <cellStyle name="Output 2 11 2 6 3 2" xfId="12597" xr:uid="{00000000-0005-0000-0000-0000B43E0000}"/>
    <cellStyle name="Output 2 11 2 6 3 3" xfId="19216" xr:uid="{00000000-0005-0000-0000-0000B53E0000}"/>
    <cellStyle name="Output 2 11 2 6 3_Summary" xfId="23178" xr:uid="{00000000-0005-0000-0000-0000B63E0000}"/>
    <cellStyle name="Output 2 11 2 6 4" xfId="8426" xr:uid="{00000000-0005-0000-0000-0000B73E0000}"/>
    <cellStyle name="Output 2 11 2 6 5" xfId="15045" xr:uid="{00000000-0005-0000-0000-0000B83E0000}"/>
    <cellStyle name="Output 2 11 2 6_Summary" xfId="23176" xr:uid="{00000000-0005-0000-0000-0000B93E0000}"/>
    <cellStyle name="Output 2 11 2 7" xfId="2105" xr:uid="{00000000-0005-0000-0000-0000BA3E0000}"/>
    <cellStyle name="Output 2 11 2 7 2" xfId="4241" xr:uid="{00000000-0005-0000-0000-0000BB3E0000}"/>
    <cellStyle name="Output 2 11 2 7 2 2" xfId="10837" xr:uid="{00000000-0005-0000-0000-0000BC3E0000}"/>
    <cellStyle name="Output 2 11 2 7 2 3" xfId="17456" xr:uid="{00000000-0005-0000-0000-0000BD3E0000}"/>
    <cellStyle name="Output 2 11 2 7 2_Summary" xfId="23180" xr:uid="{00000000-0005-0000-0000-0000BE3E0000}"/>
    <cellStyle name="Output 2 11 2 7 3" xfId="6276" xr:uid="{00000000-0005-0000-0000-0000BF3E0000}"/>
    <cellStyle name="Output 2 11 2 7 3 2" xfId="12872" xr:uid="{00000000-0005-0000-0000-0000C03E0000}"/>
    <cellStyle name="Output 2 11 2 7 3 3" xfId="19491" xr:uid="{00000000-0005-0000-0000-0000C13E0000}"/>
    <cellStyle name="Output 2 11 2 7 3_Summary" xfId="23181" xr:uid="{00000000-0005-0000-0000-0000C23E0000}"/>
    <cellStyle name="Output 2 11 2 7 4" xfId="8701" xr:uid="{00000000-0005-0000-0000-0000C33E0000}"/>
    <cellStyle name="Output 2 11 2 7 5" xfId="15320" xr:uid="{00000000-0005-0000-0000-0000C43E0000}"/>
    <cellStyle name="Output 2 11 2 7_Summary" xfId="23179" xr:uid="{00000000-0005-0000-0000-0000C53E0000}"/>
    <cellStyle name="Output 2 11 2 8" xfId="2378" xr:uid="{00000000-0005-0000-0000-0000C63E0000}"/>
    <cellStyle name="Output 2 11 2 8 2" xfId="4514" xr:uid="{00000000-0005-0000-0000-0000C73E0000}"/>
    <cellStyle name="Output 2 11 2 8 2 2" xfId="11110" xr:uid="{00000000-0005-0000-0000-0000C83E0000}"/>
    <cellStyle name="Output 2 11 2 8 2 3" xfId="17729" xr:uid="{00000000-0005-0000-0000-0000C93E0000}"/>
    <cellStyle name="Output 2 11 2 8 2_Summary" xfId="23183" xr:uid="{00000000-0005-0000-0000-0000CA3E0000}"/>
    <cellStyle name="Output 2 11 2 8 3" xfId="6549" xr:uid="{00000000-0005-0000-0000-0000CB3E0000}"/>
    <cellStyle name="Output 2 11 2 8 3 2" xfId="13145" xr:uid="{00000000-0005-0000-0000-0000CC3E0000}"/>
    <cellStyle name="Output 2 11 2 8 3 3" xfId="19764" xr:uid="{00000000-0005-0000-0000-0000CD3E0000}"/>
    <cellStyle name="Output 2 11 2 8 3_Summary" xfId="23184" xr:uid="{00000000-0005-0000-0000-0000CE3E0000}"/>
    <cellStyle name="Output 2 11 2 8 4" xfId="8974" xr:uid="{00000000-0005-0000-0000-0000CF3E0000}"/>
    <cellStyle name="Output 2 11 2 8 5" xfId="15593" xr:uid="{00000000-0005-0000-0000-0000D03E0000}"/>
    <cellStyle name="Output 2 11 2 8_Summary" xfId="23182" xr:uid="{00000000-0005-0000-0000-0000D13E0000}"/>
    <cellStyle name="Output 2 11 2 9" xfId="2679" xr:uid="{00000000-0005-0000-0000-0000D23E0000}"/>
    <cellStyle name="Output 2 11 2 9 2" xfId="9275" xr:uid="{00000000-0005-0000-0000-0000D33E0000}"/>
    <cellStyle name="Output 2 11 2 9 3" xfId="15894" xr:uid="{00000000-0005-0000-0000-0000D43E0000}"/>
    <cellStyle name="Output 2 11 2 9_Summary" xfId="23185" xr:uid="{00000000-0005-0000-0000-0000D53E0000}"/>
    <cellStyle name="Output 2 11 2_Summary" xfId="23142" xr:uid="{00000000-0005-0000-0000-0000D63E0000}"/>
    <cellStyle name="Output 2 11 3" xfId="361" xr:uid="{00000000-0005-0000-0000-0000D73E0000}"/>
    <cellStyle name="Output 2 11 3 10" xfId="688" xr:uid="{00000000-0005-0000-0000-0000D83E0000}"/>
    <cellStyle name="Output 2 11 3 10 2" xfId="13903" xr:uid="{00000000-0005-0000-0000-0000D93E0000}"/>
    <cellStyle name="Output 2 11 3 10_Summary" xfId="23187" xr:uid="{00000000-0005-0000-0000-0000DA3E0000}"/>
    <cellStyle name="Output 2 11 3 11" xfId="7254" xr:uid="{00000000-0005-0000-0000-0000DB3E0000}"/>
    <cellStyle name="Output 2 11 3 12" xfId="13576" xr:uid="{00000000-0005-0000-0000-0000DC3E0000}"/>
    <cellStyle name="Output 2 11 3 2" xfId="1055" xr:uid="{00000000-0005-0000-0000-0000DD3E0000}"/>
    <cellStyle name="Output 2 11 3 2 2" xfId="3191" xr:uid="{00000000-0005-0000-0000-0000DE3E0000}"/>
    <cellStyle name="Output 2 11 3 2 2 2" xfId="9787" xr:uid="{00000000-0005-0000-0000-0000DF3E0000}"/>
    <cellStyle name="Output 2 11 3 2 2 3" xfId="16406" xr:uid="{00000000-0005-0000-0000-0000E03E0000}"/>
    <cellStyle name="Output 2 11 3 2 2_Summary" xfId="23189" xr:uid="{00000000-0005-0000-0000-0000E13E0000}"/>
    <cellStyle name="Output 2 11 3 2 3" xfId="5226" xr:uid="{00000000-0005-0000-0000-0000E23E0000}"/>
    <cellStyle name="Output 2 11 3 2 3 2" xfId="11822" xr:uid="{00000000-0005-0000-0000-0000E33E0000}"/>
    <cellStyle name="Output 2 11 3 2 3 3" xfId="18441" xr:uid="{00000000-0005-0000-0000-0000E43E0000}"/>
    <cellStyle name="Output 2 11 3 2 3_Summary" xfId="23190" xr:uid="{00000000-0005-0000-0000-0000E53E0000}"/>
    <cellStyle name="Output 2 11 3 2 4" xfId="7652" xr:uid="{00000000-0005-0000-0000-0000E63E0000}"/>
    <cellStyle name="Output 2 11 3 2 5" xfId="14270" xr:uid="{00000000-0005-0000-0000-0000E73E0000}"/>
    <cellStyle name="Output 2 11 3 2_Summary" xfId="23188" xr:uid="{00000000-0005-0000-0000-0000E83E0000}"/>
    <cellStyle name="Output 2 11 3 3" xfId="1337" xr:uid="{00000000-0005-0000-0000-0000E93E0000}"/>
    <cellStyle name="Output 2 11 3 3 2" xfId="3473" xr:uid="{00000000-0005-0000-0000-0000EA3E0000}"/>
    <cellStyle name="Output 2 11 3 3 2 2" xfId="10069" xr:uid="{00000000-0005-0000-0000-0000EB3E0000}"/>
    <cellStyle name="Output 2 11 3 3 2 3" xfId="16688" xr:uid="{00000000-0005-0000-0000-0000EC3E0000}"/>
    <cellStyle name="Output 2 11 3 3 2_Summary" xfId="23192" xr:uid="{00000000-0005-0000-0000-0000ED3E0000}"/>
    <cellStyle name="Output 2 11 3 3 3" xfId="5508" xr:uid="{00000000-0005-0000-0000-0000EE3E0000}"/>
    <cellStyle name="Output 2 11 3 3 3 2" xfId="12104" xr:uid="{00000000-0005-0000-0000-0000EF3E0000}"/>
    <cellStyle name="Output 2 11 3 3 3 3" xfId="18723" xr:uid="{00000000-0005-0000-0000-0000F03E0000}"/>
    <cellStyle name="Output 2 11 3 3 3_Summary" xfId="23193" xr:uid="{00000000-0005-0000-0000-0000F13E0000}"/>
    <cellStyle name="Output 2 11 3 3 4" xfId="7933" xr:uid="{00000000-0005-0000-0000-0000F23E0000}"/>
    <cellStyle name="Output 2 11 3 3 5" xfId="14552" xr:uid="{00000000-0005-0000-0000-0000F33E0000}"/>
    <cellStyle name="Output 2 11 3 3_Summary" xfId="23191" xr:uid="{00000000-0005-0000-0000-0000F43E0000}"/>
    <cellStyle name="Output 2 11 3 4" xfId="1618" xr:uid="{00000000-0005-0000-0000-0000F53E0000}"/>
    <cellStyle name="Output 2 11 3 4 2" xfId="3754" xr:uid="{00000000-0005-0000-0000-0000F63E0000}"/>
    <cellStyle name="Output 2 11 3 4 2 2" xfId="10350" xr:uid="{00000000-0005-0000-0000-0000F73E0000}"/>
    <cellStyle name="Output 2 11 3 4 2 3" xfId="16969" xr:uid="{00000000-0005-0000-0000-0000F83E0000}"/>
    <cellStyle name="Output 2 11 3 4 2_Summary" xfId="23195" xr:uid="{00000000-0005-0000-0000-0000F93E0000}"/>
    <cellStyle name="Output 2 11 3 4 3" xfId="5789" xr:uid="{00000000-0005-0000-0000-0000FA3E0000}"/>
    <cellStyle name="Output 2 11 3 4 3 2" xfId="12385" xr:uid="{00000000-0005-0000-0000-0000FB3E0000}"/>
    <cellStyle name="Output 2 11 3 4 3 3" xfId="19004" xr:uid="{00000000-0005-0000-0000-0000FC3E0000}"/>
    <cellStyle name="Output 2 11 3 4 3_Summary" xfId="23196" xr:uid="{00000000-0005-0000-0000-0000FD3E0000}"/>
    <cellStyle name="Output 2 11 3 4 4" xfId="8214" xr:uid="{00000000-0005-0000-0000-0000FE3E0000}"/>
    <cellStyle name="Output 2 11 3 4 5" xfId="14833" xr:uid="{00000000-0005-0000-0000-0000FF3E0000}"/>
    <cellStyle name="Output 2 11 3 4_Summary" xfId="23194" xr:uid="{00000000-0005-0000-0000-0000003F0000}"/>
    <cellStyle name="Output 2 11 3 5" xfId="1897" xr:uid="{00000000-0005-0000-0000-0000013F0000}"/>
    <cellStyle name="Output 2 11 3 5 2" xfId="4033" xr:uid="{00000000-0005-0000-0000-0000023F0000}"/>
    <cellStyle name="Output 2 11 3 5 2 2" xfId="10629" xr:uid="{00000000-0005-0000-0000-0000033F0000}"/>
    <cellStyle name="Output 2 11 3 5 2 3" xfId="17248" xr:uid="{00000000-0005-0000-0000-0000043F0000}"/>
    <cellStyle name="Output 2 11 3 5 2_Summary" xfId="23198" xr:uid="{00000000-0005-0000-0000-0000053F0000}"/>
    <cellStyle name="Output 2 11 3 5 3" xfId="6068" xr:uid="{00000000-0005-0000-0000-0000063F0000}"/>
    <cellStyle name="Output 2 11 3 5 3 2" xfId="12664" xr:uid="{00000000-0005-0000-0000-0000073F0000}"/>
    <cellStyle name="Output 2 11 3 5 3 3" xfId="19283" xr:uid="{00000000-0005-0000-0000-0000083F0000}"/>
    <cellStyle name="Output 2 11 3 5 3_Summary" xfId="23199" xr:uid="{00000000-0005-0000-0000-0000093F0000}"/>
    <cellStyle name="Output 2 11 3 5 4" xfId="8493" xr:uid="{00000000-0005-0000-0000-00000A3F0000}"/>
    <cellStyle name="Output 2 11 3 5 5" xfId="15112" xr:uid="{00000000-0005-0000-0000-00000B3F0000}"/>
    <cellStyle name="Output 2 11 3 5_Summary" xfId="23197" xr:uid="{00000000-0005-0000-0000-00000C3F0000}"/>
    <cellStyle name="Output 2 11 3 6" xfId="2172" xr:uid="{00000000-0005-0000-0000-00000D3F0000}"/>
    <cellStyle name="Output 2 11 3 6 2" xfId="4308" xr:uid="{00000000-0005-0000-0000-00000E3F0000}"/>
    <cellStyle name="Output 2 11 3 6 2 2" xfId="10904" xr:uid="{00000000-0005-0000-0000-00000F3F0000}"/>
    <cellStyle name="Output 2 11 3 6 2 3" xfId="17523" xr:uid="{00000000-0005-0000-0000-0000103F0000}"/>
    <cellStyle name="Output 2 11 3 6 2_Summary" xfId="23201" xr:uid="{00000000-0005-0000-0000-0000113F0000}"/>
    <cellStyle name="Output 2 11 3 6 3" xfId="6343" xr:uid="{00000000-0005-0000-0000-0000123F0000}"/>
    <cellStyle name="Output 2 11 3 6 3 2" xfId="12939" xr:uid="{00000000-0005-0000-0000-0000133F0000}"/>
    <cellStyle name="Output 2 11 3 6 3 3" xfId="19558" xr:uid="{00000000-0005-0000-0000-0000143F0000}"/>
    <cellStyle name="Output 2 11 3 6 3_Summary" xfId="23202" xr:uid="{00000000-0005-0000-0000-0000153F0000}"/>
    <cellStyle name="Output 2 11 3 6 4" xfId="8768" xr:uid="{00000000-0005-0000-0000-0000163F0000}"/>
    <cellStyle name="Output 2 11 3 6 5" xfId="15387" xr:uid="{00000000-0005-0000-0000-0000173F0000}"/>
    <cellStyle name="Output 2 11 3 6_Summary" xfId="23200" xr:uid="{00000000-0005-0000-0000-0000183F0000}"/>
    <cellStyle name="Output 2 11 3 7" xfId="2445" xr:uid="{00000000-0005-0000-0000-0000193F0000}"/>
    <cellStyle name="Output 2 11 3 7 2" xfId="4581" xr:uid="{00000000-0005-0000-0000-00001A3F0000}"/>
    <cellStyle name="Output 2 11 3 7 2 2" xfId="11177" xr:uid="{00000000-0005-0000-0000-00001B3F0000}"/>
    <cellStyle name="Output 2 11 3 7 2 3" xfId="17796" xr:uid="{00000000-0005-0000-0000-00001C3F0000}"/>
    <cellStyle name="Output 2 11 3 7 2_Summary" xfId="23204" xr:uid="{00000000-0005-0000-0000-00001D3F0000}"/>
    <cellStyle name="Output 2 11 3 7 3" xfId="6616" xr:uid="{00000000-0005-0000-0000-00001E3F0000}"/>
    <cellStyle name="Output 2 11 3 7 3 2" xfId="13212" xr:uid="{00000000-0005-0000-0000-00001F3F0000}"/>
    <cellStyle name="Output 2 11 3 7 3 3" xfId="19831" xr:uid="{00000000-0005-0000-0000-0000203F0000}"/>
    <cellStyle name="Output 2 11 3 7 3_Summary" xfId="23205" xr:uid="{00000000-0005-0000-0000-0000213F0000}"/>
    <cellStyle name="Output 2 11 3 7 4" xfId="9041" xr:uid="{00000000-0005-0000-0000-0000223F0000}"/>
    <cellStyle name="Output 2 11 3 7 5" xfId="15660" xr:uid="{00000000-0005-0000-0000-0000233F0000}"/>
    <cellStyle name="Output 2 11 3 7_Summary" xfId="23203" xr:uid="{00000000-0005-0000-0000-0000243F0000}"/>
    <cellStyle name="Output 2 11 3 8" xfId="2824" xr:uid="{00000000-0005-0000-0000-0000253F0000}"/>
    <cellStyle name="Output 2 11 3 8 2" xfId="9420" xr:uid="{00000000-0005-0000-0000-0000263F0000}"/>
    <cellStyle name="Output 2 11 3 8 3" xfId="16039" xr:uid="{00000000-0005-0000-0000-0000273F0000}"/>
    <cellStyle name="Output 2 11 3 8_Summary" xfId="23206" xr:uid="{00000000-0005-0000-0000-0000283F0000}"/>
    <cellStyle name="Output 2 11 3 9" xfId="4859" xr:uid="{00000000-0005-0000-0000-0000293F0000}"/>
    <cellStyle name="Output 2 11 3 9 2" xfId="11455" xr:uid="{00000000-0005-0000-0000-00002A3F0000}"/>
    <cellStyle name="Output 2 11 3 9 3" xfId="18074" xr:uid="{00000000-0005-0000-0000-00002B3F0000}"/>
    <cellStyle name="Output 2 11 3 9_Summary" xfId="23207" xr:uid="{00000000-0005-0000-0000-00002C3F0000}"/>
    <cellStyle name="Output 2 11 3_Summary" xfId="23186" xr:uid="{00000000-0005-0000-0000-00002D3F0000}"/>
    <cellStyle name="Output 2 11 4" xfId="640" xr:uid="{00000000-0005-0000-0000-00002E3F0000}"/>
    <cellStyle name="Output 2 11 4 2" xfId="2776" xr:uid="{00000000-0005-0000-0000-00002F3F0000}"/>
    <cellStyle name="Output 2 11 4 2 2" xfId="9372" xr:uid="{00000000-0005-0000-0000-0000303F0000}"/>
    <cellStyle name="Output 2 11 4 2 3" xfId="15991" xr:uid="{00000000-0005-0000-0000-0000313F0000}"/>
    <cellStyle name="Output 2 11 4 2_Summary" xfId="23209" xr:uid="{00000000-0005-0000-0000-0000323F0000}"/>
    <cellStyle name="Output 2 11 4 3" xfId="4811" xr:uid="{00000000-0005-0000-0000-0000333F0000}"/>
    <cellStyle name="Output 2 11 4 3 2" xfId="11407" xr:uid="{00000000-0005-0000-0000-0000343F0000}"/>
    <cellStyle name="Output 2 11 4 3 3" xfId="18026" xr:uid="{00000000-0005-0000-0000-0000353F0000}"/>
    <cellStyle name="Output 2 11 4 3_Summary" xfId="23210" xr:uid="{00000000-0005-0000-0000-0000363F0000}"/>
    <cellStyle name="Output 2 11 4 4" xfId="7412" xr:uid="{00000000-0005-0000-0000-0000373F0000}"/>
    <cellStyle name="Output 2 11 4 5" xfId="13855" xr:uid="{00000000-0005-0000-0000-0000383F0000}"/>
    <cellStyle name="Output 2 11 4_Summary" xfId="23208" xr:uid="{00000000-0005-0000-0000-0000393F0000}"/>
    <cellStyle name="Output 2 11 5" xfId="656" xr:uid="{00000000-0005-0000-0000-00003A3F0000}"/>
    <cellStyle name="Output 2 11 5 2" xfId="2792" xr:uid="{00000000-0005-0000-0000-00003B3F0000}"/>
    <cellStyle name="Output 2 11 5 2 2" xfId="9388" xr:uid="{00000000-0005-0000-0000-00003C3F0000}"/>
    <cellStyle name="Output 2 11 5 2 3" xfId="16007" xr:uid="{00000000-0005-0000-0000-00003D3F0000}"/>
    <cellStyle name="Output 2 11 5 2_Summary" xfId="23212" xr:uid="{00000000-0005-0000-0000-00003E3F0000}"/>
    <cellStyle name="Output 2 11 5 3" xfId="4827" xr:uid="{00000000-0005-0000-0000-00003F3F0000}"/>
    <cellStyle name="Output 2 11 5 3 2" xfId="11423" xr:uid="{00000000-0005-0000-0000-0000403F0000}"/>
    <cellStyle name="Output 2 11 5 3 3" xfId="18042" xr:uid="{00000000-0005-0000-0000-0000413F0000}"/>
    <cellStyle name="Output 2 11 5 3_Summary" xfId="23213" xr:uid="{00000000-0005-0000-0000-0000423F0000}"/>
    <cellStyle name="Output 2 11 5 4" xfId="7428" xr:uid="{00000000-0005-0000-0000-0000433F0000}"/>
    <cellStyle name="Output 2 11 5 5" xfId="13871" xr:uid="{00000000-0005-0000-0000-0000443F0000}"/>
    <cellStyle name="Output 2 11 5_Summary" xfId="23211" xr:uid="{00000000-0005-0000-0000-0000453F0000}"/>
    <cellStyle name="Output 2 11 6" xfId="787" xr:uid="{00000000-0005-0000-0000-0000463F0000}"/>
    <cellStyle name="Output 2 11 6 2" xfId="2923" xr:uid="{00000000-0005-0000-0000-0000473F0000}"/>
    <cellStyle name="Output 2 11 6 2 2" xfId="9519" xr:uid="{00000000-0005-0000-0000-0000483F0000}"/>
    <cellStyle name="Output 2 11 6 2 3" xfId="16138" xr:uid="{00000000-0005-0000-0000-0000493F0000}"/>
    <cellStyle name="Output 2 11 6 2_Summary" xfId="23215" xr:uid="{00000000-0005-0000-0000-00004A3F0000}"/>
    <cellStyle name="Output 2 11 6 3" xfId="4958" xr:uid="{00000000-0005-0000-0000-00004B3F0000}"/>
    <cellStyle name="Output 2 11 6 3 2" xfId="11554" xr:uid="{00000000-0005-0000-0000-00004C3F0000}"/>
    <cellStyle name="Output 2 11 6 3 3" xfId="18173" xr:uid="{00000000-0005-0000-0000-00004D3F0000}"/>
    <cellStyle name="Output 2 11 6 3_Summary" xfId="23216" xr:uid="{00000000-0005-0000-0000-00004E3F0000}"/>
    <cellStyle name="Output 2 11 6 4" xfId="7454" xr:uid="{00000000-0005-0000-0000-00004F3F0000}"/>
    <cellStyle name="Output 2 11 6 5" xfId="14002" xr:uid="{00000000-0005-0000-0000-0000503F0000}"/>
    <cellStyle name="Output 2 11 6_Summary" xfId="23214" xr:uid="{00000000-0005-0000-0000-0000513F0000}"/>
    <cellStyle name="Output 2 11 7" xfId="875" xr:uid="{00000000-0005-0000-0000-0000523F0000}"/>
    <cellStyle name="Output 2 11 7 2" xfId="3011" xr:uid="{00000000-0005-0000-0000-0000533F0000}"/>
    <cellStyle name="Output 2 11 7 2 2" xfId="9607" xr:uid="{00000000-0005-0000-0000-0000543F0000}"/>
    <cellStyle name="Output 2 11 7 2 3" xfId="16226" xr:uid="{00000000-0005-0000-0000-0000553F0000}"/>
    <cellStyle name="Output 2 11 7 2_Summary" xfId="23218" xr:uid="{00000000-0005-0000-0000-0000563F0000}"/>
    <cellStyle name="Output 2 11 7 3" xfId="5046" xr:uid="{00000000-0005-0000-0000-0000573F0000}"/>
    <cellStyle name="Output 2 11 7 3 2" xfId="11642" xr:uid="{00000000-0005-0000-0000-0000583F0000}"/>
    <cellStyle name="Output 2 11 7 3 3" xfId="18261" xr:uid="{00000000-0005-0000-0000-0000593F0000}"/>
    <cellStyle name="Output 2 11 7 3_Summary" xfId="23219" xr:uid="{00000000-0005-0000-0000-00005A3F0000}"/>
    <cellStyle name="Output 2 11 7 4" xfId="7472" xr:uid="{00000000-0005-0000-0000-00005B3F0000}"/>
    <cellStyle name="Output 2 11 7 5" xfId="14090" xr:uid="{00000000-0005-0000-0000-00005C3F0000}"/>
    <cellStyle name="Output 2 11 7_Summary" xfId="23217" xr:uid="{00000000-0005-0000-0000-00005D3F0000}"/>
    <cellStyle name="Output 2 11 8" xfId="691" xr:uid="{00000000-0005-0000-0000-00005E3F0000}"/>
    <cellStyle name="Output 2 11 8 2" xfId="2827" xr:uid="{00000000-0005-0000-0000-00005F3F0000}"/>
    <cellStyle name="Output 2 11 8 2 2" xfId="9423" xr:uid="{00000000-0005-0000-0000-0000603F0000}"/>
    <cellStyle name="Output 2 11 8 2 3" xfId="16042" xr:uid="{00000000-0005-0000-0000-0000613F0000}"/>
    <cellStyle name="Output 2 11 8 2_Summary" xfId="23221" xr:uid="{00000000-0005-0000-0000-0000623F0000}"/>
    <cellStyle name="Output 2 11 8 3" xfId="4862" xr:uid="{00000000-0005-0000-0000-0000633F0000}"/>
    <cellStyle name="Output 2 11 8 3 2" xfId="11458" xr:uid="{00000000-0005-0000-0000-0000643F0000}"/>
    <cellStyle name="Output 2 11 8 3 3" xfId="18077" xr:uid="{00000000-0005-0000-0000-0000653F0000}"/>
    <cellStyle name="Output 2 11 8 3_Summary" xfId="23222" xr:uid="{00000000-0005-0000-0000-0000663F0000}"/>
    <cellStyle name="Output 2 11 8 4" xfId="7442" xr:uid="{00000000-0005-0000-0000-0000673F0000}"/>
    <cellStyle name="Output 2 11 8 5" xfId="13906" xr:uid="{00000000-0005-0000-0000-0000683F0000}"/>
    <cellStyle name="Output 2 11 8_Summary" xfId="23220" xr:uid="{00000000-0005-0000-0000-0000693F0000}"/>
    <cellStyle name="Output 2 11 9" xfId="865" xr:uid="{00000000-0005-0000-0000-00006A3F0000}"/>
    <cellStyle name="Output 2 11 9 2" xfId="3001" xr:uid="{00000000-0005-0000-0000-00006B3F0000}"/>
    <cellStyle name="Output 2 11 9 2 2" xfId="9597" xr:uid="{00000000-0005-0000-0000-00006C3F0000}"/>
    <cellStyle name="Output 2 11 9 2 3" xfId="16216" xr:uid="{00000000-0005-0000-0000-00006D3F0000}"/>
    <cellStyle name="Output 2 11 9 2_Summary" xfId="23224" xr:uid="{00000000-0005-0000-0000-00006E3F0000}"/>
    <cellStyle name="Output 2 11 9 3" xfId="5036" xr:uid="{00000000-0005-0000-0000-00006F3F0000}"/>
    <cellStyle name="Output 2 11 9 3 2" xfId="11632" xr:uid="{00000000-0005-0000-0000-0000703F0000}"/>
    <cellStyle name="Output 2 11 9 3 3" xfId="18251" xr:uid="{00000000-0005-0000-0000-0000713F0000}"/>
    <cellStyle name="Output 2 11 9 3_Summary" xfId="23225" xr:uid="{00000000-0005-0000-0000-0000723F0000}"/>
    <cellStyle name="Output 2 11 9 4" xfId="7462" xr:uid="{00000000-0005-0000-0000-0000733F0000}"/>
    <cellStyle name="Output 2 11 9 5" xfId="14080" xr:uid="{00000000-0005-0000-0000-0000743F0000}"/>
    <cellStyle name="Output 2 11 9_Summary" xfId="23223" xr:uid="{00000000-0005-0000-0000-0000753F0000}"/>
    <cellStyle name="Output 2 11_Summary" xfId="23138" xr:uid="{00000000-0005-0000-0000-0000763F0000}"/>
    <cellStyle name="Output 2 12" xfId="128" xr:uid="{00000000-0005-0000-0000-0000773F0000}"/>
    <cellStyle name="Output 2 12 10" xfId="4703" xr:uid="{00000000-0005-0000-0000-0000783F0000}"/>
    <cellStyle name="Output 2 12 10 2" xfId="11299" xr:uid="{00000000-0005-0000-0000-0000793F0000}"/>
    <cellStyle name="Output 2 12 10 3" xfId="17918" xr:uid="{00000000-0005-0000-0000-00007A3F0000}"/>
    <cellStyle name="Output 2 12 10_Summary" xfId="23227" xr:uid="{00000000-0005-0000-0000-00007B3F0000}"/>
    <cellStyle name="Output 2 12 11" xfId="532" xr:uid="{00000000-0005-0000-0000-00007C3F0000}"/>
    <cellStyle name="Output 2 12 11 2" xfId="13747" xr:uid="{00000000-0005-0000-0000-00007D3F0000}"/>
    <cellStyle name="Output 2 12 11_Summary" xfId="23228" xr:uid="{00000000-0005-0000-0000-00007E3F0000}"/>
    <cellStyle name="Output 2 12 12" xfId="7046" xr:uid="{00000000-0005-0000-0000-00007F3F0000}"/>
    <cellStyle name="Output 2 12 13" xfId="7048" xr:uid="{00000000-0005-0000-0000-0000803F0000}"/>
    <cellStyle name="Output 2 12 14" xfId="29573" xr:uid="{EFD027BE-67A7-4134-BF6D-82EC264982DD}"/>
    <cellStyle name="Output 2 12 15" xfId="31138" xr:uid="{7A60AAD6-7CD1-4A4F-B832-DAF78AF67D03}"/>
    <cellStyle name="Output 2 12 2" xfId="350" xr:uid="{00000000-0005-0000-0000-0000813F0000}"/>
    <cellStyle name="Output 2 12 2 10" xfId="674" xr:uid="{00000000-0005-0000-0000-0000823F0000}"/>
    <cellStyle name="Output 2 12 2 10 2" xfId="13889" xr:uid="{00000000-0005-0000-0000-0000833F0000}"/>
    <cellStyle name="Output 2 12 2 10_Summary" xfId="23230" xr:uid="{00000000-0005-0000-0000-0000843F0000}"/>
    <cellStyle name="Output 2 12 2 11" xfId="7243" xr:uid="{00000000-0005-0000-0000-0000853F0000}"/>
    <cellStyle name="Output 2 12 2 12" xfId="13565" xr:uid="{00000000-0005-0000-0000-0000863F0000}"/>
    <cellStyle name="Output 2 12 2 13" xfId="30423" xr:uid="{03D27E0C-7340-4C6B-A28B-8D040E8CD818}"/>
    <cellStyle name="Output 2 12 2 14" xfId="31855" xr:uid="{4204C375-FBE2-4486-A8BF-E94B258EF98F}"/>
    <cellStyle name="Output 2 12 2 2" xfId="1044" xr:uid="{00000000-0005-0000-0000-0000873F0000}"/>
    <cellStyle name="Output 2 12 2 2 2" xfId="3180" xr:uid="{00000000-0005-0000-0000-0000883F0000}"/>
    <cellStyle name="Output 2 12 2 2 2 2" xfId="9776" xr:uid="{00000000-0005-0000-0000-0000893F0000}"/>
    <cellStyle name="Output 2 12 2 2 2 3" xfId="16395" xr:uid="{00000000-0005-0000-0000-00008A3F0000}"/>
    <cellStyle name="Output 2 12 2 2 2_Summary" xfId="23232" xr:uid="{00000000-0005-0000-0000-00008B3F0000}"/>
    <cellStyle name="Output 2 12 2 2 3" xfId="5215" xr:uid="{00000000-0005-0000-0000-00008C3F0000}"/>
    <cellStyle name="Output 2 12 2 2 3 2" xfId="11811" xr:uid="{00000000-0005-0000-0000-00008D3F0000}"/>
    <cellStyle name="Output 2 12 2 2 3 3" xfId="18430" xr:uid="{00000000-0005-0000-0000-00008E3F0000}"/>
    <cellStyle name="Output 2 12 2 2 3_Summary" xfId="23233" xr:uid="{00000000-0005-0000-0000-00008F3F0000}"/>
    <cellStyle name="Output 2 12 2 2 4" xfId="7641" xr:uid="{00000000-0005-0000-0000-0000903F0000}"/>
    <cellStyle name="Output 2 12 2 2 5" xfId="14259" xr:uid="{00000000-0005-0000-0000-0000913F0000}"/>
    <cellStyle name="Output 2 12 2 2_Summary" xfId="23231" xr:uid="{00000000-0005-0000-0000-0000923F0000}"/>
    <cellStyle name="Output 2 12 2 3" xfId="1326" xr:uid="{00000000-0005-0000-0000-0000933F0000}"/>
    <cellStyle name="Output 2 12 2 3 2" xfId="3462" xr:uid="{00000000-0005-0000-0000-0000943F0000}"/>
    <cellStyle name="Output 2 12 2 3 2 2" xfId="10058" xr:uid="{00000000-0005-0000-0000-0000953F0000}"/>
    <cellStyle name="Output 2 12 2 3 2 3" xfId="16677" xr:uid="{00000000-0005-0000-0000-0000963F0000}"/>
    <cellStyle name="Output 2 12 2 3 2_Summary" xfId="23235" xr:uid="{00000000-0005-0000-0000-0000973F0000}"/>
    <cellStyle name="Output 2 12 2 3 3" xfId="5497" xr:uid="{00000000-0005-0000-0000-0000983F0000}"/>
    <cellStyle name="Output 2 12 2 3 3 2" xfId="12093" xr:uid="{00000000-0005-0000-0000-0000993F0000}"/>
    <cellStyle name="Output 2 12 2 3 3 3" xfId="18712" xr:uid="{00000000-0005-0000-0000-00009A3F0000}"/>
    <cellStyle name="Output 2 12 2 3 3_Summary" xfId="23236" xr:uid="{00000000-0005-0000-0000-00009B3F0000}"/>
    <cellStyle name="Output 2 12 2 3 4" xfId="7922" xr:uid="{00000000-0005-0000-0000-00009C3F0000}"/>
    <cellStyle name="Output 2 12 2 3 5" xfId="14541" xr:uid="{00000000-0005-0000-0000-00009D3F0000}"/>
    <cellStyle name="Output 2 12 2 3_Summary" xfId="23234" xr:uid="{00000000-0005-0000-0000-00009E3F0000}"/>
    <cellStyle name="Output 2 12 2 4" xfId="1607" xr:uid="{00000000-0005-0000-0000-00009F3F0000}"/>
    <cellStyle name="Output 2 12 2 4 2" xfId="3743" xr:uid="{00000000-0005-0000-0000-0000A03F0000}"/>
    <cellStyle name="Output 2 12 2 4 2 2" xfId="10339" xr:uid="{00000000-0005-0000-0000-0000A13F0000}"/>
    <cellStyle name="Output 2 12 2 4 2 3" xfId="16958" xr:uid="{00000000-0005-0000-0000-0000A23F0000}"/>
    <cellStyle name="Output 2 12 2 4 2_Summary" xfId="23238" xr:uid="{00000000-0005-0000-0000-0000A33F0000}"/>
    <cellStyle name="Output 2 12 2 4 3" xfId="5778" xr:uid="{00000000-0005-0000-0000-0000A43F0000}"/>
    <cellStyle name="Output 2 12 2 4 3 2" xfId="12374" xr:uid="{00000000-0005-0000-0000-0000A53F0000}"/>
    <cellStyle name="Output 2 12 2 4 3 3" xfId="18993" xr:uid="{00000000-0005-0000-0000-0000A63F0000}"/>
    <cellStyle name="Output 2 12 2 4 3_Summary" xfId="23239" xr:uid="{00000000-0005-0000-0000-0000A73F0000}"/>
    <cellStyle name="Output 2 12 2 4 4" xfId="8203" xr:uid="{00000000-0005-0000-0000-0000A83F0000}"/>
    <cellStyle name="Output 2 12 2 4 5" xfId="14822" xr:uid="{00000000-0005-0000-0000-0000A93F0000}"/>
    <cellStyle name="Output 2 12 2 4_Summary" xfId="23237" xr:uid="{00000000-0005-0000-0000-0000AA3F0000}"/>
    <cellStyle name="Output 2 12 2 5" xfId="1886" xr:uid="{00000000-0005-0000-0000-0000AB3F0000}"/>
    <cellStyle name="Output 2 12 2 5 2" xfId="4022" xr:uid="{00000000-0005-0000-0000-0000AC3F0000}"/>
    <cellStyle name="Output 2 12 2 5 2 2" xfId="10618" xr:uid="{00000000-0005-0000-0000-0000AD3F0000}"/>
    <cellStyle name="Output 2 12 2 5 2 3" xfId="17237" xr:uid="{00000000-0005-0000-0000-0000AE3F0000}"/>
    <cellStyle name="Output 2 12 2 5 2_Summary" xfId="23241" xr:uid="{00000000-0005-0000-0000-0000AF3F0000}"/>
    <cellStyle name="Output 2 12 2 5 3" xfId="6057" xr:uid="{00000000-0005-0000-0000-0000B03F0000}"/>
    <cellStyle name="Output 2 12 2 5 3 2" xfId="12653" xr:uid="{00000000-0005-0000-0000-0000B13F0000}"/>
    <cellStyle name="Output 2 12 2 5 3 3" xfId="19272" xr:uid="{00000000-0005-0000-0000-0000B23F0000}"/>
    <cellStyle name="Output 2 12 2 5 3_Summary" xfId="23242" xr:uid="{00000000-0005-0000-0000-0000B33F0000}"/>
    <cellStyle name="Output 2 12 2 5 4" xfId="8482" xr:uid="{00000000-0005-0000-0000-0000B43F0000}"/>
    <cellStyle name="Output 2 12 2 5 5" xfId="15101" xr:uid="{00000000-0005-0000-0000-0000B53F0000}"/>
    <cellStyle name="Output 2 12 2 5_Summary" xfId="23240" xr:uid="{00000000-0005-0000-0000-0000B63F0000}"/>
    <cellStyle name="Output 2 12 2 6" xfId="2161" xr:uid="{00000000-0005-0000-0000-0000B73F0000}"/>
    <cellStyle name="Output 2 12 2 6 2" xfId="4297" xr:uid="{00000000-0005-0000-0000-0000B83F0000}"/>
    <cellStyle name="Output 2 12 2 6 2 2" xfId="10893" xr:uid="{00000000-0005-0000-0000-0000B93F0000}"/>
    <cellStyle name="Output 2 12 2 6 2 3" xfId="17512" xr:uid="{00000000-0005-0000-0000-0000BA3F0000}"/>
    <cellStyle name="Output 2 12 2 6 2_Summary" xfId="23244" xr:uid="{00000000-0005-0000-0000-0000BB3F0000}"/>
    <cellStyle name="Output 2 12 2 6 3" xfId="6332" xr:uid="{00000000-0005-0000-0000-0000BC3F0000}"/>
    <cellStyle name="Output 2 12 2 6 3 2" xfId="12928" xr:uid="{00000000-0005-0000-0000-0000BD3F0000}"/>
    <cellStyle name="Output 2 12 2 6 3 3" xfId="19547" xr:uid="{00000000-0005-0000-0000-0000BE3F0000}"/>
    <cellStyle name="Output 2 12 2 6 3_Summary" xfId="23245" xr:uid="{00000000-0005-0000-0000-0000BF3F0000}"/>
    <cellStyle name="Output 2 12 2 6 4" xfId="8757" xr:uid="{00000000-0005-0000-0000-0000C03F0000}"/>
    <cellStyle name="Output 2 12 2 6 5" xfId="15376" xr:uid="{00000000-0005-0000-0000-0000C13F0000}"/>
    <cellStyle name="Output 2 12 2 6_Summary" xfId="23243" xr:uid="{00000000-0005-0000-0000-0000C23F0000}"/>
    <cellStyle name="Output 2 12 2 7" xfId="2434" xr:uid="{00000000-0005-0000-0000-0000C33F0000}"/>
    <cellStyle name="Output 2 12 2 7 2" xfId="4570" xr:uid="{00000000-0005-0000-0000-0000C43F0000}"/>
    <cellStyle name="Output 2 12 2 7 2 2" xfId="11166" xr:uid="{00000000-0005-0000-0000-0000C53F0000}"/>
    <cellStyle name="Output 2 12 2 7 2 3" xfId="17785" xr:uid="{00000000-0005-0000-0000-0000C63F0000}"/>
    <cellStyle name="Output 2 12 2 7 2_Summary" xfId="23247" xr:uid="{00000000-0005-0000-0000-0000C73F0000}"/>
    <cellStyle name="Output 2 12 2 7 3" xfId="6605" xr:uid="{00000000-0005-0000-0000-0000C83F0000}"/>
    <cellStyle name="Output 2 12 2 7 3 2" xfId="13201" xr:uid="{00000000-0005-0000-0000-0000C93F0000}"/>
    <cellStyle name="Output 2 12 2 7 3 3" xfId="19820" xr:uid="{00000000-0005-0000-0000-0000CA3F0000}"/>
    <cellStyle name="Output 2 12 2 7 3_Summary" xfId="23248" xr:uid="{00000000-0005-0000-0000-0000CB3F0000}"/>
    <cellStyle name="Output 2 12 2 7 4" xfId="9030" xr:uid="{00000000-0005-0000-0000-0000CC3F0000}"/>
    <cellStyle name="Output 2 12 2 7 5" xfId="15649" xr:uid="{00000000-0005-0000-0000-0000CD3F0000}"/>
    <cellStyle name="Output 2 12 2 7_Summary" xfId="23246" xr:uid="{00000000-0005-0000-0000-0000CE3F0000}"/>
    <cellStyle name="Output 2 12 2 8" xfId="2810" xr:uid="{00000000-0005-0000-0000-0000CF3F0000}"/>
    <cellStyle name="Output 2 12 2 8 2" xfId="9406" xr:uid="{00000000-0005-0000-0000-0000D03F0000}"/>
    <cellStyle name="Output 2 12 2 8 3" xfId="16025" xr:uid="{00000000-0005-0000-0000-0000D13F0000}"/>
    <cellStyle name="Output 2 12 2 8_Summary" xfId="23249" xr:uid="{00000000-0005-0000-0000-0000D23F0000}"/>
    <cellStyle name="Output 2 12 2 9" xfId="4845" xr:uid="{00000000-0005-0000-0000-0000D33F0000}"/>
    <cellStyle name="Output 2 12 2 9 2" xfId="11441" xr:uid="{00000000-0005-0000-0000-0000D43F0000}"/>
    <cellStyle name="Output 2 12 2 9 3" xfId="18060" xr:uid="{00000000-0005-0000-0000-0000D53F0000}"/>
    <cellStyle name="Output 2 12 2 9_Summary" xfId="23250" xr:uid="{00000000-0005-0000-0000-0000D63F0000}"/>
    <cellStyle name="Output 2 12 2_Summary" xfId="23229" xr:uid="{00000000-0005-0000-0000-0000D73F0000}"/>
    <cellStyle name="Output 2 12 3" xfId="699" xr:uid="{00000000-0005-0000-0000-0000D83F0000}"/>
    <cellStyle name="Output 2 12 3 2" xfId="2835" xr:uid="{00000000-0005-0000-0000-0000D93F0000}"/>
    <cellStyle name="Output 2 12 3 2 2" xfId="9431" xr:uid="{00000000-0005-0000-0000-0000DA3F0000}"/>
    <cellStyle name="Output 2 12 3 2 3" xfId="16050" xr:uid="{00000000-0005-0000-0000-0000DB3F0000}"/>
    <cellStyle name="Output 2 12 3 2_Summary" xfId="23252" xr:uid="{00000000-0005-0000-0000-0000DC3F0000}"/>
    <cellStyle name="Output 2 12 3 3" xfId="4870" xr:uid="{00000000-0005-0000-0000-0000DD3F0000}"/>
    <cellStyle name="Output 2 12 3 3 2" xfId="11466" xr:uid="{00000000-0005-0000-0000-0000DE3F0000}"/>
    <cellStyle name="Output 2 12 3 3 3" xfId="18085" xr:uid="{00000000-0005-0000-0000-0000DF3F0000}"/>
    <cellStyle name="Output 2 12 3 3_Summary" xfId="23253" xr:uid="{00000000-0005-0000-0000-0000E03F0000}"/>
    <cellStyle name="Output 2 12 3 4" xfId="7448" xr:uid="{00000000-0005-0000-0000-0000E13F0000}"/>
    <cellStyle name="Output 2 12 3 5" xfId="13914" xr:uid="{00000000-0005-0000-0000-0000E23F0000}"/>
    <cellStyle name="Output 2 12 3_Summary" xfId="23251" xr:uid="{00000000-0005-0000-0000-0000E33F0000}"/>
    <cellStyle name="Output 2 12 4" xfId="961" xr:uid="{00000000-0005-0000-0000-0000E43F0000}"/>
    <cellStyle name="Output 2 12 4 2" xfId="3097" xr:uid="{00000000-0005-0000-0000-0000E53F0000}"/>
    <cellStyle name="Output 2 12 4 2 2" xfId="9693" xr:uid="{00000000-0005-0000-0000-0000E63F0000}"/>
    <cellStyle name="Output 2 12 4 2 3" xfId="16312" xr:uid="{00000000-0005-0000-0000-0000E73F0000}"/>
    <cellStyle name="Output 2 12 4 2_Summary" xfId="23255" xr:uid="{00000000-0005-0000-0000-0000E83F0000}"/>
    <cellStyle name="Output 2 12 4 3" xfId="5132" xr:uid="{00000000-0005-0000-0000-0000E93F0000}"/>
    <cellStyle name="Output 2 12 4 3 2" xfId="11728" xr:uid="{00000000-0005-0000-0000-0000EA3F0000}"/>
    <cellStyle name="Output 2 12 4 3 3" xfId="18347" xr:uid="{00000000-0005-0000-0000-0000EB3F0000}"/>
    <cellStyle name="Output 2 12 4 3_Summary" xfId="23256" xr:uid="{00000000-0005-0000-0000-0000EC3F0000}"/>
    <cellStyle name="Output 2 12 4 4" xfId="7558" xr:uid="{00000000-0005-0000-0000-0000ED3F0000}"/>
    <cellStyle name="Output 2 12 4 5" xfId="14176" xr:uid="{00000000-0005-0000-0000-0000EE3F0000}"/>
    <cellStyle name="Output 2 12 4_Summary" xfId="23254" xr:uid="{00000000-0005-0000-0000-0000EF3F0000}"/>
    <cellStyle name="Output 2 12 5" xfId="1243" xr:uid="{00000000-0005-0000-0000-0000F03F0000}"/>
    <cellStyle name="Output 2 12 5 2" xfId="3379" xr:uid="{00000000-0005-0000-0000-0000F13F0000}"/>
    <cellStyle name="Output 2 12 5 2 2" xfId="9975" xr:uid="{00000000-0005-0000-0000-0000F23F0000}"/>
    <cellStyle name="Output 2 12 5 2 3" xfId="16594" xr:uid="{00000000-0005-0000-0000-0000F33F0000}"/>
    <cellStyle name="Output 2 12 5 2_Summary" xfId="23258" xr:uid="{00000000-0005-0000-0000-0000F43F0000}"/>
    <cellStyle name="Output 2 12 5 3" xfId="5414" xr:uid="{00000000-0005-0000-0000-0000F53F0000}"/>
    <cellStyle name="Output 2 12 5 3 2" xfId="12010" xr:uid="{00000000-0005-0000-0000-0000F63F0000}"/>
    <cellStyle name="Output 2 12 5 3 3" xfId="18629" xr:uid="{00000000-0005-0000-0000-0000F73F0000}"/>
    <cellStyle name="Output 2 12 5 3_Summary" xfId="23259" xr:uid="{00000000-0005-0000-0000-0000F83F0000}"/>
    <cellStyle name="Output 2 12 5 4" xfId="7839" xr:uid="{00000000-0005-0000-0000-0000F93F0000}"/>
    <cellStyle name="Output 2 12 5 5" xfId="14458" xr:uid="{00000000-0005-0000-0000-0000FA3F0000}"/>
    <cellStyle name="Output 2 12 5_Summary" xfId="23257" xr:uid="{00000000-0005-0000-0000-0000FB3F0000}"/>
    <cellStyle name="Output 2 12 6" xfId="1524" xr:uid="{00000000-0005-0000-0000-0000FC3F0000}"/>
    <cellStyle name="Output 2 12 6 2" xfId="3660" xr:uid="{00000000-0005-0000-0000-0000FD3F0000}"/>
    <cellStyle name="Output 2 12 6 2 2" xfId="10256" xr:uid="{00000000-0005-0000-0000-0000FE3F0000}"/>
    <cellStyle name="Output 2 12 6 2 3" xfId="16875" xr:uid="{00000000-0005-0000-0000-0000FF3F0000}"/>
    <cellStyle name="Output 2 12 6 2_Summary" xfId="23261" xr:uid="{00000000-0005-0000-0000-000000400000}"/>
    <cellStyle name="Output 2 12 6 3" xfId="5695" xr:uid="{00000000-0005-0000-0000-000001400000}"/>
    <cellStyle name="Output 2 12 6 3 2" xfId="12291" xr:uid="{00000000-0005-0000-0000-000002400000}"/>
    <cellStyle name="Output 2 12 6 3 3" xfId="18910" xr:uid="{00000000-0005-0000-0000-000003400000}"/>
    <cellStyle name="Output 2 12 6 3_Summary" xfId="23262" xr:uid="{00000000-0005-0000-0000-000004400000}"/>
    <cellStyle name="Output 2 12 6 4" xfId="8120" xr:uid="{00000000-0005-0000-0000-000005400000}"/>
    <cellStyle name="Output 2 12 6 5" xfId="14739" xr:uid="{00000000-0005-0000-0000-000006400000}"/>
    <cellStyle name="Output 2 12 6_Summary" xfId="23260" xr:uid="{00000000-0005-0000-0000-000007400000}"/>
    <cellStyle name="Output 2 12 7" xfId="1804" xr:uid="{00000000-0005-0000-0000-000008400000}"/>
    <cellStyle name="Output 2 12 7 2" xfId="3940" xr:uid="{00000000-0005-0000-0000-000009400000}"/>
    <cellStyle name="Output 2 12 7 2 2" xfId="10536" xr:uid="{00000000-0005-0000-0000-00000A400000}"/>
    <cellStyle name="Output 2 12 7 2 3" xfId="17155" xr:uid="{00000000-0005-0000-0000-00000B400000}"/>
    <cellStyle name="Output 2 12 7 2_Summary" xfId="23264" xr:uid="{00000000-0005-0000-0000-00000C400000}"/>
    <cellStyle name="Output 2 12 7 3" xfId="5975" xr:uid="{00000000-0005-0000-0000-00000D400000}"/>
    <cellStyle name="Output 2 12 7 3 2" xfId="12571" xr:uid="{00000000-0005-0000-0000-00000E400000}"/>
    <cellStyle name="Output 2 12 7 3 3" xfId="19190" xr:uid="{00000000-0005-0000-0000-00000F400000}"/>
    <cellStyle name="Output 2 12 7 3_Summary" xfId="23265" xr:uid="{00000000-0005-0000-0000-000010400000}"/>
    <cellStyle name="Output 2 12 7 4" xfId="8400" xr:uid="{00000000-0005-0000-0000-000011400000}"/>
    <cellStyle name="Output 2 12 7 5" xfId="15019" xr:uid="{00000000-0005-0000-0000-000012400000}"/>
    <cellStyle name="Output 2 12 7_Summary" xfId="23263" xr:uid="{00000000-0005-0000-0000-000013400000}"/>
    <cellStyle name="Output 2 12 8" xfId="2081" xr:uid="{00000000-0005-0000-0000-000014400000}"/>
    <cellStyle name="Output 2 12 8 2" xfId="4217" xr:uid="{00000000-0005-0000-0000-000015400000}"/>
    <cellStyle name="Output 2 12 8 2 2" xfId="10813" xr:uid="{00000000-0005-0000-0000-000016400000}"/>
    <cellStyle name="Output 2 12 8 2 3" xfId="17432" xr:uid="{00000000-0005-0000-0000-000017400000}"/>
    <cellStyle name="Output 2 12 8 2_Summary" xfId="23267" xr:uid="{00000000-0005-0000-0000-000018400000}"/>
    <cellStyle name="Output 2 12 8 3" xfId="6252" xr:uid="{00000000-0005-0000-0000-000019400000}"/>
    <cellStyle name="Output 2 12 8 3 2" xfId="12848" xr:uid="{00000000-0005-0000-0000-00001A400000}"/>
    <cellStyle name="Output 2 12 8 3 3" xfId="19467" xr:uid="{00000000-0005-0000-0000-00001B400000}"/>
    <cellStyle name="Output 2 12 8 3_Summary" xfId="23268" xr:uid="{00000000-0005-0000-0000-00001C400000}"/>
    <cellStyle name="Output 2 12 8 4" xfId="8677" xr:uid="{00000000-0005-0000-0000-00001D400000}"/>
    <cellStyle name="Output 2 12 8 5" xfId="15296" xr:uid="{00000000-0005-0000-0000-00001E400000}"/>
    <cellStyle name="Output 2 12 8_Summary" xfId="23266" xr:uid="{00000000-0005-0000-0000-00001F400000}"/>
    <cellStyle name="Output 2 12 9" xfId="2668" xr:uid="{00000000-0005-0000-0000-000020400000}"/>
    <cellStyle name="Output 2 12 9 2" xfId="9264" xr:uid="{00000000-0005-0000-0000-000021400000}"/>
    <cellStyle name="Output 2 12 9 3" xfId="15883" xr:uid="{00000000-0005-0000-0000-000022400000}"/>
    <cellStyle name="Output 2 12 9_Summary" xfId="23269" xr:uid="{00000000-0005-0000-0000-000023400000}"/>
    <cellStyle name="Output 2 12_Summary" xfId="23226" xr:uid="{00000000-0005-0000-0000-000024400000}"/>
    <cellStyle name="Output 2 13" xfId="277" xr:uid="{00000000-0005-0000-0000-000025400000}"/>
    <cellStyle name="Output 2 13 10" xfId="4698" xr:uid="{00000000-0005-0000-0000-000026400000}"/>
    <cellStyle name="Output 2 13 10 2" xfId="11294" xr:uid="{00000000-0005-0000-0000-000027400000}"/>
    <cellStyle name="Output 2 13 10 3" xfId="17913" xr:uid="{00000000-0005-0000-0000-000028400000}"/>
    <cellStyle name="Output 2 13 10_Summary" xfId="23271" xr:uid="{00000000-0005-0000-0000-000029400000}"/>
    <cellStyle name="Output 2 13 11" xfId="527" xr:uid="{00000000-0005-0000-0000-00002A400000}"/>
    <cellStyle name="Output 2 13 11 2" xfId="13742" xr:uid="{00000000-0005-0000-0000-00002B400000}"/>
    <cellStyle name="Output 2 13 11_Summary" xfId="23272" xr:uid="{00000000-0005-0000-0000-00002C400000}"/>
    <cellStyle name="Output 2 13 12" xfId="7171" xr:uid="{00000000-0005-0000-0000-00002D400000}"/>
    <cellStyle name="Output 2 13 13" xfId="13494" xr:uid="{00000000-0005-0000-0000-00002E400000}"/>
    <cellStyle name="Output 2 13 14" xfId="30418" xr:uid="{72A35DD0-A0E1-45F3-B9A6-62CB96D86E27}"/>
    <cellStyle name="Output 2 13 15" xfId="31850" xr:uid="{41EA0CE3-03A4-4EB4-9E5B-677451FD98C8}"/>
    <cellStyle name="Output 2 13 2" xfId="411" xr:uid="{00000000-0005-0000-0000-00002F400000}"/>
    <cellStyle name="Output 2 13 2 10" xfId="801" xr:uid="{00000000-0005-0000-0000-000030400000}"/>
    <cellStyle name="Output 2 13 2 10 2" xfId="14016" xr:uid="{00000000-0005-0000-0000-000031400000}"/>
    <cellStyle name="Output 2 13 2 10_Summary" xfId="23274" xr:uid="{00000000-0005-0000-0000-000032400000}"/>
    <cellStyle name="Output 2 13 2 11" xfId="7304" xr:uid="{00000000-0005-0000-0000-000033400000}"/>
    <cellStyle name="Output 2 13 2 12" xfId="13626" xr:uid="{00000000-0005-0000-0000-000034400000}"/>
    <cellStyle name="Output 2 13 2 2" xfId="1105" xr:uid="{00000000-0005-0000-0000-000035400000}"/>
    <cellStyle name="Output 2 13 2 2 2" xfId="3241" xr:uid="{00000000-0005-0000-0000-000036400000}"/>
    <cellStyle name="Output 2 13 2 2 2 2" xfId="9837" xr:uid="{00000000-0005-0000-0000-000037400000}"/>
    <cellStyle name="Output 2 13 2 2 2 3" xfId="16456" xr:uid="{00000000-0005-0000-0000-000038400000}"/>
    <cellStyle name="Output 2 13 2 2 2_Summary" xfId="23276" xr:uid="{00000000-0005-0000-0000-000039400000}"/>
    <cellStyle name="Output 2 13 2 2 3" xfId="5276" xr:uid="{00000000-0005-0000-0000-00003A400000}"/>
    <cellStyle name="Output 2 13 2 2 3 2" xfId="11872" xr:uid="{00000000-0005-0000-0000-00003B400000}"/>
    <cellStyle name="Output 2 13 2 2 3 3" xfId="18491" xr:uid="{00000000-0005-0000-0000-00003C400000}"/>
    <cellStyle name="Output 2 13 2 2 3_Summary" xfId="23277" xr:uid="{00000000-0005-0000-0000-00003D400000}"/>
    <cellStyle name="Output 2 13 2 2 4" xfId="7701" xr:uid="{00000000-0005-0000-0000-00003E400000}"/>
    <cellStyle name="Output 2 13 2 2 5" xfId="14320" xr:uid="{00000000-0005-0000-0000-00003F400000}"/>
    <cellStyle name="Output 2 13 2 2_Summary" xfId="23275" xr:uid="{00000000-0005-0000-0000-000040400000}"/>
    <cellStyle name="Output 2 13 2 3" xfId="1387" xr:uid="{00000000-0005-0000-0000-000041400000}"/>
    <cellStyle name="Output 2 13 2 3 2" xfId="3523" xr:uid="{00000000-0005-0000-0000-000042400000}"/>
    <cellStyle name="Output 2 13 2 3 2 2" xfId="10119" xr:uid="{00000000-0005-0000-0000-000043400000}"/>
    <cellStyle name="Output 2 13 2 3 2 3" xfId="16738" xr:uid="{00000000-0005-0000-0000-000044400000}"/>
    <cellStyle name="Output 2 13 2 3 2_Summary" xfId="23279" xr:uid="{00000000-0005-0000-0000-000045400000}"/>
    <cellStyle name="Output 2 13 2 3 3" xfId="5558" xr:uid="{00000000-0005-0000-0000-000046400000}"/>
    <cellStyle name="Output 2 13 2 3 3 2" xfId="12154" xr:uid="{00000000-0005-0000-0000-000047400000}"/>
    <cellStyle name="Output 2 13 2 3 3 3" xfId="18773" xr:uid="{00000000-0005-0000-0000-000048400000}"/>
    <cellStyle name="Output 2 13 2 3 3_Summary" xfId="23280" xr:uid="{00000000-0005-0000-0000-000049400000}"/>
    <cellStyle name="Output 2 13 2 3 4" xfId="7983" xr:uid="{00000000-0005-0000-0000-00004A400000}"/>
    <cellStyle name="Output 2 13 2 3 5" xfId="14602" xr:uid="{00000000-0005-0000-0000-00004B400000}"/>
    <cellStyle name="Output 2 13 2 3_Summary" xfId="23278" xr:uid="{00000000-0005-0000-0000-00004C400000}"/>
    <cellStyle name="Output 2 13 2 4" xfId="1668" xr:uid="{00000000-0005-0000-0000-00004D400000}"/>
    <cellStyle name="Output 2 13 2 4 2" xfId="3804" xr:uid="{00000000-0005-0000-0000-00004E400000}"/>
    <cellStyle name="Output 2 13 2 4 2 2" xfId="10400" xr:uid="{00000000-0005-0000-0000-00004F400000}"/>
    <cellStyle name="Output 2 13 2 4 2 3" xfId="17019" xr:uid="{00000000-0005-0000-0000-000050400000}"/>
    <cellStyle name="Output 2 13 2 4 2_Summary" xfId="23282" xr:uid="{00000000-0005-0000-0000-000051400000}"/>
    <cellStyle name="Output 2 13 2 4 3" xfId="5839" xr:uid="{00000000-0005-0000-0000-000052400000}"/>
    <cellStyle name="Output 2 13 2 4 3 2" xfId="12435" xr:uid="{00000000-0005-0000-0000-000053400000}"/>
    <cellStyle name="Output 2 13 2 4 3 3" xfId="19054" xr:uid="{00000000-0005-0000-0000-000054400000}"/>
    <cellStyle name="Output 2 13 2 4 3_Summary" xfId="23283" xr:uid="{00000000-0005-0000-0000-000055400000}"/>
    <cellStyle name="Output 2 13 2 4 4" xfId="8264" xr:uid="{00000000-0005-0000-0000-000056400000}"/>
    <cellStyle name="Output 2 13 2 4 5" xfId="14883" xr:uid="{00000000-0005-0000-0000-000057400000}"/>
    <cellStyle name="Output 2 13 2 4_Summary" xfId="23281" xr:uid="{00000000-0005-0000-0000-000058400000}"/>
    <cellStyle name="Output 2 13 2 5" xfId="1947" xr:uid="{00000000-0005-0000-0000-000059400000}"/>
    <cellStyle name="Output 2 13 2 5 2" xfId="4083" xr:uid="{00000000-0005-0000-0000-00005A400000}"/>
    <cellStyle name="Output 2 13 2 5 2 2" xfId="10679" xr:uid="{00000000-0005-0000-0000-00005B400000}"/>
    <cellStyle name="Output 2 13 2 5 2 3" xfId="17298" xr:uid="{00000000-0005-0000-0000-00005C400000}"/>
    <cellStyle name="Output 2 13 2 5 2_Summary" xfId="23285" xr:uid="{00000000-0005-0000-0000-00005D400000}"/>
    <cellStyle name="Output 2 13 2 5 3" xfId="6118" xr:uid="{00000000-0005-0000-0000-00005E400000}"/>
    <cellStyle name="Output 2 13 2 5 3 2" xfId="12714" xr:uid="{00000000-0005-0000-0000-00005F400000}"/>
    <cellStyle name="Output 2 13 2 5 3 3" xfId="19333" xr:uid="{00000000-0005-0000-0000-000060400000}"/>
    <cellStyle name="Output 2 13 2 5 3_Summary" xfId="23286" xr:uid="{00000000-0005-0000-0000-000061400000}"/>
    <cellStyle name="Output 2 13 2 5 4" xfId="8543" xr:uid="{00000000-0005-0000-0000-000062400000}"/>
    <cellStyle name="Output 2 13 2 5 5" xfId="15162" xr:uid="{00000000-0005-0000-0000-000063400000}"/>
    <cellStyle name="Output 2 13 2 5_Summary" xfId="23284" xr:uid="{00000000-0005-0000-0000-000064400000}"/>
    <cellStyle name="Output 2 13 2 6" xfId="2222" xr:uid="{00000000-0005-0000-0000-000065400000}"/>
    <cellStyle name="Output 2 13 2 6 2" xfId="4358" xr:uid="{00000000-0005-0000-0000-000066400000}"/>
    <cellStyle name="Output 2 13 2 6 2 2" xfId="10954" xr:uid="{00000000-0005-0000-0000-000067400000}"/>
    <cellStyle name="Output 2 13 2 6 2 3" xfId="17573" xr:uid="{00000000-0005-0000-0000-000068400000}"/>
    <cellStyle name="Output 2 13 2 6 2_Summary" xfId="23288" xr:uid="{00000000-0005-0000-0000-000069400000}"/>
    <cellStyle name="Output 2 13 2 6 3" xfId="6393" xr:uid="{00000000-0005-0000-0000-00006A400000}"/>
    <cellStyle name="Output 2 13 2 6 3 2" xfId="12989" xr:uid="{00000000-0005-0000-0000-00006B400000}"/>
    <cellStyle name="Output 2 13 2 6 3 3" xfId="19608" xr:uid="{00000000-0005-0000-0000-00006C400000}"/>
    <cellStyle name="Output 2 13 2 6 3_Summary" xfId="23289" xr:uid="{00000000-0005-0000-0000-00006D400000}"/>
    <cellStyle name="Output 2 13 2 6 4" xfId="8818" xr:uid="{00000000-0005-0000-0000-00006E400000}"/>
    <cellStyle name="Output 2 13 2 6 5" xfId="15437" xr:uid="{00000000-0005-0000-0000-00006F400000}"/>
    <cellStyle name="Output 2 13 2 6_Summary" xfId="23287" xr:uid="{00000000-0005-0000-0000-000070400000}"/>
    <cellStyle name="Output 2 13 2 7" xfId="2495" xr:uid="{00000000-0005-0000-0000-000071400000}"/>
    <cellStyle name="Output 2 13 2 7 2" xfId="4631" xr:uid="{00000000-0005-0000-0000-000072400000}"/>
    <cellStyle name="Output 2 13 2 7 2 2" xfId="11227" xr:uid="{00000000-0005-0000-0000-000073400000}"/>
    <cellStyle name="Output 2 13 2 7 2 3" xfId="17846" xr:uid="{00000000-0005-0000-0000-000074400000}"/>
    <cellStyle name="Output 2 13 2 7 2_Summary" xfId="23291" xr:uid="{00000000-0005-0000-0000-000075400000}"/>
    <cellStyle name="Output 2 13 2 7 3" xfId="6666" xr:uid="{00000000-0005-0000-0000-000076400000}"/>
    <cellStyle name="Output 2 13 2 7 3 2" xfId="13262" xr:uid="{00000000-0005-0000-0000-000077400000}"/>
    <cellStyle name="Output 2 13 2 7 3 3" xfId="19881" xr:uid="{00000000-0005-0000-0000-000078400000}"/>
    <cellStyle name="Output 2 13 2 7 3_Summary" xfId="23292" xr:uid="{00000000-0005-0000-0000-000079400000}"/>
    <cellStyle name="Output 2 13 2 7 4" xfId="9091" xr:uid="{00000000-0005-0000-0000-00007A400000}"/>
    <cellStyle name="Output 2 13 2 7 5" xfId="15710" xr:uid="{00000000-0005-0000-0000-00007B400000}"/>
    <cellStyle name="Output 2 13 2 7_Summary" xfId="23290" xr:uid="{00000000-0005-0000-0000-00007C400000}"/>
    <cellStyle name="Output 2 13 2 8" xfId="2937" xr:uid="{00000000-0005-0000-0000-00007D400000}"/>
    <cellStyle name="Output 2 13 2 8 2" xfId="9533" xr:uid="{00000000-0005-0000-0000-00007E400000}"/>
    <cellStyle name="Output 2 13 2 8 3" xfId="16152" xr:uid="{00000000-0005-0000-0000-00007F400000}"/>
    <cellStyle name="Output 2 13 2 8_Summary" xfId="23293" xr:uid="{00000000-0005-0000-0000-000080400000}"/>
    <cellStyle name="Output 2 13 2 9" xfId="4972" xr:uid="{00000000-0005-0000-0000-000081400000}"/>
    <cellStyle name="Output 2 13 2 9 2" xfId="11568" xr:uid="{00000000-0005-0000-0000-000082400000}"/>
    <cellStyle name="Output 2 13 2 9 3" xfId="18187" xr:uid="{00000000-0005-0000-0000-000083400000}"/>
    <cellStyle name="Output 2 13 2 9_Summary" xfId="23294" xr:uid="{00000000-0005-0000-0000-000084400000}"/>
    <cellStyle name="Output 2 13 2_Summary" xfId="23273" xr:uid="{00000000-0005-0000-0000-000085400000}"/>
    <cellStyle name="Output 2 13 3" xfId="972" xr:uid="{00000000-0005-0000-0000-000086400000}"/>
    <cellStyle name="Output 2 13 3 2" xfId="3108" xr:uid="{00000000-0005-0000-0000-000087400000}"/>
    <cellStyle name="Output 2 13 3 2 2" xfId="9704" xr:uid="{00000000-0005-0000-0000-000088400000}"/>
    <cellStyle name="Output 2 13 3 2 3" xfId="16323" xr:uid="{00000000-0005-0000-0000-000089400000}"/>
    <cellStyle name="Output 2 13 3 2_Summary" xfId="23296" xr:uid="{00000000-0005-0000-0000-00008A400000}"/>
    <cellStyle name="Output 2 13 3 3" xfId="5143" xr:uid="{00000000-0005-0000-0000-00008B400000}"/>
    <cellStyle name="Output 2 13 3 3 2" xfId="11739" xr:uid="{00000000-0005-0000-0000-00008C400000}"/>
    <cellStyle name="Output 2 13 3 3 3" xfId="18358" xr:uid="{00000000-0005-0000-0000-00008D400000}"/>
    <cellStyle name="Output 2 13 3 3_Summary" xfId="23297" xr:uid="{00000000-0005-0000-0000-00008E400000}"/>
    <cellStyle name="Output 2 13 3 4" xfId="7569" xr:uid="{00000000-0005-0000-0000-00008F400000}"/>
    <cellStyle name="Output 2 13 3 5" xfId="14187" xr:uid="{00000000-0005-0000-0000-000090400000}"/>
    <cellStyle name="Output 2 13 3_Summary" xfId="23295" xr:uid="{00000000-0005-0000-0000-000091400000}"/>
    <cellStyle name="Output 2 13 4" xfId="1254" xr:uid="{00000000-0005-0000-0000-000092400000}"/>
    <cellStyle name="Output 2 13 4 2" xfId="3390" xr:uid="{00000000-0005-0000-0000-000093400000}"/>
    <cellStyle name="Output 2 13 4 2 2" xfId="9986" xr:uid="{00000000-0005-0000-0000-000094400000}"/>
    <cellStyle name="Output 2 13 4 2 3" xfId="16605" xr:uid="{00000000-0005-0000-0000-000095400000}"/>
    <cellStyle name="Output 2 13 4 2_Summary" xfId="23299" xr:uid="{00000000-0005-0000-0000-000096400000}"/>
    <cellStyle name="Output 2 13 4 3" xfId="5425" xr:uid="{00000000-0005-0000-0000-000097400000}"/>
    <cellStyle name="Output 2 13 4 3 2" xfId="12021" xr:uid="{00000000-0005-0000-0000-000098400000}"/>
    <cellStyle name="Output 2 13 4 3 3" xfId="18640" xr:uid="{00000000-0005-0000-0000-000099400000}"/>
    <cellStyle name="Output 2 13 4 3_Summary" xfId="23300" xr:uid="{00000000-0005-0000-0000-00009A400000}"/>
    <cellStyle name="Output 2 13 4 4" xfId="7850" xr:uid="{00000000-0005-0000-0000-00009B400000}"/>
    <cellStyle name="Output 2 13 4 5" xfId="14469" xr:uid="{00000000-0005-0000-0000-00009C400000}"/>
    <cellStyle name="Output 2 13 4_Summary" xfId="23298" xr:uid="{00000000-0005-0000-0000-00009D400000}"/>
    <cellStyle name="Output 2 13 5" xfId="1535" xr:uid="{00000000-0005-0000-0000-00009E400000}"/>
    <cellStyle name="Output 2 13 5 2" xfId="3671" xr:uid="{00000000-0005-0000-0000-00009F400000}"/>
    <cellStyle name="Output 2 13 5 2 2" xfId="10267" xr:uid="{00000000-0005-0000-0000-0000A0400000}"/>
    <cellStyle name="Output 2 13 5 2 3" xfId="16886" xr:uid="{00000000-0005-0000-0000-0000A1400000}"/>
    <cellStyle name="Output 2 13 5 2_Summary" xfId="23302" xr:uid="{00000000-0005-0000-0000-0000A2400000}"/>
    <cellStyle name="Output 2 13 5 3" xfId="5706" xr:uid="{00000000-0005-0000-0000-0000A3400000}"/>
    <cellStyle name="Output 2 13 5 3 2" xfId="12302" xr:uid="{00000000-0005-0000-0000-0000A4400000}"/>
    <cellStyle name="Output 2 13 5 3 3" xfId="18921" xr:uid="{00000000-0005-0000-0000-0000A5400000}"/>
    <cellStyle name="Output 2 13 5 3_Summary" xfId="23303" xr:uid="{00000000-0005-0000-0000-0000A6400000}"/>
    <cellStyle name="Output 2 13 5 4" xfId="8131" xr:uid="{00000000-0005-0000-0000-0000A7400000}"/>
    <cellStyle name="Output 2 13 5 5" xfId="14750" xr:uid="{00000000-0005-0000-0000-0000A8400000}"/>
    <cellStyle name="Output 2 13 5_Summary" xfId="23301" xr:uid="{00000000-0005-0000-0000-0000A9400000}"/>
    <cellStyle name="Output 2 13 6" xfId="1814" xr:uid="{00000000-0005-0000-0000-0000AA400000}"/>
    <cellStyle name="Output 2 13 6 2" xfId="3950" xr:uid="{00000000-0005-0000-0000-0000AB400000}"/>
    <cellStyle name="Output 2 13 6 2 2" xfId="10546" xr:uid="{00000000-0005-0000-0000-0000AC400000}"/>
    <cellStyle name="Output 2 13 6 2 3" xfId="17165" xr:uid="{00000000-0005-0000-0000-0000AD400000}"/>
    <cellStyle name="Output 2 13 6 2_Summary" xfId="23305" xr:uid="{00000000-0005-0000-0000-0000AE400000}"/>
    <cellStyle name="Output 2 13 6 3" xfId="5985" xr:uid="{00000000-0005-0000-0000-0000AF400000}"/>
    <cellStyle name="Output 2 13 6 3 2" xfId="12581" xr:uid="{00000000-0005-0000-0000-0000B0400000}"/>
    <cellStyle name="Output 2 13 6 3 3" xfId="19200" xr:uid="{00000000-0005-0000-0000-0000B1400000}"/>
    <cellStyle name="Output 2 13 6 3_Summary" xfId="23306" xr:uid="{00000000-0005-0000-0000-0000B2400000}"/>
    <cellStyle name="Output 2 13 6 4" xfId="8410" xr:uid="{00000000-0005-0000-0000-0000B3400000}"/>
    <cellStyle name="Output 2 13 6 5" xfId="15029" xr:uid="{00000000-0005-0000-0000-0000B4400000}"/>
    <cellStyle name="Output 2 13 6_Summary" xfId="23304" xr:uid="{00000000-0005-0000-0000-0000B5400000}"/>
    <cellStyle name="Output 2 13 7" xfId="2090" xr:uid="{00000000-0005-0000-0000-0000B6400000}"/>
    <cellStyle name="Output 2 13 7 2" xfId="4226" xr:uid="{00000000-0005-0000-0000-0000B7400000}"/>
    <cellStyle name="Output 2 13 7 2 2" xfId="10822" xr:uid="{00000000-0005-0000-0000-0000B8400000}"/>
    <cellStyle name="Output 2 13 7 2 3" xfId="17441" xr:uid="{00000000-0005-0000-0000-0000B9400000}"/>
    <cellStyle name="Output 2 13 7 2_Summary" xfId="23308" xr:uid="{00000000-0005-0000-0000-0000BA400000}"/>
    <cellStyle name="Output 2 13 7 3" xfId="6261" xr:uid="{00000000-0005-0000-0000-0000BB400000}"/>
    <cellStyle name="Output 2 13 7 3 2" xfId="12857" xr:uid="{00000000-0005-0000-0000-0000BC400000}"/>
    <cellStyle name="Output 2 13 7 3 3" xfId="19476" xr:uid="{00000000-0005-0000-0000-0000BD400000}"/>
    <cellStyle name="Output 2 13 7 3_Summary" xfId="23309" xr:uid="{00000000-0005-0000-0000-0000BE400000}"/>
    <cellStyle name="Output 2 13 7 4" xfId="8686" xr:uid="{00000000-0005-0000-0000-0000BF400000}"/>
    <cellStyle name="Output 2 13 7 5" xfId="15305" xr:uid="{00000000-0005-0000-0000-0000C0400000}"/>
    <cellStyle name="Output 2 13 7_Summary" xfId="23307" xr:uid="{00000000-0005-0000-0000-0000C1400000}"/>
    <cellStyle name="Output 2 13 8" xfId="2363" xr:uid="{00000000-0005-0000-0000-0000C2400000}"/>
    <cellStyle name="Output 2 13 8 2" xfId="4499" xr:uid="{00000000-0005-0000-0000-0000C3400000}"/>
    <cellStyle name="Output 2 13 8 2 2" xfId="11095" xr:uid="{00000000-0005-0000-0000-0000C4400000}"/>
    <cellStyle name="Output 2 13 8 2 3" xfId="17714" xr:uid="{00000000-0005-0000-0000-0000C5400000}"/>
    <cellStyle name="Output 2 13 8 2_Summary" xfId="23311" xr:uid="{00000000-0005-0000-0000-0000C6400000}"/>
    <cellStyle name="Output 2 13 8 3" xfId="6534" xr:uid="{00000000-0005-0000-0000-0000C7400000}"/>
    <cellStyle name="Output 2 13 8 3 2" xfId="13130" xr:uid="{00000000-0005-0000-0000-0000C8400000}"/>
    <cellStyle name="Output 2 13 8 3 3" xfId="19749" xr:uid="{00000000-0005-0000-0000-0000C9400000}"/>
    <cellStyle name="Output 2 13 8 3_Summary" xfId="23312" xr:uid="{00000000-0005-0000-0000-0000CA400000}"/>
    <cellStyle name="Output 2 13 8 4" xfId="8959" xr:uid="{00000000-0005-0000-0000-0000CB400000}"/>
    <cellStyle name="Output 2 13 8 5" xfId="15578" xr:uid="{00000000-0005-0000-0000-0000CC400000}"/>
    <cellStyle name="Output 2 13 8_Summary" xfId="23310" xr:uid="{00000000-0005-0000-0000-0000CD400000}"/>
    <cellStyle name="Output 2 13 9" xfId="2663" xr:uid="{00000000-0005-0000-0000-0000CE400000}"/>
    <cellStyle name="Output 2 13 9 2" xfId="9259" xr:uid="{00000000-0005-0000-0000-0000CF400000}"/>
    <cellStyle name="Output 2 13 9 3" xfId="15878" xr:uid="{00000000-0005-0000-0000-0000D0400000}"/>
    <cellStyle name="Output 2 13 9_Summary" xfId="23313" xr:uid="{00000000-0005-0000-0000-0000D1400000}"/>
    <cellStyle name="Output 2 13_Summary" xfId="23270" xr:uid="{00000000-0005-0000-0000-0000D2400000}"/>
    <cellStyle name="Output 2 14" xfId="339" xr:uid="{00000000-0005-0000-0000-0000D3400000}"/>
    <cellStyle name="Output 2 14 10" xfId="4759" xr:uid="{00000000-0005-0000-0000-0000D4400000}"/>
    <cellStyle name="Output 2 14 10 2" xfId="11355" xr:uid="{00000000-0005-0000-0000-0000D5400000}"/>
    <cellStyle name="Output 2 14 10 3" xfId="17974" xr:uid="{00000000-0005-0000-0000-0000D6400000}"/>
    <cellStyle name="Output 2 14 10_Summary" xfId="23315" xr:uid="{00000000-0005-0000-0000-0000D7400000}"/>
    <cellStyle name="Output 2 14 11" xfId="588" xr:uid="{00000000-0005-0000-0000-0000D8400000}"/>
    <cellStyle name="Output 2 14 11 2" xfId="13803" xr:uid="{00000000-0005-0000-0000-0000D9400000}"/>
    <cellStyle name="Output 2 14 11_Summary" xfId="23316" xr:uid="{00000000-0005-0000-0000-0000DA400000}"/>
    <cellStyle name="Output 2 14 12" xfId="7232" xr:uid="{00000000-0005-0000-0000-0000DB400000}"/>
    <cellStyle name="Output 2 14 13" xfId="13554" xr:uid="{00000000-0005-0000-0000-0000DC400000}"/>
    <cellStyle name="Output 2 14 2" xfId="467" xr:uid="{00000000-0005-0000-0000-0000DD400000}"/>
    <cellStyle name="Output 2 14 2 10" xfId="861" xr:uid="{00000000-0005-0000-0000-0000DE400000}"/>
    <cellStyle name="Output 2 14 2 10 2" xfId="14076" xr:uid="{00000000-0005-0000-0000-0000DF400000}"/>
    <cellStyle name="Output 2 14 2 10_Summary" xfId="23318" xr:uid="{00000000-0005-0000-0000-0000E0400000}"/>
    <cellStyle name="Output 2 14 2 11" xfId="7360" xr:uid="{00000000-0005-0000-0000-0000E1400000}"/>
    <cellStyle name="Output 2 14 2 12" xfId="13682" xr:uid="{00000000-0005-0000-0000-0000E2400000}"/>
    <cellStyle name="Output 2 14 2 2" xfId="1161" xr:uid="{00000000-0005-0000-0000-0000E3400000}"/>
    <cellStyle name="Output 2 14 2 2 2" xfId="3297" xr:uid="{00000000-0005-0000-0000-0000E4400000}"/>
    <cellStyle name="Output 2 14 2 2 2 2" xfId="9893" xr:uid="{00000000-0005-0000-0000-0000E5400000}"/>
    <cellStyle name="Output 2 14 2 2 2 3" xfId="16512" xr:uid="{00000000-0005-0000-0000-0000E6400000}"/>
    <cellStyle name="Output 2 14 2 2 2_Summary" xfId="23320" xr:uid="{00000000-0005-0000-0000-0000E7400000}"/>
    <cellStyle name="Output 2 14 2 2 3" xfId="5332" xr:uid="{00000000-0005-0000-0000-0000E8400000}"/>
    <cellStyle name="Output 2 14 2 2 3 2" xfId="11928" xr:uid="{00000000-0005-0000-0000-0000E9400000}"/>
    <cellStyle name="Output 2 14 2 2 3 3" xfId="18547" xr:uid="{00000000-0005-0000-0000-0000EA400000}"/>
    <cellStyle name="Output 2 14 2 2 3_Summary" xfId="23321" xr:uid="{00000000-0005-0000-0000-0000EB400000}"/>
    <cellStyle name="Output 2 14 2 2 4" xfId="7757" xr:uid="{00000000-0005-0000-0000-0000EC400000}"/>
    <cellStyle name="Output 2 14 2 2 5" xfId="14376" xr:uid="{00000000-0005-0000-0000-0000ED400000}"/>
    <cellStyle name="Output 2 14 2 2_Summary" xfId="23319" xr:uid="{00000000-0005-0000-0000-0000EE400000}"/>
    <cellStyle name="Output 2 14 2 3" xfId="1443" xr:uid="{00000000-0005-0000-0000-0000EF400000}"/>
    <cellStyle name="Output 2 14 2 3 2" xfId="3579" xr:uid="{00000000-0005-0000-0000-0000F0400000}"/>
    <cellStyle name="Output 2 14 2 3 2 2" xfId="10175" xr:uid="{00000000-0005-0000-0000-0000F1400000}"/>
    <cellStyle name="Output 2 14 2 3 2 3" xfId="16794" xr:uid="{00000000-0005-0000-0000-0000F2400000}"/>
    <cellStyle name="Output 2 14 2 3 2_Summary" xfId="23323" xr:uid="{00000000-0005-0000-0000-0000F3400000}"/>
    <cellStyle name="Output 2 14 2 3 3" xfId="5614" xr:uid="{00000000-0005-0000-0000-0000F4400000}"/>
    <cellStyle name="Output 2 14 2 3 3 2" xfId="12210" xr:uid="{00000000-0005-0000-0000-0000F5400000}"/>
    <cellStyle name="Output 2 14 2 3 3 3" xfId="18829" xr:uid="{00000000-0005-0000-0000-0000F6400000}"/>
    <cellStyle name="Output 2 14 2 3 3_Summary" xfId="23324" xr:uid="{00000000-0005-0000-0000-0000F7400000}"/>
    <cellStyle name="Output 2 14 2 3 4" xfId="8039" xr:uid="{00000000-0005-0000-0000-0000F8400000}"/>
    <cellStyle name="Output 2 14 2 3 5" xfId="14658" xr:uid="{00000000-0005-0000-0000-0000F9400000}"/>
    <cellStyle name="Output 2 14 2 3_Summary" xfId="23322" xr:uid="{00000000-0005-0000-0000-0000FA400000}"/>
    <cellStyle name="Output 2 14 2 4" xfId="1724" xr:uid="{00000000-0005-0000-0000-0000FB400000}"/>
    <cellStyle name="Output 2 14 2 4 2" xfId="3860" xr:uid="{00000000-0005-0000-0000-0000FC400000}"/>
    <cellStyle name="Output 2 14 2 4 2 2" xfId="10456" xr:uid="{00000000-0005-0000-0000-0000FD400000}"/>
    <cellStyle name="Output 2 14 2 4 2 3" xfId="17075" xr:uid="{00000000-0005-0000-0000-0000FE400000}"/>
    <cellStyle name="Output 2 14 2 4 2_Summary" xfId="23326" xr:uid="{00000000-0005-0000-0000-0000FF400000}"/>
    <cellStyle name="Output 2 14 2 4 3" xfId="5895" xr:uid="{00000000-0005-0000-0000-000000410000}"/>
    <cellStyle name="Output 2 14 2 4 3 2" xfId="12491" xr:uid="{00000000-0005-0000-0000-000001410000}"/>
    <cellStyle name="Output 2 14 2 4 3 3" xfId="19110" xr:uid="{00000000-0005-0000-0000-000002410000}"/>
    <cellStyle name="Output 2 14 2 4 3_Summary" xfId="23327" xr:uid="{00000000-0005-0000-0000-000003410000}"/>
    <cellStyle name="Output 2 14 2 4 4" xfId="8320" xr:uid="{00000000-0005-0000-0000-000004410000}"/>
    <cellStyle name="Output 2 14 2 4 5" xfId="14939" xr:uid="{00000000-0005-0000-0000-000005410000}"/>
    <cellStyle name="Output 2 14 2 4_Summary" xfId="23325" xr:uid="{00000000-0005-0000-0000-000006410000}"/>
    <cellStyle name="Output 2 14 2 5" xfId="2003" xr:uid="{00000000-0005-0000-0000-000007410000}"/>
    <cellStyle name="Output 2 14 2 5 2" xfId="4139" xr:uid="{00000000-0005-0000-0000-000008410000}"/>
    <cellStyle name="Output 2 14 2 5 2 2" xfId="10735" xr:uid="{00000000-0005-0000-0000-000009410000}"/>
    <cellStyle name="Output 2 14 2 5 2 3" xfId="17354" xr:uid="{00000000-0005-0000-0000-00000A410000}"/>
    <cellStyle name="Output 2 14 2 5 2_Summary" xfId="23329" xr:uid="{00000000-0005-0000-0000-00000B410000}"/>
    <cellStyle name="Output 2 14 2 5 3" xfId="6174" xr:uid="{00000000-0005-0000-0000-00000C410000}"/>
    <cellStyle name="Output 2 14 2 5 3 2" xfId="12770" xr:uid="{00000000-0005-0000-0000-00000D410000}"/>
    <cellStyle name="Output 2 14 2 5 3 3" xfId="19389" xr:uid="{00000000-0005-0000-0000-00000E410000}"/>
    <cellStyle name="Output 2 14 2 5 3_Summary" xfId="23330" xr:uid="{00000000-0005-0000-0000-00000F410000}"/>
    <cellStyle name="Output 2 14 2 5 4" xfId="8599" xr:uid="{00000000-0005-0000-0000-000010410000}"/>
    <cellStyle name="Output 2 14 2 5 5" xfId="15218" xr:uid="{00000000-0005-0000-0000-000011410000}"/>
    <cellStyle name="Output 2 14 2 5_Summary" xfId="23328" xr:uid="{00000000-0005-0000-0000-000012410000}"/>
    <cellStyle name="Output 2 14 2 6" xfId="2278" xr:uid="{00000000-0005-0000-0000-000013410000}"/>
    <cellStyle name="Output 2 14 2 6 2" xfId="4414" xr:uid="{00000000-0005-0000-0000-000014410000}"/>
    <cellStyle name="Output 2 14 2 6 2 2" xfId="11010" xr:uid="{00000000-0005-0000-0000-000015410000}"/>
    <cellStyle name="Output 2 14 2 6 2 3" xfId="17629" xr:uid="{00000000-0005-0000-0000-000016410000}"/>
    <cellStyle name="Output 2 14 2 6 2_Summary" xfId="23332" xr:uid="{00000000-0005-0000-0000-000017410000}"/>
    <cellStyle name="Output 2 14 2 6 3" xfId="6449" xr:uid="{00000000-0005-0000-0000-000018410000}"/>
    <cellStyle name="Output 2 14 2 6 3 2" xfId="13045" xr:uid="{00000000-0005-0000-0000-000019410000}"/>
    <cellStyle name="Output 2 14 2 6 3 3" xfId="19664" xr:uid="{00000000-0005-0000-0000-00001A410000}"/>
    <cellStyle name="Output 2 14 2 6 3_Summary" xfId="23333" xr:uid="{00000000-0005-0000-0000-00001B410000}"/>
    <cellStyle name="Output 2 14 2 6 4" xfId="8874" xr:uid="{00000000-0005-0000-0000-00001C410000}"/>
    <cellStyle name="Output 2 14 2 6 5" xfId="15493" xr:uid="{00000000-0005-0000-0000-00001D410000}"/>
    <cellStyle name="Output 2 14 2 6_Summary" xfId="23331" xr:uid="{00000000-0005-0000-0000-00001E410000}"/>
    <cellStyle name="Output 2 14 2 7" xfId="2551" xr:uid="{00000000-0005-0000-0000-00001F410000}"/>
    <cellStyle name="Output 2 14 2 7 2" xfId="4687" xr:uid="{00000000-0005-0000-0000-000020410000}"/>
    <cellStyle name="Output 2 14 2 7 2 2" xfId="11283" xr:uid="{00000000-0005-0000-0000-000021410000}"/>
    <cellStyle name="Output 2 14 2 7 2 3" xfId="17902" xr:uid="{00000000-0005-0000-0000-000022410000}"/>
    <cellStyle name="Output 2 14 2 7 2_Summary" xfId="23335" xr:uid="{00000000-0005-0000-0000-000023410000}"/>
    <cellStyle name="Output 2 14 2 7 3" xfId="6722" xr:uid="{00000000-0005-0000-0000-000024410000}"/>
    <cellStyle name="Output 2 14 2 7 3 2" xfId="13318" xr:uid="{00000000-0005-0000-0000-000025410000}"/>
    <cellStyle name="Output 2 14 2 7 3 3" xfId="19937" xr:uid="{00000000-0005-0000-0000-000026410000}"/>
    <cellStyle name="Output 2 14 2 7 3_Summary" xfId="23336" xr:uid="{00000000-0005-0000-0000-000027410000}"/>
    <cellStyle name="Output 2 14 2 7 4" xfId="9147" xr:uid="{00000000-0005-0000-0000-000028410000}"/>
    <cellStyle name="Output 2 14 2 7 5" xfId="15766" xr:uid="{00000000-0005-0000-0000-000029410000}"/>
    <cellStyle name="Output 2 14 2 7_Summary" xfId="23334" xr:uid="{00000000-0005-0000-0000-00002A410000}"/>
    <cellStyle name="Output 2 14 2 8" xfId="2997" xr:uid="{00000000-0005-0000-0000-00002B410000}"/>
    <cellStyle name="Output 2 14 2 8 2" xfId="9593" xr:uid="{00000000-0005-0000-0000-00002C410000}"/>
    <cellStyle name="Output 2 14 2 8 3" xfId="16212" xr:uid="{00000000-0005-0000-0000-00002D410000}"/>
    <cellStyle name="Output 2 14 2 8_Summary" xfId="23337" xr:uid="{00000000-0005-0000-0000-00002E410000}"/>
    <cellStyle name="Output 2 14 2 9" xfId="5032" xr:uid="{00000000-0005-0000-0000-00002F410000}"/>
    <cellStyle name="Output 2 14 2 9 2" xfId="11628" xr:uid="{00000000-0005-0000-0000-000030410000}"/>
    <cellStyle name="Output 2 14 2 9 3" xfId="18247" xr:uid="{00000000-0005-0000-0000-000031410000}"/>
    <cellStyle name="Output 2 14 2 9_Summary" xfId="23338" xr:uid="{00000000-0005-0000-0000-000032410000}"/>
    <cellStyle name="Output 2 14 2_Summary" xfId="23317" xr:uid="{00000000-0005-0000-0000-000033410000}"/>
    <cellStyle name="Output 2 14 3" xfId="1033" xr:uid="{00000000-0005-0000-0000-000034410000}"/>
    <cellStyle name="Output 2 14 3 2" xfId="3169" xr:uid="{00000000-0005-0000-0000-000035410000}"/>
    <cellStyle name="Output 2 14 3 2 2" xfId="9765" xr:uid="{00000000-0005-0000-0000-000036410000}"/>
    <cellStyle name="Output 2 14 3 2 3" xfId="16384" xr:uid="{00000000-0005-0000-0000-000037410000}"/>
    <cellStyle name="Output 2 14 3 2_Summary" xfId="23340" xr:uid="{00000000-0005-0000-0000-000038410000}"/>
    <cellStyle name="Output 2 14 3 3" xfId="5204" xr:uid="{00000000-0005-0000-0000-000039410000}"/>
    <cellStyle name="Output 2 14 3 3 2" xfId="11800" xr:uid="{00000000-0005-0000-0000-00003A410000}"/>
    <cellStyle name="Output 2 14 3 3 3" xfId="18419" xr:uid="{00000000-0005-0000-0000-00003B410000}"/>
    <cellStyle name="Output 2 14 3 3_Summary" xfId="23341" xr:uid="{00000000-0005-0000-0000-00003C410000}"/>
    <cellStyle name="Output 2 14 3 4" xfId="7630" xr:uid="{00000000-0005-0000-0000-00003D410000}"/>
    <cellStyle name="Output 2 14 3 5" xfId="14248" xr:uid="{00000000-0005-0000-0000-00003E410000}"/>
    <cellStyle name="Output 2 14 3_Summary" xfId="23339" xr:uid="{00000000-0005-0000-0000-00003F410000}"/>
    <cellStyle name="Output 2 14 4" xfId="1315" xr:uid="{00000000-0005-0000-0000-000040410000}"/>
    <cellStyle name="Output 2 14 4 2" xfId="3451" xr:uid="{00000000-0005-0000-0000-000041410000}"/>
    <cellStyle name="Output 2 14 4 2 2" xfId="10047" xr:uid="{00000000-0005-0000-0000-000042410000}"/>
    <cellStyle name="Output 2 14 4 2 3" xfId="16666" xr:uid="{00000000-0005-0000-0000-000043410000}"/>
    <cellStyle name="Output 2 14 4 2_Summary" xfId="23343" xr:uid="{00000000-0005-0000-0000-000044410000}"/>
    <cellStyle name="Output 2 14 4 3" xfId="5486" xr:uid="{00000000-0005-0000-0000-000045410000}"/>
    <cellStyle name="Output 2 14 4 3 2" xfId="12082" xr:uid="{00000000-0005-0000-0000-000046410000}"/>
    <cellStyle name="Output 2 14 4 3 3" xfId="18701" xr:uid="{00000000-0005-0000-0000-000047410000}"/>
    <cellStyle name="Output 2 14 4 3_Summary" xfId="23344" xr:uid="{00000000-0005-0000-0000-000048410000}"/>
    <cellStyle name="Output 2 14 4 4" xfId="7911" xr:uid="{00000000-0005-0000-0000-000049410000}"/>
    <cellStyle name="Output 2 14 4 5" xfId="14530" xr:uid="{00000000-0005-0000-0000-00004A410000}"/>
    <cellStyle name="Output 2 14 4_Summary" xfId="23342" xr:uid="{00000000-0005-0000-0000-00004B410000}"/>
    <cellStyle name="Output 2 14 5" xfId="1596" xr:uid="{00000000-0005-0000-0000-00004C410000}"/>
    <cellStyle name="Output 2 14 5 2" xfId="3732" xr:uid="{00000000-0005-0000-0000-00004D410000}"/>
    <cellStyle name="Output 2 14 5 2 2" xfId="10328" xr:uid="{00000000-0005-0000-0000-00004E410000}"/>
    <cellStyle name="Output 2 14 5 2 3" xfId="16947" xr:uid="{00000000-0005-0000-0000-00004F410000}"/>
    <cellStyle name="Output 2 14 5 2_Summary" xfId="23346" xr:uid="{00000000-0005-0000-0000-000050410000}"/>
    <cellStyle name="Output 2 14 5 3" xfId="5767" xr:uid="{00000000-0005-0000-0000-000051410000}"/>
    <cellStyle name="Output 2 14 5 3 2" xfId="12363" xr:uid="{00000000-0005-0000-0000-000052410000}"/>
    <cellStyle name="Output 2 14 5 3 3" xfId="18982" xr:uid="{00000000-0005-0000-0000-000053410000}"/>
    <cellStyle name="Output 2 14 5 3_Summary" xfId="23347" xr:uid="{00000000-0005-0000-0000-000054410000}"/>
    <cellStyle name="Output 2 14 5 4" xfId="8192" xr:uid="{00000000-0005-0000-0000-000055410000}"/>
    <cellStyle name="Output 2 14 5 5" xfId="14811" xr:uid="{00000000-0005-0000-0000-000056410000}"/>
    <cellStyle name="Output 2 14 5_Summary" xfId="23345" xr:uid="{00000000-0005-0000-0000-000057410000}"/>
    <cellStyle name="Output 2 14 6" xfId="1875" xr:uid="{00000000-0005-0000-0000-000058410000}"/>
    <cellStyle name="Output 2 14 6 2" xfId="4011" xr:uid="{00000000-0005-0000-0000-000059410000}"/>
    <cellStyle name="Output 2 14 6 2 2" xfId="10607" xr:uid="{00000000-0005-0000-0000-00005A410000}"/>
    <cellStyle name="Output 2 14 6 2 3" xfId="17226" xr:uid="{00000000-0005-0000-0000-00005B410000}"/>
    <cellStyle name="Output 2 14 6 2_Summary" xfId="23349" xr:uid="{00000000-0005-0000-0000-00005C410000}"/>
    <cellStyle name="Output 2 14 6 3" xfId="6046" xr:uid="{00000000-0005-0000-0000-00005D410000}"/>
    <cellStyle name="Output 2 14 6 3 2" xfId="12642" xr:uid="{00000000-0005-0000-0000-00005E410000}"/>
    <cellStyle name="Output 2 14 6 3 3" xfId="19261" xr:uid="{00000000-0005-0000-0000-00005F410000}"/>
    <cellStyle name="Output 2 14 6 3_Summary" xfId="23350" xr:uid="{00000000-0005-0000-0000-000060410000}"/>
    <cellStyle name="Output 2 14 6 4" xfId="8471" xr:uid="{00000000-0005-0000-0000-000061410000}"/>
    <cellStyle name="Output 2 14 6 5" xfId="15090" xr:uid="{00000000-0005-0000-0000-000062410000}"/>
    <cellStyle name="Output 2 14 6_Summary" xfId="23348" xr:uid="{00000000-0005-0000-0000-000063410000}"/>
    <cellStyle name="Output 2 14 7" xfId="2150" xr:uid="{00000000-0005-0000-0000-000064410000}"/>
    <cellStyle name="Output 2 14 7 2" xfId="4286" xr:uid="{00000000-0005-0000-0000-000065410000}"/>
    <cellStyle name="Output 2 14 7 2 2" xfId="10882" xr:uid="{00000000-0005-0000-0000-000066410000}"/>
    <cellStyle name="Output 2 14 7 2 3" xfId="17501" xr:uid="{00000000-0005-0000-0000-000067410000}"/>
    <cellStyle name="Output 2 14 7 2_Summary" xfId="23352" xr:uid="{00000000-0005-0000-0000-000068410000}"/>
    <cellStyle name="Output 2 14 7 3" xfId="6321" xr:uid="{00000000-0005-0000-0000-000069410000}"/>
    <cellStyle name="Output 2 14 7 3 2" xfId="12917" xr:uid="{00000000-0005-0000-0000-00006A410000}"/>
    <cellStyle name="Output 2 14 7 3 3" xfId="19536" xr:uid="{00000000-0005-0000-0000-00006B410000}"/>
    <cellStyle name="Output 2 14 7 3_Summary" xfId="23353" xr:uid="{00000000-0005-0000-0000-00006C410000}"/>
    <cellStyle name="Output 2 14 7 4" xfId="8746" xr:uid="{00000000-0005-0000-0000-00006D410000}"/>
    <cellStyle name="Output 2 14 7 5" xfId="15365" xr:uid="{00000000-0005-0000-0000-00006E410000}"/>
    <cellStyle name="Output 2 14 7_Summary" xfId="23351" xr:uid="{00000000-0005-0000-0000-00006F410000}"/>
    <cellStyle name="Output 2 14 8" xfId="2423" xr:uid="{00000000-0005-0000-0000-000070410000}"/>
    <cellStyle name="Output 2 14 8 2" xfId="4559" xr:uid="{00000000-0005-0000-0000-000071410000}"/>
    <cellStyle name="Output 2 14 8 2 2" xfId="11155" xr:uid="{00000000-0005-0000-0000-000072410000}"/>
    <cellStyle name="Output 2 14 8 2 3" xfId="17774" xr:uid="{00000000-0005-0000-0000-000073410000}"/>
    <cellStyle name="Output 2 14 8 2_Summary" xfId="23355" xr:uid="{00000000-0005-0000-0000-000074410000}"/>
    <cellStyle name="Output 2 14 8 3" xfId="6594" xr:uid="{00000000-0005-0000-0000-000075410000}"/>
    <cellStyle name="Output 2 14 8 3 2" xfId="13190" xr:uid="{00000000-0005-0000-0000-000076410000}"/>
    <cellStyle name="Output 2 14 8 3 3" xfId="19809" xr:uid="{00000000-0005-0000-0000-000077410000}"/>
    <cellStyle name="Output 2 14 8 3_Summary" xfId="23356" xr:uid="{00000000-0005-0000-0000-000078410000}"/>
    <cellStyle name="Output 2 14 8 4" xfId="9019" xr:uid="{00000000-0005-0000-0000-000079410000}"/>
    <cellStyle name="Output 2 14 8 5" xfId="15638" xr:uid="{00000000-0005-0000-0000-00007A410000}"/>
    <cellStyle name="Output 2 14 8_Summary" xfId="23354" xr:uid="{00000000-0005-0000-0000-00007B410000}"/>
    <cellStyle name="Output 2 14 9" xfId="2724" xr:uid="{00000000-0005-0000-0000-00007C410000}"/>
    <cellStyle name="Output 2 14 9 2" xfId="9320" xr:uid="{00000000-0005-0000-0000-00007D410000}"/>
    <cellStyle name="Output 2 14 9 3" xfId="15939" xr:uid="{00000000-0005-0000-0000-00007E410000}"/>
    <cellStyle name="Output 2 14 9_Summary" xfId="23357" xr:uid="{00000000-0005-0000-0000-00007F410000}"/>
    <cellStyle name="Output 2 14_Summary" xfId="23314" xr:uid="{00000000-0005-0000-0000-000080410000}"/>
    <cellStyle name="Output 2 15" xfId="341" xr:uid="{00000000-0005-0000-0000-000081410000}"/>
    <cellStyle name="Output 2 15 10" xfId="4761" xr:uid="{00000000-0005-0000-0000-000082410000}"/>
    <cellStyle name="Output 2 15 10 2" xfId="11357" xr:uid="{00000000-0005-0000-0000-000083410000}"/>
    <cellStyle name="Output 2 15 10 3" xfId="17976" xr:uid="{00000000-0005-0000-0000-000084410000}"/>
    <cellStyle name="Output 2 15 10_Summary" xfId="23359" xr:uid="{00000000-0005-0000-0000-000085410000}"/>
    <cellStyle name="Output 2 15 11" xfId="590" xr:uid="{00000000-0005-0000-0000-000086410000}"/>
    <cellStyle name="Output 2 15 11 2" xfId="13805" xr:uid="{00000000-0005-0000-0000-000087410000}"/>
    <cellStyle name="Output 2 15 11_Summary" xfId="23360" xr:uid="{00000000-0005-0000-0000-000088410000}"/>
    <cellStyle name="Output 2 15 12" xfId="7234" xr:uid="{00000000-0005-0000-0000-000089410000}"/>
    <cellStyle name="Output 2 15 13" xfId="13556" xr:uid="{00000000-0005-0000-0000-00008A410000}"/>
    <cellStyle name="Output 2 15 2" xfId="469" xr:uid="{00000000-0005-0000-0000-00008B410000}"/>
    <cellStyle name="Output 2 15 2 10" xfId="863" xr:uid="{00000000-0005-0000-0000-00008C410000}"/>
    <cellStyle name="Output 2 15 2 10 2" xfId="14078" xr:uid="{00000000-0005-0000-0000-00008D410000}"/>
    <cellStyle name="Output 2 15 2 10_Summary" xfId="23362" xr:uid="{00000000-0005-0000-0000-00008E410000}"/>
    <cellStyle name="Output 2 15 2 11" xfId="7362" xr:uid="{00000000-0005-0000-0000-00008F410000}"/>
    <cellStyle name="Output 2 15 2 12" xfId="13684" xr:uid="{00000000-0005-0000-0000-000090410000}"/>
    <cellStyle name="Output 2 15 2 2" xfId="1163" xr:uid="{00000000-0005-0000-0000-000091410000}"/>
    <cellStyle name="Output 2 15 2 2 2" xfId="3299" xr:uid="{00000000-0005-0000-0000-000092410000}"/>
    <cellStyle name="Output 2 15 2 2 2 2" xfId="9895" xr:uid="{00000000-0005-0000-0000-000093410000}"/>
    <cellStyle name="Output 2 15 2 2 2 3" xfId="16514" xr:uid="{00000000-0005-0000-0000-000094410000}"/>
    <cellStyle name="Output 2 15 2 2 2_Summary" xfId="23364" xr:uid="{00000000-0005-0000-0000-000095410000}"/>
    <cellStyle name="Output 2 15 2 2 3" xfId="5334" xr:uid="{00000000-0005-0000-0000-000096410000}"/>
    <cellStyle name="Output 2 15 2 2 3 2" xfId="11930" xr:uid="{00000000-0005-0000-0000-000097410000}"/>
    <cellStyle name="Output 2 15 2 2 3 3" xfId="18549" xr:uid="{00000000-0005-0000-0000-000098410000}"/>
    <cellStyle name="Output 2 15 2 2 3_Summary" xfId="23365" xr:uid="{00000000-0005-0000-0000-000099410000}"/>
    <cellStyle name="Output 2 15 2 2 4" xfId="7759" xr:uid="{00000000-0005-0000-0000-00009A410000}"/>
    <cellStyle name="Output 2 15 2 2 5" xfId="14378" xr:uid="{00000000-0005-0000-0000-00009B410000}"/>
    <cellStyle name="Output 2 15 2 2_Summary" xfId="23363" xr:uid="{00000000-0005-0000-0000-00009C410000}"/>
    <cellStyle name="Output 2 15 2 3" xfId="1445" xr:uid="{00000000-0005-0000-0000-00009D410000}"/>
    <cellStyle name="Output 2 15 2 3 2" xfId="3581" xr:uid="{00000000-0005-0000-0000-00009E410000}"/>
    <cellStyle name="Output 2 15 2 3 2 2" xfId="10177" xr:uid="{00000000-0005-0000-0000-00009F410000}"/>
    <cellStyle name="Output 2 15 2 3 2 3" xfId="16796" xr:uid="{00000000-0005-0000-0000-0000A0410000}"/>
    <cellStyle name="Output 2 15 2 3 2_Summary" xfId="23367" xr:uid="{00000000-0005-0000-0000-0000A1410000}"/>
    <cellStyle name="Output 2 15 2 3 3" xfId="5616" xr:uid="{00000000-0005-0000-0000-0000A2410000}"/>
    <cellStyle name="Output 2 15 2 3 3 2" xfId="12212" xr:uid="{00000000-0005-0000-0000-0000A3410000}"/>
    <cellStyle name="Output 2 15 2 3 3 3" xfId="18831" xr:uid="{00000000-0005-0000-0000-0000A4410000}"/>
    <cellStyle name="Output 2 15 2 3 3_Summary" xfId="23368" xr:uid="{00000000-0005-0000-0000-0000A5410000}"/>
    <cellStyle name="Output 2 15 2 3 4" xfId="8041" xr:uid="{00000000-0005-0000-0000-0000A6410000}"/>
    <cellStyle name="Output 2 15 2 3 5" xfId="14660" xr:uid="{00000000-0005-0000-0000-0000A7410000}"/>
    <cellStyle name="Output 2 15 2 3_Summary" xfId="23366" xr:uid="{00000000-0005-0000-0000-0000A8410000}"/>
    <cellStyle name="Output 2 15 2 4" xfId="1726" xr:uid="{00000000-0005-0000-0000-0000A9410000}"/>
    <cellStyle name="Output 2 15 2 4 2" xfId="3862" xr:uid="{00000000-0005-0000-0000-0000AA410000}"/>
    <cellStyle name="Output 2 15 2 4 2 2" xfId="10458" xr:uid="{00000000-0005-0000-0000-0000AB410000}"/>
    <cellStyle name="Output 2 15 2 4 2 3" xfId="17077" xr:uid="{00000000-0005-0000-0000-0000AC410000}"/>
    <cellStyle name="Output 2 15 2 4 2_Summary" xfId="23370" xr:uid="{00000000-0005-0000-0000-0000AD410000}"/>
    <cellStyle name="Output 2 15 2 4 3" xfId="5897" xr:uid="{00000000-0005-0000-0000-0000AE410000}"/>
    <cellStyle name="Output 2 15 2 4 3 2" xfId="12493" xr:uid="{00000000-0005-0000-0000-0000AF410000}"/>
    <cellStyle name="Output 2 15 2 4 3 3" xfId="19112" xr:uid="{00000000-0005-0000-0000-0000B0410000}"/>
    <cellStyle name="Output 2 15 2 4 3_Summary" xfId="23371" xr:uid="{00000000-0005-0000-0000-0000B1410000}"/>
    <cellStyle name="Output 2 15 2 4 4" xfId="8322" xr:uid="{00000000-0005-0000-0000-0000B2410000}"/>
    <cellStyle name="Output 2 15 2 4 5" xfId="14941" xr:uid="{00000000-0005-0000-0000-0000B3410000}"/>
    <cellStyle name="Output 2 15 2 4_Summary" xfId="23369" xr:uid="{00000000-0005-0000-0000-0000B4410000}"/>
    <cellStyle name="Output 2 15 2 5" xfId="2005" xr:uid="{00000000-0005-0000-0000-0000B5410000}"/>
    <cellStyle name="Output 2 15 2 5 2" xfId="4141" xr:uid="{00000000-0005-0000-0000-0000B6410000}"/>
    <cellStyle name="Output 2 15 2 5 2 2" xfId="10737" xr:uid="{00000000-0005-0000-0000-0000B7410000}"/>
    <cellStyle name="Output 2 15 2 5 2 3" xfId="17356" xr:uid="{00000000-0005-0000-0000-0000B8410000}"/>
    <cellStyle name="Output 2 15 2 5 2_Summary" xfId="23373" xr:uid="{00000000-0005-0000-0000-0000B9410000}"/>
    <cellStyle name="Output 2 15 2 5 3" xfId="6176" xr:uid="{00000000-0005-0000-0000-0000BA410000}"/>
    <cellStyle name="Output 2 15 2 5 3 2" xfId="12772" xr:uid="{00000000-0005-0000-0000-0000BB410000}"/>
    <cellStyle name="Output 2 15 2 5 3 3" xfId="19391" xr:uid="{00000000-0005-0000-0000-0000BC410000}"/>
    <cellStyle name="Output 2 15 2 5 3_Summary" xfId="23374" xr:uid="{00000000-0005-0000-0000-0000BD410000}"/>
    <cellStyle name="Output 2 15 2 5 4" xfId="8601" xr:uid="{00000000-0005-0000-0000-0000BE410000}"/>
    <cellStyle name="Output 2 15 2 5 5" xfId="15220" xr:uid="{00000000-0005-0000-0000-0000BF410000}"/>
    <cellStyle name="Output 2 15 2 5_Summary" xfId="23372" xr:uid="{00000000-0005-0000-0000-0000C0410000}"/>
    <cellStyle name="Output 2 15 2 6" xfId="2280" xr:uid="{00000000-0005-0000-0000-0000C1410000}"/>
    <cellStyle name="Output 2 15 2 6 2" xfId="4416" xr:uid="{00000000-0005-0000-0000-0000C2410000}"/>
    <cellStyle name="Output 2 15 2 6 2 2" xfId="11012" xr:uid="{00000000-0005-0000-0000-0000C3410000}"/>
    <cellStyle name="Output 2 15 2 6 2 3" xfId="17631" xr:uid="{00000000-0005-0000-0000-0000C4410000}"/>
    <cellStyle name="Output 2 15 2 6 2_Summary" xfId="23376" xr:uid="{00000000-0005-0000-0000-0000C5410000}"/>
    <cellStyle name="Output 2 15 2 6 3" xfId="6451" xr:uid="{00000000-0005-0000-0000-0000C6410000}"/>
    <cellStyle name="Output 2 15 2 6 3 2" xfId="13047" xr:uid="{00000000-0005-0000-0000-0000C7410000}"/>
    <cellStyle name="Output 2 15 2 6 3 3" xfId="19666" xr:uid="{00000000-0005-0000-0000-0000C8410000}"/>
    <cellStyle name="Output 2 15 2 6 3_Summary" xfId="23377" xr:uid="{00000000-0005-0000-0000-0000C9410000}"/>
    <cellStyle name="Output 2 15 2 6 4" xfId="8876" xr:uid="{00000000-0005-0000-0000-0000CA410000}"/>
    <cellStyle name="Output 2 15 2 6 5" xfId="15495" xr:uid="{00000000-0005-0000-0000-0000CB410000}"/>
    <cellStyle name="Output 2 15 2 6_Summary" xfId="23375" xr:uid="{00000000-0005-0000-0000-0000CC410000}"/>
    <cellStyle name="Output 2 15 2 7" xfId="2553" xr:uid="{00000000-0005-0000-0000-0000CD410000}"/>
    <cellStyle name="Output 2 15 2 7 2" xfId="4689" xr:uid="{00000000-0005-0000-0000-0000CE410000}"/>
    <cellStyle name="Output 2 15 2 7 2 2" xfId="11285" xr:uid="{00000000-0005-0000-0000-0000CF410000}"/>
    <cellStyle name="Output 2 15 2 7 2 3" xfId="17904" xr:uid="{00000000-0005-0000-0000-0000D0410000}"/>
    <cellStyle name="Output 2 15 2 7 2_Summary" xfId="23379" xr:uid="{00000000-0005-0000-0000-0000D1410000}"/>
    <cellStyle name="Output 2 15 2 7 3" xfId="6724" xr:uid="{00000000-0005-0000-0000-0000D2410000}"/>
    <cellStyle name="Output 2 15 2 7 3 2" xfId="13320" xr:uid="{00000000-0005-0000-0000-0000D3410000}"/>
    <cellStyle name="Output 2 15 2 7 3 3" xfId="19939" xr:uid="{00000000-0005-0000-0000-0000D4410000}"/>
    <cellStyle name="Output 2 15 2 7 3_Summary" xfId="23380" xr:uid="{00000000-0005-0000-0000-0000D5410000}"/>
    <cellStyle name="Output 2 15 2 7 4" xfId="9149" xr:uid="{00000000-0005-0000-0000-0000D6410000}"/>
    <cellStyle name="Output 2 15 2 7 5" xfId="15768" xr:uid="{00000000-0005-0000-0000-0000D7410000}"/>
    <cellStyle name="Output 2 15 2 7_Summary" xfId="23378" xr:uid="{00000000-0005-0000-0000-0000D8410000}"/>
    <cellStyle name="Output 2 15 2 8" xfId="2999" xr:uid="{00000000-0005-0000-0000-0000D9410000}"/>
    <cellStyle name="Output 2 15 2 8 2" xfId="9595" xr:uid="{00000000-0005-0000-0000-0000DA410000}"/>
    <cellStyle name="Output 2 15 2 8 3" xfId="16214" xr:uid="{00000000-0005-0000-0000-0000DB410000}"/>
    <cellStyle name="Output 2 15 2 8_Summary" xfId="23381" xr:uid="{00000000-0005-0000-0000-0000DC410000}"/>
    <cellStyle name="Output 2 15 2 9" xfId="5034" xr:uid="{00000000-0005-0000-0000-0000DD410000}"/>
    <cellStyle name="Output 2 15 2 9 2" xfId="11630" xr:uid="{00000000-0005-0000-0000-0000DE410000}"/>
    <cellStyle name="Output 2 15 2 9 3" xfId="18249" xr:uid="{00000000-0005-0000-0000-0000DF410000}"/>
    <cellStyle name="Output 2 15 2 9_Summary" xfId="23382" xr:uid="{00000000-0005-0000-0000-0000E0410000}"/>
    <cellStyle name="Output 2 15 2_Summary" xfId="23361" xr:uid="{00000000-0005-0000-0000-0000E1410000}"/>
    <cellStyle name="Output 2 15 3" xfId="1035" xr:uid="{00000000-0005-0000-0000-0000E2410000}"/>
    <cellStyle name="Output 2 15 3 2" xfId="3171" xr:uid="{00000000-0005-0000-0000-0000E3410000}"/>
    <cellStyle name="Output 2 15 3 2 2" xfId="9767" xr:uid="{00000000-0005-0000-0000-0000E4410000}"/>
    <cellStyle name="Output 2 15 3 2 3" xfId="16386" xr:uid="{00000000-0005-0000-0000-0000E5410000}"/>
    <cellStyle name="Output 2 15 3 2_Summary" xfId="23384" xr:uid="{00000000-0005-0000-0000-0000E6410000}"/>
    <cellStyle name="Output 2 15 3 3" xfId="5206" xr:uid="{00000000-0005-0000-0000-0000E7410000}"/>
    <cellStyle name="Output 2 15 3 3 2" xfId="11802" xr:uid="{00000000-0005-0000-0000-0000E8410000}"/>
    <cellStyle name="Output 2 15 3 3 3" xfId="18421" xr:uid="{00000000-0005-0000-0000-0000E9410000}"/>
    <cellStyle name="Output 2 15 3 3_Summary" xfId="23385" xr:uid="{00000000-0005-0000-0000-0000EA410000}"/>
    <cellStyle name="Output 2 15 3 4" xfId="7632" xr:uid="{00000000-0005-0000-0000-0000EB410000}"/>
    <cellStyle name="Output 2 15 3 5" xfId="14250" xr:uid="{00000000-0005-0000-0000-0000EC410000}"/>
    <cellStyle name="Output 2 15 3_Summary" xfId="23383" xr:uid="{00000000-0005-0000-0000-0000ED410000}"/>
    <cellStyle name="Output 2 15 4" xfId="1317" xr:uid="{00000000-0005-0000-0000-0000EE410000}"/>
    <cellStyle name="Output 2 15 4 2" xfId="3453" xr:uid="{00000000-0005-0000-0000-0000EF410000}"/>
    <cellStyle name="Output 2 15 4 2 2" xfId="10049" xr:uid="{00000000-0005-0000-0000-0000F0410000}"/>
    <cellStyle name="Output 2 15 4 2 3" xfId="16668" xr:uid="{00000000-0005-0000-0000-0000F1410000}"/>
    <cellStyle name="Output 2 15 4 2_Summary" xfId="23387" xr:uid="{00000000-0005-0000-0000-0000F2410000}"/>
    <cellStyle name="Output 2 15 4 3" xfId="5488" xr:uid="{00000000-0005-0000-0000-0000F3410000}"/>
    <cellStyle name="Output 2 15 4 3 2" xfId="12084" xr:uid="{00000000-0005-0000-0000-0000F4410000}"/>
    <cellStyle name="Output 2 15 4 3 3" xfId="18703" xr:uid="{00000000-0005-0000-0000-0000F5410000}"/>
    <cellStyle name="Output 2 15 4 3_Summary" xfId="23388" xr:uid="{00000000-0005-0000-0000-0000F6410000}"/>
    <cellStyle name="Output 2 15 4 4" xfId="7913" xr:uid="{00000000-0005-0000-0000-0000F7410000}"/>
    <cellStyle name="Output 2 15 4 5" xfId="14532" xr:uid="{00000000-0005-0000-0000-0000F8410000}"/>
    <cellStyle name="Output 2 15 4_Summary" xfId="23386" xr:uid="{00000000-0005-0000-0000-0000F9410000}"/>
    <cellStyle name="Output 2 15 5" xfId="1598" xr:uid="{00000000-0005-0000-0000-0000FA410000}"/>
    <cellStyle name="Output 2 15 5 2" xfId="3734" xr:uid="{00000000-0005-0000-0000-0000FB410000}"/>
    <cellStyle name="Output 2 15 5 2 2" xfId="10330" xr:uid="{00000000-0005-0000-0000-0000FC410000}"/>
    <cellStyle name="Output 2 15 5 2 3" xfId="16949" xr:uid="{00000000-0005-0000-0000-0000FD410000}"/>
    <cellStyle name="Output 2 15 5 2_Summary" xfId="23390" xr:uid="{00000000-0005-0000-0000-0000FE410000}"/>
    <cellStyle name="Output 2 15 5 3" xfId="5769" xr:uid="{00000000-0005-0000-0000-0000FF410000}"/>
    <cellStyle name="Output 2 15 5 3 2" xfId="12365" xr:uid="{00000000-0005-0000-0000-000000420000}"/>
    <cellStyle name="Output 2 15 5 3 3" xfId="18984" xr:uid="{00000000-0005-0000-0000-000001420000}"/>
    <cellStyle name="Output 2 15 5 3_Summary" xfId="23391" xr:uid="{00000000-0005-0000-0000-000002420000}"/>
    <cellStyle name="Output 2 15 5 4" xfId="8194" xr:uid="{00000000-0005-0000-0000-000003420000}"/>
    <cellStyle name="Output 2 15 5 5" xfId="14813" xr:uid="{00000000-0005-0000-0000-000004420000}"/>
    <cellStyle name="Output 2 15 5_Summary" xfId="23389" xr:uid="{00000000-0005-0000-0000-000005420000}"/>
    <cellStyle name="Output 2 15 6" xfId="1877" xr:uid="{00000000-0005-0000-0000-000006420000}"/>
    <cellStyle name="Output 2 15 6 2" xfId="4013" xr:uid="{00000000-0005-0000-0000-000007420000}"/>
    <cellStyle name="Output 2 15 6 2 2" xfId="10609" xr:uid="{00000000-0005-0000-0000-000008420000}"/>
    <cellStyle name="Output 2 15 6 2 3" xfId="17228" xr:uid="{00000000-0005-0000-0000-000009420000}"/>
    <cellStyle name="Output 2 15 6 2_Summary" xfId="23393" xr:uid="{00000000-0005-0000-0000-00000A420000}"/>
    <cellStyle name="Output 2 15 6 3" xfId="6048" xr:uid="{00000000-0005-0000-0000-00000B420000}"/>
    <cellStyle name="Output 2 15 6 3 2" xfId="12644" xr:uid="{00000000-0005-0000-0000-00000C420000}"/>
    <cellStyle name="Output 2 15 6 3 3" xfId="19263" xr:uid="{00000000-0005-0000-0000-00000D420000}"/>
    <cellStyle name="Output 2 15 6 3_Summary" xfId="23394" xr:uid="{00000000-0005-0000-0000-00000E420000}"/>
    <cellStyle name="Output 2 15 6 4" xfId="8473" xr:uid="{00000000-0005-0000-0000-00000F420000}"/>
    <cellStyle name="Output 2 15 6 5" xfId="15092" xr:uid="{00000000-0005-0000-0000-000010420000}"/>
    <cellStyle name="Output 2 15 6_Summary" xfId="23392" xr:uid="{00000000-0005-0000-0000-000011420000}"/>
    <cellStyle name="Output 2 15 7" xfId="2152" xr:uid="{00000000-0005-0000-0000-000012420000}"/>
    <cellStyle name="Output 2 15 7 2" xfId="4288" xr:uid="{00000000-0005-0000-0000-000013420000}"/>
    <cellStyle name="Output 2 15 7 2 2" xfId="10884" xr:uid="{00000000-0005-0000-0000-000014420000}"/>
    <cellStyle name="Output 2 15 7 2 3" xfId="17503" xr:uid="{00000000-0005-0000-0000-000015420000}"/>
    <cellStyle name="Output 2 15 7 2_Summary" xfId="23396" xr:uid="{00000000-0005-0000-0000-000016420000}"/>
    <cellStyle name="Output 2 15 7 3" xfId="6323" xr:uid="{00000000-0005-0000-0000-000017420000}"/>
    <cellStyle name="Output 2 15 7 3 2" xfId="12919" xr:uid="{00000000-0005-0000-0000-000018420000}"/>
    <cellStyle name="Output 2 15 7 3 3" xfId="19538" xr:uid="{00000000-0005-0000-0000-000019420000}"/>
    <cellStyle name="Output 2 15 7 3_Summary" xfId="23397" xr:uid="{00000000-0005-0000-0000-00001A420000}"/>
    <cellStyle name="Output 2 15 7 4" xfId="8748" xr:uid="{00000000-0005-0000-0000-00001B420000}"/>
    <cellStyle name="Output 2 15 7 5" xfId="15367" xr:uid="{00000000-0005-0000-0000-00001C420000}"/>
    <cellStyle name="Output 2 15 7_Summary" xfId="23395" xr:uid="{00000000-0005-0000-0000-00001D420000}"/>
    <cellStyle name="Output 2 15 8" xfId="2425" xr:uid="{00000000-0005-0000-0000-00001E420000}"/>
    <cellStyle name="Output 2 15 8 2" xfId="4561" xr:uid="{00000000-0005-0000-0000-00001F420000}"/>
    <cellStyle name="Output 2 15 8 2 2" xfId="11157" xr:uid="{00000000-0005-0000-0000-000020420000}"/>
    <cellStyle name="Output 2 15 8 2 3" xfId="17776" xr:uid="{00000000-0005-0000-0000-000021420000}"/>
    <cellStyle name="Output 2 15 8 2_Summary" xfId="23399" xr:uid="{00000000-0005-0000-0000-000022420000}"/>
    <cellStyle name="Output 2 15 8 3" xfId="6596" xr:uid="{00000000-0005-0000-0000-000023420000}"/>
    <cellStyle name="Output 2 15 8 3 2" xfId="13192" xr:uid="{00000000-0005-0000-0000-000024420000}"/>
    <cellStyle name="Output 2 15 8 3 3" xfId="19811" xr:uid="{00000000-0005-0000-0000-000025420000}"/>
    <cellStyle name="Output 2 15 8 3_Summary" xfId="23400" xr:uid="{00000000-0005-0000-0000-000026420000}"/>
    <cellStyle name="Output 2 15 8 4" xfId="9021" xr:uid="{00000000-0005-0000-0000-000027420000}"/>
    <cellStyle name="Output 2 15 8 5" xfId="15640" xr:uid="{00000000-0005-0000-0000-000028420000}"/>
    <cellStyle name="Output 2 15 8_Summary" xfId="23398" xr:uid="{00000000-0005-0000-0000-000029420000}"/>
    <cellStyle name="Output 2 15 9" xfId="2726" xr:uid="{00000000-0005-0000-0000-00002A420000}"/>
    <cellStyle name="Output 2 15 9 2" xfId="9322" xr:uid="{00000000-0005-0000-0000-00002B420000}"/>
    <cellStyle name="Output 2 15 9 3" xfId="15941" xr:uid="{00000000-0005-0000-0000-00002C420000}"/>
    <cellStyle name="Output 2 15 9_Summary" xfId="23401" xr:uid="{00000000-0005-0000-0000-00002D420000}"/>
    <cellStyle name="Output 2 15_Summary" xfId="23358" xr:uid="{00000000-0005-0000-0000-00002E420000}"/>
    <cellStyle name="Output 2 16" xfId="206" xr:uid="{00000000-0005-0000-0000-00002F420000}"/>
    <cellStyle name="Output 2 16 10" xfId="4914" xr:uid="{00000000-0005-0000-0000-000030420000}"/>
    <cellStyle name="Output 2 16 10 2" xfId="11510" xr:uid="{00000000-0005-0000-0000-000031420000}"/>
    <cellStyle name="Output 2 16 10 3" xfId="18129" xr:uid="{00000000-0005-0000-0000-000032420000}"/>
    <cellStyle name="Output 2 16 10_Summary" xfId="23403" xr:uid="{00000000-0005-0000-0000-000033420000}"/>
    <cellStyle name="Output 2 16 11" xfId="743" xr:uid="{00000000-0005-0000-0000-000034420000}"/>
    <cellStyle name="Output 2 16 11 2" xfId="13958" xr:uid="{00000000-0005-0000-0000-000035420000}"/>
    <cellStyle name="Output 2 16 11_Summary" xfId="23404" xr:uid="{00000000-0005-0000-0000-000036420000}"/>
    <cellStyle name="Output 2 16 12" xfId="7113" xr:uid="{00000000-0005-0000-0000-000037420000}"/>
    <cellStyle name="Output 2 16 13" xfId="7020" xr:uid="{00000000-0005-0000-0000-000038420000}"/>
    <cellStyle name="Output 2 16 2" xfId="403" xr:uid="{00000000-0005-0000-0000-000039420000}"/>
    <cellStyle name="Output 2 16 2 10" xfId="7296" xr:uid="{00000000-0005-0000-0000-00003A420000}"/>
    <cellStyle name="Output 2 16 2 11" xfId="13618" xr:uid="{00000000-0005-0000-0000-00003B420000}"/>
    <cellStyle name="Output 2 16 2 2" xfId="1379" xr:uid="{00000000-0005-0000-0000-00003C420000}"/>
    <cellStyle name="Output 2 16 2 2 2" xfId="3515" xr:uid="{00000000-0005-0000-0000-00003D420000}"/>
    <cellStyle name="Output 2 16 2 2 2 2" xfId="10111" xr:uid="{00000000-0005-0000-0000-00003E420000}"/>
    <cellStyle name="Output 2 16 2 2 2 3" xfId="16730" xr:uid="{00000000-0005-0000-0000-00003F420000}"/>
    <cellStyle name="Output 2 16 2 2 2_Summary" xfId="23407" xr:uid="{00000000-0005-0000-0000-000040420000}"/>
    <cellStyle name="Output 2 16 2 2 3" xfId="5550" xr:uid="{00000000-0005-0000-0000-000041420000}"/>
    <cellStyle name="Output 2 16 2 2 3 2" xfId="12146" xr:uid="{00000000-0005-0000-0000-000042420000}"/>
    <cellStyle name="Output 2 16 2 2 3 3" xfId="18765" xr:uid="{00000000-0005-0000-0000-000043420000}"/>
    <cellStyle name="Output 2 16 2 2 3_Summary" xfId="23408" xr:uid="{00000000-0005-0000-0000-000044420000}"/>
    <cellStyle name="Output 2 16 2 2 4" xfId="7975" xr:uid="{00000000-0005-0000-0000-000045420000}"/>
    <cellStyle name="Output 2 16 2 2 5" xfId="14594" xr:uid="{00000000-0005-0000-0000-000046420000}"/>
    <cellStyle name="Output 2 16 2 2_Summary" xfId="23406" xr:uid="{00000000-0005-0000-0000-000047420000}"/>
    <cellStyle name="Output 2 16 2 3" xfId="1660" xr:uid="{00000000-0005-0000-0000-000048420000}"/>
    <cellStyle name="Output 2 16 2 3 2" xfId="3796" xr:uid="{00000000-0005-0000-0000-000049420000}"/>
    <cellStyle name="Output 2 16 2 3 2 2" xfId="10392" xr:uid="{00000000-0005-0000-0000-00004A420000}"/>
    <cellStyle name="Output 2 16 2 3 2 3" xfId="17011" xr:uid="{00000000-0005-0000-0000-00004B420000}"/>
    <cellStyle name="Output 2 16 2 3 2_Summary" xfId="23410" xr:uid="{00000000-0005-0000-0000-00004C420000}"/>
    <cellStyle name="Output 2 16 2 3 3" xfId="5831" xr:uid="{00000000-0005-0000-0000-00004D420000}"/>
    <cellStyle name="Output 2 16 2 3 3 2" xfId="12427" xr:uid="{00000000-0005-0000-0000-00004E420000}"/>
    <cellStyle name="Output 2 16 2 3 3 3" xfId="19046" xr:uid="{00000000-0005-0000-0000-00004F420000}"/>
    <cellStyle name="Output 2 16 2 3 3_Summary" xfId="23411" xr:uid="{00000000-0005-0000-0000-000050420000}"/>
    <cellStyle name="Output 2 16 2 3 4" xfId="8256" xr:uid="{00000000-0005-0000-0000-000051420000}"/>
    <cellStyle name="Output 2 16 2 3 5" xfId="14875" xr:uid="{00000000-0005-0000-0000-000052420000}"/>
    <cellStyle name="Output 2 16 2 3_Summary" xfId="23409" xr:uid="{00000000-0005-0000-0000-000053420000}"/>
    <cellStyle name="Output 2 16 2 4" xfId="1939" xr:uid="{00000000-0005-0000-0000-000054420000}"/>
    <cellStyle name="Output 2 16 2 4 2" xfId="4075" xr:uid="{00000000-0005-0000-0000-000055420000}"/>
    <cellStyle name="Output 2 16 2 4 2 2" xfId="10671" xr:uid="{00000000-0005-0000-0000-000056420000}"/>
    <cellStyle name="Output 2 16 2 4 2 3" xfId="17290" xr:uid="{00000000-0005-0000-0000-000057420000}"/>
    <cellStyle name="Output 2 16 2 4 2_Summary" xfId="23413" xr:uid="{00000000-0005-0000-0000-000058420000}"/>
    <cellStyle name="Output 2 16 2 4 3" xfId="6110" xr:uid="{00000000-0005-0000-0000-000059420000}"/>
    <cellStyle name="Output 2 16 2 4 3 2" xfId="12706" xr:uid="{00000000-0005-0000-0000-00005A420000}"/>
    <cellStyle name="Output 2 16 2 4 3 3" xfId="19325" xr:uid="{00000000-0005-0000-0000-00005B420000}"/>
    <cellStyle name="Output 2 16 2 4 3_Summary" xfId="23414" xr:uid="{00000000-0005-0000-0000-00005C420000}"/>
    <cellStyle name="Output 2 16 2 4 4" xfId="8535" xr:uid="{00000000-0005-0000-0000-00005D420000}"/>
    <cellStyle name="Output 2 16 2 4 5" xfId="15154" xr:uid="{00000000-0005-0000-0000-00005E420000}"/>
    <cellStyle name="Output 2 16 2 4_Summary" xfId="23412" xr:uid="{00000000-0005-0000-0000-00005F420000}"/>
    <cellStyle name="Output 2 16 2 5" xfId="2214" xr:uid="{00000000-0005-0000-0000-000060420000}"/>
    <cellStyle name="Output 2 16 2 5 2" xfId="4350" xr:uid="{00000000-0005-0000-0000-000061420000}"/>
    <cellStyle name="Output 2 16 2 5 2 2" xfId="10946" xr:uid="{00000000-0005-0000-0000-000062420000}"/>
    <cellStyle name="Output 2 16 2 5 2 3" xfId="17565" xr:uid="{00000000-0005-0000-0000-000063420000}"/>
    <cellStyle name="Output 2 16 2 5 2_Summary" xfId="23416" xr:uid="{00000000-0005-0000-0000-000064420000}"/>
    <cellStyle name="Output 2 16 2 5 3" xfId="6385" xr:uid="{00000000-0005-0000-0000-000065420000}"/>
    <cellStyle name="Output 2 16 2 5 3 2" xfId="12981" xr:uid="{00000000-0005-0000-0000-000066420000}"/>
    <cellStyle name="Output 2 16 2 5 3 3" xfId="19600" xr:uid="{00000000-0005-0000-0000-000067420000}"/>
    <cellStyle name="Output 2 16 2 5 3_Summary" xfId="23417" xr:uid="{00000000-0005-0000-0000-000068420000}"/>
    <cellStyle name="Output 2 16 2 5 4" xfId="8810" xr:uid="{00000000-0005-0000-0000-000069420000}"/>
    <cellStyle name="Output 2 16 2 5 5" xfId="15429" xr:uid="{00000000-0005-0000-0000-00006A420000}"/>
    <cellStyle name="Output 2 16 2 5_Summary" xfId="23415" xr:uid="{00000000-0005-0000-0000-00006B420000}"/>
    <cellStyle name="Output 2 16 2 6" xfId="2487" xr:uid="{00000000-0005-0000-0000-00006C420000}"/>
    <cellStyle name="Output 2 16 2 6 2" xfId="4623" xr:uid="{00000000-0005-0000-0000-00006D420000}"/>
    <cellStyle name="Output 2 16 2 6 2 2" xfId="11219" xr:uid="{00000000-0005-0000-0000-00006E420000}"/>
    <cellStyle name="Output 2 16 2 6 2 3" xfId="17838" xr:uid="{00000000-0005-0000-0000-00006F420000}"/>
    <cellStyle name="Output 2 16 2 6 2_Summary" xfId="23419" xr:uid="{00000000-0005-0000-0000-000070420000}"/>
    <cellStyle name="Output 2 16 2 6 3" xfId="6658" xr:uid="{00000000-0005-0000-0000-000071420000}"/>
    <cellStyle name="Output 2 16 2 6 3 2" xfId="13254" xr:uid="{00000000-0005-0000-0000-000072420000}"/>
    <cellStyle name="Output 2 16 2 6 3 3" xfId="19873" xr:uid="{00000000-0005-0000-0000-000073420000}"/>
    <cellStyle name="Output 2 16 2 6 3_Summary" xfId="23420" xr:uid="{00000000-0005-0000-0000-000074420000}"/>
    <cellStyle name="Output 2 16 2 6 4" xfId="9083" xr:uid="{00000000-0005-0000-0000-000075420000}"/>
    <cellStyle name="Output 2 16 2 6 5" xfId="15702" xr:uid="{00000000-0005-0000-0000-000076420000}"/>
    <cellStyle name="Output 2 16 2 6_Summary" xfId="23418" xr:uid="{00000000-0005-0000-0000-000077420000}"/>
    <cellStyle name="Output 2 16 2 7" xfId="3233" xr:uid="{00000000-0005-0000-0000-000078420000}"/>
    <cellStyle name="Output 2 16 2 7 2" xfId="9829" xr:uid="{00000000-0005-0000-0000-000079420000}"/>
    <cellStyle name="Output 2 16 2 7 3" xfId="16448" xr:uid="{00000000-0005-0000-0000-00007A420000}"/>
    <cellStyle name="Output 2 16 2 7_Summary" xfId="23421" xr:uid="{00000000-0005-0000-0000-00007B420000}"/>
    <cellStyle name="Output 2 16 2 8" xfId="5268" xr:uid="{00000000-0005-0000-0000-00007C420000}"/>
    <cellStyle name="Output 2 16 2 8 2" xfId="11864" xr:uid="{00000000-0005-0000-0000-00007D420000}"/>
    <cellStyle name="Output 2 16 2 8 3" xfId="18483" xr:uid="{00000000-0005-0000-0000-00007E420000}"/>
    <cellStyle name="Output 2 16 2 8_Summary" xfId="23422" xr:uid="{00000000-0005-0000-0000-00007F420000}"/>
    <cellStyle name="Output 2 16 2 9" xfId="1097" xr:uid="{00000000-0005-0000-0000-000080420000}"/>
    <cellStyle name="Output 2 16 2 9 2" xfId="14312" xr:uid="{00000000-0005-0000-0000-000081420000}"/>
    <cellStyle name="Output 2 16 2 9_Summary" xfId="23423" xr:uid="{00000000-0005-0000-0000-000082420000}"/>
    <cellStyle name="Output 2 16 2_Summary" xfId="23405" xr:uid="{00000000-0005-0000-0000-000083420000}"/>
    <cellStyle name="Output 2 16 3" xfId="911" xr:uid="{00000000-0005-0000-0000-000084420000}"/>
    <cellStyle name="Output 2 16 3 2" xfId="3047" xr:uid="{00000000-0005-0000-0000-000085420000}"/>
    <cellStyle name="Output 2 16 3 2 2" xfId="9643" xr:uid="{00000000-0005-0000-0000-000086420000}"/>
    <cellStyle name="Output 2 16 3 2 3" xfId="16262" xr:uid="{00000000-0005-0000-0000-000087420000}"/>
    <cellStyle name="Output 2 16 3 2_Summary" xfId="23425" xr:uid="{00000000-0005-0000-0000-000088420000}"/>
    <cellStyle name="Output 2 16 3 3" xfId="5082" xr:uid="{00000000-0005-0000-0000-000089420000}"/>
    <cellStyle name="Output 2 16 3 3 2" xfId="11678" xr:uid="{00000000-0005-0000-0000-00008A420000}"/>
    <cellStyle name="Output 2 16 3 3 3" xfId="18297" xr:uid="{00000000-0005-0000-0000-00008B420000}"/>
    <cellStyle name="Output 2 16 3 3_Summary" xfId="23426" xr:uid="{00000000-0005-0000-0000-00008C420000}"/>
    <cellStyle name="Output 2 16 3 4" xfId="7508" xr:uid="{00000000-0005-0000-0000-00008D420000}"/>
    <cellStyle name="Output 2 16 3 5" xfId="14126" xr:uid="{00000000-0005-0000-0000-00008E420000}"/>
    <cellStyle name="Output 2 16 3_Summary" xfId="23424" xr:uid="{00000000-0005-0000-0000-00008F420000}"/>
    <cellStyle name="Output 2 16 4" xfId="1196" xr:uid="{00000000-0005-0000-0000-000090420000}"/>
    <cellStyle name="Output 2 16 4 2" xfId="3332" xr:uid="{00000000-0005-0000-0000-000091420000}"/>
    <cellStyle name="Output 2 16 4 2 2" xfId="9928" xr:uid="{00000000-0005-0000-0000-000092420000}"/>
    <cellStyle name="Output 2 16 4 2 3" xfId="16547" xr:uid="{00000000-0005-0000-0000-000093420000}"/>
    <cellStyle name="Output 2 16 4 2_Summary" xfId="23428" xr:uid="{00000000-0005-0000-0000-000094420000}"/>
    <cellStyle name="Output 2 16 4 3" xfId="5367" xr:uid="{00000000-0005-0000-0000-000095420000}"/>
    <cellStyle name="Output 2 16 4 3 2" xfId="11963" xr:uid="{00000000-0005-0000-0000-000096420000}"/>
    <cellStyle name="Output 2 16 4 3 3" xfId="18582" xr:uid="{00000000-0005-0000-0000-000097420000}"/>
    <cellStyle name="Output 2 16 4 3_Summary" xfId="23429" xr:uid="{00000000-0005-0000-0000-000098420000}"/>
    <cellStyle name="Output 2 16 4 4" xfId="7792" xr:uid="{00000000-0005-0000-0000-000099420000}"/>
    <cellStyle name="Output 2 16 4 5" xfId="14411" xr:uid="{00000000-0005-0000-0000-00009A420000}"/>
    <cellStyle name="Output 2 16 4_Summary" xfId="23427" xr:uid="{00000000-0005-0000-0000-00009B420000}"/>
    <cellStyle name="Output 2 16 5" xfId="1478" xr:uid="{00000000-0005-0000-0000-00009C420000}"/>
    <cellStyle name="Output 2 16 5 2" xfId="3614" xr:uid="{00000000-0005-0000-0000-00009D420000}"/>
    <cellStyle name="Output 2 16 5 2 2" xfId="10210" xr:uid="{00000000-0005-0000-0000-00009E420000}"/>
    <cellStyle name="Output 2 16 5 2 3" xfId="16829" xr:uid="{00000000-0005-0000-0000-00009F420000}"/>
    <cellStyle name="Output 2 16 5 2_Summary" xfId="23431" xr:uid="{00000000-0005-0000-0000-0000A0420000}"/>
    <cellStyle name="Output 2 16 5 3" xfId="5649" xr:uid="{00000000-0005-0000-0000-0000A1420000}"/>
    <cellStyle name="Output 2 16 5 3 2" xfId="12245" xr:uid="{00000000-0005-0000-0000-0000A2420000}"/>
    <cellStyle name="Output 2 16 5 3 3" xfId="18864" xr:uid="{00000000-0005-0000-0000-0000A3420000}"/>
    <cellStyle name="Output 2 16 5 3_Summary" xfId="23432" xr:uid="{00000000-0005-0000-0000-0000A4420000}"/>
    <cellStyle name="Output 2 16 5 4" xfId="8074" xr:uid="{00000000-0005-0000-0000-0000A5420000}"/>
    <cellStyle name="Output 2 16 5 5" xfId="14693" xr:uid="{00000000-0005-0000-0000-0000A6420000}"/>
    <cellStyle name="Output 2 16 5_Summary" xfId="23430" xr:uid="{00000000-0005-0000-0000-0000A7420000}"/>
    <cellStyle name="Output 2 16 6" xfId="1759" xr:uid="{00000000-0005-0000-0000-0000A8420000}"/>
    <cellStyle name="Output 2 16 6 2" xfId="3895" xr:uid="{00000000-0005-0000-0000-0000A9420000}"/>
    <cellStyle name="Output 2 16 6 2 2" xfId="10491" xr:uid="{00000000-0005-0000-0000-0000AA420000}"/>
    <cellStyle name="Output 2 16 6 2 3" xfId="17110" xr:uid="{00000000-0005-0000-0000-0000AB420000}"/>
    <cellStyle name="Output 2 16 6 2_Summary" xfId="23434" xr:uid="{00000000-0005-0000-0000-0000AC420000}"/>
    <cellStyle name="Output 2 16 6 3" xfId="5930" xr:uid="{00000000-0005-0000-0000-0000AD420000}"/>
    <cellStyle name="Output 2 16 6 3 2" xfId="12526" xr:uid="{00000000-0005-0000-0000-0000AE420000}"/>
    <cellStyle name="Output 2 16 6 3 3" xfId="19145" xr:uid="{00000000-0005-0000-0000-0000AF420000}"/>
    <cellStyle name="Output 2 16 6 3_Summary" xfId="23435" xr:uid="{00000000-0005-0000-0000-0000B0420000}"/>
    <cellStyle name="Output 2 16 6 4" xfId="8355" xr:uid="{00000000-0005-0000-0000-0000B1420000}"/>
    <cellStyle name="Output 2 16 6 5" xfId="14974" xr:uid="{00000000-0005-0000-0000-0000B2420000}"/>
    <cellStyle name="Output 2 16 6_Summary" xfId="23433" xr:uid="{00000000-0005-0000-0000-0000B3420000}"/>
    <cellStyle name="Output 2 16 7" xfId="2038" xr:uid="{00000000-0005-0000-0000-0000B4420000}"/>
    <cellStyle name="Output 2 16 7 2" xfId="4174" xr:uid="{00000000-0005-0000-0000-0000B5420000}"/>
    <cellStyle name="Output 2 16 7 2 2" xfId="10770" xr:uid="{00000000-0005-0000-0000-0000B6420000}"/>
    <cellStyle name="Output 2 16 7 2 3" xfId="17389" xr:uid="{00000000-0005-0000-0000-0000B7420000}"/>
    <cellStyle name="Output 2 16 7 2_Summary" xfId="23437" xr:uid="{00000000-0005-0000-0000-0000B8420000}"/>
    <cellStyle name="Output 2 16 7 3" xfId="6209" xr:uid="{00000000-0005-0000-0000-0000B9420000}"/>
    <cellStyle name="Output 2 16 7 3 2" xfId="12805" xr:uid="{00000000-0005-0000-0000-0000BA420000}"/>
    <cellStyle name="Output 2 16 7 3 3" xfId="19424" xr:uid="{00000000-0005-0000-0000-0000BB420000}"/>
    <cellStyle name="Output 2 16 7 3_Summary" xfId="23438" xr:uid="{00000000-0005-0000-0000-0000BC420000}"/>
    <cellStyle name="Output 2 16 7 4" xfId="8634" xr:uid="{00000000-0005-0000-0000-0000BD420000}"/>
    <cellStyle name="Output 2 16 7 5" xfId="15253" xr:uid="{00000000-0005-0000-0000-0000BE420000}"/>
    <cellStyle name="Output 2 16 7_Summary" xfId="23436" xr:uid="{00000000-0005-0000-0000-0000BF420000}"/>
    <cellStyle name="Output 2 16 8" xfId="2313" xr:uid="{00000000-0005-0000-0000-0000C0420000}"/>
    <cellStyle name="Output 2 16 8 2" xfId="4449" xr:uid="{00000000-0005-0000-0000-0000C1420000}"/>
    <cellStyle name="Output 2 16 8 2 2" xfId="11045" xr:uid="{00000000-0005-0000-0000-0000C2420000}"/>
    <cellStyle name="Output 2 16 8 2 3" xfId="17664" xr:uid="{00000000-0005-0000-0000-0000C3420000}"/>
    <cellStyle name="Output 2 16 8 2_Summary" xfId="23440" xr:uid="{00000000-0005-0000-0000-0000C4420000}"/>
    <cellStyle name="Output 2 16 8 3" xfId="6484" xr:uid="{00000000-0005-0000-0000-0000C5420000}"/>
    <cellStyle name="Output 2 16 8 3 2" xfId="13080" xr:uid="{00000000-0005-0000-0000-0000C6420000}"/>
    <cellStyle name="Output 2 16 8 3 3" xfId="19699" xr:uid="{00000000-0005-0000-0000-0000C7420000}"/>
    <cellStyle name="Output 2 16 8 3_Summary" xfId="23441" xr:uid="{00000000-0005-0000-0000-0000C8420000}"/>
    <cellStyle name="Output 2 16 8 4" xfId="8909" xr:uid="{00000000-0005-0000-0000-0000C9420000}"/>
    <cellStyle name="Output 2 16 8 5" xfId="15528" xr:uid="{00000000-0005-0000-0000-0000CA420000}"/>
    <cellStyle name="Output 2 16 8_Summary" xfId="23439" xr:uid="{00000000-0005-0000-0000-0000CB420000}"/>
    <cellStyle name="Output 2 16 9" xfId="2879" xr:uid="{00000000-0005-0000-0000-0000CC420000}"/>
    <cellStyle name="Output 2 16 9 2" xfId="9475" xr:uid="{00000000-0005-0000-0000-0000CD420000}"/>
    <cellStyle name="Output 2 16 9 3" xfId="16094" xr:uid="{00000000-0005-0000-0000-0000CE420000}"/>
    <cellStyle name="Output 2 16 9_Summary" xfId="23442" xr:uid="{00000000-0005-0000-0000-0000CF420000}"/>
    <cellStyle name="Output 2 16_Summary" xfId="23402" xr:uid="{00000000-0005-0000-0000-0000D0420000}"/>
    <cellStyle name="Output 2 17" xfId="345" xr:uid="{00000000-0005-0000-0000-0000D1420000}"/>
    <cellStyle name="Output 2 17 10" xfId="668" xr:uid="{00000000-0005-0000-0000-0000D2420000}"/>
    <cellStyle name="Output 2 17 10 2" xfId="13883" xr:uid="{00000000-0005-0000-0000-0000D3420000}"/>
    <cellStyle name="Output 2 17 10_Summary" xfId="23444" xr:uid="{00000000-0005-0000-0000-0000D4420000}"/>
    <cellStyle name="Output 2 17 11" xfId="7238" xr:uid="{00000000-0005-0000-0000-0000D5420000}"/>
    <cellStyle name="Output 2 17 12" xfId="13560" xr:uid="{00000000-0005-0000-0000-0000D6420000}"/>
    <cellStyle name="Output 2 17 2" xfId="1039" xr:uid="{00000000-0005-0000-0000-0000D7420000}"/>
    <cellStyle name="Output 2 17 2 2" xfId="3175" xr:uid="{00000000-0005-0000-0000-0000D8420000}"/>
    <cellStyle name="Output 2 17 2 2 2" xfId="9771" xr:uid="{00000000-0005-0000-0000-0000D9420000}"/>
    <cellStyle name="Output 2 17 2 2 3" xfId="16390" xr:uid="{00000000-0005-0000-0000-0000DA420000}"/>
    <cellStyle name="Output 2 17 2 2_Summary" xfId="23446" xr:uid="{00000000-0005-0000-0000-0000DB420000}"/>
    <cellStyle name="Output 2 17 2 3" xfId="5210" xr:uid="{00000000-0005-0000-0000-0000DC420000}"/>
    <cellStyle name="Output 2 17 2 3 2" xfId="11806" xr:uid="{00000000-0005-0000-0000-0000DD420000}"/>
    <cellStyle name="Output 2 17 2 3 3" xfId="18425" xr:uid="{00000000-0005-0000-0000-0000DE420000}"/>
    <cellStyle name="Output 2 17 2 3_Summary" xfId="23447" xr:uid="{00000000-0005-0000-0000-0000DF420000}"/>
    <cellStyle name="Output 2 17 2 4" xfId="7636" xr:uid="{00000000-0005-0000-0000-0000E0420000}"/>
    <cellStyle name="Output 2 17 2 5" xfId="14254" xr:uid="{00000000-0005-0000-0000-0000E1420000}"/>
    <cellStyle name="Output 2 17 2_Summary" xfId="23445" xr:uid="{00000000-0005-0000-0000-0000E2420000}"/>
    <cellStyle name="Output 2 17 3" xfId="1321" xr:uid="{00000000-0005-0000-0000-0000E3420000}"/>
    <cellStyle name="Output 2 17 3 2" xfId="3457" xr:uid="{00000000-0005-0000-0000-0000E4420000}"/>
    <cellStyle name="Output 2 17 3 2 2" xfId="10053" xr:uid="{00000000-0005-0000-0000-0000E5420000}"/>
    <cellStyle name="Output 2 17 3 2 3" xfId="16672" xr:uid="{00000000-0005-0000-0000-0000E6420000}"/>
    <cellStyle name="Output 2 17 3 2_Summary" xfId="23449" xr:uid="{00000000-0005-0000-0000-0000E7420000}"/>
    <cellStyle name="Output 2 17 3 3" xfId="5492" xr:uid="{00000000-0005-0000-0000-0000E8420000}"/>
    <cellStyle name="Output 2 17 3 3 2" xfId="12088" xr:uid="{00000000-0005-0000-0000-0000E9420000}"/>
    <cellStyle name="Output 2 17 3 3 3" xfId="18707" xr:uid="{00000000-0005-0000-0000-0000EA420000}"/>
    <cellStyle name="Output 2 17 3 3_Summary" xfId="23450" xr:uid="{00000000-0005-0000-0000-0000EB420000}"/>
    <cellStyle name="Output 2 17 3 4" xfId="7917" xr:uid="{00000000-0005-0000-0000-0000EC420000}"/>
    <cellStyle name="Output 2 17 3 5" xfId="14536" xr:uid="{00000000-0005-0000-0000-0000ED420000}"/>
    <cellStyle name="Output 2 17 3_Summary" xfId="23448" xr:uid="{00000000-0005-0000-0000-0000EE420000}"/>
    <cellStyle name="Output 2 17 4" xfId="1602" xr:uid="{00000000-0005-0000-0000-0000EF420000}"/>
    <cellStyle name="Output 2 17 4 2" xfId="3738" xr:uid="{00000000-0005-0000-0000-0000F0420000}"/>
    <cellStyle name="Output 2 17 4 2 2" xfId="10334" xr:uid="{00000000-0005-0000-0000-0000F1420000}"/>
    <cellStyle name="Output 2 17 4 2 3" xfId="16953" xr:uid="{00000000-0005-0000-0000-0000F2420000}"/>
    <cellStyle name="Output 2 17 4 2_Summary" xfId="23452" xr:uid="{00000000-0005-0000-0000-0000F3420000}"/>
    <cellStyle name="Output 2 17 4 3" xfId="5773" xr:uid="{00000000-0005-0000-0000-0000F4420000}"/>
    <cellStyle name="Output 2 17 4 3 2" xfId="12369" xr:uid="{00000000-0005-0000-0000-0000F5420000}"/>
    <cellStyle name="Output 2 17 4 3 3" xfId="18988" xr:uid="{00000000-0005-0000-0000-0000F6420000}"/>
    <cellStyle name="Output 2 17 4 3_Summary" xfId="23453" xr:uid="{00000000-0005-0000-0000-0000F7420000}"/>
    <cellStyle name="Output 2 17 4 4" xfId="8198" xr:uid="{00000000-0005-0000-0000-0000F8420000}"/>
    <cellStyle name="Output 2 17 4 5" xfId="14817" xr:uid="{00000000-0005-0000-0000-0000F9420000}"/>
    <cellStyle name="Output 2 17 4_Summary" xfId="23451" xr:uid="{00000000-0005-0000-0000-0000FA420000}"/>
    <cellStyle name="Output 2 17 5" xfId="1881" xr:uid="{00000000-0005-0000-0000-0000FB420000}"/>
    <cellStyle name="Output 2 17 5 2" xfId="4017" xr:uid="{00000000-0005-0000-0000-0000FC420000}"/>
    <cellStyle name="Output 2 17 5 2 2" xfId="10613" xr:uid="{00000000-0005-0000-0000-0000FD420000}"/>
    <cellStyle name="Output 2 17 5 2 3" xfId="17232" xr:uid="{00000000-0005-0000-0000-0000FE420000}"/>
    <cellStyle name="Output 2 17 5 2_Summary" xfId="23455" xr:uid="{00000000-0005-0000-0000-0000FF420000}"/>
    <cellStyle name="Output 2 17 5 3" xfId="6052" xr:uid="{00000000-0005-0000-0000-000000430000}"/>
    <cellStyle name="Output 2 17 5 3 2" xfId="12648" xr:uid="{00000000-0005-0000-0000-000001430000}"/>
    <cellStyle name="Output 2 17 5 3 3" xfId="19267" xr:uid="{00000000-0005-0000-0000-000002430000}"/>
    <cellStyle name="Output 2 17 5 3_Summary" xfId="23456" xr:uid="{00000000-0005-0000-0000-000003430000}"/>
    <cellStyle name="Output 2 17 5 4" xfId="8477" xr:uid="{00000000-0005-0000-0000-000004430000}"/>
    <cellStyle name="Output 2 17 5 5" xfId="15096" xr:uid="{00000000-0005-0000-0000-000005430000}"/>
    <cellStyle name="Output 2 17 5_Summary" xfId="23454" xr:uid="{00000000-0005-0000-0000-000006430000}"/>
    <cellStyle name="Output 2 17 6" xfId="2156" xr:uid="{00000000-0005-0000-0000-000007430000}"/>
    <cellStyle name="Output 2 17 6 2" xfId="4292" xr:uid="{00000000-0005-0000-0000-000008430000}"/>
    <cellStyle name="Output 2 17 6 2 2" xfId="10888" xr:uid="{00000000-0005-0000-0000-000009430000}"/>
    <cellStyle name="Output 2 17 6 2 3" xfId="17507" xr:uid="{00000000-0005-0000-0000-00000A430000}"/>
    <cellStyle name="Output 2 17 6 2_Summary" xfId="23458" xr:uid="{00000000-0005-0000-0000-00000B430000}"/>
    <cellStyle name="Output 2 17 6 3" xfId="6327" xr:uid="{00000000-0005-0000-0000-00000C430000}"/>
    <cellStyle name="Output 2 17 6 3 2" xfId="12923" xr:uid="{00000000-0005-0000-0000-00000D430000}"/>
    <cellStyle name="Output 2 17 6 3 3" xfId="19542" xr:uid="{00000000-0005-0000-0000-00000E430000}"/>
    <cellStyle name="Output 2 17 6 3_Summary" xfId="23459" xr:uid="{00000000-0005-0000-0000-00000F430000}"/>
    <cellStyle name="Output 2 17 6 4" xfId="8752" xr:uid="{00000000-0005-0000-0000-000010430000}"/>
    <cellStyle name="Output 2 17 6 5" xfId="15371" xr:uid="{00000000-0005-0000-0000-000011430000}"/>
    <cellStyle name="Output 2 17 6_Summary" xfId="23457" xr:uid="{00000000-0005-0000-0000-000012430000}"/>
    <cellStyle name="Output 2 17 7" xfId="2429" xr:uid="{00000000-0005-0000-0000-000013430000}"/>
    <cellStyle name="Output 2 17 7 2" xfId="4565" xr:uid="{00000000-0005-0000-0000-000014430000}"/>
    <cellStyle name="Output 2 17 7 2 2" xfId="11161" xr:uid="{00000000-0005-0000-0000-000015430000}"/>
    <cellStyle name="Output 2 17 7 2 3" xfId="17780" xr:uid="{00000000-0005-0000-0000-000016430000}"/>
    <cellStyle name="Output 2 17 7 2_Summary" xfId="23461" xr:uid="{00000000-0005-0000-0000-000017430000}"/>
    <cellStyle name="Output 2 17 7 3" xfId="6600" xr:uid="{00000000-0005-0000-0000-000018430000}"/>
    <cellStyle name="Output 2 17 7 3 2" xfId="13196" xr:uid="{00000000-0005-0000-0000-000019430000}"/>
    <cellStyle name="Output 2 17 7 3 3" xfId="19815" xr:uid="{00000000-0005-0000-0000-00001A430000}"/>
    <cellStyle name="Output 2 17 7 3_Summary" xfId="23462" xr:uid="{00000000-0005-0000-0000-00001B430000}"/>
    <cellStyle name="Output 2 17 7 4" xfId="9025" xr:uid="{00000000-0005-0000-0000-00001C430000}"/>
    <cellStyle name="Output 2 17 7 5" xfId="15644" xr:uid="{00000000-0005-0000-0000-00001D430000}"/>
    <cellStyle name="Output 2 17 7_Summary" xfId="23460" xr:uid="{00000000-0005-0000-0000-00001E430000}"/>
    <cellStyle name="Output 2 17 8" xfId="2804" xr:uid="{00000000-0005-0000-0000-00001F430000}"/>
    <cellStyle name="Output 2 17 8 2" xfId="9400" xr:uid="{00000000-0005-0000-0000-000020430000}"/>
    <cellStyle name="Output 2 17 8 3" xfId="16019" xr:uid="{00000000-0005-0000-0000-000021430000}"/>
    <cellStyle name="Output 2 17 8_Summary" xfId="23463" xr:uid="{00000000-0005-0000-0000-000022430000}"/>
    <cellStyle name="Output 2 17 9" xfId="4839" xr:uid="{00000000-0005-0000-0000-000023430000}"/>
    <cellStyle name="Output 2 17 9 2" xfId="11435" xr:uid="{00000000-0005-0000-0000-000024430000}"/>
    <cellStyle name="Output 2 17 9 3" xfId="18054" xr:uid="{00000000-0005-0000-0000-000025430000}"/>
    <cellStyle name="Output 2 17 9_Summary" xfId="23464" xr:uid="{00000000-0005-0000-0000-000026430000}"/>
    <cellStyle name="Output 2 17_Summary" xfId="23443" xr:uid="{00000000-0005-0000-0000-000027430000}"/>
    <cellStyle name="Output 2 18" xfId="6742" xr:uid="{00000000-0005-0000-0000-000028430000}"/>
    <cellStyle name="Output 2 18 2" xfId="13338" xr:uid="{00000000-0005-0000-0000-000029430000}"/>
    <cellStyle name="Output 2 18 3" xfId="19957" xr:uid="{00000000-0005-0000-0000-00002A430000}"/>
    <cellStyle name="Output 2 18_Summary" xfId="23465" xr:uid="{00000000-0005-0000-0000-00002B430000}"/>
    <cellStyle name="Output 2 19" xfId="6745" xr:uid="{00000000-0005-0000-0000-00002C430000}"/>
    <cellStyle name="Output 2 19 2" xfId="13341" xr:uid="{00000000-0005-0000-0000-00002D430000}"/>
    <cellStyle name="Output 2 19 3" xfId="19960" xr:uid="{00000000-0005-0000-0000-00002E430000}"/>
    <cellStyle name="Output 2 19_Summary" xfId="23466" xr:uid="{00000000-0005-0000-0000-00002F430000}"/>
    <cellStyle name="Output 2 2" xfId="177" xr:uid="{00000000-0005-0000-0000-000030430000}"/>
    <cellStyle name="Output 2 2 10" xfId="2605" xr:uid="{00000000-0005-0000-0000-000031430000}"/>
    <cellStyle name="Output 2 2 10 2" xfId="9201" xr:uid="{00000000-0005-0000-0000-000032430000}"/>
    <cellStyle name="Output 2 2 10 3" xfId="15820" xr:uid="{00000000-0005-0000-0000-000033430000}"/>
    <cellStyle name="Output 2 2 10_Summary" xfId="23468" xr:uid="{00000000-0005-0000-0000-000034430000}"/>
    <cellStyle name="Output 2 2 11" xfId="2566" xr:uid="{00000000-0005-0000-0000-000035430000}"/>
    <cellStyle name="Output 2 2 11 2" xfId="9162" xr:uid="{00000000-0005-0000-0000-000036430000}"/>
    <cellStyle name="Output 2 2 11 3" xfId="15781" xr:uid="{00000000-0005-0000-0000-000037430000}"/>
    <cellStyle name="Output 2 2 11_Summary" xfId="23469" xr:uid="{00000000-0005-0000-0000-000038430000}"/>
    <cellStyle name="Output 2 2 12" xfId="494" xr:uid="{00000000-0005-0000-0000-000039430000}"/>
    <cellStyle name="Output 2 2 12 2" xfId="13709" xr:uid="{00000000-0005-0000-0000-00003A430000}"/>
    <cellStyle name="Output 2 2 12_Summary" xfId="23470" xr:uid="{00000000-0005-0000-0000-00003B430000}"/>
    <cellStyle name="Output 2 2 13" xfId="7085" xr:uid="{00000000-0005-0000-0000-00003C430000}"/>
    <cellStyle name="Output 2 2 14" xfId="6972" xr:uid="{00000000-0005-0000-0000-00003D430000}"/>
    <cellStyle name="Output 2 2 15" xfId="25880" xr:uid="{F6BD2CBA-D7C9-4C3E-A563-2788CDEB669F}"/>
    <cellStyle name="Output 2 2 16" xfId="25849" xr:uid="{5FFDFA4F-ED5C-49A1-97F2-A5C184F8391D}"/>
    <cellStyle name="Output 2 2 17" xfId="26078" xr:uid="{D42D2D6F-FF18-4FFE-8FCD-A5867B95B97A}"/>
    <cellStyle name="Output 2 2 18" xfId="26956" xr:uid="{8823B236-5B90-4EE7-97A1-A65B5AE75F55}"/>
    <cellStyle name="Output 2 2 19" xfId="26266" xr:uid="{3946F471-17E2-4BA3-9DC9-21631A5D1C34}"/>
    <cellStyle name="Output 2 2 2" xfId="309" xr:uid="{00000000-0005-0000-0000-00003E430000}"/>
    <cellStyle name="Output 2 2 2 10" xfId="4730" xr:uid="{00000000-0005-0000-0000-00003F430000}"/>
    <cellStyle name="Output 2 2 2 10 2" xfId="11326" xr:uid="{00000000-0005-0000-0000-000040430000}"/>
    <cellStyle name="Output 2 2 2 10 3" xfId="17945" xr:uid="{00000000-0005-0000-0000-000041430000}"/>
    <cellStyle name="Output 2 2 2 10_Summary" xfId="23472" xr:uid="{00000000-0005-0000-0000-000042430000}"/>
    <cellStyle name="Output 2 2 2 11" xfId="559" xr:uid="{00000000-0005-0000-0000-000043430000}"/>
    <cellStyle name="Output 2 2 2 11 2" xfId="13774" xr:uid="{00000000-0005-0000-0000-000044430000}"/>
    <cellStyle name="Output 2 2 2 11_Summary" xfId="23473" xr:uid="{00000000-0005-0000-0000-000045430000}"/>
    <cellStyle name="Output 2 2 2 12" xfId="7203" xr:uid="{00000000-0005-0000-0000-000046430000}"/>
    <cellStyle name="Output 2 2 2 13" xfId="13525" xr:uid="{00000000-0005-0000-0000-000047430000}"/>
    <cellStyle name="Output 2 2 2 14" xfId="26219" xr:uid="{14666229-DA0D-48BD-8C88-DA9A4AE57C87}"/>
    <cellStyle name="Output 2 2 2 15" xfId="26669" xr:uid="{209207E6-0AAC-4989-B1D9-86E08F6600C2}"/>
    <cellStyle name="Output 2 2 2 16" xfId="26647" xr:uid="{604F8B7E-2D53-428B-8771-2A97E3507AD0}"/>
    <cellStyle name="Output 2 2 2 17" xfId="25821" xr:uid="{EFCA76DA-BB14-4374-89F0-6E961675C5FF}"/>
    <cellStyle name="Output 2 2 2 18" xfId="27047" xr:uid="{A8FC53CA-7F24-43AB-A5F5-257C3825D3E5}"/>
    <cellStyle name="Output 2 2 2 19" xfId="29575" xr:uid="{DE3B67C2-356C-4C53-AF33-9A3B3077720E}"/>
    <cellStyle name="Output 2 2 2 2" xfId="438" xr:uid="{00000000-0005-0000-0000-000048430000}"/>
    <cellStyle name="Output 2 2 2 2 10" xfId="832" xr:uid="{00000000-0005-0000-0000-000049430000}"/>
    <cellStyle name="Output 2 2 2 2 10 2" xfId="14047" xr:uid="{00000000-0005-0000-0000-00004A430000}"/>
    <cellStyle name="Output 2 2 2 2 10_Summary" xfId="23475" xr:uid="{00000000-0005-0000-0000-00004B430000}"/>
    <cellStyle name="Output 2 2 2 2 11" xfId="7331" xr:uid="{00000000-0005-0000-0000-00004C430000}"/>
    <cellStyle name="Output 2 2 2 2 12" xfId="13653" xr:uid="{00000000-0005-0000-0000-00004D430000}"/>
    <cellStyle name="Output 2 2 2 2 13" xfId="30425" xr:uid="{D6FE35DC-B8D7-4C0A-8533-D69987347903}"/>
    <cellStyle name="Output 2 2 2 2 14" xfId="31857" xr:uid="{9379766D-D0C5-40CE-8BBD-A018B8FD04D6}"/>
    <cellStyle name="Output 2 2 2 2 2" xfId="1132" xr:uid="{00000000-0005-0000-0000-00004E430000}"/>
    <cellStyle name="Output 2 2 2 2 2 2" xfId="3268" xr:uid="{00000000-0005-0000-0000-00004F430000}"/>
    <cellStyle name="Output 2 2 2 2 2 2 2" xfId="9864" xr:uid="{00000000-0005-0000-0000-000050430000}"/>
    <cellStyle name="Output 2 2 2 2 2 2 3" xfId="16483" xr:uid="{00000000-0005-0000-0000-000051430000}"/>
    <cellStyle name="Output 2 2 2 2 2 2_Summary" xfId="23477" xr:uid="{00000000-0005-0000-0000-000052430000}"/>
    <cellStyle name="Output 2 2 2 2 2 3" xfId="5303" xr:uid="{00000000-0005-0000-0000-000053430000}"/>
    <cellStyle name="Output 2 2 2 2 2 3 2" xfId="11899" xr:uid="{00000000-0005-0000-0000-000054430000}"/>
    <cellStyle name="Output 2 2 2 2 2 3 3" xfId="18518" xr:uid="{00000000-0005-0000-0000-000055430000}"/>
    <cellStyle name="Output 2 2 2 2 2 3_Summary" xfId="23478" xr:uid="{00000000-0005-0000-0000-000056430000}"/>
    <cellStyle name="Output 2 2 2 2 2 4" xfId="7728" xr:uid="{00000000-0005-0000-0000-000057430000}"/>
    <cellStyle name="Output 2 2 2 2 2 5" xfId="14347" xr:uid="{00000000-0005-0000-0000-000058430000}"/>
    <cellStyle name="Output 2 2 2 2 2_Summary" xfId="23476" xr:uid="{00000000-0005-0000-0000-000059430000}"/>
    <cellStyle name="Output 2 2 2 2 3" xfId="1414" xr:uid="{00000000-0005-0000-0000-00005A430000}"/>
    <cellStyle name="Output 2 2 2 2 3 2" xfId="3550" xr:uid="{00000000-0005-0000-0000-00005B430000}"/>
    <cellStyle name="Output 2 2 2 2 3 2 2" xfId="10146" xr:uid="{00000000-0005-0000-0000-00005C430000}"/>
    <cellStyle name="Output 2 2 2 2 3 2 3" xfId="16765" xr:uid="{00000000-0005-0000-0000-00005D430000}"/>
    <cellStyle name="Output 2 2 2 2 3 2_Summary" xfId="23480" xr:uid="{00000000-0005-0000-0000-00005E430000}"/>
    <cellStyle name="Output 2 2 2 2 3 3" xfId="5585" xr:uid="{00000000-0005-0000-0000-00005F430000}"/>
    <cellStyle name="Output 2 2 2 2 3 3 2" xfId="12181" xr:uid="{00000000-0005-0000-0000-000060430000}"/>
    <cellStyle name="Output 2 2 2 2 3 3 3" xfId="18800" xr:uid="{00000000-0005-0000-0000-000061430000}"/>
    <cellStyle name="Output 2 2 2 2 3 3_Summary" xfId="23481" xr:uid="{00000000-0005-0000-0000-000062430000}"/>
    <cellStyle name="Output 2 2 2 2 3 4" xfId="8010" xr:uid="{00000000-0005-0000-0000-000063430000}"/>
    <cellStyle name="Output 2 2 2 2 3 5" xfId="14629" xr:uid="{00000000-0005-0000-0000-000064430000}"/>
    <cellStyle name="Output 2 2 2 2 3_Summary" xfId="23479" xr:uid="{00000000-0005-0000-0000-000065430000}"/>
    <cellStyle name="Output 2 2 2 2 4" xfId="1695" xr:uid="{00000000-0005-0000-0000-000066430000}"/>
    <cellStyle name="Output 2 2 2 2 4 2" xfId="3831" xr:uid="{00000000-0005-0000-0000-000067430000}"/>
    <cellStyle name="Output 2 2 2 2 4 2 2" xfId="10427" xr:uid="{00000000-0005-0000-0000-000068430000}"/>
    <cellStyle name="Output 2 2 2 2 4 2 3" xfId="17046" xr:uid="{00000000-0005-0000-0000-000069430000}"/>
    <cellStyle name="Output 2 2 2 2 4 2_Summary" xfId="23483" xr:uid="{00000000-0005-0000-0000-00006A430000}"/>
    <cellStyle name="Output 2 2 2 2 4 3" xfId="5866" xr:uid="{00000000-0005-0000-0000-00006B430000}"/>
    <cellStyle name="Output 2 2 2 2 4 3 2" xfId="12462" xr:uid="{00000000-0005-0000-0000-00006C430000}"/>
    <cellStyle name="Output 2 2 2 2 4 3 3" xfId="19081" xr:uid="{00000000-0005-0000-0000-00006D430000}"/>
    <cellStyle name="Output 2 2 2 2 4 3_Summary" xfId="23484" xr:uid="{00000000-0005-0000-0000-00006E430000}"/>
    <cellStyle name="Output 2 2 2 2 4 4" xfId="8291" xr:uid="{00000000-0005-0000-0000-00006F430000}"/>
    <cellStyle name="Output 2 2 2 2 4 5" xfId="14910" xr:uid="{00000000-0005-0000-0000-000070430000}"/>
    <cellStyle name="Output 2 2 2 2 4_Summary" xfId="23482" xr:uid="{00000000-0005-0000-0000-000071430000}"/>
    <cellStyle name="Output 2 2 2 2 5" xfId="1974" xr:uid="{00000000-0005-0000-0000-000072430000}"/>
    <cellStyle name="Output 2 2 2 2 5 2" xfId="4110" xr:uid="{00000000-0005-0000-0000-000073430000}"/>
    <cellStyle name="Output 2 2 2 2 5 2 2" xfId="10706" xr:uid="{00000000-0005-0000-0000-000074430000}"/>
    <cellStyle name="Output 2 2 2 2 5 2 3" xfId="17325" xr:uid="{00000000-0005-0000-0000-000075430000}"/>
    <cellStyle name="Output 2 2 2 2 5 2_Summary" xfId="23486" xr:uid="{00000000-0005-0000-0000-000076430000}"/>
    <cellStyle name="Output 2 2 2 2 5 3" xfId="6145" xr:uid="{00000000-0005-0000-0000-000077430000}"/>
    <cellStyle name="Output 2 2 2 2 5 3 2" xfId="12741" xr:uid="{00000000-0005-0000-0000-000078430000}"/>
    <cellStyle name="Output 2 2 2 2 5 3 3" xfId="19360" xr:uid="{00000000-0005-0000-0000-000079430000}"/>
    <cellStyle name="Output 2 2 2 2 5 3_Summary" xfId="23487" xr:uid="{00000000-0005-0000-0000-00007A430000}"/>
    <cellStyle name="Output 2 2 2 2 5 4" xfId="8570" xr:uid="{00000000-0005-0000-0000-00007B430000}"/>
    <cellStyle name="Output 2 2 2 2 5 5" xfId="15189" xr:uid="{00000000-0005-0000-0000-00007C430000}"/>
    <cellStyle name="Output 2 2 2 2 5_Summary" xfId="23485" xr:uid="{00000000-0005-0000-0000-00007D430000}"/>
    <cellStyle name="Output 2 2 2 2 6" xfId="2249" xr:uid="{00000000-0005-0000-0000-00007E430000}"/>
    <cellStyle name="Output 2 2 2 2 6 2" xfId="4385" xr:uid="{00000000-0005-0000-0000-00007F430000}"/>
    <cellStyle name="Output 2 2 2 2 6 2 2" xfId="10981" xr:uid="{00000000-0005-0000-0000-000080430000}"/>
    <cellStyle name="Output 2 2 2 2 6 2 3" xfId="17600" xr:uid="{00000000-0005-0000-0000-000081430000}"/>
    <cellStyle name="Output 2 2 2 2 6 2_Summary" xfId="23489" xr:uid="{00000000-0005-0000-0000-000082430000}"/>
    <cellStyle name="Output 2 2 2 2 6 3" xfId="6420" xr:uid="{00000000-0005-0000-0000-000083430000}"/>
    <cellStyle name="Output 2 2 2 2 6 3 2" xfId="13016" xr:uid="{00000000-0005-0000-0000-000084430000}"/>
    <cellStyle name="Output 2 2 2 2 6 3 3" xfId="19635" xr:uid="{00000000-0005-0000-0000-000085430000}"/>
    <cellStyle name="Output 2 2 2 2 6 3_Summary" xfId="23490" xr:uid="{00000000-0005-0000-0000-000086430000}"/>
    <cellStyle name="Output 2 2 2 2 6 4" xfId="8845" xr:uid="{00000000-0005-0000-0000-000087430000}"/>
    <cellStyle name="Output 2 2 2 2 6 5" xfId="15464" xr:uid="{00000000-0005-0000-0000-000088430000}"/>
    <cellStyle name="Output 2 2 2 2 6_Summary" xfId="23488" xr:uid="{00000000-0005-0000-0000-000089430000}"/>
    <cellStyle name="Output 2 2 2 2 7" xfId="2522" xr:uid="{00000000-0005-0000-0000-00008A430000}"/>
    <cellStyle name="Output 2 2 2 2 7 2" xfId="4658" xr:uid="{00000000-0005-0000-0000-00008B430000}"/>
    <cellStyle name="Output 2 2 2 2 7 2 2" xfId="11254" xr:uid="{00000000-0005-0000-0000-00008C430000}"/>
    <cellStyle name="Output 2 2 2 2 7 2 3" xfId="17873" xr:uid="{00000000-0005-0000-0000-00008D430000}"/>
    <cellStyle name="Output 2 2 2 2 7 2_Summary" xfId="23492" xr:uid="{00000000-0005-0000-0000-00008E430000}"/>
    <cellStyle name="Output 2 2 2 2 7 3" xfId="6693" xr:uid="{00000000-0005-0000-0000-00008F430000}"/>
    <cellStyle name="Output 2 2 2 2 7 3 2" xfId="13289" xr:uid="{00000000-0005-0000-0000-000090430000}"/>
    <cellStyle name="Output 2 2 2 2 7 3 3" xfId="19908" xr:uid="{00000000-0005-0000-0000-000091430000}"/>
    <cellStyle name="Output 2 2 2 2 7 3_Summary" xfId="23493" xr:uid="{00000000-0005-0000-0000-000092430000}"/>
    <cellStyle name="Output 2 2 2 2 7 4" xfId="9118" xr:uid="{00000000-0005-0000-0000-000093430000}"/>
    <cellStyle name="Output 2 2 2 2 7 5" xfId="15737" xr:uid="{00000000-0005-0000-0000-000094430000}"/>
    <cellStyle name="Output 2 2 2 2 7_Summary" xfId="23491" xr:uid="{00000000-0005-0000-0000-000095430000}"/>
    <cellStyle name="Output 2 2 2 2 8" xfId="2968" xr:uid="{00000000-0005-0000-0000-000096430000}"/>
    <cellStyle name="Output 2 2 2 2 8 2" xfId="9564" xr:uid="{00000000-0005-0000-0000-000097430000}"/>
    <cellStyle name="Output 2 2 2 2 8 3" xfId="16183" xr:uid="{00000000-0005-0000-0000-000098430000}"/>
    <cellStyle name="Output 2 2 2 2 8_Summary" xfId="23494" xr:uid="{00000000-0005-0000-0000-000099430000}"/>
    <cellStyle name="Output 2 2 2 2 9" xfId="5003" xr:uid="{00000000-0005-0000-0000-00009A430000}"/>
    <cellStyle name="Output 2 2 2 2 9 2" xfId="11599" xr:uid="{00000000-0005-0000-0000-00009B430000}"/>
    <cellStyle name="Output 2 2 2 2 9 3" xfId="18218" xr:uid="{00000000-0005-0000-0000-00009C430000}"/>
    <cellStyle name="Output 2 2 2 2 9_Summary" xfId="23495" xr:uid="{00000000-0005-0000-0000-00009D430000}"/>
    <cellStyle name="Output 2 2 2 2_Summary" xfId="23474" xr:uid="{00000000-0005-0000-0000-00009E430000}"/>
    <cellStyle name="Output 2 2 2 20" xfId="31140" xr:uid="{85BA5E86-E8D7-426E-B519-511AF0EFC51A}"/>
    <cellStyle name="Output 2 2 2 3" xfId="1004" xr:uid="{00000000-0005-0000-0000-00009F430000}"/>
    <cellStyle name="Output 2 2 2 3 2" xfId="3140" xr:uid="{00000000-0005-0000-0000-0000A0430000}"/>
    <cellStyle name="Output 2 2 2 3 2 2" xfId="9736" xr:uid="{00000000-0005-0000-0000-0000A1430000}"/>
    <cellStyle name="Output 2 2 2 3 2 3" xfId="16355" xr:uid="{00000000-0005-0000-0000-0000A2430000}"/>
    <cellStyle name="Output 2 2 2 3 2_Summary" xfId="23497" xr:uid="{00000000-0005-0000-0000-0000A3430000}"/>
    <cellStyle name="Output 2 2 2 3 3" xfId="5175" xr:uid="{00000000-0005-0000-0000-0000A4430000}"/>
    <cellStyle name="Output 2 2 2 3 3 2" xfId="11771" xr:uid="{00000000-0005-0000-0000-0000A5430000}"/>
    <cellStyle name="Output 2 2 2 3 3 3" xfId="18390" xr:uid="{00000000-0005-0000-0000-0000A6430000}"/>
    <cellStyle name="Output 2 2 2 3 3_Summary" xfId="23498" xr:uid="{00000000-0005-0000-0000-0000A7430000}"/>
    <cellStyle name="Output 2 2 2 3 4" xfId="7601" xr:uid="{00000000-0005-0000-0000-0000A8430000}"/>
    <cellStyle name="Output 2 2 2 3 5" xfId="14219" xr:uid="{00000000-0005-0000-0000-0000A9430000}"/>
    <cellStyle name="Output 2 2 2 3_Summary" xfId="23496" xr:uid="{00000000-0005-0000-0000-0000AA430000}"/>
    <cellStyle name="Output 2 2 2 4" xfId="1286" xr:uid="{00000000-0005-0000-0000-0000AB430000}"/>
    <cellStyle name="Output 2 2 2 4 2" xfId="3422" xr:uid="{00000000-0005-0000-0000-0000AC430000}"/>
    <cellStyle name="Output 2 2 2 4 2 2" xfId="10018" xr:uid="{00000000-0005-0000-0000-0000AD430000}"/>
    <cellStyle name="Output 2 2 2 4 2 3" xfId="16637" xr:uid="{00000000-0005-0000-0000-0000AE430000}"/>
    <cellStyle name="Output 2 2 2 4 2_Summary" xfId="23500" xr:uid="{00000000-0005-0000-0000-0000AF430000}"/>
    <cellStyle name="Output 2 2 2 4 3" xfId="5457" xr:uid="{00000000-0005-0000-0000-0000B0430000}"/>
    <cellStyle name="Output 2 2 2 4 3 2" xfId="12053" xr:uid="{00000000-0005-0000-0000-0000B1430000}"/>
    <cellStyle name="Output 2 2 2 4 3 3" xfId="18672" xr:uid="{00000000-0005-0000-0000-0000B2430000}"/>
    <cellStyle name="Output 2 2 2 4 3_Summary" xfId="23501" xr:uid="{00000000-0005-0000-0000-0000B3430000}"/>
    <cellStyle name="Output 2 2 2 4 4" xfId="7882" xr:uid="{00000000-0005-0000-0000-0000B4430000}"/>
    <cellStyle name="Output 2 2 2 4 5" xfId="14501" xr:uid="{00000000-0005-0000-0000-0000B5430000}"/>
    <cellStyle name="Output 2 2 2 4_Summary" xfId="23499" xr:uid="{00000000-0005-0000-0000-0000B6430000}"/>
    <cellStyle name="Output 2 2 2 5" xfId="1567" xr:uid="{00000000-0005-0000-0000-0000B7430000}"/>
    <cellStyle name="Output 2 2 2 5 2" xfId="3703" xr:uid="{00000000-0005-0000-0000-0000B8430000}"/>
    <cellStyle name="Output 2 2 2 5 2 2" xfId="10299" xr:uid="{00000000-0005-0000-0000-0000B9430000}"/>
    <cellStyle name="Output 2 2 2 5 2 3" xfId="16918" xr:uid="{00000000-0005-0000-0000-0000BA430000}"/>
    <cellStyle name="Output 2 2 2 5 2_Summary" xfId="23503" xr:uid="{00000000-0005-0000-0000-0000BB430000}"/>
    <cellStyle name="Output 2 2 2 5 3" xfId="5738" xr:uid="{00000000-0005-0000-0000-0000BC430000}"/>
    <cellStyle name="Output 2 2 2 5 3 2" xfId="12334" xr:uid="{00000000-0005-0000-0000-0000BD430000}"/>
    <cellStyle name="Output 2 2 2 5 3 3" xfId="18953" xr:uid="{00000000-0005-0000-0000-0000BE430000}"/>
    <cellStyle name="Output 2 2 2 5 3_Summary" xfId="23504" xr:uid="{00000000-0005-0000-0000-0000BF430000}"/>
    <cellStyle name="Output 2 2 2 5 4" xfId="8163" xr:uid="{00000000-0005-0000-0000-0000C0430000}"/>
    <cellStyle name="Output 2 2 2 5 5" xfId="14782" xr:uid="{00000000-0005-0000-0000-0000C1430000}"/>
    <cellStyle name="Output 2 2 2 5_Summary" xfId="23502" xr:uid="{00000000-0005-0000-0000-0000C2430000}"/>
    <cellStyle name="Output 2 2 2 6" xfId="1846" xr:uid="{00000000-0005-0000-0000-0000C3430000}"/>
    <cellStyle name="Output 2 2 2 6 2" xfId="3982" xr:uid="{00000000-0005-0000-0000-0000C4430000}"/>
    <cellStyle name="Output 2 2 2 6 2 2" xfId="10578" xr:uid="{00000000-0005-0000-0000-0000C5430000}"/>
    <cellStyle name="Output 2 2 2 6 2 3" xfId="17197" xr:uid="{00000000-0005-0000-0000-0000C6430000}"/>
    <cellStyle name="Output 2 2 2 6 2_Summary" xfId="23506" xr:uid="{00000000-0005-0000-0000-0000C7430000}"/>
    <cellStyle name="Output 2 2 2 6 3" xfId="6017" xr:uid="{00000000-0005-0000-0000-0000C8430000}"/>
    <cellStyle name="Output 2 2 2 6 3 2" xfId="12613" xr:uid="{00000000-0005-0000-0000-0000C9430000}"/>
    <cellStyle name="Output 2 2 2 6 3 3" xfId="19232" xr:uid="{00000000-0005-0000-0000-0000CA430000}"/>
    <cellStyle name="Output 2 2 2 6 3_Summary" xfId="23507" xr:uid="{00000000-0005-0000-0000-0000CB430000}"/>
    <cellStyle name="Output 2 2 2 6 4" xfId="8442" xr:uid="{00000000-0005-0000-0000-0000CC430000}"/>
    <cellStyle name="Output 2 2 2 6 5" xfId="15061" xr:uid="{00000000-0005-0000-0000-0000CD430000}"/>
    <cellStyle name="Output 2 2 2 6_Summary" xfId="23505" xr:uid="{00000000-0005-0000-0000-0000CE430000}"/>
    <cellStyle name="Output 2 2 2 7" xfId="2121" xr:uid="{00000000-0005-0000-0000-0000CF430000}"/>
    <cellStyle name="Output 2 2 2 7 2" xfId="4257" xr:uid="{00000000-0005-0000-0000-0000D0430000}"/>
    <cellStyle name="Output 2 2 2 7 2 2" xfId="10853" xr:uid="{00000000-0005-0000-0000-0000D1430000}"/>
    <cellStyle name="Output 2 2 2 7 2 3" xfId="17472" xr:uid="{00000000-0005-0000-0000-0000D2430000}"/>
    <cellStyle name="Output 2 2 2 7 2_Summary" xfId="23509" xr:uid="{00000000-0005-0000-0000-0000D3430000}"/>
    <cellStyle name="Output 2 2 2 7 3" xfId="6292" xr:uid="{00000000-0005-0000-0000-0000D4430000}"/>
    <cellStyle name="Output 2 2 2 7 3 2" xfId="12888" xr:uid="{00000000-0005-0000-0000-0000D5430000}"/>
    <cellStyle name="Output 2 2 2 7 3 3" xfId="19507" xr:uid="{00000000-0005-0000-0000-0000D6430000}"/>
    <cellStyle name="Output 2 2 2 7 3_Summary" xfId="23510" xr:uid="{00000000-0005-0000-0000-0000D7430000}"/>
    <cellStyle name="Output 2 2 2 7 4" xfId="8717" xr:uid="{00000000-0005-0000-0000-0000D8430000}"/>
    <cellStyle name="Output 2 2 2 7 5" xfId="15336" xr:uid="{00000000-0005-0000-0000-0000D9430000}"/>
    <cellStyle name="Output 2 2 2 7_Summary" xfId="23508" xr:uid="{00000000-0005-0000-0000-0000DA430000}"/>
    <cellStyle name="Output 2 2 2 8" xfId="2394" xr:uid="{00000000-0005-0000-0000-0000DB430000}"/>
    <cellStyle name="Output 2 2 2 8 2" xfId="4530" xr:uid="{00000000-0005-0000-0000-0000DC430000}"/>
    <cellStyle name="Output 2 2 2 8 2 2" xfId="11126" xr:uid="{00000000-0005-0000-0000-0000DD430000}"/>
    <cellStyle name="Output 2 2 2 8 2 3" xfId="17745" xr:uid="{00000000-0005-0000-0000-0000DE430000}"/>
    <cellStyle name="Output 2 2 2 8 2_Summary" xfId="23512" xr:uid="{00000000-0005-0000-0000-0000DF430000}"/>
    <cellStyle name="Output 2 2 2 8 3" xfId="6565" xr:uid="{00000000-0005-0000-0000-0000E0430000}"/>
    <cellStyle name="Output 2 2 2 8 3 2" xfId="13161" xr:uid="{00000000-0005-0000-0000-0000E1430000}"/>
    <cellStyle name="Output 2 2 2 8 3 3" xfId="19780" xr:uid="{00000000-0005-0000-0000-0000E2430000}"/>
    <cellStyle name="Output 2 2 2 8 3_Summary" xfId="23513" xr:uid="{00000000-0005-0000-0000-0000E3430000}"/>
    <cellStyle name="Output 2 2 2 8 4" xfId="8990" xr:uid="{00000000-0005-0000-0000-0000E4430000}"/>
    <cellStyle name="Output 2 2 2 8 5" xfId="15609" xr:uid="{00000000-0005-0000-0000-0000E5430000}"/>
    <cellStyle name="Output 2 2 2 8_Summary" xfId="23511" xr:uid="{00000000-0005-0000-0000-0000E6430000}"/>
    <cellStyle name="Output 2 2 2 9" xfId="2695" xr:uid="{00000000-0005-0000-0000-0000E7430000}"/>
    <cellStyle name="Output 2 2 2 9 2" xfId="9291" xr:uid="{00000000-0005-0000-0000-0000E8430000}"/>
    <cellStyle name="Output 2 2 2 9 3" xfId="15910" xr:uid="{00000000-0005-0000-0000-0000E9430000}"/>
    <cellStyle name="Output 2 2 2 9_Summary" xfId="23514" xr:uid="{00000000-0005-0000-0000-0000EA430000}"/>
    <cellStyle name="Output 2 2 2_Summary" xfId="23471" xr:uid="{00000000-0005-0000-0000-0000EB430000}"/>
    <cellStyle name="Output 2 2 20" xfId="29574" xr:uid="{C98CA5F2-3E8F-47FC-A14F-527AE50CDA7C}"/>
    <cellStyle name="Output 2 2 21" xfId="31139" xr:uid="{EB577802-02A9-433D-97F2-0940E01900E1}"/>
    <cellStyle name="Output 2 2 3" xfId="377" xr:uid="{00000000-0005-0000-0000-0000EC430000}"/>
    <cellStyle name="Output 2 2 3 10" xfId="714" xr:uid="{00000000-0005-0000-0000-0000ED430000}"/>
    <cellStyle name="Output 2 2 3 10 2" xfId="13929" xr:uid="{00000000-0005-0000-0000-0000EE430000}"/>
    <cellStyle name="Output 2 2 3 10_Summary" xfId="23516" xr:uid="{00000000-0005-0000-0000-0000EF430000}"/>
    <cellStyle name="Output 2 2 3 11" xfId="7270" xr:uid="{00000000-0005-0000-0000-0000F0430000}"/>
    <cellStyle name="Output 2 2 3 12" xfId="13592" xr:uid="{00000000-0005-0000-0000-0000F1430000}"/>
    <cellStyle name="Output 2 2 3 13" xfId="26286" xr:uid="{EB50DFBF-CBAB-4832-8D1D-07BEA8B25760}"/>
    <cellStyle name="Output 2 2 3 14" xfId="26702" xr:uid="{DCF47F7B-9BCA-4016-BF91-5001B8682E1A}"/>
    <cellStyle name="Output 2 2 3 15" xfId="26949" xr:uid="{DA0B0AA9-31A2-419D-BA70-B76EA5E7972F}"/>
    <cellStyle name="Output 2 2 3 16" xfId="26971" xr:uid="{371C3624-4189-4B69-8F42-E8A330FDC049}"/>
    <cellStyle name="Output 2 2 3 17" xfId="26686" xr:uid="{C9B05D35-722B-404C-AA48-6D24DDE3B360}"/>
    <cellStyle name="Output 2 2 3 18" xfId="29576" xr:uid="{5465D3DA-2860-45DD-BB72-BC0F2BD217C0}"/>
    <cellStyle name="Output 2 2 3 19" xfId="31141" xr:uid="{3AF5BA48-F5ED-41A0-8DB9-00873F45650E}"/>
    <cellStyle name="Output 2 2 3 2" xfId="1071" xr:uid="{00000000-0005-0000-0000-0000F2430000}"/>
    <cellStyle name="Output 2 2 3 2 2" xfId="3207" xr:uid="{00000000-0005-0000-0000-0000F3430000}"/>
    <cellStyle name="Output 2 2 3 2 2 2" xfId="9803" xr:uid="{00000000-0005-0000-0000-0000F4430000}"/>
    <cellStyle name="Output 2 2 3 2 2 3" xfId="16422" xr:uid="{00000000-0005-0000-0000-0000F5430000}"/>
    <cellStyle name="Output 2 2 3 2 2 4" xfId="26515" xr:uid="{2A2A827C-CF1F-4423-95E0-296DCB104852}"/>
    <cellStyle name="Output 2 2 3 2 2 5" xfId="26898" xr:uid="{8F23C95F-113D-4FF5-AAE9-69EFF8B0E934}"/>
    <cellStyle name="Output 2 2 3 2 2_Summary" xfId="23518" xr:uid="{00000000-0005-0000-0000-0000F6430000}"/>
    <cellStyle name="Output 2 2 3 2 3" xfId="5242" xr:uid="{00000000-0005-0000-0000-0000F7430000}"/>
    <cellStyle name="Output 2 2 3 2 3 2" xfId="11838" xr:uid="{00000000-0005-0000-0000-0000F8430000}"/>
    <cellStyle name="Output 2 2 3 2 3 3" xfId="18457" xr:uid="{00000000-0005-0000-0000-0000F9430000}"/>
    <cellStyle name="Output 2 2 3 2 3_Summary" xfId="23519" xr:uid="{00000000-0005-0000-0000-0000FA430000}"/>
    <cellStyle name="Output 2 2 3 2 4" xfId="7668" xr:uid="{00000000-0005-0000-0000-0000FB430000}"/>
    <cellStyle name="Output 2 2 3 2 5" xfId="14286" xr:uid="{00000000-0005-0000-0000-0000FC430000}"/>
    <cellStyle name="Output 2 2 3 2 6" xfId="26431" xr:uid="{4CD620CD-529F-41DE-A7E6-64FDEE182206}"/>
    <cellStyle name="Output 2 2 3 2 7" xfId="26828" xr:uid="{608DF4A6-918F-437E-9763-2B964C650210}"/>
    <cellStyle name="Output 2 2 3 2 8" xfId="30426" xr:uid="{863C87D0-57E5-4537-B6E5-636E41DD32CB}"/>
    <cellStyle name="Output 2 2 3 2 9" xfId="31858" xr:uid="{807C77B3-2A29-45D8-8FE9-B5BFDBC563F5}"/>
    <cellStyle name="Output 2 2 3 2_Summary" xfId="23517" xr:uid="{00000000-0005-0000-0000-0000FD430000}"/>
    <cellStyle name="Output 2 2 3 3" xfId="1353" xr:uid="{00000000-0005-0000-0000-0000FE430000}"/>
    <cellStyle name="Output 2 2 3 3 2" xfId="3489" xr:uid="{00000000-0005-0000-0000-0000FF430000}"/>
    <cellStyle name="Output 2 2 3 3 2 2" xfId="10085" xr:uid="{00000000-0005-0000-0000-000000440000}"/>
    <cellStyle name="Output 2 2 3 3 2 3" xfId="16704" xr:uid="{00000000-0005-0000-0000-000001440000}"/>
    <cellStyle name="Output 2 2 3 3 2_Summary" xfId="23521" xr:uid="{00000000-0005-0000-0000-000002440000}"/>
    <cellStyle name="Output 2 2 3 3 3" xfId="5524" xr:uid="{00000000-0005-0000-0000-000003440000}"/>
    <cellStyle name="Output 2 2 3 3 3 2" xfId="12120" xr:uid="{00000000-0005-0000-0000-000004440000}"/>
    <cellStyle name="Output 2 2 3 3 3 3" xfId="18739" xr:uid="{00000000-0005-0000-0000-000005440000}"/>
    <cellStyle name="Output 2 2 3 3 3_Summary" xfId="23522" xr:uid="{00000000-0005-0000-0000-000006440000}"/>
    <cellStyle name="Output 2 2 3 3 4" xfId="7949" xr:uid="{00000000-0005-0000-0000-000007440000}"/>
    <cellStyle name="Output 2 2 3 3 5" xfId="14568" xr:uid="{00000000-0005-0000-0000-000008440000}"/>
    <cellStyle name="Output 2 2 3 3_Summary" xfId="23520" xr:uid="{00000000-0005-0000-0000-000009440000}"/>
    <cellStyle name="Output 2 2 3 4" xfId="1634" xr:uid="{00000000-0005-0000-0000-00000A440000}"/>
    <cellStyle name="Output 2 2 3 4 2" xfId="3770" xr:uid="{00000000-0005-0000-0000-00000B440000}"/>
    <cellStyle name="Output 2 2 3 4 2 2" xfId="10366" xr:uid="{00000000-0005-0000-0000-00000C440000}"/>
    <cellStyle name="Output 2 2 3 4 2 3" xfId="16985" xr:uid="{00000000-0005-0000-0000-00000D440000}"/>
    <cellStyle name="Output 2 2 3 4 2_Summary" xfId="23524" xr:uid="{00000000-0005-0000-0000-00000E440000}"/>
    <cellStyle name="Output 2 2 3 4 3" xfId="5805" xr:uid="{00000000-0005-0000-0000-00000F440000}"/>
    <cellStyle name="Output 2 2 3 4 3 2" xfId="12401" xr:uid="{00000000-0005-0000-0000-000010440000}"/>
    <cellStyle name="Output 2 2 3 4 3 3" xfId="19020" xr:uid="{00000000-0005-0000-0000-000011440000}"/>
    <cellStyle name="Output 2 2 3 4 3_Summary" xfId="23525" xr:uid="{00000000-0005-0000-0000-000012440000}"/>
    <cellStyle name="Output 2 2 3 4 4" xfId="8230" xr:uid="{00000000-0005-0000-0000-000013440000}"/>
    <cellStyle name="Output 2 2 3 4 5" xfId="14849" xr:uid="{00000000-0005-0000-0000-000014440000}"/>
    <cellStyle name="Output 2 2 3 4_Summary" xfId="23523" xr:uid="{00000000-0005-0000-0000-000015440000}"/>
    <cellStyle name="Output 2 2 3 5" xfId="1913" xr:uid="{00000000-0005-0000-0000-000016440000}"/>
    <cellStyle name="Output 2 2 3 5 2" xfId="4049" xr:uid="{00000000-0005-0000-0000-000017440000}"/>
    <cellStyle name="Output 2 2 3 5 2 2" xfId="10645" xr:uid="{00000000-0005-0000-0000-000018440000}"/>
    <cellStyle name="Output 2 2 3 5 2 3" xfId="17264" xr:uid="{00000000-0005-0000-0000-000019440000}"/>
    <cellStyle name="Output 2 2 3 5 2_Summary" xfId="23527" xr:uid="{00000000-0005-0000-0000-00001A440000}"/>
    <cellStyle name="Output 2 2 3 5 3" xfId="6084" xr:uid="{00000000-0005-0000-0000-00001B440000}"/>
    <cellStyle name="Output 2 2 3 5 3 2" xfId="12680" xr:uid="{00000000-0005-0000-0000-00001C440000}"/>
    <cellStyle name="Output 2 2 3 5 3 3" xfId="19299" xr:uid="{00000000-0005-0000-0000-00001D440000}"/>
    <cellStyle name="Output 2 2 3 5 3_Summary" xfId="23528" xr:uid="{00000000-0005-0000-0000-00001E440000}"/>
    <cellStyle name="Output 2 2 3 5 4" xfId="8509" xr:uid="{00000000-0005-0000-0000-00001F440000}"/>
    <cellStyle name="Output 2 2 3 5 5" xfId="15128" xr:uid="{00000000-0005-0000-0000-000020440000}"/>
    <cellStyle name="Output 2 2 3 5_Summary" xfId="23526" xr:uid="{00000000-0005-0000-0000-000021440000}"/>
    <cellStyle name="Output 2 2 3 6" xfId="2188" xr:uid="{00000000-0005-0000-0000-000022440000}"/>
    <cellStyle name="Output 2 2 3 6 2" xfId="4324" xr:uid="{00000000-0005-0000-0000-000023440000}"/>
    <cellStyle name="Output 2 2 3 6 2 2" xfId="10920" xr:uid="{00000000-0005-0000-0000-000024440000}"/>
    <cellStyle name="Output 2 2 3 6 2 3" xfId="17539" xr:uid="{00000000-0005-0000-0000-000025440000}"/>
    <cellStyle name="Output 2 2 3 6 2_Summary" xfId="23530" xr:uid="{00000000-0005-0000-0000-000026440000}"/>
    <cellStyle name="Output 2 2 3 6 3" xfId="6359" xr:uid="{00000000-0005-0000-0000-000027440000}"/>
    <cellStyle name="Output 2 2 3 6 3 2" xfId="12955" xr:uid="{00000000-0005-0000-0000-000028440000}"/>
    <cellStyle name="Output 2 2 3 6 3 3" xfId="19574" xr:uid="{00000000-0005-0000-0000-000029440000}"/>
    <cellStyle name="Output 2 2 3 6 3_Summary" xfId="23531" xr:uid="{00000000-0005-0000-0000-00002A440000}"/>
    <cellStyle name="Output 2 2 3 6 4" xfId="8784" xr:uid="{00000000-0005-0000-0000-00002B440000}"/>
    <cellStyle name="Output 2 2 3 6 5" xfId="15403" xr:uid="{00000000-0005-0000-0000-00002C440000}"/>
    <cellStyle name="Output 2 2 3 6_Summary" xfId="23529" xr:uid="{00000000-0005-0000-0000-00002D440000}"/>
    <cellStyle name="Output 2 2 3 7" xfId="2461" xr:uid="{00000000-0005-0000-0000-00002E440000}"/>
    <cellStyle name="Output 2 2 3 7 2" xfId="4597" xr:uid="{00000000-0005-0000-0000-00002F440000}"/>
    <cellStyle name="Output 2 2 3 7 2 2" xfId="11193" xr:uid="{00000000-0005-0000-0000-000030440000}"/>
    <cellStyle name="Output 2 2 3 7 2 3" xfId="17812" xr:uid="{00000000-0005-0000-0000-000031440000}"/>
    <cellStyle name="Output 2 2 3 7 2_Summary" xfId="23533" xr:uid="{00000000-0005-0000-0000-000032440000}"/>
    <cellStyle name="Output 2 2 3 7 3" xfId="6632" xr:uid="{00000000-0005-0000-0000-000033440000}"/>
    <cellStyle name="Output 2 2 3 7 3 2" xfId="13228" xr:uid="{00000000-0005-0000-0000-000034440000}"/>
    <cellStyle name="Output 2 2 3 7 3 3" xfId="19847" xr:uid="{00000000-0005-0000-0000-000035440000}"/>
    <cellStyle name="Output 2 2 3 7 3_Summary" xfId="23534" xr:uid="{00000000-0005-0000-0000-000036440000}"/>
    <cellStyle name="Output 2 2 3 7 4" xfId="9057" xr:uid="{00000000-0005-0000-0000-000037440000}"/>
    <cellStyle name="Output 2 2 3 7 5" xfId="15676" xr:uid="{00000000-0005-0000-0000-000038440000}"/>
    <cellStyle name="Output 2 2 3 7_Summary" xfId="23532" xr:uid="{00000000-0005-0000-0000-000039440000}"/>
    <cellStyle name="Output 2 2 3 8" xfId="2850" xr:uid="{00000000-0005-0000-0000-00003A440000}"/>
    <cellStyle name="Output 2 2 3 8 2" xfId="9446" xr:uid="{00000000-0005-0000-0000-00003B440000}"/>
    <cellStyle name="Output 2 2 3 8 3" xfId="16065" xr:uid="{00000000-0005-0000-0000-00003C440000}"/>
    <cellStyle name="Output 2 2 3 8_Summary" xfId="23535" xr:uid="{00000000-0005-0000-0000-00003D440000}"/>
    <cellStyle name="Output 2 2 3 9" xfId="4885" xr:uid="{00000000-0005-0000-0000-00003E440000}"/>
    <cellStyle name="Output 2 2 3 9 2" xfId="11481" xr:uid="{00000000-0005-0000-0000-00003F440000}"/>
    <cellStyle name="Output 2 2 3 9 3" xfId="18100" xr:uid="{00000000-0005-0000-0000-000040440000}"/>
    <cellStyle name="Output 2 2 3 9_Summary" xfId="23536" xr:uid="{00000000-0005-0000-0000-000041440000}"/>
    <cellStyle name="Output 2 2 3_Summary" xfId="23515" xr:uid="{00000000-0005-0000-0000-000042440000}"/>
    <cellStyle name="Output 2 2 4" xfId="884" xr:uid="{00000000-0005-0000-0000-000043440000}"/>
    <cellStyle name="Output 2 2 4 2" xfId="3020" xr:uid="{00000000-0005-0000-0000-000044440000}"/>
    <cellStyle name="Output 2 2 4 2 2" xfId="9616" xr:uid="{00000000-0005-0000-0000-000045440000}"/>
    <cellStyle name="Output 2 2 4 2 3" xfId="16235" xr:uid="{00000000-0005-0000-0000-000046440000}"/>
    <cellStyle name="Output 2 2 4 2 4" xfId="26492" xr:uid="{64904EDB-3C00-40D3-B038-CCD6F456EE89}"/>
    <cellStyle name="Output 2 2 4 2 5" xfId="26875" xr:uid="{24C98118-0E83-4BFF-8E1D-D364D9784461}"/>
    <cellStyle name="Output 2 2 4 2_Summary" xfId="23538" xr:uid="{00000000-0005-0000-0000-000047440000}"/>
    <cellStyle name="Output 2 2 4 3" xfId="5055" xr:uid="{00000000-0005-0000-0000-000048440000}"/>
    <cellStyle name="Output 2 2 4 3 2" xfId="11651" xr:uid="{00000000-0005-0000-0000-000049440000}"/>
    <cellStyle name="Output 2 2 4 3 3" xfId="18270" xr:uid="{00000000-0005-0000-0000-00004A440000}"/>
    <cellStyle name="Output 2 2 4 3_Summary" xfId="23539" xr:uid="{00000000-0005-0000-0000-00004B440000}"/>
    <cellStyle name="Output 2 2 4 4" xfId="7481" xr:uid="{00000000-0005-0000-0000-00004C440000}"/>
    <cellStyle name="Output 2 2 4 5" xfId="14099" xr:uid="{00000000-0005-0000-0000-00004D440000}"/>
    <cellStyle name="Output 2 2 4 6" xfId="26372" xr:uid="{73026507-12F5-43CB-AFC6-7D2D1B4DF6FF}"/>
    <cellStyle name="Output 2 2 4 7" xfId="26773" xr:uid="{DCA9020E-D0C3-4FD2-A271-5059B231AA7D}"/>
    <cellStyle name="Output 2 2 4 8" xfId="30424" xr:uid="{7DFD49CD-F2A8-4F88-BC16-8542338E345A}"/>
    <cellStyle name="Output 2 2 4 9" xfId="31856" xr:uid="{B8C55305-5743-4240-92D7-2B41706C2BE6}"/>
    <cellStyle name="Output 2 2 4_Summary" xfId="23537" xr:uid="{00000000-0005-0000-0000-00004E440000}"/>
    <cellStyle name="Output 2 2 5" xfId="1169" xr:uid="{00000000-0005-0000-0000-00004F440000}"/>
    <cellStyle name="Output 2 2 5 2" xfId="3305" xr:uid="{00000000-0005-0000-0000-000050440000}"/>
    <cellStyle name="Output 2 2 5 2 2" xfId="9901" xr:uid="{00000000-0005-0000-0000-000051440000}"/>
    <cellStyle name="Output 2 2 5 2 3" xfId="16520" xr:uid="{00000000-0005-0000-0000-000052440000}"/>
    <cellStyle name="Output 2 2 5 2_Summary" xfId="23541" xr:uid="{00000000-0005-0000-0000-000053440000}"/>
    <cellStyle name="Output 2 2 5 3" xfId="5340" xr:uid="{00000000-0005-0000-0000-000054440000}"/>
    <cellStyle name="Output 2 2 5 3 2" xfId="11936" xr:uid="{00000000-0005-0000-0000-000055440000}"/>
    <cellStyle name="Output 2 2 5 3 3" xfId="18555" xr:uid="{00000000-0005-0000-0000-000056440000}"/>
    <cellStyle name="Output 2 2 5 3_Summary" xfId="23542" xr:uid="{00000000-0005-0000-0000-000057440000}"/>
    <cellStyle name="Output 2 2 5 4" xfId="7765" xr:uid="{00000000-0005-0000-0000-000058440000}"/>
    <cellStyle name="Output 2 2 5 5" xfId="14384" xr:uid="{00000000-0005-0000-0000-000059440000}"/>
    <cellStyle name="Output 2 2 5_Summary" xfId="23540" xr:uid="{00000000-0005-0000-0000-00005A440000}"/>
    <cellStyle name="Output 2 2 6" xfId="1451" xr:uid="{00000000-0005-0000-0000-00005B440000}"/>
    <cellStyle name="Output 2 2 6 2" xfId="3587" xr:uid="{00000000-0005-0000-0000-00005C440000}"/>
    <cellStyle name="Output 2 2 6 2 2" xfId="10183" xr:uid="{00000000-0005-0000-0000-00005D440000}"/>
    <cellStyle name="Output 2 2 6 2 3" xfId="16802" xr:uid="{00000000-0005-0000-0000-00005E440000}"/>
    <cellStyle name="Output 2 2 6 2_Summary" xfId="23544" xr:uid="{00000000-0005-0000-0000-00005F440000}"/>
    <cellStyle name="Output 2 2 6 3" xfId="5622" xr:uid="{00000000-0005-0000-0000-000060440000}"/>
    <cellStyle name="Output 2 2 6 3 2" xfId="12218" xr:uid="{00000000-0005-0000-0000-000061440000}"/>
    <cellStyle name="Output 2 2 6 3 3" xfId="18837" xr:uid="{00000000-0005-0000-0000-000062440000}"/>
    <cellStyle name="Output 2 2 6 3_Summary" xfId="23545" xr:uid="{00000000-0005-0000-0000-000063440000}"/>
    <cellStyle name="Output 2 2 6 4" xfId="8047" xr:uid="{00000000-0005-0000-0000-000064440000}"/>
    <cellStyle name="Output 2 2 6 5" xfId="14666" xr:uid="{00000000-0005-0000-0000-000065440000}"/>
    <cellStyle name="Output 2 2 6_Summary" xfId="23543" xr:uid="{00000000-0005-0000-0000-000066440000}"/>
    <cellStyle name="Output 2 2 7" xfId="1732" xr:uid="{00000000-0005-0000-0000-000067440000}"/>
    <cellStyle name="Output 2 2 7 2" xfId="3868" xr:uid="{00000000-0005-0000-0000-000068440000}"/>
    <cellStyle name="Output 2 2 7 2 2" xfId="10464" xr:uid="{00000000-0005-0000-0000-000069440000}"/>
    <cellStyle name="Output 2 2 7 2 3" xfId="17083" xr:uid="{00000000-0005-0000-0000-00006A440000}"/>
    <cellStyle name="Output 2 2 7 2_Summary" xfId="23547" xr:uid="{00000000-0005-0000-0000-00006B440000}"/>
    <cellStyle name="Output 2 2 7 3" xfId="5903" xr:uid="{00000000-0005-0000-0000-00006C440000}"/>
    <cellStyle name="Output 2 2 7 3 2" xfId="12499" xr:uid="{00000000-0005-0000-0000-00006D440000}"/>
    <cellStyle name="Output 2 2 7 3 3" xfId="19118" xr:uid="{00000000-0005-0000-0000-00006E440000}"/>
    <cellStyle name="Output 2 2 7 3_Summary" xfId="23548" xr:uid="{00000000-0005-0000-0000-00006F440000}"/>
    <cellStyle name="Output 2 2 7 4" xfId="8328" xr:uid="{00000000-0005-0000-0000-000070440000}"/>
    <cellStyle name="Output 2 2 7 5" xfId="14947" xr:uid="{00000000-0005-0000-0000-000071440000}"/>
    <cellStyle name="Output 2 2 7_Summary" xfId="23546" xr:uid="{00000000-0005-0000-0000-000072440000}"/>
    <cellStyle name="Output 2 2 8" xfId="2011" xr:uid="{00000000-0005-0000-0000-000073440000}"/>
    <cellStyle name="Output 2 2 8 2" xfId="4147" xr:uid="{00000000-0005-0000-0000-000074440000}"/>
    <cellStyle name="Output 2 2 8 2 2" xfId="10743" xr:uid="{00000000-0005-0000-0000-000075440000}"/>
    <cellStyle name="Output 2 2 8 2 3" xfId="17362" xr:uid="{00000000-0005-0000-0000-000076440000}"/>
    <cellStyle name="Output 2 2 8 2_Summary" xfId="23550" xr:uid="{00000000-0005-0000-0000-000077440000}"/>
    <cellStyle name="Output 2 2 8 3" xfId="6182" xr:uid="{00000000-0005-0000-0000-000078440000}"/>
    <cellStyle name="Output 2 2 8 3 2" xfId="12778" xr:uid="{00000000-0005-0000-0000-000079440000}"/>
    <cellStyle name="Output 2 2 8 3 3" xfId="19397" xr:uid="{00000000-0005-0000-0000-00007A440000}"/>
    <cellStyle name="Output 2 2 8 3_Summary" xfId="23551" xr:uid="{00000000-0005-0000-0000-00007B440000}"/>
    <cellStyle name="Output 2 2 8 4" xfId="8607" xr:uid="{00000000-0005-0000-0000-00007C440000}"/>
    <cellStyle name="Output 2 2 8 5" xfId="15226" xr:uid="{00000000-0005-0000-0000-00007D440000}"/>
    <cellStyle name="Output 2 2 8_Summary" xfId="23549" xr:uid="{00000000-0005-0000-0000-00007E440000}"/>
    <cellStyle name="Output 2 2 9" xfId="2286" xr:uid="{00000000-0005-0000-0000-00007F440000}"/>
    <cellStyle name="Output 2 2 9 2" xfId="4422" xr:uid="{00000000-0005-0000-0000-000080440000}"/>
    <cellStyle name="Output 2 2 9 2 2" xfId="11018" xr:uid="{00000000-0005-0000-0000-000081440000}"/>
    <cellStyle name="Output 2 2 9 2 3" xfId="17637" xr:uid="{00000000-0005-0000-0000-000082440000}"/>
    <cellStyle name="Output 2 2 9 2_Summary" xfId="23553" xr:uid="{00000000-0005-0000-0000-000083440000}"/>
    <cellStyle name="Output 2 2 9 3" xfId="6457" xr:uid="{00000000-0005-0000-0000-000084440000}"/>
    <cellStyle name="Output 2 2 9 3 2" xfId="13053" xr:uid="{00000000-0005-0000-0000-000085440000}"/>
    <cellStyle name="Output 2 2 9 3 3" xfId="19672" xr:uid="{00000000-0005-0000-0000-000086440000}"/>
    <cellStyle name="Output 2 2 9 3_Summary" xfId="23554" xr:uid="{00000000-0005-0000-0000-000087440000}"/>
    <cellStyle name="Output 2 2 9 4" xfId="8882" xr:uid="{00000000-0005-0000-0000-000088440000}"/>
    <cellStyle name="Output 2 2 9 5" xfId="15501" xr:uid="{00000000-0005-0000-0000-000089440000}"/>
    <cellStyle name="Output 2 2 9_Summary" xfId="23552" xr:uid="{00000000-0005-0000-0000-00008A440000}"/>
    <cellStyle name="Output 2 2_Summary" xfId="23467" xr:uid="{00000000-0005-0000-0000-00008B440000}"/>
    <cellStyle name="Output 2 20" xfId="6748" xr:uid="{00000000-0005-0000-0000-00008C440000}"/>
    <cellStyle name="Output 2 20 2" xfId="13344" xr:uid="{00000000-0005-0000-0000-00008D440000}"/>
    <cellStyle name="Output 2 20 3" xfId="19963" xr:uid="{00000000-0005-0000-0000-00008E440000}"/>
    <cellStyle name="Output 2 20_Summary" xfId="23555" xr:uid="{00000000-0005-0000-0000-00008F440000}"/>
    <cellStyle name="Output 2 21" xfId="6751" xr:uid="{00000000-0005-0000-0000-000090440000}"/>
    <cellStyle name="Output 2 21 2" xfId="13347" xr:uid="{00000000-0005-0000-0000-000091440000}"/>
    <cellStyle name="Output 2 21 3" xfId="19966" xr:uid="{00000000-0005-0000-0000-000092440000}"/>
    <cellStyle name="Output 2 21_Summary" xfId="23556" xr:uid="{00000000-0005-0000-0000-000093440000}"/>
    <cellStyle name="Output 2 22" xfId="6754" xr:uid="{00000000-0005-0000-0000-000094440000}"/>
    <cellStyle name="Output 2 22 2" xfId="13350" xr:uid="{00000000-0005-0000-0000-000095440000}"/>
    <cellStyle name="Output 2 22 3" xfId="19969" xr:uid="{00000000-0005-0000-0000-000096440000}"/>
    <cellStyle name="Output 2 22_Summary" xfId="23557" xr:uid="{00000000-0005-0000-0000-000097440000}"/>
    <cellStyle name="Output 2 23" xfId="6756" xr:uid="{00000000-0005-0000-0000-000098440000}"/>
    <cellStyle name="Output 2 23 2" xfId="13352" xr:uid="{00000000-0005-0000-0000-000099440000}"/>
    <cellStyle name="Output 2 23 3" xfId="19971" xr:uid="{00000000-0005-0000-0000-00009A440000}"/>
    <cellStyle name="Output 2 23_Summary" xfId="23558" xr:uid="{00000000-0005-0000-0000-00009B440000}"/>
    <cellStyle name="Output 2 24" xfId="6758" xr:uid="{00000000-0005-0000-0000-00009C440000}"/>
    <cellStyle name="Output 2 24 2" xfId="13354" xr:uid="{00000000-0005-0000-0000-00009D440000}"/>
    <cellStyle name="Output 2 24 3" xfId="19973" xr:uid="{00000000-0005-0000-0000-00009E440000}"/>
    <cellStyle name="Output 2 24_Summary" xfId="23559" xr:uid="{00000000-0005-0000-0000-00009F440000}"/>
    <cellStyle name="Output 2 25" xfId="6760" xr:uid="{00000000-0005-0000-0000-0000A0440000}"/>
    <cellStyle name="Output 2 25 2" xfId="13356" xr:uid="{00000000-0005-0000-0000-0000A1440000}"/>
    <cellStyle name="Output 2 25 3" xfId="19975" xr:uid="{00000000-0005-0000-0000-0000A2440000}"/>
    <cellStyle name="Output 2 25_Summary" xfId="23560" xr:uid="{00000000-0005-0000-0000-0000A3440000}"/>
    <cellStyle name="Output 2 26" xfId="6772" xr:uid="{00000000-0005-0000-0000-0000A4440000}"/>
    <cellStyle name="Output 2 26 2" xfId="13368" xr:uid="{00000000-0005-0000-0000-0000A5440000}"/>
    <cellStyle name="Output 2 26 3" xfId="19987" xr:uid="{00000000-0005-0000-0000-0000A6440000}"/>
    <cellStyle name="Output 2 26_Summary" xfId="23561" xr:uid="{00000000-0005-0000-0000-0000A7440000}"/>
    <cellStyle name="Output 2 27" xfId="6791" xr:uid="{00000000-0005-0000-0000-0000A8440000}"/>
    <cellStyle name="Output 2 27 2" xfId="13387" xr:uid="{00000000-0005-0000-0000-0000A9440000}"/>
    <cellStyle name="Output 2 27 3" xfId="20006" xr:uid="{00000000-0005-0000-0000-0000AA440000}"/>
    <cellStyle name="Output 2 27_Summary" xfId="23562" xr:uid="{00000000-0005-0000-0000-0000AB440000}"/>
    <cellStyle name="Output 2 28" xfId="6794" xr:uid="{00000000-0005-0000-0000-0000AC440000}"/>
    <cellStyle name="Output 2 28 2" xfId="13390" xr:uid="{00000000-0005-0000-0000-0000AD440000}"/>
    <cellStyle name="Output 2 28 3" xfId="20009" xr:uid="{00000000-0005-0000-0000-0000AE440000}"/>
    <cellStyle name="Output 2 28_Summary" xfId="23563" xr:uid="{00000000-0005-0000-0000-0000AF440000}"/>
    <cellStyle name="Output 2 29" xfId="6797" xr:uid="{00000000-0005-0000-0000-0000B0440000}"/>
    <cellStyle name="Output 2 29 2" xfId="13393" xr:uid="{00000000-0005-0000-0000-0000B1440000}"/>
    <cellStyle name="Output 2 29 3" xfId="20012" xr:uid="{00000000-0005-0000-0000-0000B2440000}"/>
    <cellStyle name="Output 2 29_Summary" xfId="23564" xr:uid="{00000000-0005-0000-0000-0000B3440000}"/>
    <cellStyle name="Output 2 3" xfId="165" xr:uid="{00000000-0005-0000-0000-0000B4440000}"/>
    <cellStyle name="Output 2 3 10" xfId="2598" xr:uid="{00000000-0005-0000-0000-0000B5440000}"/>
    <cellStyle name="Output 2 3 10 2" xfId="9194" xr:uid="{00000000-0005-0000-0000-0000B6440000}"/>
    <cellStyle name="Output 2 3 10 3" xfId="15813" xr:uid="{00000000-0005-0000-0000-0000B7440000}"/>
    <cellStyle name="Output 2 3 10_Summary" xfId="23566" xr:uid="{00000000-0005-0000-0000-0000B8440000}"/>
    <cellStyle name="Output 2 3 11" xfId="2569" xr:uid="{00000000-0005-0000-0000-0000B9440000}"/>
    <cellStyle name="Output 2 3 11 2" xfId="9165" xr:uid="{00000000-0005-0000-0000-0000BA440000}"/>
    <cellStyle name="Output 2 3 11 3" xfId="15784" xr:uid="{00000000-0005-0000-0000-0000BB440000}"/>
    <cellStyle name="Output 2 3 11_Summary" xfId="23567" xr:uid="{00000000-0005-0000-0000-0000BC440000}"/>
    <cellStyle name="Output 2 3 12" xfId="487" xr:uid="{00000000-0005-0000-0000-0000BD440000}"/>
    <cellStyle name="Output 2 3 12 2" xfId="13702" xr:uid="{00000000-0005-0000-0000-0000BE440000}"/>
    <cellStyle name="Output 2 3 12_Summary" xfId="23568" xr:uid="{00000000-0005-0000-0000-0000BF440000}"/>
    <cellStyle name="Output 2 3 13" xfId="7077" xr:uid="{00000000-0005-0000-0000-0000C0440000}"/>
    <cellStyle name="Output 2 3 14" xfId="13411" xr:uid="{00000000-0005-0000-0000-0000C1440000}"/>
    <cellStyle name="Output 2 3 15" xfId="26149" xr:uid="{838DFEDA-2E80-4566-AFF4-B26A68B3E81A}"/>
    <cellStyle name="Output 2 3 16" xfId="26654" xr:uid="{41F175D5-A140-4594-A187-502495245C01}"/>
    <cellStyle name="Output 2 3 17" xfId="26576" xr:uid="{15568765-E10A-4B1D-BF53-2CD8D7F20ED1}"/>
    <cellStyle name="Output 2 3 18" xfId="25818" xr:uid="{93E3E57F-247E-4635-A46C-B77D0686CCEE}"/>
    <cellStyle name="Output 2 3 19" xfId="25847" xr:uid="{8B04915E-0B77-45E3-948E-99EF25B8AB8D}"/>
    <cellStyle name="Output 2 3 2" xfId="301" xr:uid="{00000000-0005-0000-0000-0000C2440000}"/>
    <cellStyle name="Output 2 3 2 10" xfId="4722" xr:uid="{00000000-0005-0000-0000-0000C3440000}"/>
    <cellStyle name="Output 2 3 2 10 2" xfId="11318" xr:uid="{00000000-0005-0000-0000-0000C4440000}"/>
    <cellStyle name="Output 2 3 2 10 3" xfId="17937" xr:uid="{00000000-0005-0000-0000-0000C5440000}"/>
    <cellStyle name="Output 2 3 2 10_Summary" xfId="23570" xr:uid="{00000000-0005-0000-0000-0000C6440000}"/>
    <cellStyle name="Output 2 3 2 11" xfId="551" xr:uid="{00000000-0005-0000-0000-0000C7440000}"/>
    <cellStyle name="Output 2 3 2 11 2" xfId="13766" xr:uid="{00000000-0005-0000-0000-0000C8440000}"/>
    <cellStyle name="Output 2 3 2 11_Summary" xfId="23571" xr:uid="{00000000-0005-0000-0000-0000C9440000}"/>
    <cellStyle name="Output 2 3 2 12" xfId="7195" xr:uid="{00000000-0005-0000-0000-0000CA440000}"/>
    <cellStyle name="Output 2 3 2 13" xfId="13517" xr:uid="{00000000-0005-0000-0000-0000CB440000}"/>
    <cellStyle name="Output 2 3 2 14" xfId="26288" xr:uid="{19416608-B8D3-4941-B404-C807D74AE0C4}"/>
    <cellStyle name="Output 2 3 2 15" xfId="26704" xr:uid="{85DD4F1E-EC37-4B7C-9498-0E87CEEEC43A}"/>
    <cellStyle name="Output 2 3 2 16" xfId="26950" xr:uid="{EE49AA92-8A40-40F7-B44A-B512BE1A4F64}"/>
    <cellStyle name="Output 2 3 2 17" xfId="27041" xr:uid="{272C7DED-7BC2-46BA-9E7B-B5993F898476}"/>
    <cellStyle name="Output 2 3 2 18" xfId="27065" xr:uid="{81A5466D-799C-4542-AA33-7944E4B8B9D7}"/>
    <cellStyle name="Output 2 3 2 19" xfId="29578" xr:uid="{1A5AA1B6-8467-404F-BED5-D30FADBD2124}"/>
    <cellStyle name="Output 2 3 2 2" xfId="430" xr:uid="{00000000-0005-0000-0000-0000CC440000}"/>
    <cellStyle name="Output 2 3 2 2 10" xfId="824" xr:uid="{00000000-0005-0000-0000-0000CD440000}"/>
    <cellStyle name="Output 2 3 2 2 10 2" xfId="14039" xr:uid="{00000000-0005-0000-0000-0000CE440000}"/>
    <cellStyle name="Output 2 3 2 2 10_Summary" xfId="23573" xr:uid="{00000000-0005-0000-0000-0000CF440000}"/>
    <cellStyle name="Output 2 3 2 2 11" xfId="7323" xr:uid="{00000000-0005-0000-0000-0000D0440000}"/>
    <cellStyle name="Output 2 3 2 2 12" xfId="13645" xr:uid="{00000000-0005-0000-0000-0000D1440000}"/>
    <cellStyle name="Output 2 3 2 2 13" xfId="26433" xr:uid="{57CB9DED-00F5-451D-B4E3-5FA15524007B}"/>
    <cellStyle name="Output 2 3 2 2 14" xfId="26830" xr:uid="{BF00AEE8-7A38-44F0-B465-040EE18CC54C}"/>
    <cellStyle name="Output 2 3 2 2 15" xfId="27003" xr:uid="{25BF22E1-8E1B-4C9D-87B0-DAE090360E2F}"/>
    <cellStyle name="Output 2 3 2 2 16" xfId="26672" xr:uid="{C196AD91-D09B-421B-993C-EE7B811B6663}"/>
    <cellStyle name="Output 2 3 2 2 17" xfId="26891" xr:uid="{398C7F14-97EC-448E-B0B8-02C8C162DD36}"/>
    <cellStyle name="Output 2 3 2 2 18" xfId="30428" xr:uid="{D2B895C3-36F4-4927-B328-319E8347C3F9}"/>
    <cellStyle name="Output 2 3 2 2 19" xfId="31860" xr:uid="{AF0DFFCA-E505-40E2-9295-9C2B8DA3658D}"/>
    <cellStyle name="Output 2 3 2 2 2" xfId="1124" xr:uid="{00000000-0005-0000-0000-0000D2440000}"/>
    <cellStyle name="Output 2 3 2 2 2 10" xfId="27080" xr:uid="{86E4C8E0-6259-446A-9213-EC4D9432CEF4}"/>
    <cellStyle name="Output 2 3 2 2 2 2" xfId="3260" xr:uid="{00000000-0005-0000-0000-0000D3440000}"/>
    <cellStyle name="Output 2 3 2 2 2 2 2" xfId="9856" xr:uid="{00000000-0005-0000-0000-0000D4440000}"/>
    <cellStyle name="Output 2 3 2 2 2 2 3" xfId="16475" xr:uid="{00000000-0005-0000-0000-0000D5440000}"/>
    <cellStyle name="Output 2 3 2 2 2 2_Summary" xfId="23575" xr:uid="{00000000-0005-0000-0000-0000D6440000}"/>
    <cellStyle name="Output 2 3 2 2 2 3" xfId="5295" xr:uid="{00000000-0005-0000-0000-0000D7440000}"/>
    <cellStyle name="Output 2 3 2 2 2 3 2" xfId="11891" xr:uid="{00000000-0005-0000-0000-0000D8440000}"/>
    <cellStyle name="Output 2 3 2 2 2 3 3" xfId="18510" xr:uid="{00000000-0005-0000-0000-0000D9440000}"/>
    <cellStyle name="Output 2 3 2 2 2 3_Summary" xfId="23576" xr:uid="{00000000-0005-0000-0000-0000DA440000}"/>
    <cellStyle name="Output 2 3 2 2 2 4" xfId="7720" xr:uid="{00000000-0005-0000-0000-0000DB440000}"/>
    <cellStyle name="Output 2 3 2 2 2 5" xfId="14339" xr:uid="{00000000-0005-0000-0000-0000DC440000}"/>
    <cellStyle name="Output 2 3 2 2 2 6" xfId="26517" xr:uid="{A311B983-1972-4650-8CB9-D5B375F32836}"/>
    <cellStyle name="Output 2 3 2 2 2 7" xfId="26900" xr:uid="{80B32911-37B1-4505-A6EF-7317485E6BAA}"/>
    <cellStyle name="Output 2 3 2 2 2 8" xfId="27034" xr:uid="{071B3F2C-9AFB-48B5-9AB2-067529932C05}"/>
    <cellStyle name="Output 2 3 2 2 2 9" xfId="27060" xr:uid="{CE7F09BD-ABE7-432E-BFED-5381BCB11A4B}"/>
    <cellStyle name="Output 2 3 2 2 2_Summary" xfId="23574" xr:uid="{00000000-0005-0000-0000-0000DD440000}"/>
    <cellStyle name="Output 2 3 2 2 3" xfId="1406" xr:uid="{00000000-0005-0000-0000-0000DE440000}"/>
    <cellStyle name="Output 2 3 2 2 3 2" xfId="3542" xr:uid="{00000000-0005-0000-0000-0000DF440000}"/>
    <cellStyle name="Output 2 3 2 2 3 2 2" xfId="10138" xr:uid="{00000000-0005-0000-0000-0000E0440000}"/>
    <cellStyle name="Output 2 3 2 2 3 2 3" xfId="16757" xr:uid="{00000000-0005-0000-0000-0000E1440000}"/>
    <cellStyle name="Output 2 3 2 2 3 2_Summary" xfId="23578" xr:uid="{00000000-0005-0000-0000-0000E2440000}"/>
    <cellStyle name="Output 2 3 2 2 3 3" xfId="5577" xr:uid="{00000000-0005-0000-0000-0000E3440000}"/>
    <cellStyle name="Output 2 3 2 2 3 3 2" xfId="12173" xr:uid="{00000000-0005-0000-0000-0000E4440000}"/>
    <cellStyle name="Output 2 3 2 2 3 3 3" xfId="18792" xr:uid="{00000000-0005-0000-0000-0000E5440000}"/>
    <cellStyle name="Output 2 3 2 2 3 3_Summary" xfId="23579" xr:uid="{00000000-0005-0000-0000-0000E6440000}"/>
    <cellStyle name="Output 2 3 2 2 3 4" xfId="8002" xr:uid="{00000000-0005-0000-0000-0000E7440000}"/>
    <cellStyle name="Output 2 3 2 2 3 5" xfId="14621" xr:uid="{00000000-0005-0000-0000-0000E8440000}"/>
    <cellStyle name="Output 2 3 2 2 3_Summary" xfId="23577" xr:uid="{00000000-0005-0000-0000-0000E9440000}"/>
    <cellStyle name="Output 2 3 2 2 4" xfId="1687" xr:uid="{00000000-0005-0000-0000-0000EA440000}"/>
    <cellStyle name="Output 2 3 2 2 4 2" xfId="3823" xr:uid="{00000000-0005-0000-0000-0000EB440000}"/>
    <cellStyle name="Output 2 3 2 2 4 2 2" xfId="10419" xr:uid="{00000000-0005-0000-0000-0000EC440000}"/>
    <cellStyle name="Output 2 3 2 2 4 2 3" xfId="17038" xr:uid="{00000000-0005-0000-0000-0000ED440000}"/>
    <cellStyle name="Output 2 3 2 2 4 2_Summary" xfId="23581" xr:uid="{00000000-0005-0000-0000-0000EE440000}"/>
    <cellStyle name="Output 2 3 2 2 4 3" xfId="5858" xr:uid="{00000000-0005-0000-0000-0000EF440000}"/>
    <cellStyle name="Output 2 3 2 2 4 3 2" xfId="12454" xr:uid="{00000000-0005-0000-0000-0000F0440000}"/>
    <cellStyle name="Output 2 3 2 2 4 3 3" xfId="19073" xr:uid="{00000000-0005-0000-0000-0000F1440000}"/>
    <cellStyle name="Output 2 3 2 2 4 3_Summary" xfId="23582" xr:uid="{00000000-0005-0000-0000-0000F2440000}"/>
    <cellStyle name="Output 2 3 2 2 4 4" xfId="8283" xr:uid="{00000000-0005-0000-0000-0000F3440000}"/>
    <cellStyle name="Output 2 3 2 2 4 5" xfId="14902" xr:uid="{00000000-0005-0000-0000-0000F4440000}"/>
    <cellStyle name="Output 2 3 2 2 4_Summary" xfId="23580" xr:uid="{00000000-0005-0000-0000-0000F5440000}"/>
    <cellStyle name="Output 2 3 2 2 5" xfId="1966" xr:uid="{00000000-0005-0000-0000-0000F6440000}"/>
    <cellStyle name="Output 2 3 2 2 5 2" xfId="4102" xr:uid="{00000000-0005-0000-0000-0000F7440000}"/>
    <cellStyle name="Output 2 3 2 2 5 2 2" xfId="10698" xr:uid="{00000000-0005-0000-0000-0000F8440000}"/>
    <cellStyle name="Output 2 3 2 2 5 2 3" xfId="17317" xr:uid="{00000000-0005-0000-0000-0000F9440000}"/>
    <cellStyle name="Output 2 3 2 2 5 2_Summary" xfId="23584" xr:uid="{00000000-0005-0000-0000-0000FA440000}"/>
    <cellStyle name="Output 2 3 2 2 5 3" xfId="6137" xr:uid="{00000000-0005-0000-0000-0000FB440000}"/>
    <cellStyle name="Output 2 3 2 2 5 3 2" xfId="12733" xr:uid="{00000000-0005-0000-0000-0000FC440000}"/>
    <cellStyle name="Output 2 3 2 2 5 3 3" xfId="19352" xr:uid="{00000000-0005-0000-0000-0000FD440000}"/>
    <cellStyle name="Output 2 3 2 2 5 3_Summary" xfId="23585" xr:uid="{00000000-0005-0000-0000-0000FE440000}"/>
    <cellStyle name="Output 2 3 2 2 5 4" xfId="8562" xr:uid="{00000000-0005-0000-0000-0000FF440000}"/>
    <cellStyle name="Output 2 3 2 2 5 5" xfId="15181" xr:uid="{00000000-0005-0000-0000-000000450000}"/>
    <cellStyle name="Output 2 3 2 2 5_Summary" xfId="23583" xr:uid="{00000000-0005-0000-0000-000001450000}"/>
    <cellStyle name="Output 2 3 2 2 6" xfId="2241" xr:uid="{00000000-0005-0000-0000-000002450000}"/>
    <cellStyle name="Output 2 3 2 2 6 2" xfId="4377" xr:uid="{00000000-0005-0000-0000-000003450000}"/>
    <cellStyle name="Output 2 3 2 2 6 2 2" xfId="10973" xr:uid="{00000000-0005-0000-0000-000004450000}"/>
    <cellStyle name="Output 2 3 2 2 6 2 3" xfId="17592" xr:uid="{00000000-0005-0000-0000-000005450000}"/>
    <cellStyle name="Output 2 3 2 2 6 2_Summary" xfId="23587" xr:uid="{00000000-0005-0000-0000-000006450000}"/>
    <cellStyle name="Output 2 3 2 2 6 3" xfId="6412" xr:uid="{00000000-0005-0000-0000-000007450000}"/>
    <cellStyle name="Output 2 3 2 2 6 3 2" xfId="13008" xr:uid="{00000000-0005-0000-0000-000008450000}"/>
    <cellStyle name="Output 2 3 2 2 6 3 3" xfId="19627" xr:uid="{00000000-0005-0000-0000-000009450000}"/>
    <cellStyle name="Output 2 3 2 2 6 3_Summary" xfId="23588" xr:uid="{00000000-0005-0000-0000-00000A450000}"/>
    <cellStyle name="Output 2 3 2 2 6 4" xfId="8837" xr:uid="{00000000-0005-0000-0000-00000B450000}"/>
    <cellStyle name="Output 2 3 2 2 6 5" xfId="15456" xr:uid="{00000000-0005-0000-0000-00000C450000}"/>
    <cellStyle name="Output 2 3 2 2 6_Summary" xfId="23586" xr:uid="{00000000-0005-0000-0000-00000D450000}"/>
    <cellStyle name="Output 2 3 2 2 7" xfId="2514" xr:uid="{00000000-0005-0000-0000-00000E450000}"/>
    <cellStyle name="Output 2 3 2 2 7 2" xfId="4650" xr:uid="{00000000-0005-0000-0000-00000F450000}"/>
    <cellStyle name="Output 2 3 2 2 7 2 2" xfId="11246" xr:uid="{00000000-0005-0000-0000-000010450000}"/>
    <cellStyle name="Output 2 3 2 2 7 2 3" xfId="17865" xr:uid="{00000000-0005-0000-0000-000011450000}"/>
    <cellStyle name="Output 2 3 2 2 7 2_Summary" xfId="23590" xr:uid="{00000000-0005-0000-0000-000012450000}"/>
    <cellStyle name="Output 2 3 2 2 7 3" xfId="6685" xr:uid="{00000000-0005-0000-0000-000013450000}"/>
    <cellStyle name="Output 2 3 2 2 7 3 2" xfId="13281" xr:uid="{00000000-0005-0000-0000-000014450000}"/>
    <cellStyle name="Output 2 3 2 2 7 3 3" xfId="19900" xr:uid="{00000000-0005-0000-0000-000015450000}"/>
    <cellStyle name="Output 2 3 2 2 7 3_Summary" xfId="23591" xr:uid="{00000000-0005-0000-0000-000016450000}"/>
    <cellStyle name="Output 2 3 2 2 7 4" xfId="9110" xr:uid="{00000000-0005-0000-0000-000017450000}"/>
    <cellStyle name="Output 2 3 2 2 7 5" xfId="15729" xr:uid="{00000000-0005-0000-0000-000018450000}"/>
    <cellStyle name="Output 2 3 2 2 7_Summary" xfId="23589" xr:uid="{00000000-0005-0000-0000-000019450000}"/>
    <cellStyle name="Output 2 3 2 2 8" xfId="2960" xr:uid="{00000000-0005-0000-0000-00001A450000}"/>
    <cellStyle name="Output 2 3 2 2 8 2" xfId="9556" xr:uid="{00000000-0005-0000-0000-00001B450000}"/>
    <cellStyle name="Output 2 3 2 2 8 3" xfId="16175" xr:uid="{00000000-0005-0000-0000-00001C450000}"/>
    <cellStyle name="Output 2 3 2 2 8_Summary" xfId="23592" xr:uid="{00000000-0005-0000-0000-00001D450000}"/>
    <cellStyle name="Output 2 3 2 2 9" xfId="4995" xr:uid="{00000000-0005-0000-0000-00001E450000}"/>
    <cellStyle name="Output 2 3 2 2 9 2" xfId="11591" xr:uid="{00000000-0005-0000-0000-00001F450000}"/>
    <cellStyle name="Output 2 3 2 2 9 3" xfId="18210" xr:uid="{00000000-0005-0000-0000-000020450000}"/>
    <cellStyle name="Output 2 3 2 2 9_Summary" xfId="23593" xr:uid="{00000000-0005-0000-0000-000021450000}"/>
    <cellStyle name="Output 2 3 2 2_Summary" xfId="23572" xr:uid="{00000000-0005-0000-0000-000022450000}"/>
    <cellStyle name="Output 2 3 2 20" xfId="31143" xr:uid="{844041DB-3127-4090-A212-4E3E36A34038}"/>
    <cellStyle name="Output 2 3 2 3" xfId="996" xr:uid="{00000000-0005-0000-0000-000023450000}"/>
    <cellStyle name="Output 2 3 2 3 2" xfId="3132" xr:uid="{00000000-0005-0000-0000-000024450000}"/>
    <cellStyle name="Output 2 3 2 3 2 2" xfId="9728" xr:uid="{00000000-0005-0000-0000-000025450000}"/>
    <cellStyle name="Output 2 3 2 3 2 3" xfId="16347" xr:uid="{00000000-0005-0000-0000-000026450000}"/>
    <cellStyle name="Output 2 3 2 3 2_Summary" xfId="23595" xr:uid="{00000000-0005-0000-0000-000027450000}"/>
    <cellStyle name="Output 2 3 2 3 3" xfId="5167" xr:uid="{00000000-0005-0000-0000-000028450000}"/>
    <cellStyle name="Output 2 3 2 3 3 2" xfId="11763" xr:uid="{00000000-0005-0000-0000-000029450000}"/>
    <cellStyle name="Output 2 3 2 3 3 3" xfId="18382" xr:uid="{00000000-0005-0000-0000-00002A450000}"/>
    <cellStyle name="Output 2 3 2 3 3_Summary" xfId="23596" xr:uid="{00000000-0005-0000-0000-00002B450000}"/>
    <cellStyle name="Output 2 3 2 3 4" xfId="7593" xr:uid="{00000000-0005-0000-0000-00002C450000}"/>
    <cellStyle name="Output 2 3 2 3 5" xfId="14211" xr:uid="{00000000-0005-0000-0000-00002D450000}"/>
    <cellStyle name="Output 2 3 2 3_Summary" xfId="23594" xr:uid="{00000000-0005-0000-0000-00002E450000}"/>
    <cellStyle name="Output 2 3 2 4" xfId="1278" xr:uid="{00000000-0005-0000-0000-00002F450000}"/>
    <cellStyle name="Output 2 3 2 4 2" xfId="3414" xr:uid="{00000000-0005-0000-0000-000030450000}"/>
    <cellStyle name="Output 2 3 2 4 2 2" xfId="10010" xr:uid="{00000000-0005-0000-0000-000031450000}"/>
    <cellStyle name="Output 2 3 2 4 2 3" xfId="16629" xr:uid="{00000000-0005-0000-0000-000032450000}"/>
    <cellStyle name="Output 2 3 2 4 2_Summary" xfId="23598" xr:uid="{00000000-0005-0000-0000-000033450000}"/>
    <cellStyle name="Output 2 3 2 4 3" xfId="5449" xr:uid="{00000000-0005-0000-0000-000034450000}"/>
    <cellStyle name="Output 2 3 2 4 3 2" xfId="12045" xr:uid="{00000000-0005-0000-0000-000035450000}"/>
    <cellStyle name="Output 2 3 2 4 3 3" xfId="18664" xr:uid="{00000000-0005-0000-0000-000036450000}"/>
    <cellStyle name="Output 2 3 2 4 3_Summary" xfId="23599" xr:uid="{00000000-0005-0000-0000-000037450000}"/>
    <cellStyle name="Output 2 3 2 4 4" xfId="7874" xr:uid="{00000000-0005-0000-0000-000038450000}"/>
    <cellStyle name="Output 2 3 2 4 5" xfId="14493" xr:uid="{00000000-0005-0000-0000-000039450000}"/>
    <cellStyle name="Output 2 3 2 4_Summary" xfId="23597" xr:uid="{00000000-0005-0000-0000-00003A450000}"/>
    <cellStyle name="Output 2 3 2 5" xfId="1559" xr:uid="{00000000-0005-0000-0000-00003B450000}"/>
    <cellStyle name="Output 2 3 2 5 2" xfId="3695" xr:uid="{00000000-0005-0000-0000-00003C450000}"/>
    <cellStyle name="Output 2 3 2 5 2 2" xfId="10291" xr:uid="{00000000-0005-0000-0000-00003D450000}"/>
    <cellStyle name="Output 2 3 2 5 2 3" xfId="16910" xr:uid="{00000000-0005-0000-0000-00003E450000}"/>
    <cellStyle name="Output 2 3 2 5 2_Summary" xfId="23601" xr:uid="{00000000-0005-0000-0000-00003F450000}"/>
    <cellStyle name="Output 2 3 2 5 3" xfId="5730" xr:uid="{00000000-0005-0000-0000-000040450000}"/>
    <cellStyle name="Output 2 3 2 5 3 2" xfId="12326" xr:uid="{00000000-0005-0000-0000-000041450000}"/>
    <cellStyle name="Output 2 3 2 5 3 3" xfId="18945" xr:uid="{00000000-0005-0000-0000-000042450000}"/>
    <cellStyle name="Output 2 3 2 5 3_Summary" xfId="23602" xr:uid="{00000000-0005-0000-0000-000043450000}"/>
    <cellStyle name="Output 2 3 2 5 4" xfId="8155" xr:uid="{00000000-0005-0000-0000-000044450000}"/>
    <cellStyle name="Output 2 3 2 5 5" xfId="14774" xr:uid="{00000000-0005-0000-0000-000045450000}"/>
    <cellStyle name="Output 2 3 2 5_Summary" xfId="23600" xr:uid="{00000000-0005-0000-0000-000046450000}"/>
    <cellStyle name="Output 2 3 2 6" xfId="1838" xr:uid="{00000000-0005-0000-0000-000047450000}"/>
    <cellStyle name="Output 2 3 2 6 2" xfId="3974" xr:uid="{00000000-0005-0000-0000-000048450000}"/>
    <cellStyle name="Output 2 3 2 6 2 2" xfId="10570" xr:uid="{00000000-0005-0000-0000-000049450000}"/>
    <cellStyle name="Output 2 3 2 6 2 3" xfId="17189" xr:uid="{00000000-0005-0000-0000-00004A450000}"/>
    <cellStyle name="Output 2 3 2 6 2_Summary" xfId="23604" xr:uid="{00000000-0005-0000-0000-00004B450000}"/>
    <cellStyle name="Output 2 3 2 6 3" xfId="6009" xr:uid="{00000000-0005-0000-0000-00004C450000}"/>
    <cellStyle name="Output 2 3 2 6 3 2" xfId="12605" xr:uid="{00000000-0005-0000-0000-00004D450000}"/>
    <cellStyle name="Output 2 3 2 6 3 3" xfId="19224" xr:uid="{00000000-0005-0000-0000-00004E450000}"/>
    <cellStyle name="Output 2 3 2 6 3_Summary" xfId="23605" xr:uid="{00000000-0005-0000-0000-00004F450000}"/>
    <cellStyle name="Output 2 3 2 6 4" xfId="8434" xr:uid="{00000000-0005-0000-0000-000050450000}"/>
    <cellStyle name="Output 2 3 2 6 5" xfId="15053" xr:uid="{00000000-0005-0000-0000-000051450000}"/>
    <cellStyle name="Output 2 3 2 6_Summary" xfId="23603" xr:uid="{00000000-0005-0000-0000-000052450000}"/>
    <cellStyle name="Output 2 3 2 7" xfId="2113" xr:uid="{00000000-0005-0000-0000-000053450000}"/>
    <cellStyle name="Output 2 3 2 7 2" xfId="4249" xr:uid="{00000000-0005-0000-0000-000054450000}"/>
    <cellStyle name="Output 2 3 2 7 2 2" xfId="10845" xr:uid="{00000000-0005-0000-0000-000055450000}"/>
    <cellStyle name="Output 2 3 2 7 2 3" xfId="17464" xr:uid="{00000000-0005-0000-0000-000056450000}"/>
    <cellStyle name="Output 2 3 2 7 2_Summary" xfId="23607" xr:uid="{00000000-0005-0000-0000-000057450000}"/>
    <cellStyle name="Output 2 3 2 7 3" xfId="6284" xr:uid="{00000000-0005-0000-0000-000058450000}"/>
    <cellStyle name="Output 2 3 2 7 3 2" xfId="12880" xr:uid="{00000000-0005-0000-0000-000059450000}"/>
    <cellStyle name="Output 2 3 2 7 3 3" xfId="19499" xr:uid="{00000000-0005-0000-0000-00005A450000}"/>
    <cellStyle name="Output 2 3 2 7 3_Summary" xfId="23608" xr:uid="{00000000-0005-0000-0000-00005B450000}"/>
    <cellStyle name="Output 2 3 2 7 4" xfId="8709" xr:uid="{00000000-0005-0000-0000-00005C450000}"/>
    <cellStyle name="Output 2 3 2 7 5" xfId="15328" xr:uid="{00000000-0005-0000-0000-00005D450000}"/>
    <cellStyle name="Output 2 3 2 7_Summary" xfId="23606" xr:uid="{00000000-0005-0000-0000-00005E450000}"/>
    <cellStyle name="Output 2 3 2 8" xfId="2386" xr:uid="{00000000-0005-0000-0000-00005F450000}"/>
    <cellStyle name="Output 2 3 2 8 2" xfId="4522" xr:uid="{00000000-0005-0000-0000-000060450000}"/>
    <cellStyle name="Output 2 3 2 8 2 2" xfId="11118" xr:uid="{00000000-0005-0000-0000-000061450000}"/>
    <cellStyle name="Output 2 3 2 8 2 3" xfId="17737" xr:uid="{00000000-0005-0000-0000-000062450000}"/>
    <cellStyle name="Output 2 3 2 8 2_Summary" xfId="23610" xr:uid="{00000000-0005-0000-0000-000063450000}"/>
    <cellStyle name="Output 2 3 2 8 3" xfId="6557" xr:uid="{00000000-0005-0000-0000-000064450000}"/>
    <cellStyle name="Output 2 3 2 8 3 2" xfId="13153" xr:uid="{00000000-0005-0000-0000-000065450000}"/>
    <cellStyle name="Output 2 3 2 8 3 3" xfId="19772" xr:uid="{00000000-0005-0000-0000-000066450000}"/>
    <cellStyle name="Output 2 3 2 8 3_Summary" xfId="23611" xr:uid="{00000000-0005-0000-0000-000067450000}"/>
    <cellStyle name="Output 2 3 2 8 4" xfId="8982" xr:uid="{00000000-0005-0000-0000-000068450000}"/>
    <cellStyle name="Output 2 3 2 8 5" xfId="15601" xr:uid="{00000000-0005-0000-0000-000069450000}"/>
    <cellStyle name="Output 2 3 2 8_Summary" xfId="23609" xr:uid="{00000000-0005-0000-0000-00006A450000}"/>
    <cellStyle name="Output 2 3 2 9" xfId="2687" xr:uid="{00000000-0005-0000-0000-00006B450000}"/>
    <cellStyle name="Output 2 3 2 9 2" xfId="9283" xr:uid="{00000000-0005-0000-0000-00006C450000}"/>
    <cellStyle name="Output 2 3 2 9 3" xfId="15902" xr:uid="{00000000-0005-0000-0000-00006D450000}"/>
    <cellStyle name="Output 2 3 2 9_Summary" xfId="23612" xr:uid="{00000000-0005-0000-0000-00006E450000}"/>
    <cellStyle name="Output 2 3 2_Summary" xfId="23569" xr:uid="{00000000-0005-0000-0000-00006F450000}"/>
    <cellStyle name="Output 2 3 20" xfId="29577" xr:uid="{1130AE9A-BA70-4745-8172-F64D1F13786D}"/>
    <cellStyle name="Output 2 3 21" xfId="31142" xr:uid="{A3C337C7-D7A1-47FA-8FEC-9BBA9CA8399D}"/>
    <cellStyle name="Output 2 3 3" xfId="369" xr:uid="{00000000-0005-0000-0000-000070450000}"/>
    <cellStyle name="Output 2 3 3 10" xfId="706" xr:uid="{00000000-0005-0000-0000-000071450000}"/>
    <cellStyle name="Output 2 3 3 10 2" xfId="13921" xr:uid="{00000000-0005-0000-0000-000072450000}"/>
    <cellStyle name="Output 2 3 3 10_Summary" xfId="23614" xr:uid="{00000000-0005-0000-0000-000073450000}"/>
    <cellStyle name="Output 2 3 3 11" xfId="7262" xr:uid="{00000000-0005-0000-0000-000074450000}"/>
    <cellStyle name="Output 2 3 3 12" xfId="13584" xr:uid="{00000000-0005-0000-0000-000075450000}"/>
    <cellStyle name="Output 2 3 3 13" xfId="26415" xr:uid="{E3E69954-DEDB-4EBE-B125-47593F8C10B4}"/>
    <cellStyle name="Output 2 3 3 14" xfId="26813" xr:uid="{A0090913-6EC0-4D55-B4FF-FA63096E87CE}"/>
    <cellStyle name="Output 2 3 3 15" xfId="26995" xr:uid="{F3C95AC2-41A1-4012-A811-AA1157E7ECBF}"/>
    <cellStyle name="Output 2 3 3 16" xfId="26631" xr:uid="{ADCB4A52-9E2C-4A07-A387-AC6411BA6583}"/>
    <cellStyle name="Output 2 3 3 17" xfId="26632" xr:uid="{180E1D21-5DD8-4C23-A99B-61935823C9B3}"/>
    <cellStyle name="Output 2 3 3 18" xfId="29579" xr:uid="{AF392957-3CA8-4E9F-837B-AAE22212F381}"/>
    <cellStyle name="Output 2 3 3 19" xfId="31144" xr:uid="{B61C7DD7-A785-4BBD-9157-FC40BFB5AB6B}"/>
    <cellStyle name="Output 2 3 3 2" xfId="1063" xr:uid="{00000000-0005-0000-0000-000076450000}"/>
    <cellStyle name="Output 2 3 3 2 10" xfId="27076" xr:uid="{A7707560-AF4C-40AF-B532-43F2C555432C}"/>
    <cellStyle name="Output 2 3 3 2 11" xfId="30429" xr:uid="{C30E71B0-CB32-4F3C-A7FA-2695C33561D9}"/>
    <cellStyle name="Output 2 3 3 2 12" xfId="31861" xr:uid="{E53C3F3D-5699-45B4-91C4-E52CC564F1F7}"/>
    <cellStyle name="Output 2 3 3 2 2" xfId="3199" xr:uid="{00000000-0005-0000-0000-000077450000}"/>
    <cellStyle name="Output 2 3 3 2 2 2" xfId="9795" xr:uid="{00000000-0005-0000-0000-000078450000}"/>
    <cellStyle name="Output 2 3 3 2 2 3" xfId="16414" xr:uid="{00000000-0005-0000-0000-000079450000}"/>
    <cellStyle name="Output 2 3 3 2 2_Summary" xfId="23616" xr:uid="{00000000-0005-0000-0000-00007A450000}"/>
    <cellStyle name="Output 2 3 3 2 3" xfId="5234" xr:uid="{00000000-0005-0000-0000-00007B450000}"/>
    <cellStyle name="Output 2 3 3 2 3 2" xfId="11830" xr:uid="{00000000-0005-0000-0000-00007C450000}"/>
    <cellStyle name="Output 2 3 3 2 3 3" xfId="18449" xr:uid="{00000000-0005-0000-0000-00007D450000}"/>
    <cellStyle name="Output 2 3 3 2 3_Summary" xfId="23617" xr:uid="{00000000-0005-0000-0000-00007E450000}"/>
    <cellStyle name="Output 2 3 3 2 4" xfId="7660" xr:uid="{00000000-0005-0000-0000-00007F450000}"/>
    <cellStyle name="Output 2 3 3 2 5" xfId="14278" xr:uid="{00000000-0005-0000-0000-000080450000}"/>
    <cellStyle name="Output 2 3 3 2 6" xfId="26509" xr:uid="{54D93158-55D5-44E4-9117-E30D82D69F82}"/>
    <cellStyle name="Output 2 3 3 2 7" xfId="26892" xr:uid="{729C09F1-D448-43EB-BD8E-0AEEB8F2459B}"/>
    <cellStyle name="Output 2 3 3 2 8" xfId="27030" xr:uid="{D41ADA79-049C-4215-8869-2F2179D10A7C}"/>
    <cellStyle name="Output 2 3 3 2 9" xfId="27056" xr:uid="{A0CA67F3-8108-497D-B7CB-E68D131D7F78}"/>
    <cellStyle name="Output 2 3 3 2_Summary" xfId="23615" xr:uid="{00000000-0005-0000-0000-000081450000}"/>
    <cellStyle name="Output 2 3 3 3" xfId="1345" xr:uid="{00000000-0005-0000-0000-000082450000}"/>
    <cellStyle name="Output 2 3 3 3 2" xfId="3481" xr:uid="{00000000-0005-0000-0000-000083450000}"/>
    <cellStyle name="Output 2 3 3 3 2 2" xfId="10077" xr:uid="{00000000-0005-0000-0000-000084450000}"/>
    <cellStyle name="Output 2 3 3 3 2 3" xfId="16696" xr:uid="{00000000-0005-0000-0000-000085450000}"/>
    <cellStyle name="Output 2 3 3 3 2_Summary" xfId="23619" xr:uid="{00000000-0005-0000-0000-000086450000}"/>
    <cellStyle name="Output 2 3 3 3 3" xfId="5516" xr:uid="{00000000-0005-0000-0000-000087450000}"/>
    <cellStyle name="Output 2 3 3 3 3 2" xfId="12112" xr:uid="{00000000-0005-0000-0000-000088450000}"/>
    <cellStyle name="Output 2 3 3 3 3 3" xfId="18731" xr:uid="{00000000-0005-0000-0000-000089450000}"/>
    <cellStyle name="Output 2 3 3 3 3_Summary" xfId="23620" xr:uid="{00000000-0005-0000-0000-00008A450000}"/>
    <cellStyle name="Output 2 3 3 3 4" xfId="7941" xr:uid="{00000000-0005-0000-0000-00008B450000}"/>
    <cellStyle name="Output 2 3 3 3 5" xfId="14560" xr:uid="{00000000-0005-0000-0000-00008C450000}"/>
    <cellStyle name="Output 2 3 3 3_Summary" xfId="23618" xr:uid="{00000000-0005-0000-0000-00008D450000}"/>
    <cellStyle name="Output 2 3 3 4" xfId="1626" xr:uid="{00000000-0005-0000-0000-00008E450000}"/>
    <cellStyle name="Output 2 3 3 4 2" xfId="3762" xr:uid="{00000000-0005-0000-0000-00008F450000}"/>
    <cellStyle name="Output 2 3 3 4 2 2" xfId="10358" xr:uid="{00000000-0005-0000-0000-000090450000}"/>
    <cellStyle name="Output 2 3 3 4 2 3" xfId="16977" xr:uid="{00000000-0005-0000-0000-000091450000}"/>
    <cellStyle name="Output 2 3 3 4 2_Summary" xfId="23622" xr:uid="{00000000-0005-0000-0000-000092450000}"/>
    <cellStyle name="Output 2 3 3 4 3" xfId="5797" xr:uid="{00000000-0005-0000-0000-000093450000}"/>
    <cellStyle name="Output 2 3 3 4 3 2" xfId="12393" xr:uid="{00000000-0005-0000-0000-000094450000}"/>
    <cellStyle name="Output 2 3 3 4 3 3" xfId="19012" xr:uid="{00000000-0005-0000-0000-000095450000}"/>
    <cellStyle name="Output 2 3 3 4 3_Summary" xfId="23623" xr:uid="{00000000-0005-0000-0000-000096450000}"/>
    <cellStyle name="Output 2 3 3 4 4" xfId="8222" xr:uid="{00000000-0005-0000-0000-000097450000}"/>
    <cellStyle name="Output 2 3 3 4 5" xfId="14841" xr:uid="{00000000-0005-0000-0000-000098450000}"/>
    <cellStyle name="Output 2 3 3 4_Summary" xfId="23621" xr:uid="{00000000-0005-0000-0000-000099450000}"/>
    <cellStyle name="Output 2 3 3 5" xfId="1905" xr:uid="{00000000-0005-0000-0000-00009A450000}"/>
    <cellStyle name="Output 2 3 3 5 2" xfId="4041" xr:uid="{00000000-0005-0000-0000-00009B450000}"/>
    <cellStyle name="Output 2 3 3 5 2 2" xfId="10637" xr:uid="{00000000-0005-0000-0000-00009C450000}"/>
    <cellStyle name="Output 2 3 3 5 2 3" xfId="17256" xr:uid="{00000000-0005-0000-0000-00009D450000}"/>
    <cellStyle name="Output 2 3 3 5 2_Summary" xfId="23625" xr:uid="{00000000-0005-0000-0000-00009E450000}"/>
    <cellStyle name="Output 2 3 3 5 3" xfId="6076" xr:uid="{00000000-0005-0000-0000-00009F450000}"/>
    <cellStyle name="Output 2 3 3 5 3 2" xfId="12672" xr:uid="{00000000-0005-0000-0000-0000A0450000}"/>
    <cellStyle name="Output 2 3 3 5 3 3" xfId="19291" xr:uid="{00000000-0005-0000-0000-0000A1450000}"/>
    <cellStyle name="Output 2 3 3 5 3_Summary" xfId="23626" xr:uid="{00000000-0005-0000-0000-0000A2450000}"/>
    <cellStyle name="Output 2 3 3 5 4" xfId="8501" xr:uid="{00000000-0005-0000-0000-0000A3450000}"/>
    <cellStyle name="Output 2 3 3 5 5" xfId="15120" xr:uid="{00000000-0005-0000-0000-0000A4450000}"/>
    <cellStyle name="Output 2 3 3 5_Summary" xfId="23624" xr:uid="{00000000-0005-0000-0000-0000A5450000}"/>
    <cellStyle name="Output 2 3 3 6" xfId="2180" xr:uid="{00000000-0005-0000-0000-0000A6450000}"/>
    <cellStyle name="Output 2 3 3 6 2" xfId="4316" xr:uid="{00000000-0005-0000-0000-0000A7450000}"/>
    <cellStyle name="Output 2 3 3 6 2 2" xfId="10912" xr:uid="{00000000-0005-0000-0000-0000A8450000}"/>
    <cellStyle name="Output 2 3 3 6 2 3" xfId="17531" xr:uid="{00000000-0005-0000-0000-0000A9450000}"/>
    <cellStyle name="Output 2 3 3 6 2_Summary" xfId="23628" xr:uid="{00000000-0005-0000-0000-0000AA450000}"/>
    <cellStyle name="Output 2 3 3 6 3" xfId="6351" xr:uid="{00000000-0005-0000-0000-0000AB450000}"/>
    <cellStyle name="Output 2 3 3 6 3 2" xfId="12947" xr:uid="{00000000-0005-0000-0000-0000AC450000}"/>
    <cellStyle name="Output 2 3 3 6 3 3" xfId="19566" xr:uid="{00000000-0005-0000-0000-0000AD450000}"/>
    <cellStyle name="Output 2 3 3 6 3_Summary" xfId="23629" xr:uid="{00000000-0005-0000-0000-0000AE450000}"/>
    <cellStyle name="Output 2 3 3 6 4" xfId="8776" xr:uid="{00000000-0005-0000-0000-0000AF450000}"/>
    <cellStyle name="Output 2 3 3 6 5" xfId="15395" xr:uid="{00000000-0005-0000-0000-0000B0450000}"/>
    <cellStyle name="Output 2 3 3 6_Summary" xfId="23627" xr:uid="{00000000-0005-0000-0000-0000B1450000}"/>
    <cellStyle name="Output 2 3 3 7" xfId="2453" xr:uid="{00000000-0005-0000-0000-0000B2450000}"/>
    <cellStyle name="Output 2 3 3 7 2" xfId="4589" xr:uid="{00000000-0005-0000-0000-0000B3450000}"/>
    <cellStyle name="Output 2 3 3 7 2 2" xfId="11185" xr:uid="{00000000-0005-0000-0000-0000B4450000}"/>
    <cellStyle name="Output 2 3 3 7 2 3" xfId="17804" xr:uid="{00000000-0005-0000-0000-0000B5450000}"/>
    <cellStyle name="Output 2 3 3 7 2_Summary" xfId="23631" xr:uid="{00000000-0005-0000-0000-0000B6450000}"/>
    <cellStyle name="Output 2 3 3 7 3" xfId="6624" xr:uid="{00000000-0005-0000-0000-0000B7450000}"/>
    <cellStyle name="Output 2 3 3 7 3 2" xfId="13220" xr:uid="{00000000-0005-0000-0000-0000B8450000}"/>
    <cellStyle name="Output 2 3 3 7 3 3" xfId="19839" xr:uid="{00000000-0005-0000-0000-0000B9450000}"/>
    <cellStyle name="Output 2 3 3 7 3_Summary" xfId="23632" xr:uid="{00000000-0005-0000-0000-0000BA450000}"/>
    <cellStyle name="Output 2 3 3 7 4" xfId="9049" xr:uid="{00000000-0005-0000-0000-0000BB450000}"/>
    <cellStyle name="Output 2 3 3 7 5" xfId="15668" xr:uid="{00000000-0005-0000-0000-0000BC450000}"/>
    <cellStyle name="Output 2 3 3 7_Summary" xfId="23630" xr:uid="{00000000-0005-0000-0000-0000BD450000}"/>
    <cellStyle name="Output 2 3 3 8" xfId="2842" xr:uid="{00000000-0005-0000-0000-0000BE450000}"/>
    <cellStyle name="Output 2 3 3 8 2" xfId="9438" xr:uid="{00000000-0005-0000-0000-0000BF450000}"/>
    <cellStyle name="Output 2 3 3 8 3" xfId="16057" xr:uid="{00000000-0005-0000-0000-0000C0450000}"/>
    <cellStyle name="Output 2 3 3 8_Summary" xfId="23633" xr:uid="{00000000-0005-0000-0000-0000C1450000}"/>
    <cellStyle name="Output 2 3 3 9" xfId="4877" xr:uid="{00000000-0005-0000-0000-0000C2450000}"/>
    <cellStyle name="Output 2 3 3 9 2" xfId="11473" xr:uid="{00000000-0005-0000-0000-0000C3450000}"/>
    <cellStyle name="Output 2 3 3 9 3" xfId="18092" xr:uid="{00000000-0005-0000-0000-0000C4450000}"/>
    <cellStyle name="Output 2 3 3 9_Summary" xfId="23634" xr:uid="{00000000-0005-0000-0000-0000C5450000}"/>
    <cellStyle name="Output 2 3 3_Summary" xfId="23613" xr:uid="{00000000-0005-0000-0000-0000C6450000}"/>
    <cellStyle name="Output 2 3 4" xfId="874" xr:uid="{00000000-0005-0000-0000-0000C7450000}"/>
    <cellStyle name="Output 2 3 4 2" xfId="3010" xr:uid="{00000000-0005-0000-0000-0000C8450000}"/>
    <cellStyle name="Output 2 3 4 2 2" xfId="9606" xr:uid="{00000000-0005-0000-0000-0000C9450000}"/>
    <cellStyle name="Output 2 3 4 2 3" xfId="16225" xr:uid="{00000000-0005-0000-0000-0000CA450000}"/>
    <cellStyle name="Output 2 3 4 2_Summary" xfId="23636" xr:uid="{00000000-0005-0000-0000-0000CB450000}"/>
    <cellStyle name="Output 2 3 4 3" xfId="5045" xr:uid="{00000000-0005-0000-0000-0000CC450000}"/>
    <cellStyle name="Output 2 3 4 3 2" xfId="11641" xr:uid="{00000000-0005-0000-0000-0000CD450000}"/>
    <cellStyle name="Output 2 3 4 3 3" xfId="18260" xr:uid="{00000000-0005-0000-0000-0000CE450000}"/>
    <cellStyle name="Output 2 3 4 3_Summary" xfId="23637" xr:uid="{00000000-0005-0000-0000-0000CF450000}"/>
    <cellStyle name="Output 2 3 4 4" xfId="7471" xr:uid="{00000000-0005-0000-0000-0000D0450000}"/>
    <cellStyle name="Output 2 3 4 5" xfId="14089" xr:uid="{00000000-0005-0000-0000-0000D1450000}"/>
    <cellStyle name="Output 2 3 4 6" xfId="30427" xr:uid="{83B12240-F209-456F-9574-D15E2B995003}"/>
    <cellStyle name="Output 2 3 4 7" xfId="31859" xr:uid="{B235F8C9-7DDD-4F07-916D-2A4033CDD07D}"/>
    <cellStyle name="Output 2 3 4_Summary" xfId="23635" xr:uid="{00000000-0005-0000-0000-0000D2450000}"/>
    <cellStyle name="Output 2 3 5" xfId="599" xr:uid="{00000000-0005-0000-0000-0000D3450000}"/>
    <cellStyle name="Output 2 3 5 2" xfId="2735" xr:uid="{00000000-0005-0000-0000-0000D4450000}"/>
    <cellStyle name="Output 2 3 5 2 2" xfId="9331" xr:uid="{00000000-0005-0000-0000-0000D5450000}"/>
    <cellStyle name="Output 2 3 5 2 3" xfId="15950" xr:uid="{00000000-0005-0000-0000-0000D6450000}"/>
    <cellStyle name="Output 2 3 5 2_Summary" xfId="23639" xr:uid="{00000000-0005-0000-0000-0000D7450000}"/>
    <cellStyle name="Output 2 3 5 3" xfId="4770" xr:uid="{00000000-0005-0000-0000-0000D8450000}"/>
    <cellStyle name="Output 2 3 5 3 2" xfId="11366" xr:uid="{00000000-0005-0000-0000-0000D9450000}"/>
    <cellStyle name="Output 2 3 5 3 3" xfId="17985" xr:uid="{00000000-0005-0000-0000-0000DA450000}"/>
    <cellStyle name="Output 2 3 5 3_Summary" xfId="23640" xr:uid="{00000000-0005-0000-0000-0000DB450000}"/>
    <cellStyle name="Output 2 3 5 4" xfId="7371" xr:uid="{00000000-0005-0000-0000-0000DC450000}"/>
    <cellStyle name="Output 2 3 5 5" xfId="13814" xr:uid="{00000000-0005-0000-0000-0000DD450000}"/>
    <cellStyle name="Output 2 3 5_Summary" xfId="23638" xr:uid="{00000000-0005-0000-0000-0000DE450000}"/>
    <cellStyle name="Output 2 3 6" xfId="650" xr:uid="{00000000-0005-0000-0000-0000DF450000}"/>
    <cellStyle name="Output 2 3 6 2" xfId="2786" xr:uid="{00000000-0005-0000-0000-0000E0450000}"/>
    <cellStyle name="Output 2 3 6 2 2" xfId="9382" xr:uid="{00000000-0005-0000-0000-0000E1450000}"/>
    <cellStyle name="Output 2 3 6 2 3" xfId="16001" xr:uid="{00000000-0005-0000-0000-0000E2450000}"/>
    <cellStyle name="Output 2 3 6 2_Summary" xfId="23642" xr:uid="{00000000-0005-0000-0000-0000E3450000}"/>
    <cellStyle name="Output 2 3 6 3" xfId="4821" xr:uid="{00000000-0005-0000-0000-0000E4450000}"/>
    <cellStyle name="Output 2 3 6 3 2" xfId="11417" xr:uid="{00000000-0005-0000-0000-0000E5450000}"/>
    <cellStyle name="Output 2 3 6 3 3" xfId="18036" xr:uid="{00000000-0005-0000-0000-0000E6450000}"/>
    <cellStyle name="Output 2 3 6 3_Summary" xfId="23643" xr:uid="{00000000-0005-0000-0000-0000E7450000}"/>
    <cellStyle name="Output 2 3 6 4" xfId="7422" xr:uid="{00000000-0005-0000-0000-0000E8450000}"/>
    <cellStyle name="Output 2 3 6 5" xfId="13865" xr:uid="{00000000-0005-0000-0000-0000E9450000}"/>
    <cellStyle name="Output 2 3 6_Summary" xfId="23641" xr:uid="{00000000-0005-0000-0000-0000EA450000}"/>
    <cellStyle name="Output 2 3 7" xfId="606" xr:uid="{00000000-0005-0000-0000-0000EB450000}"/>
    <cellStyle name="Output 2 3 7 2" xfId="2742" xr:uid="{00000000-0005-0000-0000-0000EC450000}"/>
    <cellStyle name="Output 2 3 7 2 2" xfId="9338" xr:uid="{00000000-0005-0000-0000-0000ED450000}"/>
    <cellStyle name="Output 2 3 7 2 3" xfId="15957" xr:uid="{00000000-0005-0000-0000-0000EE450000}"/>
    <cellStyle name="Output 2 3 7 2_Summary" xfId="23645" xr:uid="{00000000-0005-0000-0000-0000EF450000}"/>
    <cellStyle name="Output 2 3 7 3" xfId="4777" xr:uid="{00000000-0005-0000-0000-0000F0450000}"/>
    <cellStyle name="Output 2 3 7 3 2" xfId="11373" xr:uid="{00000000-0005-0000-0000-0000F1450000}"/>
    <cellStyle name="Output 2 3 7 3 3" xfId="17992" xr:uid="{00000000-0005-0000-0000-0000F2450000}"/>
    <cellStyle name="Output 2 3 7 3_Summary" xfId="23646" xr:uid="{00000000-0005-0000-0000-0000F3450000}"/>
    <cellStyle name="Output 2 3 7 4" xfId="7378" xr:uid="{00000000-0005-0000-0000-0000F4450000}"/>
    <cellStyle name="Output 2 3 7 5" xfId="13821" xr:uid="{00000000-0005-0000-0000-0000F5450000}"/>
    <cellStyle name="Output 2 3 7_Summary" xfId="23644" xr:uid="{00000000-0005-0000-0000-0000F6450000}"/>
    <cellStyle name="Output 2 3 8" xfId="603" xr:uid="{00000000-0005-0000-0000-0000F7450000}"/>
    <cellStyle name="Output 2 3 8 2" xfId="2739" xr:uid="{00000000-0005-0000-0000-0000F8450000}"/>
    <cellStyle name="Output 2 3 8 2 2" xfId="9335" xr:uid="{00000000-0005-0000-0000-0000F9450000}"/>
    <cellStyle name="Output 2 3 8 2 3" xfId="15954" xr:uid="{00000000-0005-0000-0000-0000FA450000}"/>
    <cellStyle name="Output 2 3 8 2_Summary" xfId="23648" xr:uid="{00000000-0005-0000-0000-0000FB450000}"/>
    <cellStyle name="Output 2 3 8 3" xfId="4774" xr:uid="{00000000-0005-0000-0000-0000FC450000}"/>
    <cellStyle name="Output 2 3 8 3 2" xfId="11370" xr:uid="{00000000-0005-0000-0000-0000FD450000}"/>
    <cellStyle name="Output 2 3 8 3 3" xfId="17989" xr:uid="{00000000-0005-0000-0000-0000FE450000}"/>
    <cellStyle name="Output 2 3 8 3_Summary" xfId="23649" xr:uid="{00000000-0005-0000-0000-0000FF450000}"/>
    <cellStyle name="Output 2 3 8 4" xfId="7375" xr:uid="{00000000-0005-0000-0000-000000460000}"/>
    <cellStyle name="Output 2 3 8 5" xfId="13818" xr:uid="{00000000-0005-0000-0000-000001460000}"/>
    <cellStyle name="Output 2 3 8_Summary" xfId="23647" xr:uid="{00000000-0005-0000-0000-000002460000}"/>
    <cellStyle name="Output 2 3 9" xfId="624" xr:uid="{00000000-0005-0000-0000-000003460000}"/>
    <cellStyle name="Output 2 3 9 2" xfId="2760" xr:uid="{00000000-0005-0000-0000-000004460000}"/>
    <cellStyle name="Output 2 3 9 2 2" xfId="9356" xr:uid="{00000000-0005-0000-0000-000005460000}"/>
    <cellStyle name="Output 2 3 9 2 3" xfId="15975" xr:uid="{00000000-0005-0000-0000-000006460000}"/>
    <cellStyle name="Output 2 3 9 2_Summary" xfId="23651" xr:uid="{00000000-0005-0000-0000-000007460000}"/>
    <cellStyle name="Output 2 3 9 3" xfId="4795" xr:uid="{00000000-0005-0000-0000-000008460000}"/>
    <cellStyle name="Output 2 3 9 3 2" xfId="11391" xr:uid="{00000000-0005-0000-0000-000009460000}"/>
    <cellStyle name="Output 2 3 9 3 3" xfId="18010" xr:uid="{00000000-0005-0000-0000-00000A460000}"/>
    <cellStyle name="Output 2 3 9 3_Summary" xfId="23652" xr:uid="{00000000-0005-0000-0000-00000B460000}"/>
    <cellStyle name="Output 2 3 9 4" xfId="7396" xr:uid="{00000000-0005-0000-0000-00000C460000}"/>
    <cellStyle name="Output 2 3 9 5" xfId="13839" xr:uid="{00000000-0005-0000-0000-00000D460000}"/>
    <cellStyle name="Output 2 3 9_Summary" xfId="23650" xr:uid="{00000000-0005-0000-0000-00000E460000}"/>
    <cellStyle name="Output 2 3_Summary" xfId="23565" xr:uid="{00000000-0005-0000-0000-00000F460000}"/>
    <cellStyle name="Output 2 30" xfId="6800" xr:uid="{00000000-0005-0000-0000-000010460000}"/>
    <cellStyle name="Output 2 30 2" xfId="13396" xr:uid="{00000000-0005-0000-0000-000011460000}"/>
    <cellStyle name="Output 2 30 3" xfId="20015" xr:uid="{00000000-0005-0000-0000-000012460000}"/>
    <cellStyle name="Output 2 30_Summary" xfId="23653" xr:uid="{00000000-0005-0000-0000-000013460000}"/>
    <cellStyle name="Output 2 31" xfId="6767" xr:uid="{00000000-0005-0000-0000-000014460000}"/>
    <cellStyle name="Output 2 31 2" xfId="13363" xr:uid="{00000000-0005-0000-0000-000015460000}"/>
    <cellStyle name="Output 2 31 3" xfId="19982" xr:uid="{00000000-0005-0000-0000-000016460000}"/>
    <cellStyle name="Output 2 31_Summary" xfId="23654" xr:uid="{00000000-0005-0000-0000-000017460000}"/>
    <cellStyle name="Output 2 32" xfId="6802" xr:uid="{00000000-0005-0000-0000-000018460000}"/>
    <cellStyle name="Output 2 32 2" xfId="13398" xr:uid="{00000000-0005-0000-0000-000019460000}"/>
    <cellStyle name="Output 2 32 3" xfId="20017" xr:uid="{00000000-0005-0000-0000-00001A460000}"/>
    <cellStyle name="Output 2 32_Summary" xfId="23655" xr:uid="{00000000-0005-0000-0000-00001B460000}"/>
    <cellStyle name="Output 2 33" xfId="6788" xr:uid="{00000000-0005-0000-0000-00001C460000}"/>
    <cellStyle name="Output 2 33 2" xfId="13384" xr:uid="{00000000-0005-0000-0000-00001D460000}"/>
    <cellStyle name="Output 2 33 3" xfId="20003" xr:uid="{00000000-0005-0000-0000-00001E460000}"/>
    <cellStyle name="Output 2 33_Summary" xfId="23656" xr:uid="{00000000-0005-0000-0000-00001F460000}"/>
    <cellStyle name="Output 2 34" xfId="6789" xr:uid="{00000000-0005-0000-0000-000020460000}"/>
    <cellStyle name="Output 2 34 2" xfId="13385" xr:uid="{00000000-0005-0000-0000-000021460000}"/>
    <cellStyle name="Output 2 34 3" xfId="20004" xr:uid="{00000000-0005-0000-0000-000022460000}"/>
    <cellStyle name="Output 2 34_Summary" xfId="23657" xr:uid="{00000000-0005-0000-0000-000023460000}"/>
    <cellStyle name="Output 2 35" xfId="6927" xr:uid="{00000000-0005-0000-0000-000024460000}"/>
    <cellStyle name="Output 2 35 2" xfId="13447" xr:uid="{00000000-0005-0000-0000-000025460000}"/>
    <cellStyle name="Output 2 35 3" xfId="20054" xr:uid="{00000000-0005-0000-0000-000026460000}"/>
    <cellStyle name="Output 2 35_Summary" xfId="23658" xr:uid="{00000000-0005-0000-0000-000027460000}"/>
    <cellStyle name="Output 2 36" xfId="6929" xr:uid="{00000000-0005-0000-0000-000028460000}"/>
    <cellStyle name="Output 2 36 2" xfId="13449" xr:uid="{00000000-0005-0000-0000-000029460000}"/>
    <cellStyle name="Output 2 36 3" xfId="20056" xr:uid="{00000000-0005-0000-0000-00002A460000}"/>
    <cellStyle name="Output 2 36_Summary" xfId="23659" xr:uid="{00000000-0005-0000-0000-00002B460000}"/>
    <cellStyle name="Output 2 37" xfId="6932" xr:uid="{00000000-0005-0000-0000-00002C460000}"/>
    <cellStyle name="Output 2 37 2" xfId="13452" xr:uid="{00000000-0005-0000-0000-00002D460000}"/>
    <cellStyle name="Output 2 37 3" xfId="20059" xr:uid="{00000000-0005-0000-0000-00002E460000}"/>
    <cellStyle name="Output 2 37_Summary" xfId="23660" xr:uid="{00000000-0005-0000-0000-00002F460000}"/>
    <cellStyle name="Output 2 38" xfId="6936" xr:uid="{00000000-0005-0000-0000-000030460000}"/>
    <cellStyle name="Output 2 38 2" xfId="13456" xr:uid="{00000000-0005-0000-0000-000031460000}"/>
    <cellStyle name="Output 2 38 3" xfId="20063" xr:uid="{00000000-0005-0000-0000-000032460000}"/>
    <cellStyle name="Output 2 38_Summary" xfId="23661" xr:uid="{00000000-0005-0000-0000-000033460000}"/>
    <cellStyle name="Output 2 39" xfId="6911" xr:uid="{00000000-0005-0000-0000-000034460000}"/>
    <cellStyle name="Output 2 39 2" xfId="13431" xr:uid="{00000000-0005-0000-0000-000035460000}"/>
    <cellStyle name="Output 2 39 3" xfId="20038" xr:uid="{00000000-0005-0000-0000-000036460000}"/>
    <cellStyle name="Output 2 39_Summary" xfId="23662" xr:uid="{00000000-0005-0000-0000-000037460000}"/>
    <cellStyle name="Output 2 4" xfId="136" xr:uid="{00000000-0005-0000-0000-000038460000}"/>
    <cellStyle name="Output 2 4 10" xfId="2579" xr:uid="{00000000-0005-0000-0000-000039460000}"/>
    <cellStyle name="Output 2 4 10 2" xfId="9175" xr:uid="{00000000-0005-0000-0000-00003A460000}"/>
    <cellStyle name="Output 2 4 10 3" xfId="15794" xr:uid="{00000000-0005-0000-0000-00003B460000}"/>
    <cellStyle name="Output 2 4 10_Summary" xfId="23664" xr:uid="{00000000-0005-0000-0000-00003C460000}"/>
    <cellStyle name="Output 2 4 11" xfId="2636" xr:uid="{00000000-0005-0000-0000-00003D460000}"/>
    <cellStyle name="Output 2 4 11 2" xfId="9232" xr:uid="{00000000-0005-0000-0000-00003E460000}"/>
    <cellStyle name="Output 2 4 11 3" xfId="15851" xr:uid="{00000000-0005-0000-0000-00003F460000}"/>
    <cellStyle name="Output 2 4 11_Summary" xfId="23665" xr:uid="{00000000-0005-0000-0000-000040460000}"/>
    <cellStyle name="Output 2 4 12" xfId="471" xr:uid="{00000000-0005-0000-0000-000041460000}"/>
    <cellStyle name="Output 2 4 12 2" xfId="13686" xr:uid="{00000000-0005-0000-0000-000042460000}"/>
    <cellStyle name="Output 2 4 12_Summary" xfId="23666" xr:uid="{00000000-0005-0000-0000-000043460000}"/>
    <cellStyle name="Output 2 4 13" xfId="7050" xr:uid="{00000000-0005-0000-0000-000044460000}"/>
    <cellStyle name="Output 2 4 14" xfId="6980" xr:uid="{00000000-0005-0000-0000-000045460000}"/>
    <cellStyle name="Output 2 4 15" xfId="26083" xr:uid="{84E2BA84-DB01-44D3-8380-7A8DA914511B}"/>
    <cellStyle name="Output 2 4 16" xfId="26638" xr:uid="{51BDD1A2-0A1E-4D15-A1D0-1A0802D1962E}"/>
    <cellStyle name="Output 2 4 17" xfId="26608" xr:uid="{BFFA0E65-1765-4A9C-B072-96CE39FA3E9E}"/>
    <cellStyle name="Output 2 4 18" xfId="26257" xr:uid="{C457B53D-FDCE-4951-BA0A-F94B3457AA58}"/>
    <cellStyle name="Output 2 4 19" xfId="26958" xr:uid="{5A5399CB-B35C-4143-951A-3FCE8F4A5503}"/>
    <cellStyle name="Output 2 4 2" xfId="285" xr:uid="{00000000-0005-0000-0000-000046460000}"/>
    <cellStyle name="Output 2 4 2 10" xfId="4706" xr:uid="{00000000-0005-0000-0000-000047460000}"/>
    <cellStyle name="Output 2 4 2 10 2" xfId="11302" xr:uid="{00000000-0005-0000-0000-000048460000}"/>
    <cellStyle name="Output 2 4 2 10 3" xfId="17921" xr:uid="{00000000-0005-0000-0000-000049460000}"/>
    <cellStyle name="Output 2 4 2 10_Summary" xfId="23668" xr:uid="{00000000-0005-0000-0000-00004A460000}"/>
    <cellStyle name="Output 2 4 2 11" xfId="535" xr:uid="{00000000-0005-0000-0000-00004B460000}"/>
    <cellStyle name="Output 2 4 2 11 2" xfId="13750" xr:uid="{00000000-0005-0000-0000-00004C460000}"/>
    <cellStyle name="Output 2 4 2 11_Summary" xfId="23669" xr:uid="{00000000-0005-0000-0000-00004D460000}"/>
    <cellStyle name="Output 2 4 2 12" xfId="7179" xr:uid="{00000000-0005-0000-0000-00004E460000}"/>
    <cellStyle name="Output 2 4 2 13" xfId="13501" xr:uid="{00000000-0005-0000-0000-00004F460000}"/>
    <cellStyle name="Output 2 4 2 14" xfId="26277" xr:uid="{A9ACB9CD-DEE4-47FB-86F1-35BB38DE42CC}"/>
    <cellStyle name="Output 2 4 2 15" xfId="26693" xr:uid="{85FE7B4C-C667-4096-B0E7-BE90F15F2294}"/>
    <cellStyle name="Output 2 4 2 16" xfId="26942" xr:uid="{5DC16063-57E1-44C1-AC5C-E69C440A2272}"/>
    <cellStyle name="Output 2 4 2 17" xfId="26648" xr:uid="{FAC1D295-1A73-428D-8E1A-AB409A44A1AF}"/>
    <cellStyle name="Output 2 4 2 18" xfId="26655" xr:uid="{D3B77491-2890-4DA9-A27A-446DCDC99D7C}"/>
    <cellStyle name="Output 2 4 2 19" xfId="29581" xr:uid="{53C6A52F-3E84-4415-B56D-FADC80475D64}"/>
    <cellStyle name="Output 2 4 2 2" xfId="414" xr:uid="{00000000-0005-0000-0000-000050460000}"/>
    <cellStyle name="Output 2 4 2 2 10" xfId="808" xr:uid="{00000000-0005-0000-0000-000051460000}"/>
    <cellStyle name="Output 2 4 2 2 10 2" xfId="14023" xr:uid="{00000000-0005-0000-0000-000052460000}"/>
    <cellStyle name="Output 2 4 2 2 10_Summary" xfId="23671" xr:uid="{00000000-0005-0000-0000-000053460000}"/>
    <cellStyle name="Output 2 4 2 2 11" xfId="7307" xr:uid="{00000000-0005-0000-0000-000054460000}"/>
    <cellStyle name="Output 2 4 2 2 12" xfId="13629" xr:uid="{00000000-0005-0000-0000-000055460000}"/>
    <cellStyle name="Output 2 4 2 2 13" xfId="26422" xr:uid="{06FAD069-E4AE-4FD6-9067-063536E88D5E}"/>
    <cellStyle name="Output 2 4 2 2 14" xfId="26820" xr:uid="{6FAB90FB-9A6A-413F-8312-FB5D6916562E}"/>
    <cellStyle name="Output 2 4 2 2 15" xfId="26999" xr:uid="{01A84FB8-7E36-4AB6-8BBA-71D346B1F676}"/>
    <cellStyle name="Output 2 4 2 2 16" xfId="26593" xr:uid="{A9A82667-26D1-4B08-8203-9580595C1A97}"/>
    <cellStyle name="Output 2 4 2 2 17" xfId="26687" xr:uid="{38F119B2-14BC-4719-B39F-2B0669F0FC5F}"/>
    <cellStyle name="Output 2 4 2 2 18" xfId="30431" xr:uid="{87B9C74C-FAA6-439A-B022-17544B18156C}"/>
    <cellStyle name="Output 2 4 2 2 19" xfId="31863" xr:uid="{694BCDA0-88A0-4E1B-B2FD-365DDA45442D}"/>
    <cellStyle name="Output 2 4 2 2 2" xfId="1108" xr:uid="{00000000-0005-0000-0000-000056460000}"/>
    <cellStyle name="Output 2 4 2 2 2 10" xfId="27078" xr:uid="{CECA3547-9D4A-4B81-9219-41D14D37D2BF}"/>
    <cellStyle name="Output 2 4 2 2 2 2" xfId="3244" xr:uid="{00000000-0005-0000-0000-000057460000}"/>
    <cellStyle name="Output 2 4 2 2 2 2 2" xfId="9840" xr:uid="{00000000-0005-0000-0000-000058460000}"/>
    <cellStyle name="Output 2 4 2 2 2 2 3" xfId="16459" xr:uid="{00000000-0005-0000-0000-000059460000}"/>
    <cellStyle name="Output 2 4 2 2 2 2_Summary" xfId="23673" xr:uid="{00000000-0005-0000-0000-00005A460000}"/>
    <cellStyle name="Output 2 4 2 2 2 3" xfId="5279" xr:uid="{00000000-0005-0000-0000-00005B460000}"/>
    <cellStyle name="Output 2 4 2 2 2 3 2" xfId="11875" xr:uid="{00000000-0005-0000-0000-00005C460000}"/>
    <cellStyle name="Output 2 4 2 2 2 3 3" xfId="18494" xr:uid="{00000000-0005-0000-0000-00005D460000}"/>
    <cellStyle name="Output 2 4 2 2 2 3_Summary" xfId="23674" xr:uid="{00000000-0005-0000-0000-00005E460000}"/>
    <cellStyle name="Output 2 4 2 2 2 4" xfId="7704" xr:uid="{00000000-0005-0000-0000-00005F460000}"/>
    <cellStyle name="Output 2 4 2 2 2 5" xfId="14323" xr:uid="{00000000-0005-0000-0000-000060460000}"/>
    <cellStyle name="Output 2 4 2 2 2 6" xfId="26511" xr:uid="{490D899F-938B-4235-A709-3BA2DEADC8DA}"/>
    <cellStyle name="Output 2 4 2 2 2 7" xfId="26894" xr:uid="{ECD429CA-2609-4512-BB5F-0DD474803ACC}"/>
    <cellStyle name="Output 2 4 2 2 2 8" xfId="27032" xr:uid="{3B69DB19-EE24-46DC-BEF5-55E454995C9F}"/>
    <cellStyle name="Output 2 4 2 2 2 9" xfId="27058" xr:uid="{2BE18C7B-262A-48FD-80CF-3380CDFEAB37}"/>
    <cellStyle name="Output 2 4 2 2 2_Summary" xfId="23672" xr:uid="{00000000-0005-0000-0000-000061460000}"/>
    <cellStyle name="Output 2 4 2 2 3" xfId="1390" xr:uid="{00000000-0005-0000-0000-000062460000}"/>
    <cellStyle name="Output 2 4 2 2 3 2" xfId="3526" xr:uid="{00000000-0005-0000-0000-000063460000}"/>
    <cellStyle name="Output 2 4 2 2 3 2 2" xfId="10122" xr:uid="{00000000-0005-0000-0000-000064460000}"/>
    <cellStyle name="Output 2 4 2 2 3 2 3" xfId="16741" xr:uid="{00000000-0005-0000-0000-000065460000}"/>
    <cellStyle name="Output 2 4 2 2 3 2_Summary" xfId="23676" xr:uid="{00000000-0005-0000-0000-000066460000}"/>
    <cellStyle name="Output 2 4 2 2 3 3" xfId="5561" xr:uid="{00000000-0005-0000-0000-000067460000}"/>
    <cellStyle name="Output 2 4 2 2 3 3 2" xfId="12157" xr:uid="{00000000-0005-0000-0000-000068460000}"/>
    <cellStyle name="Output 2 4 2 2 3 3 3" xfId="18776" xr:uid="{00000000-0005-0000-0000-000069460000}"/>
    <cellStyle name="Output 2 4 2 2 3 3_Summary" xfId="23677" xr:uid="{00000000-0005-0000-0000-00006A460000}"/>
    <cellStyle name="Output 2 4 2 2 3 4" xfId="7986" xr:uid="{00000000-0005-0000-0000-00006B460000}"/>
    <cellStyle name="Output 2 4 2 2 3 5" xfId="14605" xr:uid="{00000000-0005-0000-0000-00006C460000}"/>
    <cellStyle name="Output 2 4 2 2 3_Summary" xfId="23675" xr:uid="{00000000-0005-0000-0000-00006D460000}"/>
    <cellStyle name="Output 2 4 2 2 4" xfId="1671" xr:uid="{00000000-0005-0000-0000-00006E460000}"/>
    <cellStyle name="Output 2 4 2 2 4 2" xfId="3807" xr:uid="{00000000-0005-0000-0000-00006F460000}"/>
    <cellStyle name="Output 2 4 2 2 4 2 2" xfId="10403" xr:uid="{00000000-0005-0000-0000-000070460000}"/>
    <cellStyle name="Output 2 4 2 2 4 2 3" xfId="17022" xr:uid="{00000000-0005-0000-0000-000071460000}"/>
    <cellStyle name="Output 2 4 2 2 4 2_Summary" xfId="23679" xr:uid="{00000000-0005-0000-0000-000072460000}"/>
    <cellStyle name="Output 2 4 2 2 4 3" xfId="5842" xr:uid="{00000000-0005-0000-0000-000073460000}"/>
    <cellStyle name="Output 2 4 2 2 4 3 2" xfId="12438" xr:uid="{00000000-0005-0000-0000-000074460000}"/>
    <cellStyle name="Output 2 4 2 2 4 3 3" xfId="19057" xr:uid="{00000000-0005-0000-0000-000075460000}"/>
    <cellStyle name="Output 2 4 2 2 4 3_Summary" xfId="23680" xr:uid="{00000000-0005-0000-0000-000076460000}"/>
    <cellStyle name="Output 2 4 2 2 4 4" xfId="8267" xr:uid="{00000000-0005-0000-0000-000077460000}"/>
    <cellStyle name="Output 2 4 2 2 4 5" xfId="14886" xr:uid="{00000000-0005-0000-0000-000078460000}"/>
    <cellStyle name="Output 2 4 2 2 4_Summary" xfId="23678" xr:uid="{00000000-0005-0000-0000-000079460000}"/>
    <cellStyle name="Output 2 4 2 2 5" xfId="1950" xr:uid="{00000000-0005-0000-0000-00007A460000}"/>
    <cellStyle name="Output 2 4 2 2 5 2" xfId="4086" xr:uid="{00000000-0005-0000-0000-00007B460000}"/>
    <cellStyle name="Output 2 4 2 2 5 2 2" xfId="10682" xr:uid="{00000000-0005-0000-0000-00007C460000}"/>
    <cellStyle name="Output 2 4 2 2 5 2 3" xfId="17301" xr:uid="{00000000-0005-0000-0000-00007D460000}"/>
    <cellStyle name="Output 2 4 2 2 5 2_Summary" xfId="23682" xr:uid="{00000000-0005-0000-0000-00007E460000}"/>
    <cellStyle name="Output 2 4 2 2 5 3" xfId="6121" xr:uid="{00000000-0005-0000-0000-00007F460000}"/>
    <cellStyle name="Output 2 4 2 2 5 3 2" xfId="12717" xr:uid="{00000000-0005-0000-0000-000080460000}"/>
    <cellStyle name="Output 2 4 2 2 5 3 3" xfId="19336" xr:uid="{00000000-0005-0000-0000-000081460000}"/>
    <cellStyle name="Output 2 4 2 2 5 3_Summary" xfId="23683" xr:uid="{00000000-0005-0000-0000-000082460000}"/>
    <cellStyle name="Output 2 4 2 2 5 4" xfId="8546" xr:uid="{00000000-0005-0000-0000-000083460000}"/>
    <cellStyle name="Output 2 4 2 2 5 5" xfId="15165" xr:uid="{00000000-0005-0000-0000-000084460000}"/>
    <cellStyle name="Output 2 4 2 2 5_Summary" xfId="23681" xr:uid="{00000000-0005-0000-0000-000085460000}"/>
    <cellStyle name="Output 2 4 2 2 6" xfId="2225" xr:uid="{00000000-0005-0000-0000-000086460000}"/>
    <cellStyle name="Output 2 4 2 2 6 2" xfId="4361" xr:uid="{00000000-0005-0000-0000-000087460000}"/>
    <cellStyle name="Output 2 4 2 2 6 2 2" xfId="10957" xr:uid="{00000000-0005-0000-0000-000088460000}"/>
    <cellStyle name="Output 2 4 2 2 6 2 3" xfId="17576" xr:uid="{00000000-0005-0000-0000-000089460000}"/>
    <cellStyle name="Output 2 4 2 2 6 2_Summary" xfId="23685" xr:uid="{00000000-0005-0000-0000-00008A460000}"/>
    <cellStyle name="Output 2 4 2 2 6 3" xfId="6396" xr:uid="{00000000-0005-0000-0000-00008B460000}"/>
    <cellStyle name="Output 2 4 2 2 6 3 2" xfId="12992" xr:uid="{00000000-0005-0000-0000-00008C460000}"/>
    <cellStyle name="Output 2 4 2 2 6 3 3" xfId="19611" xr:uid="{00000000-0005-0000-0000-00008D460000}"/>
    <cellStyle name="Output 2 4 2 2 6 3_Summary" xfId="23686" xr:uid="{00000000-0005-0000-0000-00008E460000}"/>
    <cellStyle name="Output 2 4 2 2 6 4" xfId="8821" xr:uid="{00000000-0005-0000-0000-00008F460000}"/>
    <cellStyle name="Output 2 4 2 2 6 5" xfId="15440" xr:uid="{00000000-0005-0000-0000-000090460000}"/>
    <cellStyle name="Output 2 4 2 2 6_Summary" xfId="23684" xr:uid="{00000000-0005-0000-0000-000091460000}"/>
    <cellStyle name="Output 2 4 2 2 7" xfId="2498" xr:uid="{00000000-0005-0000-0000-000092460000}"/>
    <cellStyle name="Output 2 4 2 2 7 2" xfId="4634" xr:uid="{00000000-0005-0000-0000-000093460000}"/>
    <cellStyle name="Output 2 4 2 2 7 2 2" xfId="11230" xr:uid="{00000000-0005-0000-0000-000094460000}"/>
    <cellStyle name="Output 2 4 2 2 7 2 3" xfId="17849" xr:uid="{00000000-0005-0000-0000-000095460000}"/>
    <cellStyle name="Output 2 4 2 2 7 2_Summary" xfId="23688" xr:uid="{00000000-0005-0000-0000-000096460000}"/>
    <cellStyle name="Output 2 4 2 2 7 3" xfId="6669" xr:uid="{00000000-0005-0000-0000-000097460000}"/>
    <cellStyle name="Output 2 4 2 2 7 3 2" xfId="13265" xr:uid="{00000000-0005-0000-0000-000098460000}"/>
    <cellStyle name="Output 2 4 2 2 7 3 3" xfId="19884" xr:uid="{00000000-0005-0000-0000-000099460000}"/>
    <cellStyle name="Output 2 4 2 2 7 3_Summary" xfId="23689" xr:uid="{00000000-0005-0000-0000-00009A460000}"/>
    <cellStyle name="Output 2 4 2 2 7 4" xfId="9094" xr:uid="{00000000-0005-0000-0000-00009B460000}"/>
    <cellStyle name="Output 2 4 2 2 7 5" xfId="15713" xr:uid="{00000000-0005-0000-0000-00009C460000}"/>
    <cellStyle name="Output 2 4 2 2 7_Summary" xfId="23687" xr:uid="{00000000-0005-0000-0000-00009D460000}"/>
    <cellStyle name="Output 2 4 2 2 8" xfId="2944" xr:uid="{00000000-0005-0000-0000-00009E460000}"/>
    <cellStyle name="Output 2 4 2 2 8 2" xfId="9540" xr:uid="{00000000-0005-0000-0000-00009F460000}"/>
    <cellStyle name="Output 2 4 2 2 8 3" xfId="16159" xr:uid="{00000000-0005-0000-0000-0000A0460000}"/>
    <cellStyle name="Output 2 4 2 2 8_Summary" xfId="23690" xr:uid="{00000000-0005-0000-0000-0000A1460000}"/>
    <cellStyle name="Output 2 4 2 2 9" xfId="4979" xr:uid="{00000000-0005-0000-0000-0000A2460000}"/>
    <cellStyle name="Output 2 4 2 2 9 2" xfId="11575" xr:uid="{00000000-0005-0000-0000-0000A3460000}"/>
    <cellStyle name="Output 2 4 2 2 9 3" xfId="18194" xr:uid="{00000000-0005-0000-0000-0000A4460000}"/>
    <cellStyle name="Output 2 4 2 2 9_Summary" xfId="23691" xr:uid="{00000000-0005-0000-0000-0000A5460000}"/>
    <cellStyle name="Output 2 4 2 2_Summary" xfId="23670" xr:uid="{00000000-0005-0000-0000-0000A6460000}"/>
    <cellStyle name="Output 2 4 2 20" xfId="31146" xr:uid="{B5736713-7860-401A-8E5A-A0B632BC524E}"/>
    <cellStyle name="Output 2 4 2 3" xfId="980" xr:uid="{00000000-0005-0000-0000-0000A7460000}"/>
    <cellStyle name="Output 2 4 2 3 2" xfId="3116" xr:uid="{00000000-0005-0000-0000-0000A8460000}"/>
    <cellStyle name="Output 2 4 2 3 2 2" xfId="9712" xr:uid="{00000000-0005-0000-0000-0000A9460000}"/>
    <cellStyle name="Output 2 4 2 3 2 3" xfId="16331" xr:uid="{00000000-0005-0000-0000-0000AA460000}"/>
    <cellStyle name="Output 2 4 2 3 2_Summary" xfId="23693" xr:uid="{00000000-0005-0000-0000-0000AB460000}"/>
    <cellStyle name="Output 2 4 2 3 3" xfId="5151" xr:uid="{00000000-0005-0000-0000-0000AC460000}"/>
    <cellStyle name="Output 2 4 2 3 3 2" xfId="11747" xr:uid="{00000000-0005-0000-0000-0000AD460000}"/>
    <cellStyle name="Output 2 4 2 3 3 3" xfId="18366" xr:uid="{00000000-0005-0000-0000-0000AE460000}"/>
    <cellStyle name="Output 2 4 2 3 3_Summary" xfId="23694" xr:uid="{00000000-0005-0000-0000-0000AF460000}"/>
    <cellStyle name="Output 2 4 2 3 4" xfId="7577" xr:uid="{00000000-0005-0000-0000-0000B0460000}"/>
    <cellStyle name="Output 2 4 2 3 5" xfId="14195" xr:uid="{00000000-0005-0000-0000-0000B1460000}"/>
    <cellStyle name="Output 2 4 2 3_Summary" xfId="23692" xr:uid="{00000000-0005-0000-0000-0000B2460000}"/>
    <cellStyle name="Output 2 4 2 4" xfId="1262" xr:uid="{00000000-0005-0000-0000-0000B3460000}"/>
    <cellStyle name="Output 2 4 2 4 2" xfId="3398" xr:uid="{00000000-0005-0000-0000-0000B4460000}"/>
    <cellStyle name="Output 2 4 2 4 2 2" xfId="9994" xr:uid="{00000000-0005-0000-0000-0000B5460000}"/>
    <cellStyle name="Output 2 4 2 4 2 3" xfId="16613" xr:uid="{00000000-0005-0000-0000-0000B6460000}"/>
    <cellStyle name="Output 2 4 2 4 2_Summary" xfId="23696" xr:uid="{00000000-0005-0000-0000-0000B7460000}"/>
    <cellStyle name="Output 2 4 2 4 3" xfId="5433" xr:uid="{00000000-0005-0000-0000-0000B8460000}"/>
    <cellStyle name="Output 2 4 2 4 3 2" xfId="12029" xr:uid="{00000000-0005-0000-0000-0000B9460000}"/>
    <cellStyle name="Output 2 4 2 4 3 3" xfId="18648" xr:uid="{00000000-0005-0000-0000-0000BA460000}"/>
    <cellStyle name="Output 2 4 2 4 3_Summary" xfId="23697" xr:uid="{00000000-0005-0000-0000-0000BB460000}"/>
    <cellStyle name="Output 2 4 2 4 4" xfId="7858" xr:uid="{00000000-0005-0000-0000-0000BC460000}"/>
    <cellStyle name="Output 2 4 2 4 5" xfId="14477" xr:uid="{00000000-0005-0000-0000-0000BD460000}"/>
    <cellStyle name="Output 2 4 2 4_Summary" xfId="23695" xr:uid="{00000000-0005-0000-0000-0000BE460000}"/>
    <cellStyle name="Output 2 4 2 5" xfId="1543" xr:uid="{00000000-0005-0000-0000-0000BF460000}"/>
    <cellStyle name="Output 2 4 2 5 2" xfId="3679" xr:uid="{00000000-0005-0000-0000-0000C0460000}"/>
    <cellStyle name="Output 2 4 2 5 2 2" xfId="10275" xr:uid="{00000000-0005-0000-0000-0000C1460000}"/>
    <cellStyle name="Output 2 4 2 5 2 3" xfId="16894" xr:uid="{00000000-0005-0000-0000-0000C2460000}"/>
    <cellStyle name="Output 2 4 2 5 2_Summary" xfId="23699" xr:uid="{00000000-0005-0000-0000-0000C3460000}"/>
    <cellStyle name="Output 2 4 2 5 3" xfId="5714" xr:uid="{00000000-0005-0000-0000-0000C4460000}"/>
    <cellStyle name="Output 2 4 2 5 3 2" xfId="12310" xr:uid="{00000000-0005-0000-0000-0000C5460000}"/>
    <cellStyle name="Output 2 4 2 5 3 3" xfId="18929" xr:uid="{00000000-0005-0000-0000-0000C6460000}"/>
    <cellStyle name="Output 2 4 2 5 3_Summary" xfId="23700" xr:uid="{00000000-0005-0000-0000-0000C7460000}"/>
    <cellStyle name="Output 2 4 2 5 4" xfId="8139" xr:uid="{00000000-0005-0000-0000-0000C8460000}"/>
    <cellStyle name="Output 2 4 2 5 5" xfId="14758" xr:uid="{00000000-0005-0000-0000-0000C9460000}"/>
    <cellStyle name="Output 2 4 2 5_Summary" xfId="23698" xr:uid="{00000000-0005-0000-0000-0000CA460000}"/>
    <cellStyle name="Output 2 4 2 6" xfId="1822" xr:uid="{00000000-0005-0000-0000-0000CB460000}"/>
    <cellStyle name="Output 2 4 2 6 2" xfId="3958" xr:uid="{00000000-0005-0000-0000-0000CC460000}"/>
    <cellStyle name="Output 2 4 2 6 2 2" xfId="10554" xr:uid="{00000000-0005-0000-0000-0000CD460000}"/>
    <cellStyle name="Output 2 4 2 6 2 3" xfId="17173" xr:uid="{00000000-0005-0000-0000-0000CE460000}"/>
    <cellStyle name="Output 2 4 2 6 2_Summary" xfId="23702" xr:uid="{00000000-0005-0000-0000-0000CF460000}"/>
    <cellStyle name="Output 2 4 2 6 3" xfId="5993" xr:uid="{00000000-0005-0000-0000-0000D0460000}"/>
    <cellStyle name="Output 2 4 2 6 3 2" xfId="12589" xr:uid="{00000000-0005-0000-0000-0000D1460000}"/>
    <cellStyle name="Output 2 4 2 6 3 3" xfId="19208" xr:uid="{00000000-0005-0000-0000-0000D2460000}"/>
    <cellStyle name="Output 2 4 2 6 3_Summary" xfId="23703" xr:uid="{00000000-0005-0000-0000-0000D3460000}"/>
    <cellStyle name="Output 2 4 2 6 4" xfId="8418" xr:uid="{00000000-0005-0000-0000-0000D4460000}"/>
    <cellStyle name="Output 2 4 2 6 5" xfId="15037" xr:uid="{00000000-0005-0000-0000-0000D5460000}"/>
    <cellStyle name="Output 2 4 2 6_Summary" xfId="23701" xr:uid="{00000000-0005-0000-0000-0000D6460000}"/>
    <cellStyle name="Output 2 4 2 7" xfId="2097" xr:uid="{00000000-0005-0000-0000-0000D7460000}"/>
    <cellStyle name="Output 2 4 2 7 2" xfId="4233" xr:uid="{00000000-0005-0000-0000-0000D8460000}"/>
    <cellStyle name="Output 2 4 2 7 2 2" xfId="10829" xr:uid="{00000000-0005-0000-0000-0000D9460000}"/>
    <cellStyle name="Output 2 4 2 7 2 3" xfId="17448" xr:uid="{00000000-0005-0000-0000-0000DA460000}"/>
    <cellStyle name="Output 2 4 2 7 2_Summary" xfId="23705" xr:uid="{00000000-0005-0000-0000-0000DB460000}"/>
    <cellStyle name="Output 2 4 2 7 3" xfId="6268" xr:uid="{00000000-0005-0000-0000-0000DC460000}"/>
    <cellStyle name="Output 2 4 2 7 3 2" xfId="12864" xr:uid="{00000000-0005-0000-0000-0000DD460000}"/>
    <cellStyle name="Output 2 4 2 7 3 3" xfId="19483" xr:uid="{00000000-0005-0000-0000-0000DE460000}"/>
    <cellStyle name="Output 2 4 2 7 3_Summary" xfId="23706" xr:uid="{00000000-0005-0000-0000-0000DF460000}"/>
    <cellStyle name="Output 2 4 2 7 4" xfId="8693" xr:uid="{00000000-0005-0000-0000-0000E0460000}"/>
    <cellStyle name="Output 2 4 2 7 5" xfId="15312" xr:uid="{00000000-0005-0000-0000-0000E1460000}"/>
    <cellStyle name="Output 2 4 2 7_Summary" xfId="23704" xr:uid="{00000000-0005-0000-0000-0000E2460000}"/>
    <cellStyle name="Output 2 4 2 8" xfId="2370" xr:uid="{00000000-0005-0000-0000-0000E3460000}"/>
    <cellStyle name="Output 2 4 2 8 2" xfId="4506" xr:uid="{00000000-0005-0000-0000-0000E4460000}"/>
    <cellStyle name="Output 2 4 2 8 2 2" xfId="11102" xr:uid="{00000000-0005-0000-0000-0000E5460000}"/>
    <cellStyle name="Output 2 4 2 8 2 3" xfId="17721" xr:uid="{00000000-0005-0000-0000-0000E6460000}"/>
    <cellStyle name="Output 2 4 2 8 2_Summary" xfId="23708" xr:uid="{00000000-0005-0000-0000-0000E7460000}"/>
    <cellStyle name="Output 2 4 2 8 3" xfId="6541" xr:uid="{00000000-0005-0000-0000-0000E8460000}"/>
    <cellStyle name="Output 2 4 2 8 3 2" xfId="13137" xr:uid="{00000000-0005-0000-0000-0000E9460000}"/>
    <cellStyle name="Output 2 4 2 8 3 3" xfId="19756" xr:uid="{00000000-0005-0000-0000-0000EA460000}"/>
    <cellStyle name="Output 2 4 2 8 3_Summary" xfId="23709" xr:uid="{00000000-0005-0000-0000-0000EB460000}"/>
    <cellStyle name="Output 2 4 2 8 4" xfId="8966" xr:uid="{00000000-0005-0000-0000-0000EC460000}"/>
    <cellStyle name="Output 2 4 2 8 5" xfId="15585" xr:uid="{00000000-0005-0000-0000-0000ED460000}"/>
    <cellStyle name="Output 2 4 2 8_Summary" xfId="23707" xr:uid="{00000000-0005-0000-0000-0000EE460000}"/>
    <cellStyle name="Output 2 4 2 9" xfId="2671" xr:uid="{00000000-0005-0000-0000-0000EF460000}"/>
    <cellStyle name="Output 2 4 2 9 2" xfId="9267" xr:uid="{00000000-0005-0000-0000-0000F0460000}"/>
    <cellStyle name="Output 2 4 2 9 3" xfId="15886" xr:uid="{00000000-0005-0000-0000-0000F1460000}"/>
    <cellStyle name="Output 2 4 2 9_Summary" xfId="23710" xr:uid="{00000000-0005-0000-0000-0000F2460000}"/>
    <cellStyle name="Output 2 4 2_Summary" xfId="23667" xr:uid="{00000000-0005-0000-0000-0000F3460000}"/>
    <cellStyle name="Output 2 4 20" xfId="29580" xr:uid="{3570974E-3FCB-480C-9924-97842FDB3202}"/>
    <cellStyle name="Output 2 4 21" xfId="31145" xr:uid="{D9A3EFC4-283F-4E30-A648-071CB295C1F5}"/>
    <cellStyle name="Output 2 4 3" xfId="353" xr:uid="{00000000-0005-0000-0000-0000F4460000}"/>
    <cellStyle name="Output 2 4 3 10" xfId="680" xr:uid="{00000000-0005-0000-0000-0000F5460000}"/>
    <cellStyle name="Output 2 4 3 10 2" xfId="13895" xr:uid="{00000000-0005-0000-0000-0000F6460000}"/>
    <cellStyle name="Output 2 4 3 10_Summary" xfId="23712" xr:uid="{00000000-0005-0000-0000-0000F7460000}"/>
    <cellStyle name="Output 2 4 3 11" xfId="7246" xr:uid="{00000000-0005-0000-0000-0000F8460000}"/>
    <cellStyle name="Output 2 4 3 12" xfId="13568" xr:uid="{00000000-0005-0000-0000-0000F9460000}"/>
    <cellStyle name="Output 2 4 3 13" xfId="26408" xr:uid="{78072A3D-B4E4-4CD1-8EE3-2E8B02155AFF}"/>
    <cellStyle name="Output 2 4 3 14" xfId="26806" xr:uid="{1F872F1A-6858-4EC2-8B48-798979FED246}"/>
    <cellStyle name="Output 2 4 3 15" xfId="26990" xr:uid="{6DFAB368-536E-4B8B-8AE4-BD38DD26892C}"/>
    <cellStyle name="Output 2 4 3 16" xfId="26685" xr:uid="{C87FB2A6-7185-4397-907E-4D19A10C7B2F}"/>
    <cellStyle name="Output 2 4 3 17" xfId="26665" xr:uid="{04F20F66-5160-4D0C-8B5C-914AD01C3883}"/>
    <cellStyle name="Output 2 4 3 18" xfId="29582" xr:uid="{4925BE52-3CE2-4EA2-8189-2200184C1A6A}"/>
    <cellStyle name="Output 2 4 3 19" xfId="31147" xr:uid="{CE876A77-236D-4810-A325-B666587CB924}"/>
    <cellStyle name="Output 2 4 3 2" xfId="1047" xr:uid="{00000000-0005-0000-0000-0000FA460000}"/>
    <cellStyle name="Output 2 4 3 2 10" xfId="27074" xr:uid="{DE5CCE15-8F9A-41D9-91B9-A3137D8EEF79}"/>
    <cellStyle name="Output 2 4 3 2 11" xfId="30432" xr:uid="{975D442B-F131-4DD8-929E-369EEE78C620}"/>
    <cellStyle name="Output 2 4 3 2 12" xfId="31864" xr:uid="{517334AA-5D96-4BC2-BF68-6E5B26AE42E2}"/>
    <cellStyle name="Output 2 4 3 2 2" xfId="3183" xr:uid="{00000000-0005-0000-0000-0000FB460000}"/>
    <cellStyle name="Output 2 4 3 2 2 2" xfId="9779" xr:uid="{00000000-0005-0000-0000-0000FC460000}"/>
    <cellStyle name="Output 2 4 3 2 2 3" xfId="16398" xr:uid="{00000000-0005-0000-0000-0000FD460000}"/>
    <cellStyle name="Output 2 4 3 2 2_Summary" xfId="23714" xr:uid="{00000000-0005-0000-0000-0000FE460000}"/>
    <cellStyle name="Output 2 4 3 2 3" xfId="5218" xr:uid="{00000000-0005-0000-0000-0000FF460000}"/>
    <cellStyle name="Output 2 4 3 2 3 2" xfId="11814" xr:uid="{00000000-0005-0000-0000-000000470000}"/>
    <cellStyle name="Output 2 4 3 2 3 3" xfId="18433" xr:uid="{00000000-0005-0000-0000-000001470000}"/>
    <cellStyle name="Output 2 4 3 2 3_Summary" xfId="23715" xr:uid="{00000000-0005-0000-0000-000002470000}"/>
    <cellStyle name="Output 2 4 3 2 4" xfId="7644" xr:uid="{00000000-0005-0000-0000-000003470000}"/>
    <cellStyle name="Output 2 4 3 2 5" xfId="14262" xr:uid="{00000000-0005-0000-0000-000004470000}"/>
    <cellStyle name="Output 2 4 3 2 6" xfId="26505" xr:uid="{ABE0AEC6-5E68-40B9-AB50-86F78378426C}"/>
    <cellStyle name="Output 2 4 3 2 7" xfId="26888" xr:uid="{559BD1CC-7F53-4331-BA62-9A7CC141E753}"/>
    <cellStyle name="Output 2 4 3 2 8" xfId="27028" xr:uid="{403E1580-E8B3-4057-851B-85028F1E9E64}"/>
    <cellStyle name="Output 2 4 3 2 9" xfId="27054" xr:uid="{D29F604E-C759-4C9D-9ED6-90204BAC2781}"/>
    <cellStyle name="Output 2 4 3 2_Summary" xfId="23713" xr:uid="{00000000-0005-0000-0000-000005470000}"/>
    <cellStyle name="Output 2 4 3 3" xfId="1329" xr:uid="{00000000-0005-0000-0000-000006470000}"/>
    <cellStyle name="Output 2 4 3 3 2" xfId="3465" xr:uid="{00000000-0005-0000-0000-000007470000}"/>
    <cellStyle name="Output 2 4 3 3 2 2" xfId="10061" xr:uid="{00000000-0005-0000-0000-000008470000}"/>
    <cellStyle name="Output 2 4 3 3 2 3" xfId="16680" xr:uid="{00000000-0005-0000-0000-000009470000}"/>
    <cellStyle name="Output 2 4 3 3 2_Summary" xfId="23717" xr:uid="{00000000-0005-0000-0000-00000A470000}"/>
    <cellStyle name="Output 2 4 3 3 3" xfId="5500" xr:uid="{00000000-0005-0000-0000-00000B470000}"/>
    <cellStyle name="Output 2 4 3 3 3 2" xfId="12096" xr:uid="{00000000-0005-0000-0000-00000C470000}"/>
    <cellStyle name="Output 2 4 3 3 3 3" xfId="18715" xr:uid="{00000000-0005-0000-0000-00000D470000}"/>
    <cellStyle name="Output 2 4 3 3 3_Summary" xfId="23718" xr:uid="{00000000-0005-0000-0000-00000E470000}"/>
    <cellStyle name="Output 2 4 3 3 4" xfId="7925" xr:uid="{00000000-0005-0000-0000-00000F470000}"/>
    <cellStyle name="Output 2 4 3 3 5" xfId="14544" xr:uid="{00000000-0005-0000-0000-000010470000}"/>
    <cellStyle name="Output 2 4 3 3_Summary" xfId="23716" xr:uid="{00000000-0005-0000-0000-000011470000}"/>
    <cellStyle name="Output 2 4 3 4" xfId="1610" xr:uid="{00000000-0005-0000-0000-000012470000}"/>
    <cellStyle name="Output 2 4 3 4 2" xfId="3746" xr:uid="{00000000-0005-0000-0000-000013470000}"/>
    <cellStyle name="Output 2 4 3 4 2 2" xfId="10342" xr:uid="{00000000-0005-0000-0000-000014470000}"/>
    <cellStyle name="Output 2 4 3 4 2 3" xfId="16961" xr:uid="{00000000-0005-0000-0000-000015470000}"/>
    <cellStyle name="Output 2 4 3 4 2_Summary" xfId="23720" xr:uid="{00000000-0005-0000-0000-000016470000}"/>
    <cellStyle name="Output 2 4 3 4 3" xfId="5781" xr:uid="{00000000-0005-0000-0000-000017470000}"/>
    <cellStyle name="Output 2 4 3 4 3 2" xfId="12377" xr:uid="{00000000-0005-0000-0000-000018470000}"/>
    <cellStyle name="Output 2 4 3 4 3 3" xfId="18996" xr:uid="{00000000-0005-0000-0000-000019470000}"/>
    <cellStyle name="Output 2 4 3 4 3_Summary" xfId="23721" xr:uid="{00000000-0005-0000-0000-00001A470000}"/>
    <cellStyle name="Output 2 4 3 4 4" xfId="8206" xr:uid="{00000000-0005-0000-0000-00001B470000}"/>
    <cellStyle name="Output 2 4 3 4 5" xfId="14825" xr:uid="{00000000-0005-0000-0000-00001C470000}"/>
    <cellStyle name="Output 2 4 3 4_Summary" xfId="23719" xr:uid="{00000000-0005-0000-0000-00001D470000}"/>
    <cellStyle name="Output 2 4 3 5" xfId="1889" xr:uid="{00000000-0005-0000-0000-00001E470000}"/>
    <cellStyle name="Output 2 4 3 5 2" xfId="4025" xr:uid="{00000000-0005-0000-0000-00001F470000}"/>
    <cellStyle name="Output 2 4 3 5 2 2" xfId="10621" xr:uid="{00000000-0005-0000-0000-000020470000}"/>
    <cellStyle name="Output 2 4 3 5 2 3" xfId="17240" xr:uid="{00000000-0005-0000-0000-000021470000}"/>
    <cellStyle name="Output 2 4 3 5 2_Summary" xfId="23723" xr:uid="{00000000-0005-0000-0000-000022470000}"/>
    <cellStyle name="Output 2 4 3 5 3" xfId="6060" xr:uid="{00000000-0005-0000-0000-000023470000}"/>
    <cellStyle name="Output 2 4 3 5 3 2" xfId="12656" xr:uid="{00000000-0005-0000-0000-000024470000}"/>
    <cellStyle name="Output 2 4 3 5 3 3" xfId="19275" xr:uid="{00000000-0005-0000-0000-000025470000}"/>
    <cellStyle name="Output 2 4 3 5 3_Summary" xfId="23724" xr:uid="{00000000-0005-0000-0000-000026470000}"/>
    <cellStyle name="Output 2 4 3 5 4" xfId="8485" xr:uid="{00000000-0005-0000-0000-000027470000}"/>
    <cellStyle name="Output 2 4 3 5 5" xfId="15104" xr:uid="{00000000-0005-0000-0000-000028470000}"/>
    <cellStyle name="Output 2 4 3 5_Summary" xfId="23722" xr:uid="{00000000-0005-0000-0000-000029470000}"/>
    <cellStyle name="Output 2 4 3 6" xfId="2164" xr:uid="{00000000-0005-0000-0000-00002A470000}"/>
    <cellStyle name="Output 2 4 3 6 2" xfId="4300" xr:uid="{00000000-0005-0000-0000-00002B470000}"/>
    <cellStyle name="Output 2 4 3 6 2 2" xfId="10896" xr:uid="{00000000-0005-0000-0000-00002C470000}"/>
    <cellStyle name="Output 2 4 3 6 2 3" xfId="17515" xr:uid="{00000000-0005-0000-0000-00002D470000}"/>
    <cellStyle name="Output 2 4 3 6 2_Summary" xfId="23726" xr:uid="{00000000-0005-0000-0000-00002E470000}"/>
    <cellStyle name="Output 2 4 3 6 3" xfId="6335" xr:uid="{00000000-0005-0000-0000-00002F470000}"/>
    <cellStyle name="Output 2 4 3 6 3 2" xfId="12931" xr:uid="{00000000-0005-0000-0000-000030470000}"/>
    <cellStyle name="Output 2 4 3 6 3 3" xfId="19550" xr:uid="{00000000-0005-0000-0000-000031470000}"/>
    <cellStyle name="Output 2 4 3 6 3_Summary" xfId="23727" xr:uid="{00000000-0005-0000-0000-000032470000}"/>
    <cellStyle name="Output 2 4 3 6 4" xfId="8760" xr:uid="{00000000-0005-0000-0000-000033470000}"/>
    <cellStyle name="Output 2 4 3 6 5" xfId="15379" xr:uid="{00000000-0005-0000-0000-000034470000}"/>
    <cellStyle name="Output 2 4 3 6_Summary" xfId="23725" xr:uid="{00000000-0005-0000-0000-000035470000}"/>
    <cellStyle name="Output 2 4 3 7" xfId="2437" xr:uid="{00000000-0005-0000-0000-000036470000}"/>
    <cellStyle name="Output 2 4 3 7 2" xfId="4573" xr:uid="{00000000-0005-0000-0000-000037470000}"/>
    <cellStyle name="Output 2 4 3 7 2 2" xfId="11169" xr:uid="{00000000-0005-0000-0000-000038470000}"/>
    <cellStyle name="Output 2 4 3 7 2 3" xfId="17788" xr:uid="{00000000-0005-0000-0000-000039470000}"/>
    <cellStyle name="Output 2 4 3 7 2_Summary" xfId="23729" xr:uid="{00000000-0005-0000-0000-00003A470000}"/>
    <cellStyle name="Output 2 4 3 7 3" xfId="6608" xr:uid="{00000000-0005-0000-0000-00003B470000}"/>
    <cellStyle name="Output 2 4 3 7 3 2" xfId="13204" xr:uid="{00000000-0005-0000-0000-00003C470000}"/>
    <cellStyle name="Output 2 4 3 7 3 3" xfId="19823" xr:uid="{00000000-0005-0000-0000-00003D470000}"/>
    <cellStyle name="Output 2 4 3 7 3_Summary" xfId="23730" xr:uid="{00000000-0005-0000-0000-00003E470000}"/>
    <cellStyle name="Output 2 4 3 7 4" xfId="9033" xr:uid="{00000000-0005-0000-0000-00003F470000}"/>
    <cellStyle name="Output 2 4 3 7 5" xfId="15652" xr:uid="{00000000-0005-0000-0000-000040470000}"/>
    <cellStyle name="Output 2 4 3 7_Summary" xfId="23728" xr:uid="{00000000-0005-0000-0000-000041470000}"/>
    <cellStyle name="Output 2 4 3 8" xfId="2816" xr:uid="{00000000-0005-0000-0000-000042470000}"/>
    <cellStyle name="Output 2 4 3 8 2" xfId="9412" xr:uid="{00000000-0005-0000-0000-000043470000}"/>
    <cellStyle name="Output 2 4 3 8 3" xfId="16031" xr:uid="{00000000-0005-0000-0000-000044470000}"/>
    <cellStyle name="Output 2 4 3 8_Summary" xfId="23731" xr:uid="{00000000-0005-0000-0000-000045470000}"/>
    <cellStyle name="Output 2 4 3 9" xfId="4851" xr:uid="{00000000-0005-0000-0000-000046470000}"/>
    <cellStyle name="Output 2 4 3 9 2" xfId="11447" xr:uid="{00000000-0005-0000-0000-000047470000}"/>
    <cellStyle name="Output 2 4 3 9 3" xfId="18066" xr:uid="{00000000-0005-0000-0000-000048470000}"/>
    <cellStyle name="Output 2 4 3 9_Summary" xfId="23732" xr:uid="{00000000-0005-0000-0000-000049470000}"/>
    <cellStyle name="Output 2 4 3_Summary" xfId="23711" xr:uid="{00000000-0005-0000-0000-00004A470000}"/>
    <cellStyle name="Output 2 4 4" xfId="631" xr:uid="{00000000-0005-0000-0000-00004B470000}"/>
    <cellStyle name="Output 2 4 4 2" xfId="2767" xr:uid="{00000000-0005-0000-0000-00004C470000}"/>
    <cellStyle name="Output 2 4 4 2 2" xfId="9363" xr:uid="{00000000-0005-0000-0000-00004D470000}"/>
    <cellStyle name="Output 2 4 4 2 3" xfId="15982" xr:uid="{00000000-0005-0000-0000-00004E470000}"/>
    <cellStyle name="Output 2 4 4 2_Summary" xfId="23734" xr:uid="{00000000-0005-0000-0000-00004F470000}"/>
    <cellStyle name="Output 2 4 4 3" xfId="4802" xr:uid="{00000000-0005-0000-0000-000050470000}"/>
    <cellStyle name="Output 2 4 4 3 2" xfId="11398" xr:uid="{00000000-0005-0000-0000-000051470000}"/>
    <cellStyle name="Output 2 4 4 3 3" xfId="18017" xr:uid="{00000000-0005-0000-0000-000052470000}"/>
    <cellStyle name="Output 2 4 4 3_Summary" xfId="23735" xr:uid="{00000000-0005-0000-0000-000053470000}"/>
    <cellStyle name="Output 2 4 4 4" xfId="7403" xr:uid="{00000000-0005-0000-0000-000054470000}"/>
    <cellStyle name="Output 2 4 4 5" xfId="13846" xr:uid="{00000000-0005-0000-0000-000055470000}"/>
    <cellStyle name="Output 2 4 4 6" xfId="30430" xr:uid="{F17FB439-0210-402F-8838-F91801168DEF}"/>
    <cellStyle name="Output 2 4 4 7" xfId="31862" xr:uid="{FB21FEB0-113D-4847-AC41-A92879330108}"/>
    <cellStyle name="Output 2 4 4_Summary" xfId="23733" xr:uid="{00000000-0005-0000-0000-000056470000}"/>
    <cellStyle name="Output 2 4 5" xfId="605" xr:uid="{00000000-0005-0000-0000-000057470000}"/>
    <cellStyle name="Output 2 4 5 2" xfId="2741" xr:uid="{00000000-0005-0000-0000-000058470000}"/>
    <cellStyle name="Output 2 4 5 2 2" xfId="9337" xr:uid="{00000000-0005-0000-0000-000059470000}"/>
    <cellStyle name="Output 2 4 5 2 3" xfId="15956" xr:uid="{00000000-0005-0000-0000-00005A470000}"/>
    <cellStyle name="Output 2 4 5 2_Summary" xfId="23737" xr:uid="{00000000-0005-0000-0000-00005B470000}"/>
    <cellStyle name="Output 2 4 5 3" xfId="4776" xr:uid="{00000000-0005-0000-0000-00005C470000}"/>
    <cellStyle name="Output 2 4 5 3 2" xfId="11372" xr:uid="{00000000-0005-0000-0000-00005D470000}"/>
    <cellStyle name="Output 2 4 5 3 3" xfId="17991" xr:uid="{00000000-0005-0000-0000-00005E470000}"/>
    <cellStyle name="Output 2 4 5 3_Summary" xfId="23738" xr:uid="{00000000-0005-0000-0000-00005F470000}"/>
    <cellStyle name="Output 2 4 5 4" xfId="7377" xr:uid="{00000000-0005-0000-0000-000060470000}"/>
    <cellStyle name="Output 2 4 5 5" xfId="13820" xr:uid="{00000000-0005-0000-0000-000061470000}"/>
    <cellStyle name="Output 2 4 5_Summary" xfId="23736" xr:uid="{00000000-0005-0000-0000-000062470000}"/>
    <cellStyle name="Output 2 4 6" xfId="959" xr:uid="{00000000-0005-0000-0000-000063470000}"/>
    <cellStyle name="Output 2 4 6 2" xfId="3095" xr:uid="{00000000-0005-0000-0000-000064470000}"/>
    <cellStyle name="Output 2 4 6 2 2" xfId="9691" xr:uid="{00000000-0005-0000-0000-000065470000}"/>
    <cellStyle name="Output 2 4 6 2 3" xfId="16310" xr:uid="{00000000-0005-0000-0000-000066470000}"/>
    <cellStyle name="Output 2 4 6 2_Summary" xfId="23740" xr:uid="{00000000-0005-0000-0000-000067470000}"/>
    <cellStyle name="Output 2 4 6 3" xfId="5130" xr:uid="{00000000-0005-0000-0000-000068470000}"/>
    <cellStyle name="Output 2 4 6 3 2" xfId="11726" xr:uid="{00000000-0005-0000-0000-000069470000}"/>
    <cellStyle name="Output 2 4 6 3 3" xfId="18345" xr:uid="{00000000-0005-0000-0000-00006A470000}"/>
    <cellStyle name="Output 2 4 6 3_Summary" xfId="23741" xr:uid="{00000000-0005-0000-0000-00006B470000}"/>
    <cellStyle name="Output 2 4 6 4" xfId="7556" xr:uid="{00000000-0005-0000-0000-00006C470000}"/>
    <cellStyle name="Output 2 4 6 5" xfId="14174" xr:uid="{00000000-0005-0000-0000-00006D470000}"/>
    <cellStyle name="Output 2 4 6_Summary" xfId="23739" xr:uid="{00000000-0005-0000-0000-00006E470000}"/>
    <cellStyle name="Output 2 4 7" xfId="1241" xr:uid="{00000000-0005-0000-0000-00006F470000}"/>
    <cellStyle name="Output 2 4 7 2" xfId="3377" xr:uid="{00000000-0005-0000-0000-000070470000}"/>
    <cellStyle name="Output 2 4 7 2 2" xfId="9973" xr:uid="{00000000-0005-0000-0000-000071470000}"/>
    <cellStyle name="Output 2 4 7 2 3" xfId="16592" xr:uid="{00000000-0005-0000-0000-000072470000}"/>
    <cellStyle name="Output 2 4 7 2_Summary" xfId="23743" xr:uid="{00000000-0005-0000-0000-000073470000}"/>
    <cellStyle name="Output 2 4 7 3" xfId="5412" xr:uid="{00000000-0005-0000-0000-000074470000}"/>
    <cellStyle name="Output 2 4 7 3 2" xfId="12008" xr:uid="{00000000-0005-0000-0000-000075470000}"/>
    <cellStyle name="Output 2 4 7 3 3" xfId="18627" xr:uid="{00000000-0005-0000-0000-000076470000}"/>
    <cellStyle name="Output 2 4 7 3_Summary" xfId="23744" xr:uid="{00000000-0005-0000-0000-000077470000}"/>
    <cellStyle name="Output 2 4 7 4" xfId="7837" xr:uid="{00000000-0005-0000-0000-000078470000}"/>
    <cellStyle name="Output 2 4 7 5" xfId="14456" xr:uid="{00000000-0005-0000-0000-000079470000}"/>
    <cellStyle name="Output 2 4 7_Summary" xfId="23742" xr:uid="{00000000-0005-0000-0000-00007A470000}"/>
    <cellStyle name="Output 2 4 8" xfId="1522" xr:uid="{00000000-0005-0000-0000-00007B470000}"/>
    <cellStyle name="Output 2 4 8 2" xfId="3658" xr:uid="{00000000-0005-0000-0000-00007C470000}"/>
    <cellStyle name="Output 2 4 8 2 2" xfId="10254" xr:uid="{00000000-0005-0000-0000-00007D470000}"/>
    <cellStyle name="Output 2 4 8 2 3" xfId="16873" xr:uid="{00000000-0005-0000-0000-00007E470000}"/>
    <cellStyle name="Output 2 4 8 2_Summary" xfId="23746" xr:uid="{00000000-0005-0000-0000-00007F470000}"/>
    <cellStyle name="Output 2 4 8 3" xfId="5693" xr:uid="{00000000-0005-0000-0000-000080470000}"/>
    <cellStyle name="Output 2 4 8 3 2" xfId="12289" xr:uid="{00000000-0005-0000-0000-000081470000}"/>
    <cellStyle name="Output 2 4 8 3 3" xfId="18908" xr:uid="{00000000-0005-0000-0000-000082470000}"/>
    <cellStyle name="Output 2 4 8 3_Summary" xfId="23747" xr:uid="{00000000-0005-0000-0000-000083470000}"/>
    <cellStyle name="Output 2 4 8 4" xfId="8118" xr:uid="{00000000-0005-0000-0000-000084470000}"/>
    <cellStyle name="Output 2 4 8 5" xfId="14737" xr:uid="{00000000-0005-0000-0000-000085470000}"/>
    <cellStyle name="Output 2 4 8_Summary" xfId="23745" xr:uid="{00000000-0005-0000-0000-000086470000}"/>
    <cellStyle name="Output 2 4 9" xfId="1803" xr:uid="{00000000-0005-0000-0000-000087470000}"/>
    <cellStyle name="Output 2 4 9 2" xfId="3939" xr:uid="{00000000-0005-0000-0000-000088470000}"/>
    <cellStyle name="Output 2 4 9 2 2" xfId="10535" xr:uid="{00000000-0005-0000-0000-000089470000}"/>
    <cellStyle name="Output 2 4 9 2 3" xfId="17154" xr:uid="{00000000-0005-0000-0000-00008A470000}"/>
    <cellStyle name="Output 2 4 9 2_Summary" xfId="23749" xr:uid="{00000000-0005-0000-0000-00008B470000}"/>
    <cellStyle name="Output 2 4 9 3" xfId="5974" xr:uid="{00000000-0005-0000-0000-00008C470000}"/>
    <cellStyle name="Output 2 4 9 3 2" xfId="12570" xr:uid="{00000000-0005-0000-0000-00008D470000}"/>
    <cellStyle name="Output 2 4 9 3 3" xfId="19189" xr:uid="{00000000-0005-0000-0000-00008E470000}"/>
    <cellStyle name="Output 2 4 9 3_Summary" xfId="23750" xr:uid="{00000000-0005-0000-0000-00008F470000}"/>
    <cellStyle name="Output 2 4 9 4" xfId="8399" xr:uid="{00000000-0005-0000-0000-000090470000}"/>
    <cellStyle name="Output 2 4 9 5" xfId="15018" xr:uid="{00000000-0005-0000-0000-000091470000}"/>
    <cellStyle name="Output 2 4 9_Summary" xfId="23748" xr:uid="{00000000-0005-0000-0000-000092470000}"/>
    <cellStyle name="Output 2 4_Summary" xfId="23663" xr:uid="{00000000-0005-0000-0000-000093470000}"/>
    <cellStyle name="Output 2 40" xfId="6943" xr:uid="{00000000-0005-0000-0000-000094470000}"/>
    <cellStyle name="Output 2 40 2" xfId="13463" xr:uid="{00000000-0005-0000-0000-000095470000}"/>
    <cellStyle name="Output 2 40 3" xfId="20070" xr:uid="{00000000-0005-0000-0000-000096470000}"/>
    <cellStyle name="Output 2 40_Summary" xfId="23751" xr:uid="{00000000-0005-0000-0000-000097470000}"/>
    <cellStyle name="Output 2 41" xfId="6947" xr:uid="{00000000-0005-0000-0000-000098470000}"/>
    <cellStyle name="Output 2 41 2" xfId="13467" xr:uid="{00000000-0005-0000-0000-000099470000}"/>
    <cellStyle name="Output 2 41 3" xfId="20074" xr:uid="{00000000-0005-0000-0000-00009A470000}"/>
    <cellStyle name="Output 2 41_Summary" xfId="23752" xr:uid="{00000000-0005-0000-0000-00009B470000}"/>
    <cellStyle name="Output 2 42" xfId="6950" xr:uid="{00000000-0005-0000-0000-00009C470000}"/>
    <cellStyle name="Output 2 42 2" xfId="13470" xr:uid="{00000000-0005-0000-0000-00009D470000}"/>
    <cellStyle name="Output 2 42 3" xfId="20077" xr:uid="{00000000-0005-0000-0000-00009E470000}"/>
    <cellStyle name="Output 2 42_Summary" xfId="23753" xr:uid="{00000000-0005-0000-0000-00009F470000}"/>
    <cellStyle name="Output 2 43" xfId="6953" xr:uid="{00000000-0005-0000-0000-0000A0470000}"/>
    <cellStyle name="Output 2 43 2" xfId="13473" xr:uid="{00000000-0005-0000-0000-0000A1470000}"/>
    <cellStyle name="Output 2 43 3" xfId="20080" xr:uid="{00000000-0005-0000-0000-0000A2470000}"/>
    <cellStyle name="Output 2 43_Summary" xfId="23754" xr:uid="{00000000-0005-0000-0000-0000A3470000}"/>
    <cellStyle name="Output 2 44" xfId="6956" xr:uid="{00000000-0005-0000-0000-0000A4470000}"/>
    <cellStyle name="Output 2 44 2" xfId="13476" xr:uid="{00000000-0005-0000-0000-0000A5470000}"/>
    <cellStyle name="Output 2 44 3" xfId="20083" xr:uid="{00000000-0005-0000-0000-0000A6470000}"/>
    <cellStyle name="Output 2 44_Summary" xfId="23755" xr:uid="{00000000-0005-0000-0000-0000A7470000}"/>
    <cellStyle name="Output 2 45" xfId="6959" xr:uid="{00000000-0005-0000-0000-0000A8470000}"/>
    <cellStyle name="Output 2 45 2" xfId="13479" xr:uid="{00000000-0005-0000-0000-0000A9470000}"/>
    <cellStyle name="Output 2 45 3" xfId="20086" xr:uid="{00000000-0005-0000-0000-0000AA470000}"/>
    <cellStyle name="Output 2 45_Summary" xfId="23756" xr:uid="{00000000-0005-0000-0000-0000AB470000}"/>
    <cellStyle name="Output 2 46" xfId="6961" xr:uid="{00000000-0005-0000-0000-0000AC470000}"/>
    <cellStyle name="Output 2 46 2" xfId="13481" xr:uid="{00000000-0005-0000-0000-0000AD470000}"/>
    <cellStyle name="Output 2 46 3" xfId="20088" xr:uid="{00000000-0005-0000-0000-0000AE470000}"/>
    <cellStyle name="Output 2 46_Summary" xfId="23757" xr:uid="{00000000-0005-0000-0000-0000AF470000}"/>
    <cellStyle name="Output 2 47" xfId="6963" xr:uid="{00000000-0005-0000-0000-0000B0470000}"/>
    <cellStyle name="Output 2 47 2" xfId="13483" xr:uid="{00000000-0005-0000-0000-0000B1470000}"/>
    <cellStyle name="Output 2 47 3" xfId="20090" xr:uid="{00000000-0005-0000-0000-0000B2470000}"/>
    <cellStyle name="Output 2 47_Summary" xfId="23758" xr:uid="{00000000-0005-0000-0000-0000B3470000}"/>
    <cellStyle name="Output 2 48" xfId="6965" xr:uid="{00000000-0005-0000-0000-0000B4470000}"/>
    <cellStyle name="Output 2 48 2" xfId="13485" xr:uid="{00000000-0005-0000-0000-0000B5470000}"/>
    <cellStyle name="Output 2 48 3" xfId="20092" xr:uid="{00000000-0005-0000-0000-0000B6470000}"/>
    <cellStyle name="Output 2 48_Summary" xfId="23759" xr:uid="{00000000-0005-0000-0000-0000B7470000}"/>
    <cellStyle name="Output 2 49" xfId="7039" xr:uid="{00000000-0005-0000-0000-0000B8470000}"/>
    <cellStyle name="Output 2 5" xfId="140" xr:uid="{00000000-0005-0000-0000-0000B9470000}"/>
    <cellStyle name="Output 2 5 10" xfId="2583" xr:uid="{00000000-0005-0000-0000-0000BA470000}"/>
    <cellStyle name="Output 2 5 10 2" xfId="9179" xr:uid="{00000000-0005-0000-0000-0000BB470000}"/>
    <cellStyle name="Output 2 5 10 3" xfId="15798" xr:uid="{00000000-0005-0000-0000-0000BC470000}"/>
    <cellStyle name="Output 2 5 10_Summary" xfId="23761" xr:uid="{00000000-0005-0000-0000-0000BD470000}"/>
    <cellStyle name="Output 2 5 11" xfId="2573" xr:uid="{00000000-0005-0000-0000-0000BE470000}"/>
    <cellStyle name="Output 2 5 11 2" xfId="9169" xr:uid="{00000000-0005-0000-0000-0000BF470000}"/>
    <cellStyle name="Output 2 5 11 3" xfId="15788" xr:uid="{00000000-0005-0000-0000-0000C0470000}"/>
    <cellStyle name="Output 2 5 11_Summary" xfId="23762" xr:uid="{00000000-0005-0000-0000-0000C1470000}"/>
    <cellStyle name="Output 2 5 12" xfId="475" xr:uid="{00000000-0005-0000-0000-0000C2470000}"/>
    <cellStyle name="Output 2 5 12 2" xfId="13690" xr:uid="{00000000-0005-0000-0000-0000C3470000}"/>
    <cellStyle name="Output 2 5 12_Summary" xfId="23763" xr:uid="{00000000-0005-0000-0000-0000C4470000}"/>
    <cellStyle name="Output 2 5 13" xfId="7054" xr:uid="{00000000-0005-0000-0000-0000C5470000}"/>
    <cellStyle name="Output 2 5 14" xfId="7004" xr:uid="{00000000-0005-0000-0000-0000C6470000}"/>
    <cellStyle name="Output 2 5 15" xfId="26291" xr:uid="{1F14DB21-1E83-4BD0-B34B-77D45C3DF81C}"/>
    <cellStyle name="Output 2 5 16" xfId="26707" xr:uid="{1B19BBC6-B12C-49A3-8F8A-BAD002FED845}"/>
    <cellStyle name="Output 2 5 17" xfId="26951" xr:uid="{DFB2DCFB-151D-45FB-9FAE-1210E7271714}"/>
    <cellStyle name="Output 2 5 18" xfId="26965" xr:uid="{BB0A095B-823C-428F-A4A9-70252035D7AD}"/>
    <cellStyle name="Output 2 5 19" xfId="26681" xr:uid="{54E3045B-BC41-4B2B-A428-026C720E1ED5}"/>
    <cellStyle name="Output 2 5 2" xfId="289" xr:uid="{00000000-0005-0000-0000-0000C7470000}"/>
    <cellStyle name="Output 2 5 2 10" xfId="4710" xr:uid="{00000000-0005-0000-0000-0000C8470000}"/>
    <cellStyle name="Output 2 5 2 10 2" xfId="11306" xr:uid="{00000000-0005-0000-0000-0000C9470000}"/>
    <cellStyle name="Output 2 5 2 10 3" xfId="17925" xr:uid="{00000000-0005-0000-0000-0000CA470000}"/>
    <cellStyle name="Output 2 5 2 10_Summary" xfId="23765" xr:uid="{00000000-0005-0000-0000-0000CB470000}"/>
    <cellStyle name="Output 2 5 2 11" xfId="539" xr:uid="{00000000-0005-0000-0000-0000CC470000}"/>
    <cellStyle name="Output 2 5 2 11 2" xfId="13754" xr:uid="{00000000-0005-0000-0000-0000CD470000}"/>
    <cellStyle name="Output 2 5 2 11_Summary" xfId="23766" xr:uid="{00000000-0005-0000-0000-0000CE470000}"/>
    <cellStyle name="Output 2 5 2 12" xfId="7183" xr:uid="{00000000-0005-0000-0000-0000CF470000}"/>
    <cellStyle name="Output 2 5 2 13" xfId="13505" xr:uid="{00000000-0005-0000-0000-0000D0470000}"/>
    <cellStyle name="Output 2 5 2 14" xfId="26436" xr:uid="{91D97BCE-400B-40E2-B0B2-BF0E1DDC467C}"/>
    <cellStyle name="Output 2 5 2 15" xfId="26833" xr:uid="{D5D2FBCB-2FAE-44BA-B6F3-78FE136540D3}"/>
    <cellStyle name="Output 2 5 2 16" xfId="27005" xr:uid="{9787BF5C-D400-49A0-AB19-FE53CE6235A7}"/>
    <cellStyle name="Output 2 5 2 17" xfId="26679" xr:uid="{750FC710-20A7-4462-9268-0848864878D1}"/>
    <cellStyle name="Output 2 5 2 18" xfId="26739" xr:uid="{7D9925BE-B334-40C5-B908-6C27EF942CD4}"/>
    <cellStyle name="Output 2 5 2 19" xfId="29584" xr:uid="{A3E6AB46-CEE1-423B-BFD2-D1E80A5B9734}"/>
    <cellStyle name="Output 2 5 2 2" xfId="418" xr:uid="{00000000-0005-0000-0000-0000D1470000}"/>
    <cellStyle name="Output 2 5 2 2 10" xfId="812" xr:uid="{00000000-0005-0000-0000-0000D2470000}"/>
    <cellStyle name="Output 2 5 2 2 10 2" xfId="14027" xr:uid="{00000000-0005-0000-0000-0000D3470000}"/>
    <cellStyle name="Output 2 5 2 2 10_Summary" xfId="23768" xr:uid="{00000000-0005-0000-0000-0000D4470000}"/>
    <cellStyle name="Output 2 5 2 2 11" xfId="7311" xr:uid="{00000000-0005-0000-0000-0000D5470000}"/>
    <cellStyle name="Output 2 5 2 2 12" xfId="13633" xr:uid="{00000000-0005-0000-0000-0000D6470000}"/>
    <cellStyle name="Output 2 5 2 2 13" xfId="26519" xr:uid="{7AC04312-7C70-4167-A78F-78ACCB8ECA71}"/>
    <cellStyle name="Output 2 5 2 2 14" xfId="26902" xr:uid="{742EAD2A-3096-4416-A619-BEAEA86E707E}"/>
    <cellStyle name="Output 2 5 2 2 15" xfId="27036" xr:uid="{66BEA7D0-9F1E-4E44-A398-337446D2DD76}"/>
    <cellStyle name="Output 2 5 2 2 16" xfId="27061" xr:uid="{1CC9D88F-A90C-45A2-97A0-E5812CF7238B}"/>
    <cellStyle name="Output 2 5 2 2 17" xfId="27081" xr:uid="{DD8C905A-011B-413C-B49F-C3442F12C566}"/>
    <cellStyle name="Output 2 5 2 2 18" xfId="30434" xr:uid="{023C0F41-DE8F-4910-A5FE-440677B5AD8F}"/>
    <cellStyle name="Output 2 5 2 2 19" xfId="31866" xr:uid="{467230D4-8A45-4AC0-BBA4-BEFC88B56077}"/>
    <cellStyle name="Output 2 5 2 2 2" xfId="1112" xr:uid="{00000000-0005-0000-0000-0000D7470000}"/>
    <cellStyle name="Output 2 5 2 2 2 2" xfId="3248" xr:uid="{00000000-0005-0000-0000-0000D8470000}"/>
    <cellStyle name="Output 2 5 2 2 2 2 2" xfId="9844" xr:uid="{00000000-0005-0000-0000-0000D9470000}"/>
    <cellStyle name="Output 2 5 2 2 2 2 3" xfId="16463" xr:uid="{00000000-0005-0000-0000-0000DA470000}"/>
    <cellStyle name="Output 2 5 2 2 2 2_Summary" xfId="23770" xr:uid="{00000000-0005-0000-0000-0000DB470000}"/>
    <cellStyle name="Output 2 5 2 2 2 3" xfId="5283" xr:uid="{00000000-0005-0000-0000-0000DC470000}"/>
    <cellStyle name="Output 2 5 2 2 2 3 2" xfId="11879" xr:uid="{00000000-0005-0000-0000-0000DD470000}"/>
    <cellStyle name="Output 2 5 2 2 2 3 3" xfId="18498" xr:uid="{00000000-0005-0000-0000-0000DE470000}"/>
    <cellStyle name="Output 2 5 2 2 2 3_Summary" xfId="23771" xr:uid="{00000000-0005-0000-0000-0000DF470000}"/>
    <cellStyle name="Output 2 5 2 2 2 4" xfId="7708" xr:uid="{00000000-0005-0000-0000-0000E0470000}"/>
    <cellStyle name="Output 2 5 2 2 2 5" xfId="14327" xr:uid="{00000000-0005-0000-0000-0000E1470000}"/>
    <cellStyle name="Output 2 5 2 2 2_Summary" xfId="23769" xr:uid="{00000000-0005-0000-0000-0000E2470000}"/>
    <cellStyle name="Output 2 5 2 2 3" xfId="1394" xr:uid="{00000000-0005-0000-0000-0000E3470000}"/>
    <cellStyle name="Output 2 5 2 2 3 2" xfId="3530" xr:uid="{00000000-0005-0000-0000-0000E4470000}"/>
    <cellStyle name="Output 2 5 2 2 3 2 2" xfId="10126" xr:uid="{00000000-0005-0000-0000-0000E5470000}"/>
    <cellStyle name="Output 2 5 2 2 3 2 3" xfId="16745" xr:uid="{00000000-0005-0000-0000-0000E6470000}"/>
    <cellStyle name="Output 2 5 2 2 3 2_Summary" xfId="23773" xr:uid="{00000000-0005-0000-0000-0000E7470000}"/>
    <cellStyle name="Output 2 5 2 2 3 3" xfId="5565" xr:uid="{00000000-0005-0000-0000-0000E8470000}"/>
    <cellStyle name="Output 2 5 2 2 3 3 2" xfId="12161" xr:uid="{00000000-0005-0000-0000-0000E9470000}"/>
    <cellStyle name="Output 2 5 2 2 3 3 3" xfId="18780" xr:uid="{00000000-0005-0000-0000-0000EA470000}"/>
    <cellStyle name="Output 2 5 2 2 3 3_Summary" xfId="23774" xr:uid="{00000000-0005-0000-0000-0000EB470000}"/>
    <cellStyle name="Output 2 5 2 2 3 4" xfId="7990" xr:uid="{00000000-0005-0000-0000-0000EC470000}"/>
    <cellStyle name="Output 2 5 2 2 3 5" xfId="14609" xr:uid="{00000000-0005-0000-0000-0000ED470000}"/>
    <cellStyle name="Output 2 5 2 2 3_Summary" xfId="23772" xr:uid="{00000000-0005-0000-0000-0000EE470000}"/>
    <cellStyle name="Output 2 5 2 2 4" xfId="1675" xr:uid="{00000000-0005-0000-0000-0000EF470000}"/>
    <cellStyle name="Output 2 5 2 2 4 2" xfId="3811" xr:uid="{00000000-0005-0000-0000-0000F0470000}"/>
    <cellStyle name="Output 2 5 2 2 4 2 2" xfId="10407" xr:uid="{00000000-0005-0000-0000-0000F1470000}"/>
    <cellStyle name="Output 2 5 2 2 4 2 3" xfId="17026" xr:uid="{00000000-0005-0000-0000-0000F2470000}"/>
    <cellStyle name="Output 2 5 2 2 4 2_Summary" xfId="23776" xr:uid="{00000000-0005-0000-0000-0000F3470000}"/>
    <cellStyle name="Output 2 5 2 2 4 3" xfId="5846" xr:uid="{00000000-0005-0000-0000-0000F4470000}"/>
    <cellStyle name="Output 2 5 2 2 4 3 2" xfId="12442" xr:uid="{00000000-0005-0000-0000-0000F5470000}"/>
    <cellStyle name="Output 2 5 2 2 4 3 3" xfId="19061" xr:uid="{00000000-0005-0000-0000-0000F6470000}"/>
    <cellStyle name="Output 2 5 2 2 4 3_Summary" xfId="23777" xr:uid="{00000000-0005-0000-0000-0000F7470000}"/>
    <cellStyle name="Output 2 5 2 2 4 4" xfId="8271" xr:uid="{00000000-0005-0000-0000-0000F8470000}"/>
    <cellStyle name="Output 2 5 2 2 4 5" xfId="14890" xr:uid="{00000000-0005-0000-0000-0000F9470000}"/>
    <cellStyle name="Output 2 5 2 2 4_Summary" xfId="23775" xr:uid="{00000000-0005-0000-0000-0000FA470000}"/>
    <cellStyle name="Output 2 5 2 2 5" xfId="1954" xr:uid="{00000000-0005-0000-0000-0000FB470000}"/>
    <cellStyle name="Output 2 5 2 2 5 2" xfId="4090" xr:uid="{00000000-0005-0000-0000-0000FC470000}"/>
    <cellStyle name="Output 2 5 2 2 5 2 2" xfId="10686" xr:uid="{00000000-0005-0000-0000-0000FD470000}"/>
    <cellStyle name="Output 2 5 2 2 5 2 3" xfId="17305" xr:uid="{00000000-0005-0000-0000-0000FE470000}"/>
    <cellStyle name="Output 2 5 2 2 5 2_Summary" xfId="23779" xr:uid="{00000000-0005-0000-0000-0000FF470000}"/>
    <cellStyle name="Output 2 5 2 2 5 3" xfId="6125" xr:uid="{00000000-0005-0000-0000-000000480000}"/>
    <cellStyle name="Output 2 5 2 2 5 3 2" xfId="12721" xr:uid="{00000000-0005-0000-0000-000001480000}"/>
    <cellStyle name="Output 2 5 2 2 5 3 3" xfId="19340" xr:uid="{00000000-0005-0000-0000-000002480000}"/>
    <cellStyle name="Output 2 5 2 2 5 3_Summary" xfId="23780" xr:uid="{00000000-0005-0000-0000-000003480000}"/>
    <cellStyle name="Output 2 5 2 2 5 4" xfId="8550" xr:uid="{00000000-0005-0000-0000-000004480000}"/>
    <cellStyle name="Output 2 5 2 2 5 5" xfId="15169" xr:uid="{00000000-0005-0000-0000-000005480000}"/>
    <cellStyle name="Output 2 5 2 2 5_Summary" xfId="23778" xr:uid="{00000000-0005-0000-0000-000006480000}"/>
    <cellStyle name="Output 2 5 2 2 6" xfId="2229" xr:uid="{00000000-0005-0000-0000-000007480000}"/>
    <cellStyle name="Output 2 5 2 2 6 2" xfId="4365" xr:uid="{00000000-0005-0000-0000-000008480000}"/>
    <cellStyle name="Output 2 5 2 2 6 2 2" xfId="10961" xr:uid="{00000000-0005-0000-0000-000009480000}"/>
    <cellStyle name="Output 2 5 2 2 6 2 3" xfId="17580" xr:uid="{00000000-0005-0000-0000-00000A480000}"/>
    <cellStyle name="Output 2 5 2 2 6 2_Summary" xfId="23782" xr:uid="{00000000-0005-0000-0000-00000B480000}"/>
    <cellStyle name="Output 2 5 2 2 6 3" xfId="6400" xr:uid="{00000000-0005-0000-0000-00000C480000}"/>
    <cellStyle name="Output 2 5 2 2 6 3 2" xfId="12996" xr:uid="{00000000-0005-0000-0000-00000D480000}"/>
    <cellStyle name="Output 2 5 2 2 6 3 3" xfId="19615" xr:uid="{00000000-0005-0000-0000-00000E480000}"/>
    <cellStyle name="Output 2 5 2 2 6 3_Summary" xfId="23783" xr:uid="{00000000-0005-0000-0000-00000F480000}"/>
    <cellStyle name="Output 2 5 2 2 6 4" xfId="8825" xr:uid="{00000000-0005-0000-0000-000010480000}"/>
    <cellStyle name="Output 2 5 2 2 6 5" xfId="15444" xr:uid="{00000000-0005-0000-0000-000011480000}"/>
    <cellStyle name="Output 2 5 2 2 6_Summary" xfId="23781" xr:uid="{00000000-0005-0000-0000-000012480000}"/>
    <cellStyle name="Output 2 5 2 2 7" xfId="2502" xr:uid="{00000000-0005-0000-0000-000013480000}"/>
    <cellStyle name="Output 2 5 2 2 7 2" xfId="4638" xr:uid="{00000000-0005-0000-0000-000014480000}"/>
    <cellStyle name="Output 2 5 2 2 7 2 2" xfId="11234" xr:uid="{00000000-0005-0000-0000-000015480000}"/>
    <cellStyle name="Output 2 5 2 2 7 2 3" xfId="17853" xr:uid="{00000000-0005-0000-0000-000016480000}"/>
    <cellStyle name="Output 2 5 2 2 7 2_Summary" xfId="23785" xr:uid="{00000000-0005-0000-0000-000017480000}"/>
    <cellStyle name="Output 2 5 2 2 7 3" xfId="6673" xr:uid="{00000000-0005-0000-0000-000018480000}"/>
    <cellStyle name="Output 2 5 2 2 7 3 2" xfId="13269" xr:uid="{00000000-0005-0000-0000-000019480000}"/>
    <cellStyle name="Output 2 5 2 2 7 3 3" xfId="19888" xr:uid="{00000000-0005-0000-0000-00001A480000}"/>
    <cellStyle name="Output 2 5 2 2 7 3_Summary" xfId="23786" xr:uid="{00000000-0005-0000-0000-00001B480000}"/>
    <cellStyle name="Output 2 5 2 2 7 4" xfId="9098" xr:uid="{00000000-0005-0000-0000-00001C480000}"/>
    <cellStyle name="Output 2 5 2 2 7 5" xfId="15717" xr:uid="{00000000-0005-0000-0000-00001D480000}"/>
    <cellStyle name="Output 2 5 2 2 7_Summary" xfId="23784" xr:uid="{00000000-0005-0000-0000-00001E480000}"/>
    <cellStyle name="Output 2 5 2 2 8" xfId="2948" xr:uid="{00000000-0005-0000-0000-00001F480000}"/>
    <cellStyle name="Output 2 5 2 2 8 2" xfId="9544" xr:uid="{00000000-0005-0000-0000-000020480000}"/>
    <cellStyle name="Output 2 5 2 2 8 3" xfId="16163" xr:uid="{00000000-0005-0000-0000-000021480000}"/>
    <cellStyle name="Output 2 5 2 2 8_Summary" xfId="23787" xr:uid="{00000000-0005-0000-0000-000022480000}"/>
    <cellStyle name="Output 2 5 2 2 9" xfId="4983" xr:uid="{00000000-0005-0000-0000-000023480000}"/>
    <cellStyle name="Output 2 5 2 2 9 2" xfId="11579" xr:uid="{00000000-0005-0000-0000-000024480000}"/>
    <cellStyle name="Output 2 5 2 2 9 3" xfId="18198" xr:uid="{00000000-0005-0000-0000-000025480000}"/>
    <cellStyle name="Output 2 5 2 2 9_Summary" xfId="23788" xr:uid="{00000000-0005-0000-0000-000026480000}"/>
    <cellStyle name="Output 2 5 2 2_Summary" xfId="23767" xr:uid="{00000000-0005-0000-0000-000027480000}"/>
    <cellStyle name="Output 2 5 2 20" xfId="31149" xr:uid="{E7661BA0-2969-43F0-9217-957F134E8E74}"/>
    <cellStyle name="Output 2 5 2 3" xfId="984" xr:uid="{00000000-0005-0000-0000-000028480000}"/>
    <cellStyle name="Output 2 5 2 3 2" xfId="3120" xr:uid="{00000000-0005-0000-0000-000029480000}"/>
    <cellStyle name="Output 2 5 2 3 2 2" xfId="9716" xr:uid="{00000000-0005-0000-0000-00002A480000}"/>
    <cellStyle name="Output 2 5 2 3 2 3" xfId="16335" xr:uid="{00000000-0005-0000-0000-00002B480000}"/>
    <cellStyle name="Output 2 5 2 3 2_Summary" xfId="23790" xr:uid="{00000000-0005-0000-0000-00002C480000}"/>
    <cellStyle name="Output 2 5 2 3 3" xfId="5155" xr:uid="{00000000-0005-0000-0000-00002D480000}"/>
    <cellStyle name="Output 2 5 2 3 3 2" xfId="11751" xr:uid="{00000000-0005-0000-0000-00002E480000}"/>
    <cellStyle name="Output 2 5 2 3 3 3" xfId="18370" xr:uid="{00000000-0005-0000-0000-00002F480000}"/>
    <cellStyle name="Output 2 5 2 3 3_Summary" xfId="23791" xr:uid="{00000000-0005-0000-0000-000030480000}"/>
    <cellStyle name="Output 2 5 2 3 4" xfId="7581" xr:uid="{00000000-0005-0000-0000-000031480000}"/>
    <cellStyle name="Output 2 5 2 3 5" xfId="14199" xr:uid="{00000000-0005-0000-0000-000032480000}"/>
    <cellStyle name="Output 2 5 2 3_Summary" xfId="23789" xr:uid="{00000000-0005-0000-0000-000033480000}"/>
    <cellStyle name="Output 2 5 2 4" xfId="1266" xr:uid="{00000000-0005-0000-0000-000034480000}"/>
    <cellStyle name="Output 2 5 2 4 2" xfId="3402" xr:uid="{00000000-0005-0000-0000-000035480000}"/>
    <cellStyle name="Output 2 5 2 4 2 2" xfId="9998" xr:uid="{00000000-0005-0000-0000-000036480000}"/>
    <cellStyle name="Output 2 5 2 4 2 3" xfId="16617" xr:uid="{00000000-0005-0000-0000-000037480000}"/>
    <cellStyle name="Output 2 5 2 4 2_Summary" xfId="23793" xr:uid="{00000000-0005-0000-0000-000038480000}"/>
    <cellStyle name="Output 2 5 2 4 3" xfId="5437" xr:uid="{00000000-0005-0000-0000-000039480000}"/>
    <cellStyle name="Output 2 5 2 4 3 2" xfId="12033" xr:uid="{00000000-0005-0000-0000-00003A480000}"/>
    <cellStyle name="Output 2 5 2 4 3 3" xfId="18652" xr:uid="{00000000-0005-0000-0000-00003B480000}"/>
    <cellStyle name="Output 2 5 2 4 3_Summary" xfId="23794" xr:uid="{00000000-0005-0000-0000-00003C480000}"/>
    <cellStyle name="Output 2 5 2 4 4" xfId="7862" xr:uid="{00000000-0005-0000-0000-00003D480000}"/>
    <cellStyle name="Output 2 5 2 4 5" xfId="14481" xr:uid="{00000000-0005-0000-0000-00003E480000}"/>
    <cellStyle name="Output 2 5 2 4_Summary" xfId="23792" xr:uid="{00000000-0005-0000-0000-00003F480000}"/>
    <cellStyle name="Output 2 5 2 5" xfId="1547" xr:uid="{00000000-0005-0000-0000-000040480000}"/>
    <cellStyle name="Output 2 5 2 5 2" xfId="3683" xr:uid="{00000000-0005-0000-0000-000041480000}"/>
    <cellStyle name="Output 2 5 2 5 2 2" xfId="10279" xr:uid="{00000000-0005-0000-0000-000042480000}"/>
    <cellStyle name="Output 2 5 2 5 2 3" xfId="16898" xr:uid="{00000000-0005-0000-0000-000043480000}"/>
    <cellStyle name="Output 2 5 2 5 2_Summary" xfId="23796" xr:uid="{00000000-0005-0000-0000-000044480000}"/>
    <cellStyle name="Output 2 5 2 5 3" xfId="5718" xr:uid="{00000000-0005-0000-0000-000045480000}"/>
    <cellStyle name="Output 2 5 2 5 3 2" xfId="12314" xr:uid="{00000000-0005-0000-0000-000046480000}"/>
    <cellStyle name="Output 2 5 2 5 3 3" xfId="18933" xr:uid="{00000000-0005-0000-0000-000047480000}"/>
    <cellStyle name="Output 2 5 2 5 3_Summary" xfId="23797" xr:uid="{00000000-0005-0000-0000-000048480000}"/>
    <cellStyle name="Output 2 5 2 5 4" xfId="8143" xr:uid="{00000000-0005-0000-0000-000049480000}"/>
    <cellStyle name="Output 2 5 2 5 5" xfId="14762" xr:uid="{00000000-0005-0000-0000-00004A480000}"/>
    <cellStyle name="Output 2 5 2 5_Summary" xfId="23795" xr:uid="{00000000-0005-0000-0000-00004B480000}"/>
    <cellStyle name="Output 2 5 2 6" xfId="1826" xr:uid="{00000000-0005-0000-0000-00004C480000}"/>
    <cellStyle name="Output 2 5 2 6 2" xfId="3962" xr:uid="{00000000-0005-0000-0000-00004D480000}"/>
    <cellStyle name="Output 2 5 2 6 2 2" xfId="10558" xr:uid="{00000000-0005-0000-0000-00004E480000}"/>
    <cellStyle name="Output 2 5 2 6 2 3" xfId="17177" xr:uid="{00000000-0005-0000-0000-00004F480000}"/>
    <cellStyle name="Output 2 5 2 6 2_Summary" xfId="23799" xr:uid="{00000000-0005-0000-0000-000050480000}"/>
    <cellStyle name="Output 2 5 2 6 3" xfId="5997" xr:uid="{00000000-0005-0000-0000-000051480000}"/>
    <cellStyle name="Output 2 5 2 6 3 2" xfId="12593" xr:uid="{00000000-0005-0000-0000-000052480000}"/>
    <cellStyle name="Output 2 5 2 6 3 3" xfId="19212" xr:uid="{00000000-0005-0000-0000-000053480000}"/>
    <cellStyle name="Output 2 5 2 6 3_Summary" xfId="23800" xr:uid="{00000000-0005-0000-0000-000054480000}"/>
    <cellStyle name="Output 2 5 2 6 4" xfId="8422" xr:uid="{00000000-0005-0000-0000-000055480000}"/>
    <cellStyle name="Output 2 5 2 6 5" xfId="15041" xr:uid="{00000000-0005-0000-0000-000056480000}"/>
    <cellStyle name="Output 2 5 2 6_Summary" xfId="23798" xr:uid="{00000000-0005-0000-0000-000057480000}"/>
    <cellStyle name="Output 2 5 2 7" xfId="2101" xr:uid="{00000000-0005-0000-0000-000058480000}"/>
    <cellStyle name="Output 2 5 2 7 2" xfId="4237" xr:uid="{00000000-0005-0000-0000-000059480000}"/>
    <cellStyle name="Output 2 5 2 7 2 2" xfId="10833" xr:uid="{00000000-0005-0000-0000-00005A480000}"/>
    <cellStyle name="Output 2 5 2 7 2 3" xfId="17452" xr:uid="{00000000-0005-0000-0000-00005B480000}"/>
    <cellStyle name="Output 2 5 2 7 2_Summary" xfId="23802" xr:uid="{00000000-0005-0000-0000-00005C480000}"/>
    <cellStyle name="Output 2 5 2 7 3" xfId="6272" xr:uid="{00000000-0005-0000-0000-00005D480000}"/>
    <cellStyle name="Output 2 5 2 7 3 2" xfId="12868" xr:uid="{00000000-0005-0000-0000-00005E480000}"/>
    <cellStyle name="Output 2 5 2 7 3 3" xfId="19487" xr:uid="{00000000-0005-0000-0000-00005F480000}"/>
    <cellStyle name="Output 2 5 2 7 3_Summary" xfId="23803" xr:uid="{00000000-0005-0000-0000-000060480000}"/>
    <cellStyle name="Output 2 5 2 7 4" xfId="8697" xr:uid="{00000000-0005-0000-0000-000061480000}"/>
    <cellStyle name="Output 2 5 2 7 5" xfId="15316" xr:uid="{00000000-0005-0000-0000-000062480000}"/>
    <cellStyle name="Output 2 5 2 7_Summary" xfId="23801" xr:uid="{00000000-0005-0000-0000-000063480000}"/>
    <cellStyle name="Output 2 5 2 8" xfId="2374" xr:uid="{00000000-0005-0000-0000-000064480000}"/>
    <cellStyle name="Output 2 5 2 8 2" xfId="4510" xr:uid="{00000000-0005-0000-0000-000065480000}"/>
    <cellStyle name="Output 2 5 2 8 2 2" xfId="11106" xr:uid="{00000000-0005-0000-0000-000066480000}"/>
    <cellStyle name="Output 2 5 2 8 2 3" xfId="17725" xr:uid="{00000000-0005-0000-0000-000067480000}"/>
    <cellStyle name="Output 2 5 2 8 2_Summary" xfId="23805" xr:uid="{00000000-0005-0000-0000-000068480000}"/>
    <cellStyle name="Output 2 5 2 8 3" xfId="6545" xr:uid="{00000000-0005-0000-0000-000069480000}"/>
    <cellStyle name="Output 2 5 2 8 3 2" xfId="13141" xr:uid="{00000000-0005-0000-0000-00006A480000}"/>
    <cellStyle name="Output 2 5 2 8 3 3" xfId="19760" xr:uid="{00000000-0005-0000-0000-00006B480000}"/>
    <cellStyle name="Output 2 5 2 8 3_Summary" xfId="23806" xr:uid="{00000000-0005-0000-0000-00006C480000}"/>
    <cellStyle name="Output 2 5 2 8 4" xfId="8970" xr:uid="{00000000-0005-0000-0000-00006D480000}"/>
    <cellStyle name="Output 2 5 2 8 5" xfId="15589" xr:uid="{00000000-0005-0000-0000-00006E480000}"/>
    <cellStyle name="Output 2 5 2 8_Summary" xfId="23804" xr:uid="{00000000-0005-0000-0000-00006F480000}"/>
    <cellStyle name="Output 2 5 2 9" xfId="2675" xr:uid="{00000000-0005-0000-0000-000070480000}"/>
    <cellStyle name="Output 2 5 2 9 2" xfId="9271" xr:uid="{00000000-0005-0000-0000-000071480000}"/>
    <cellStyle name="Output 2 5 2 9 3" xfId="15890" xr:uid="{00000000-0005-0000-0000-000072480000}"/>
    <cellStyle name="Output 2 5 2 9_Summary" xfId="23807" xr:uid="{00000000-0005-0000-0000-000073480000}"/>
    <cellStyle name="Output 2 5 2_Summary" xfId="23764" xr:uid="{00000000-0005-0000-0000-000074480000}"/>
    <cellStyle name="Output 2 5 20" xfId="29583" xr:uid="{75E14173-08A5-497A-AB3B-EDCF448B3BB3}"/>
    <cellStyle name="Output 2 5 21" xfId="31148" xr:uid="{B38314E3-9C96-4B63-90A0-53BB785D4538}"/>
    <cellStyle name="Output 2 5 3" xfId="357" xr:uid="{00000000-0005-0000-0000-000075480000}"/>
    <cellStyle name="Output 2 5 3 10" xfId="684" xr:uid="{00000000-0005-0000-0000-000076480000}"/>
    <cellStyle name="Output 2 5 3 10 2" xfId="13899" xr:uid="{00000000-0005-0000-0000-000077480000}"/>
    <cellStyle name="Output 2 5 3 10_Summary" xfId="23809" xr:uid="{00000000-0005-0000-0000-000078480000}"/>
    <cellStyle name="Output 2 5 3 11" xfId="7250" xr:uid="{00000000-0005-0000-0000-000079480000}"/>
    <cellStyle name="Output 2 5 3 12" xfId="13572" xr:uid="{00000000-0005-0000-0000-00007A480000}"/>
    <cellStyle name="Output 2 5 3 13" xfId="29585" xr:uid="{9BA9374C-1A8F-4132-A9B1-42708706A1A6}"/>
    <cellStyle name="Output 2 5 3 14" xfId="31150" xr:uid="{3441BC6E-621D-49B3-9145-8FEFD6648BE7}"/>
    <cellStyle name="Output 2 5 3 2" xfId="1051" xr:uid="{00000000-0005-0000-0000-00007B480000}"/>
    <cellStyle name="Output 2 5 3 2 2" xfId="3187" xr:uid="{00000000-0005-0000-0000-00007C480000}"/>
    <cellStyle name="Output 2 5 3 2 2 2" xfId="9783" xr:uid="{00000000-0005-0000-0000-00007D480000}"/>
    <cellStyle name="Output 2 5 3 2 2 3" xfId="16402" xr:uid="{00000000-0005-0000-0000-00007E480000}"/>
    <cellStyle name="Output 2 5 3 2 2_Summary" xfId="23811" xr:uid="{00000000-0005-0000-0000-00007F480000}"/>
    <cellStyle name="Output 2 5 3 2 3" xfId="5222" xr:uid="{00000000-0005-0000-0000-000080480000}"/>
    <cellStyle name="Output 2 5 3 2 3 2" xfId="11818" xr:uid="{00000000-0005-0000-0000-000081480000}"/>
    <cellStyle name="Output 2 5 3 2 3 3" xfId="18437" xr:uid="{00000000-0005-0000-0000-000082480000}"/>
    <cellStyle name="Output 2 5 3 2 3_Summary" xfId="23812" xr:uid="{00000000-0005-0000-0000-000083480000}"/>
    <cellStyle name="Output 2 5 3 2 4" xfId="7648" xr:uid="{00000000-0005-0000-0000-000084480000}"/>
    <cellStyle name="Output 2 5 3 2 5" xfId="14266" xr:uid="{00000000-0005-0000-0000-000085480000}"/>
    <cellStyle name="Output 2 5 3 2 6" xfId="30435" xr:uid="{579B8DA2-8915-406E-9D3D-B7FA89598C06}"/>
    <cellStyle name="Output 2 5 3 2 7" xfId="31867" xr:uid="{F182BF17-D7B0-4451-B349-09EDD724181A}"/>
    <cellStyle name="Output 2 5 3 2_Summary" xfId="23810" xr:uid="{00000000-0005-0000-0000-000086480000}"/>
    <cellStyle name="Output 2 5 3 3" xfId="1333" xr:uid="{00000000-0005-0000-0000-000087480000}"/>
    <cellStyle name="Output 2 5 3 3 2" xfId="3469" xr:uid="{00000000-0005-0000-0000-000088480000}"/>
    <cellStyle name="Output 2 5 3 3 2 2" xfId="10065" xr:uid="{00000000-0005-0000-0000-000089480000}"/>
    <cellStyle name="Output 2 5 3 3 2 3" xfId="16684" xr:uid="{00000000-0005-0000-0000-00008A480000}"/>
    <cellStyle name="Output 2 5 3 3 2_Summary" xfId="23814" xr:uid="{00000000-0005-0000-0000-00008B480000}"/>
    <cellStyle name="Output 2 5 3 3 3" xfId="5504" xr:uid="{00000000-0005-0000-0000-00008C480000}"/>
    <cellStyle name="Output 2 5 3 3 3 2" xfId="12100" xr:uid="{00000000-0005-0000-0000-00008D480000}"/>
    <cellStyle name="Output 2 5 3 3 3 3" xfId="18719" xr:uid="{00000000-0005-0000-0000-00008E480000}"/>
    <cellStyle name="Output 2 5 3 3 3_Summary" xfId="23815" xr:uid="{00000000-0005-0000-0000-00008F480000}"/>
    <cellStyle name="Output 2 5 3 3 4" xfId="7929" xr:uid="{00000000-0005-0000-0000-000090480000}"/>
    <cellStyle name="Output 2 5 3 3 5" xfId="14548" xr:uid="{00000000-0005-0000-0000-000091480000}"/>
    <cellStyle name="Output 2 5 3 3_Summary" xfId="23813" xr:uid="{00000000-0005-0000-0000-000092480000}"/>
    <cellStyle name="Output 2 5 3 4" xfId="1614" xr:uid="{00000000-0005-0000-0000-000093480000}"/>
    <cellStyle name="Output 2 5 3 4 2" xfId="3750" xr:uid="{00000000-0005-0000-0000-000094480000}"/>
    <cellStyle name="Output 2 5 3 4 2 2" xfId="10346" xr:uid="{00000000-0005-0000-0000-000095480000}"/>
    <cellStyle name="Output 2 5 3 4 2 3" xfId="16965" xr:uid="{00000000-0005-0000-0000-000096480000}"/>
    <cellStyle name="Output 2 5 3 4 2_Summary" xfId="23817" xr:uid="{00000000-0005-0000-0000-000097480000}"/>
    <cellStyle name="Output 2 5 3 4 3" xfId="5785" xr:uid="{00000000-0005-0000-0000-000098480000}"/>
    <cellStyle name="Output 2 5 3 4 3 2" xfId="12381" xr:uid="{00000000-0005-0000-0000-000099480000}"/>
    <cellStyle name="Output 2 5 3 4 3 3" xfId="19000" xr:uid="{00000000-0005-0000-0000-00009A480000}"/>
    <cellStyle name="Output 2 5 3 4 3_Summary" xfId="23818" xr:uid="{00000000-0005-0000-0000-00009B480000}"/>
    <cellStyle name="Output 2 5 3 4 4" xfId="8210" xr:uid="{00000000-0005-0000-0000-00009C480000}"/>
    <cellStyle name="Output 2 5 3 4 5" xfId="14829" xr:uid="{00000000-0005-0000-0000-00009D480000}"/>
    <cellStyle name="Output 2 5 3 4_Summary" xfId="23816" xr:uid="{00000000-0005-0000-0000-00009E480000}"/>
    <cellStyle name="Output 2 5 3 5" xfId="1893" xr:uid="{00000000-0005-0000-0000-00009F480000}"/>
    <cellStyle name="Output 2 5 3 5 2" xfId="4029" xr:uid="{00000000-0005-0000-0000-0000A0480000}"/>
    <cellStyle name="Output 2 5 3 5 2 2" xfId="10625" xr:uid="{00000000-0005-0000-0000-0000A1480000}"/>
    <cellStyle name="Output 2 5 3 5 2 3" xfId="17244" xr:uid="{00000000-0005-0000-0000-0000A2480000}"/>
    <cellStyle name="Output 2 5 3 5 2_Summary" xfId="23820" xr:uid="{00000000-0005-0000-0000-0000A3480000}"/>
    <cellStyle name="Output 2 5 3 5 3" xfId="6064" xr:uid="{00000000-0005-0000-0000-0000A4480000}"/>
    <cellStyle name="Output 2 5 3 5 3 2" xfId="12660" xr:uid="{00000000-0005-0000-0000-0000A5480000}"/>
    <cellStyle name="Output 2 5 3 5 3 3" xfId="19279" xr:uid="{00000000-0005-0000-0000-0000A6480000}"/>
    <cellStyle name="Output 2 5 3 5 3_Summary" xfId="23821" xr:uid="{00000000-0005-0000-0000-0000A7480000}"/>
    <cellStyle name="Output 2 5 3 5 4" xfId="8489" xr:uid="{00000000-0005-0000-0000-0000A8480000}"/>
    <cellStyle name="Output 2 5 3 5 5" xfId="15108" xr:uid="{00000000-0005-0000-0000-0000A9480000}"/>
    <cellStyle name="Output 2 5 3 5_Summary" xfId="23819" xr:uid="{00000000-0005-0000-0000-0000AA480000}"/>
    <cellStyle name="Output 2 5 3 6" xfId="2168" xr:uid="{00000000-0005-0000-0000-0000AB480000}"/>
    <cellStyle name="Output 2 5 3 6 2" xfId="4304" xr:uid="{00000000-0005-0000-0000-0000AC480000}"/>
    <cellStyle name="Output 2 5 3 6 2 2" xfId="10900" xr:uid="{00000000-0005-0000-0000-0000AD480000}"/>
    <cellStyle name="Output 2 5 3 6 2 3" xfId="17519" xr:uid="{00000000-0005-0000-0000-0000AE480000}"/>
    <cellStyle name="Output 2 5 3 6 2_Summary" xfId="23823" xr:uid="{00000000-0005-0000-0000-0000AF480000}"/>
    <cellStyle name="Output 2 5 3 6 3" xfId="6339" xr:uid="{00000000-0005-0000-0000-0000B0480000}"/>
    <cellStyle name="Output 2 5 3 6 3 2" xfId="12935" xr:uid="{00000000-0005-0000-0000-0000B1480000}"/>
    <cellStyle name="Output 2 5 3 6 3 3" xfId="19554" xr:uid="{00000000-0005-0000-0000-0000B2480000}"/>
    <cellStyle name="Output 2 5 3 6 3_Summary" xfId="23824" xr:uid="{00000000-0005-0000-0000-0000B3480000}"/>
    <cellStyle name="Output 2 5 3 6 4" xfId="8764" xr:uid="{00000000-0005-0000-0000-0000B4480000}"/>
    <cellStyle name="Output 2 5 3 6 5" xfId="15383" xr:uid="{00000000-0005-0000-0000-0000B5480000}"/>
    <cellStyle name="Output 2 5 3 6_Summary" xfId="23822" xr:uid="{00000000-0005-0000-0000-0000B6480000}"/>
    <cellStyle name="Output 2 5 3 7" xfId="2441" xr:uid="{00000000-0005-0000-0000-0000B7480000}"/>
    <cellStyle name="Output 2 5 3 7 2" xfId="4577" xr:uid="{00000000-0005-0000-0000-0000B8480000}"/>
    <cellStyle name="Output 2 5 3 7 2 2" xfId="11173" xr:uid="{00000000-0005-0000-0000-0000B9480000}"/>
    <cellStyle name="Output 2 5 3 7 2 3" xfId="17792" xr:uid="{00000000-0005-0000-0000-0000BA480000}"/>
    <cellStyle name="Output 2 5 3 7 2_Summary" xfId="23826" xr:uid="{00000000-0005-0000-0000-0000BB480000}"/>
    <cellStyle name="Output 2 5 3 7 3" xfId="6612" xr:uid="{00000000-0005-0000-0000-0000BC480000}"/>
    <cellStyle name="Output 2 5 3 7 3 2" xfId="13208" xr:uid="{00000000-0005-0000-0000-0000BD480000}"/>
    <cellStyle name="Output 2 5 3 7 3 3" xfId="19827" xr:uid="{00000000-0005-0000-0000-0000BE480000}"/>
    <cellStyle name="Output 2 5 3 7 3_Summary" xfId="23827" xr:uid="{00000000-0005-0000-0000-0000BF480000}"/>
    <cellStyle name="Output 2 5 3 7 4" xfId="9037" xr:uid="{00000000-0005-0000-0000-0000C0480000}"/>
    <cellStyle name="Output 2 5 3 7 5" xfId="15656" xr:uid="{00000000-0005-0000-0000-0000C1480000}"/>
    <cellStyle name="Output 2 5 3 7_Summary" xfId="23825" xr:uid="{00000000-0005-0000-0000-0000C2480000}"/>
    <cellStyle name="Output 2 5 3 8" xfId="2820" xr:uid="{00000000-0005-0000-0000-0000C3480000}"/>
    <cellStyle name="Output 2 5 3 8 2" xfId="9416" xr:uid="{00000000-0005-0000-0000-0000C4480000}"/>
    <cellStyle name="Output 2 5 3 8 3" xfId="16035" xr:uid="{00000000-0005-0000-0000-0000C5480000}"/>
    <cellStyle name="Output 2 5 3 8_Summary" xfId="23828" xr:uid="{00000000-0005-0000-0000-0000C6480000}"/>
    <cellStyle name="Output 2 5 3 9" xfId="4855" xr:uid="{00000000-0005-0000-0000-0000C7480000}"/>
    <cellStyle name="Output 2 5 3 9 2" xfId="11451" xr:uid="{00000000-0005-0000-0000-0000C8480000}"/>
    <cellStyle name="Output 2 5 3 9 3" xfId="18070" xr:uid="{00000000-0005-0000-0000-0000C9480000}"/>
    <cellStyle name="Output 2 5 3 9_Summary" xfId="23829" xr:uid="{00000000-0005-0000-0000-0000CA480000}"/>
    <cellStyle name="Output 2 5 3_Summary" xfId="23808" xr:uid="{00000000-0005-0000-0000-0000CB480000}"/>
    <cellStyle name="Output 2 5 4" xfId="694" xr:uid="{00000000-0005-0000-0000-0000CC480000}"/>
    <cellStyle name="Output 2 5 4 2" xfId="2830" xr:uid="{00000000-0005-0000-0000-0000CD480000}"/>
    <cellStyle name="Output 2 5 4 2 2" xfId="9426" xr:uid="{00000000-0005-0000-0000-0000CE480000}"/>
    <cellStyle name="Output 2 5 4 2 3" xfId="16045" xr:uid="{00000000-0005-0000-0000-0000CF480000}"/>
    <cellStyle name="Output 2 5 4 2_Summary" xfId="23831" xr:uid="{00000000-0005-0000-0000-0000D0480000}"/>
    <cellStyle name="Output 2 5 4 3" xfId="4865" xr:uid="{00000000-0005-0000-0000-0000D1480000}"/>
    <cellStyle name="Output 2 5 4 3 2" xfId="11461" xr:uid="{00000000-0005-0000-0000-0000D2480000}"/>
    <cellStyle name="Output 2 5 4 3 3" xfId="18080" xr:uid="{00000000-0005-0000-0000-0000D3480000}"/>
    <cellStyle name="Output 2 5 4 3_Summary" xfId="23832" xr:uid="{00000000-0005-0000-0000-0000D4480000}"/>
    <cellStyle name="Output 2 5 4 4" xfId="7444" xr:uid="{00000000-0005-0000-0000-0000D5480000}"/>
    <cellStyle name="Output 2 5 4 5" xfId="13909" xr:uid="{00000000-0005-0000-0000-0000D6480000}"/>
    <cellStyle name="Output 2 5 4 6" xfId="30433" xr:uid="{A1768E05-8B2A-4E5F-9DAB-118B3754D2DA}"/>
    <cellStyle name="Output 2 5 4 7" xfId="31865" xr:uid="{6C33E0D9-99DD-46F5-8387-8BF1774F792C}"/>
    <cellStyle name="Output 2 5 4_Summary" xfId="23830" xr:uid="{00000000-0005-0000-0000-0000D7480000}"/>
    <cellStyle name="Output 2 5 5" xfId="867" xr:uid="{00000000-0005-0000-0000-0000D8480000}"/>
    <cellStyle name="Output 2 5 5 2" xfId="3003" xr:uid="{00000000-0005-0000-0000-0000D9480000}"/>
    <cellStyle name="Output 2 5 5 2 2" xfId="9599" xr:uid="{00000000-0005-0000-0000-0000DA480000}"/>
    <cellStyle name="Output 2 5 5 2 3" xfId="16218" xr:uid="{00000000-0005-0000-0000-0000DB480000}"/>
    <cellStyle name="Output 2 5 5 2_Summary" xfId="23834" xr:uid="{00000000-0005-0000-0000-0000DC480000}"/>
    <cellStyle name="Output 2 5 5 3" xfId="5038" xr:uid="{00000000-0005-0000-0000-0000DD480000}"/>
    <cellStyle name="Output 2 5 5 3 2" xfId="11634" xr:uid="{00000000-0005-0000-0000-0000DE480000}"/>
    <cellStyle name="Output 2 5 5 3 3" xfId="18253" xr:uid="{00000000-0005-0000-0000-0000DF480000}"/>
    <cellStyle name="Output 2 5 5 3_Summary" xfId="23835" xr:uid="{00000000-0005-0000-0000-0000E0480000}"/>
    <cellStyle name="Output 2 5 5 4" xfId="7464" xr:uid="{00000000-0005-0000-0000-0000E1480000}"/>
    <cellStyle name="Output 2 5 5 5" xfId="14082" xr:uid="{00000000-0005-0000-0000-0000E2480000}"/>
    <cellStyle name="Output 2 5 5_Summary" xfId="23833" xr:uid="{00000000-0005-0000-0000-0000E3480000}"/>
    <cellStyle name="Output 2 5 6" xfId="662" xr:uid="{00000000-0005-0000-0000-0000E4480000}"/>
    <cellStyle name="Output 2 5 6 2" xfId="2798" xr:uid="{00000000-0005-0000-0000-0000E5480000}"/>
    <cellStyle name="Output 2 5 6 2 2" xfId="9394" xr:uid="{00000000-0005-0000-0000-0000E6480000}"/>
    <cellStyle name="Output 2 5 6 2 3" xfId="16013" xr:uid="{00000000-0005-0000-0000-0000E7480000}"/>
    <cellStyle name="Output 2 5 6 2_Summary" xfId="23837" xr:uid="{00000000-0005-0000-0000-0000E8480000}"/>
    <cellStyle name="Output 2 5 6 3" xfId="4833" xr:uid="{00000000-0005-0000-0000-0000E9480000}"/>
    <cellStyle name="Output 2 5 6 3 2" xfId="11429" xr:uid="{00000000-0005-0000-0000-0000EA480000}"/>
    <cellStyle name="Output 2 5 6 3 3" xfId="18048" xr:uid="{00000000-0005-0000-0000-0000EB480000}"/>
    <cellStyle name="Output 2 5 6 3_Summary" xfId="23838" xr:uid="{00000000-0005-0000-0000-0000EC480000}"/>
    <cellStyle name="Output 2 5 6 4" xfId="7433" xr:uid="{00000000-0005-0000-0000-0000ED480000}"/>
    <cellStyle name="Output 2 5 6 5" xfId="13877" xr:uid="{00000000-0005-0000-0000-0000EE480000}"/>
    <cellStyle name="Output 2 5 6_Summary" xfId="23836" xr:uid="{00000000-0005-0000-0000-0000EF480000}"/>
    <cellStyle name="Output 2 5 7" xfId="964" xr:uid="{00000000-0005-0000-0000-0000F0480000}"/>
    <cellStyle name="Output 2 5 7 2" xfId="3100" xr:uid="{00000000-0005-0000-0000-0000F1480000}"/>
    <cellStyle name="Output 2 5 7 2 2" xfId="9696" xr:uid="{00000000-0005-0000-0000-0000F2480000}"/>
    <cellStyle name="Output 2 5 7 2 3" xfId="16315" xr:uid="{00000000-0005-0000-0000-0000F3480000}"/>
    <cellStyle name="Output 2 5 7 2_Summary" xfId="23840" xr:uid="{00000000-0005-0000-0000-0000F4480000}"/>
    <cellStyle name="Output 2 5 7 3" xfId="5135" xr:uid="{00000000-0005-0000-0000-0000F5480000}"/>
    <cellStyle name="Output 2 5 7 3 2" xfId="11731" xr:uid="{00000000-0005-0000-0000-0000F6480000}"/>
    <cellStyle name="Output 2 5 7 3 3" xfId="18350" xr:uid="{00000000-0005-0000-0000-0000F7480000}"/>
    <cellStyle name="Output 2 5 7 3_Summary" xfId="23841" xr:uid="{00000000-0005-0000-0000-0000F8480000}"/>
    <cellStyle name="Output 2 5 7 4" xfId="7561" xr:uid="{00000000-0005-0000-0000-0000F9480000}"/>
    <cellStyle name="Output 2 5 7 5" xfId="14179" xr:uid="{00000000-0005-0000-0000-0000FA480000}"/>
    <cellStyle name="Output 2 5 7_Summary" xfId="23839" xr:uid="{00000000-0005-0000-0000-0000FB480000}"/>
    <cellStyle name="Output 2 5 8" xfId="1246" xr:uid="{00000000-0005-0000-0000-0000FC480000}"/>
    <cellStyle name="Output 2 5 8 2" xfId="3382" xr:uid="{00000000-0005-0000-0000-0000FD480000}"/>
    <cellStyle name="Output 2 5 8 2 2" xfId="9978" xr:uid="{00000000-0005-0000-0000-0000FE480000}"/>
    <cellStyle name="Output 2 5 8 2 3" xfId="16597" xr:uid="{00000000-0005-0000-0000-0000FF480000}"/>
    <cellStyle name="Output 2 5 8 2_Summary" xfId="23843" xr:uid="{00000000-0005-0000-0000-000000490000}"/>
    <cellStyle name="Output 2 5 8 3" xfId="5417" xr:uid="{00000000-0005-0000-0000-000001490000}"/>
    <cellStyle name="Output 2 5 8 3 2" xfId="12013" xr:uid="{00000000-0005-0000-0000-000002490000}"/>
    <cellStyle name="Output 2 5 8 3 3" xfId="18632" xr:uid="{00000000-0005-0000-0000-000003490000}"/>
    <cellStyle name="Output 2 5 8 3_Summary" xfId="23844" xr:uid="{00000000-0005-0000-0000-000004490000}"/>
    <cellStyle name="Output 2 5 8 4" xfId="7842" xr:uid="{00000000-0005-0000-0000-000005490000}"/>
    <cellStyle name="Output 2 5 8 5" xfId="14461" xr:uid="{00000000-0005-0000-0000-000006490000}"/>
    <cellStyle name="Output 2 5 8_Summary" xfId="23842" xr:uid="{00000000-0005-0000-0000-000007490000}"/>
    <cellStyle name="Output 2 5 9" xfId="1527" xr:uid="{00000000-0005-0000-0000-000008490000}"/>
    <cellStyle name="Output 2 5 9 2" xfId="3663" xr:uid="{00000000-0005-0000-0000-000009490000}"/>
    <cellStyle name="Output 2 5 9 2 2" xfId="10259" xr:uid="{00000000-0005-0000-0000-00000A490000}"/>
    <cellStyle name="Output 2 5 9 2 3" xfId="16878" xr:uid="{00000000-0005-0000-0000-00000B490000}"/>
    <cellStyle name="Output 2 5 9 2_Summary" xfId="23846" xr:uid="{00000000-0005-0000-0000-00000C490000}"/>
    <cellStyle name="Output 2 5 9 3" xfId="5698" xr:uid="{00000000-0005-0000-0000-00000D490000}"/>
    <cellStyle name="Output 2 5 9 3 2" xfId="12294" xr:uid="{00000000-0005-0000-0000-00000E490000}"/>
    <cellStyle name="Output 2 5 9 3 3" xfId="18913" xr:uid="{00000000-0005-0000-0000-00000F490000}"/>
    <cellStyle name="Output 2 5 9 3_Summary" xfId="23847" xr:uid="{00000000-0005-0000-0000-000010490000}"/>
    <cellStyle name="Output 2 5 9 4" xfId="8123" xr:uid="{00000000-0005-0000-0000-000011490000}"/>
    <cellStyle name="Output 2 5 9 5" xfId="14742" xr:uid="{00000000-0005-0000-0000-000012490000}"/>
    <cellStyle name="Output 2 5 9_Summary" xfId="23845" xr:uid="{00000000-0005-0000-0000-000013490000}"/>
    <cellStyle name="Output 2 5_Summary" xfId="23760" xr:uid="{00000000-0005-0000-0000-000014490000}"/>
    <cellStyle name="Output 2 50" xfId="7037" xr:uid="{00000000-0005-0000-0000-000015490000}"/>
    <cellStyle name="Output 2 51" xfId="25589" xr:uid="{00000000-0005-0000-0000-000063000000}"/>
    <cellStyle name="Output 2 52" xfId="25585" xr:uid="{00000000-0005-0000-0000-000063000000}"/>
    <cellStyle name="Output 2 53" xfId="25690" xr:uid="{00000000-0005-0000-0000-000063000000}"/>
    <cellStyle name="Output 2 54" xfId="25696" xr:uid="{00000000-0005-0000-0000-000063000000}"/>
    <cellStyle name="Output 2 55" xfId="25713" xr:uid="{00000000-0005-0000-0000-000063000000}"/>
    <cellStyle name="Output 2 56" xfId="25792" xr:uid="{548C3132-1D42-474A-97C4-FCF7DEFB0E6C}"/>
    <cellStyle name="Output 2 57" xfId="25871" xr:uid="{BD725902-5F43-4FEB-A783-EFA0AC245F91}"/>
    <cellStyle name="Output 2 58" xfId="25852" xr:uid="{FA92B059-5CFC-4AAD-BB34-90B3479A9165}"/>
    <cellStyle name="Output 2 59" xfId="26610" xr:uid="{C0BA7A49-C15E-4F7B-A5AF-EDAA1E8DD8FE}"/>
    <cellStyle name="Output 2 6" xfId="139" xr:uid="{00000000-0005-0000-0000-000016490000}"/>
    <cellStyle name="Output 2 6 10" xfId="2582" xr:uid="{00000000-0005-0000-0000-000017490000}"/>
    <cellStyle name="Output 2 6 10 2" xfId="9178" xr:uid="{00000000-0005-0000-0000-000018490000}"/>
    <cellStyle name="Output 2 6 10 3" xfId="15797" xr:uid="{00000000-0005-0000-0000-000019490000}"/>
    <cellStyle name="Output 2 6 10_Summary" xfId="23849" xr:uid="{00000000-0005-0000-0000-00001A490000}"/>
    <cellStyle name="Output 2 6 11" xfId="2634" xr:uid="{00000000-0005-0000-0000-00001B490000}"/>
    <cellStyle name="Output 2 6 11 2" xfId="9230" xr:uid="{00000000-0005-0000-0000-00001C490000}"/>
    <cellStyle name="Output 2 6 11 3" xfId="15849" xr:uid="{00000000-0005-0000-0000-00001D490000}"/>
    <cellStyle name="Output 2 6 11_Summary" xfId="23850" xr:uid="{00000000-0005-0000-0000-00001E490000}"/>
    <cellStyle name="Output 2 6 12" xfId="474" xr:uid="{00000000-0005-0000-0000-00001F490000}"/>
    <cellStyle name="Output 2 6 12 2" xfId="13689" xr:uid="{00000000-0005-0000-0000-000020490000}"/>
    <cellStyle name="Output 2 6 12_Summary" xfId="23851" xr:uid="{00000000-0005-0000-0000-000021490000}"/>
    <cellStyle name="Output 2 6 13" xfId="7053" xr:uid="{00000000-0005-0000-0000-000022490000}"/>
    <cellStyle name="Output 2 6 14" xfId="13416" xr:uid="{00000000-0005-0000-0000-000023490000}"/>
    <cellStyle name="Output 2 6 15" xfId="26368" xr:uid="{811A038D-BF4E-45D8-9462-2BB7D3E45221}"/>
    <cellStyle name="Output 2 6 16" xfId="26769" xr:uid="{9E19D5FE-F1E1-4373-A9B1-78E0EE957E3F}"/>
    <cellStyle name="Output 2 6 17" xfId="26978" xr:uid="{401418B9-ABE6-4B07-B57E-A0DCF07B358E}"/>
    <cellStyle name="Output 2 6 18" xfId="26865" xr:uid="{13F16294-5FB0-425B-A328-2BCBF7664C6E}"/>
    <cellStyle name="Output 2 6 19" xfId="27035" xr:uid="{9C1C5298-F0FD-4E86-BA21-045C59BC0087}"/>
    <cellStyle name="Output 2 6 2" xfId="288" xr:uid="{00000000-0005-0000-0000-000024490000}"/>
    <cellStyle name="Output 2 6 2 10" xfId="4709" xr:uid="{00000000-0005-0000-0000-000025490000}"/>
    <cellStyle name="Output 2 6 2 10 2" xfId="11305" xr:uid="{00000000-0005-0000-0000-000026490000}"/>
    <cellStyle name="Output 2 6 2 10 3" xfId="17924" xr:uid="{00000000-0005-0000-0000-000027490000}"/>
    <cellStyle name="Output 2 6 2 10_Summary" xfId="23853" xr:uid="{00000000-0005-0000-0000-000028490000}"/>
    <cellStyle name="Output 2 6 2 11" xfId="538" xr:uid="{00000000-0005-0000-0000-000029490000}"/>
    <cellStyle name="Output 2 6 2 11 2" xfId="13753" xr:uid="{00000000-0005-0000-0000-00002A490000}"/>
    <cellStyle name="Output 2 6 2 11_Summary" xfId="23854" xr:uid="{00000000-0005-0000-0000-00002B490000}"/>
    <cellStyle name="Output 2 6 2 12" xfId="7182" xr:uid="{00000000-0005-0000-0000-00002C490000}"/>
    <cellStyle name="Output 2 6 2 13" xfId="13504" xr:uid="{00000000-0005-0000-0000-00002D490000}"/>
    <cellStyle name="Output 2 6 2 14" xfId="26489" xr:uid="{25D87528-C699-4F1E-9F8F-AEDD93027D07}"/>
    <cellStyle name="Output 2 6 2 15" xfId="26872" xr:uid="{E72BE347-9658-4C72-A636-60BD32EBCDB2}"/>
    <cellStyle name="Output 2 6 2 16" xfId="27023" xr:uid="{C721D26E-4D17-4C8B-AA2E-625B4CF5B9B7}"/>
    <cellStyle name="Output 2 6 2 17" xfId="27051" xr:uid="{678BA30E-567A-44DB-9C17-70039A415C5C}"/>
    <cellStyle name="Output 2 6 2 18" xfId="27071" xr:uid="{79C84AFD-B10D-4142-B42E-39E4F8DA2E8D}"/>
    <cellStyle name="Output 2 6 2 19" xfId="29587" xr:uid="{78CB0250-480E-4363-B25F-E032E886A2A6}"/>
    <cellStyle name="Output 2 6 2 2" xfId="417" xr:uid="{00000000-0005-0000-0000-00002E490000}"/>
    <cellStyle name="Output 2 6 2 2 10" xfId="811" xr:uid="{00000000-0005-0000-0000-00002F490000}"/>
    <cellStyle name="Output 2 6 2 2 10 2" xfId="14026" xr:uid="{00000000-0005-0000-0000-000030490000}"/>
    <cellStyle name="Output 2 6 2 2 10_Summary" xfId="23856" xr:uid="{00000000-0005-0000-0000-000031490000}"/>
    <cellStyle name="Output 2 6 2 2 11" xfId="7310" xr:uid="{00000000-0005-0000-0000-000032490000}"/>
    <cellStyle name="Output 2 6 2 2 12" xfId="13632" xr:uid="{00000000-0005-0000-0000-000033490000}"/>
    <cellStyle name="Output 2 6 2 2 13" xfId="30437" xr:uid="{0D48BE31-DF31-4E82-B433-DC45190EF639}"/>
    <cellStyle name="Output 2 6 2 2 14" xfId="31869" xr:uid="{A055C5DC-94EF-4913-BBEF-1E874A90650E}"/>
    <cellStyle name="Output 2 6 2 2 2" xfId="1111" xr:uid="{00000000-0005-0000-0000-000034490000}"/>
    <cellStyle name="Output 2 6 2 2 2 2" xfId="3247" xr:uid="{00000000-0005-0000-0000-000035490000}"/>
    <cellStyle name="Output 2 6 2 2 2 2 2" xfId="9843" xr:uid="{00000000-0005-0000-0000-000036490000}"/>
    <cellStyle name="Output 2 6 2 2 2 2 3" xfId="16462" xr:uid="{00000000-0005-0000-0000-000037490000}"/>
    <cellStyle name="Output 2 6 2 2 2 2_Summary" xfId="23858" xr:uid="{00000000-0005-0000-0000-000038490000}"/>
    <cellStyle name="Output 2 6 2 2 2 3" xfId="5282" xr:uid="{00000000-0005-0000-0000-000039490000}"/>
    <cellStyle name="Output 2 6 2 2 2 3 2" xfId="11878" xr:uid="{00000000-0005-0000-0000-00003A490000}"/>
    <cellStyle name="Output 2 6 2 2 2 3 3" xfId="18497" xr:uid="{00000000-0005-0000-0000-00003B490000}"/>
    <cellStyle name="Output 2 6 2 2 2 3_Summary" xfId="23859" xr:uid="{00000000-0005-0000-0000-00003C490000}"/>
    <cellStyle name="Output 2 6 2 2 2 4" xfId="7707" xr:uid="{00000000-0005-0000-0000-00003D490000}"/>
    <cellStyle name="Output 2 6 2 2 2 5" xfId="14326" xr:uid="{00000000-0005-0000-0000-00003E490000}"/>
    <cellStyle name="Output 2 6 2 2 2_Summary" xfId="23857" xr:uid="{00000000-0005-0000-0000-00003F490000}"/>
    <cellStyle name="Output 2 6 2 2 3" xfId="1393" xr:uid="{00000000-0005-0000-0000-000040490000}"/>
    <cellStyle name="Output 2 6 2 2 3 2" xfId="3529" xr:uid="{00000000-0005-0000-0000-000041490000}"/>
    <cellStyle name="Output 2 6 2 2 3 2 2" xfId="10125" xr:uid="{00000000-0005-0000-0000-000042490000}"/>
    <cellStyle name="Output 2 6 2 2 3 2 3" xfId="16744" xr:uid="{00000000-0005-0000-0000-000043490000}"/>
    <cellStyle name="Output 2 6 2 2 3 2_Summary" xfId="23861" xr:uid="{00000000-0005-0000-0000-000044490000}"/>
    <cellStyle name="Output 2 6 2 2 3 3" xfId="5564" xr:uid="{00000000-0005-0000-0000-000045490000}"/>
    <cellStyle name="Output 2 6 2 2 3 3 2" xfId="12160" xr:uid="{00000000-0005-0000-0000-000046490000}"/>
    <cellStyle name="Output 2 6 2 2 3 3 3" xfId="18779" xr:uid="{00000000-0005-0000-0000-000047490000}"/>
    <cellStyle name="Output 2 6 2 2 3 3_Summary" xfId="23862" xr:uid="{00000000-0005-0000-0000-000048490000}"/>
    <cellStyle name="Output 2 6 2 2 3 4" xfId="7989" xr:uid="{00000000-0005-0000-0000-000049490000}"/>
    <cellStyle name="Output 2 6 2 2 3 5" xfId="14608" xr:uid="{00000000-0005-0000-0000-00004A490000}"/>
    <cellStyle name="Output 2 6 2 2 3_Summary" xfId="23860" xr:uid="{00000000-0005-0000-0000-00004B490000}"/>
    <cellStyle name="Output 2 6 2 2 4" xfId="1674" xr:uid="{00000000-0005-0000-0000-00004C490000}"/>
    <cellStyle name="Output 2 6 2 2 4 2" xfId="3810" xr:uid="{00000000-0005-0000-0000-00004D490000}"/>
    <cellStyle name="Output 2 6 2 2 4 2 2" xfId="10406" xr:uid="{00000000-0005-0000-0000-00004E490000}"/>
    <cellStyle name="Output 2 6 2 2 4 2 3" xfId="17025" xr:uid="{00000000-0005-0000-0000-00004F490000}"/>
    <cellStyle name="Output 2 6 2 2 4 2_Summary" xfId="23864" xr:uid="{00000000-0005-0000-0000-000050490000}"/>
    <cellStyle name="Output 2 6 2 2 4 3" xfId="5845" xr:uid="{00000000-0005-0000-0000-000051490000}"/>
    <cellStyle name="Output 2 6 2 2 4 3 2" xfId="12441" xr:uid="{00000000-0005-0000-0000-000052490000}"/>
    <cellStyle name="Output 2 6 2 2 4 3 3" xfId="19060" xr:uid="{00000000-0005-0000-0000-000053490000}"/>
    <cellStyle name="Output 2 6 2 2 4 3_Summary" xfId="23865" xr:uid="{00000000-0005-0000-0000-000054490000}"/>
    <cellStyle name="Output 2 6 2 2 4 4" xfId="8270" xr:uid="{00000000-0005-0000-0000-000055490000}"/>
    <cellStyle name="Output 2 6 2 2 4 5" xfId="14889" xr:uid="{00000000-0005-0000-0000-000056490000}"/>
    <cellStyle name="Output 2 6 2 2 4_Summary" xfId="23863" xr:uid="{00000000-0005-0000-0000-000057490000}"/>
    <cellStyle name="Output 2 6 2 2 5" xfId="1953" xr:uid="{00000000-0005-0000-0000-000058490000}"/>
    <cellStyle name="Output 2 6 2 2 5 2" xfId="4089" xr:uid="{00000000-0005-0000-0000-000059490000}"/>
    <cellStyle name="Output 2 6 2 2 5 2 2" xfId="10685" xr:uid="{00000000-0005-0000-0000-00005A490000}"/>
    <cellStyle name="Output 2 6 2 2 5 2 3" xfId="17304" xr:uid="{00000000-0005-0000-0000-00005B490000}"/>
    <cellStyle name="Output 2 6 2 2 5 2_Summary" xfId="23867" xr:uid="{00000000-0005-0000-0000-00005C490000}"/>
    <cellStyle name="Output 2 6 2 2 5 3" xfId="6124" xr:uid="{00000000-0005-0000-0000-00005D490000}"/>
    <cellStyle name="Output 2 6 2 2 5 3 2" xfId="12720" xr:uid="{00000000-0005-0000-0000-00005E490000}"/>
    <cellStyle name="Output 2 6 2 2 5 3 3" xfId="19339" xr:uid="{00000000-0005-0000-0000-00005F490000}"/>
    <cellStyle name="Output 2 6 2 2 5 3_Summary" xfId="23868" xr:uid="{00000000-0005-0000-0000-000060490000}"/>
    <cellStyle name="Output 2 6 2 2 5 4" xfId="8549" xr:uid="{00000000-0005-0000-0000-000061490000}"/>
    <cellStyle name="Output 2 6 2 2 5 5" xfId="15168" xr:uid="{00000000-0005-0000-0000-000062490000}"/>
    <cellStyle name="Output 2 6 2 2 5_Summary" xfId="23866" xr:uid="{00000000-0005-0000-0000-000063490000}"/>
    <cellStyle name="Output 2 6 2 2 6" xfId="2228" xr:uid="{00000000-0005-0000-0000-000064490000}"/>
    <cellStyle name="Output 2 6 2 2 6 2" xfId="4364" xr:uid="{00000000-0005-0000-0000-000065490000}"/>
    <cellStyle name="Output 2 6 2 2 6 2 2" xfId="10960" xr:uid="{00000000-0005-0000-0000-000066490000}"/>
    <cellStyle name="Output 2 6 2 2 6 2 3" xfId="17579" xr:uid="{00000000-0005-0000-0000-000067490000}"/>
    <cellStyle name="Output 2 6 2 2 6 2_Summary" xfId="23870" xr:uid="{00000000-0005-0000-0000-000068490000}"/>
    <cellStyle name="Output 2 6 2 2 6 3" xfId="6399" xr:uid="{00000000-0005-0000-0000-000069490000}"/>
    <cellStyle name="Output 2 6 2 2 6 3 2" xfId="12995" xr:uid="{00000000-0005-0000-0000-00006A490000}"/>
    <cellStyle name="Output 2 6 2 2 6 3 3" xfId="19614" xr:uid="{00000000-0005-0000-0000-00006B490000}"/>
    <cellStyle name="Output 2 6 2 2 6 3_Summary" xfId="23871" xr:uid="{00000000-0005-0000-0000-00006C490000}"/>
    <cellStyle name="Output 2 6 2 2 6 4" xfId="8824" xr:uid="{00000000-0005-0000-0000-00006D490000}"/>
    <cellStyle name="Output 2 6 2 2 6 5" xfId="15443" xr:uid="{00000000-0005-0000-0000-00006E490000}"/>
    <cellStyle name="Output 2 6 2 2 6_Summary" xfId="23869" xr:uid="{00000000-0005-0000-0000-00006F490000}"/>
    <cellStyle name="Output 2 6 2 2 7" xfId="2501" xr:uid="{00000000-0005-0000-0000-000070490000}"/>
    <cellStyle name="Output 2 6 2 2 7 2" xfId="4637" xr:uid="{00000000-0005-0000-0000-000071490000}"/>
    <cellStyle name="Output 2 6 2 2 7 2 2" xfId="11233" xr:uid="{00000000-0005-0000-0000-000072490000}"/>
    <cellStyle name="Output 2 6 2 2 7 2 3" xfId="17852" xr:uid="{00000000-0005-0000-0000-000073490000}"/>
    <cellStyle name="Output 2 6 2 2 7 2_Summary" xfId="23873" xr:uid="{00000000-0005-0000-0000-000074490000}"/>
    <cellStyle name="Output 2 6 2 2 7 3" xfId="6672" xr:uid="{00000000-0005-0000-0000-000075490000}"/>
    <cellStyle name="Output 2 6 2 2 7 3 2" xfId="13268" xr:uid="{00000000-0005-0000-0000-000076490000}"/>
    <cellStyle name="Output 2 6 2 2 7 3 3" xfId="19887" xr:uid="{00000000-0005-0000-0000-000077490000}"/>
    <cellStyle name="Output 2 6 2 2 7 3_Summary" xfId="23874" xr:uid="{00000000-0005-0000-0000-000078490000}"/>
    <cellStyle name="Output 2 6 2 2 7 4" xfId="9097" xr:uid="{00000000-0005-0000-0000-000079490000}"/>
    <cellStyle name="Output 2 6 2 2 7 5" xfId="15716" xr:uid="{00000000-0005-0000-0000-00007A490000}"/>
    <cellStyle name="Output 2 6 2 2 7_Summary" xfId="23872" xr:uid="{00000000-0005-0000-0000-00007B490000}"/>
    <cellStyle name="Output 2 6 2 2 8" xfId="2947" xr:uid="{00000000-0005-0000-0000-00007C490000}"/>
    <cellStyle name="Output 2 6 2 2 8 2" xfId="9543" xr:uid="{00000000-0005-0000-0000-00007D490000}"/>
    <cellStyle name="Output 2 6 2 2 8 3" xfId="16162" xr:uid="{00000000-0005-0000-0000-00007E490000}"/>
    <cellStyle name="Output 2 6 2 2 8_Summary" xfId="23875" xr:uid="{00000000-0005-0000-0000-00007F490000}"/>
    <cellStyle name="Output 2 6 2 2 9" xfId="4982" xr:uid="{00000000-0005-0000-0000-000080490000}"/>
    <cellStyle name="Output 2 6 2 2 9 2" xfId="11578" xr:uid="{00000000-0005-0000-0000-000081490000}"/>
    <cellStyle name="Output 2 6 2 2 9 3" xfId="18197" xr:uid="{00000000-0005-0000-0000-000082490000}"/>
    <cellStyle name="Output 2 6 2 2 9_Summary" xfId="23876" xr:uid="{00000000-0005-0000-0000-000083490000}"/>
    <cellStyle name="Output 2 6 2 2_Summary" xfId="23855" xr:uid="{00000000-0005-0000-0000-000084490000}"/>
    <cellStyle name="Output 2 6 2 20" xfId="31152" xr:uid="{4BE7ADED-7B0B-4331-A68B-D1B8D55D3915}"/>
    <cellStyle name="Output 2 6 2 3" xfId="983" xr:uid="{00000000-0005-0000-0000-000085490000}"/>
    <cellStyle name="Output 2 6 2 3 2" xfId="3119" xr:uid="{00000000-0005-0000-0000-000086490000}"/>
    <cellStyle name="Output 2 6 2 3 2 2" xfId="9715" xr:uid="{00000000-0005-0000-0000-000087490000}"/>
    <cellStyle name="Output 2 6 2 3 2 3" xfId="16334" xr:uid="{00000000-0005-0000-0000-000088490000}"/>
    <cellStyle name="Output 2 6 2 3 2_Summary" xfId="23878" xr:uid="{00000000-0005-0000-0000-000089490000}"/>
    <cellStyle name="Output 2 6 2 3 3" xfId="5154" xr:uid="{00000000-0005-0000-0000-00008A490000}"/>
    <cellStyle name="Output 2 6 2 3 3 2" xfId="11750" xr:uid="{00000000-0005-0000-0000-00008B490000}"/>
    <cellStyle name="Output 2 6 2 3 3 3" xfId="18369" xr:uid="{00000000-0005-0000-0000-00008C490000}"/>
    <cellStyle name="Output 2 6 2 3 3_Summary" xfId="23879" xr:uid="{00000000-0005-0000-0000-00008D490000}"/>
    <cellStyle name="Output 2 6 2 3 4" xfId="7580" xr:uid="{00000000-0005-0000-0000-00008E490000}"/>
    <cellStyle name="Output 2 6 2 3 5" xfId="14198" xr:uid="{00000000-0005-0000-0000-00008F490000}"/>
    <cellStyle name="Output 2 6 2 3_Summary" xfId="23877" xr:uid="{00000000-0005-0000-0000-000090490000}"/>
    <cellStyle name="Output 2 6 2 4" xfId="1265" xr:uid="{00000000-0005-0000-0000-000091490000}"/>
    <cellStyle name="Output 2 6 2 4 2" xfId="3401" xr:uid="{00000000-0005-0000-0000-000092490000}"/>
    <cellStyle name="Output 2 6 2 4 2 2" xfId="9997" xr:uid="{00000000-0005-0000-0000-000093490000}"/>
    <cellStyle name="Output 2 6 2 4 2 3" xfId="16616" xr:uid="{00000000-0005-0000-0000-000094490000}"/>
    <cellStyle name="Output 2 6 2 4 2_Summary" xfId="23881" xr:uid="{00000000-0005-0000-0000-000095490000}"/>
    <cellStyle name="Output 2 6 2 4 3" xfId="5436" xr:uid="{00000000-0005-0000-0000-000096490000}"/>
    <cellStyle name="Output 2 6 2 4 3 2" xfId="12032" xr:uid="{00000000-0005-0000-0000-000097490000}"/>
    <cellStyle name="Output 2 6 2 4 3 3" xfId="18651" xr:uid="{00000000-0005-0000-0000-000098490000}"/>
    <cellStyle name="Output 2 6 2 4 3_Summary" xfId="23882" xr:uid="{00000000-0005-0000-0000-000099490000}"/>
    <cellStyle name="Output 2 6 2 4 4" xfId="7861" xr:uid="{00000000-0005-0000-0000-00009A490000}"/>
    <cellStyle name="Output 2 6 2 4 5" xfId="14480" xr:uid="{00000000-0005-0000-0000-00009B490000}"/>
    <cellStyle name="Output 2 6 2 4_Summary" xfId="23880" xr:uid="{00000000-0005-0000-0000-00009C490000}"/>
    <cellStyle name="Output 2 6 2 5" xfId="1546" xr:uid="{00000000-0005-0000-0000-00009D490000}"/>
    <cellStyle name="Output 2 6 2 5 2" xfId="3682" xr:uid="{00000000-0005-0000-0000-00009E490000}"/>
    <cellStyle name="Output 2 6 2 5 2 2" xfId="10278" xr:uid="{00000000-0005-0000-0000-00009F490000}"/>
    <cellStyle name="Output 2 6 2 5 2 3" xfId="16897" xr:uid="{00000000-0005-0000-0000-0000A0490000}"/>
    <cellStyle name="Output 2 6 2 5 2_Summary" xfId="23884" xr:uid="{00000000-0005-0000-0000-0000A1490000}"/>
    <cellStyle name="Output 2 6 2 5 3" xfId="5717" xr:uid="{00000000-0005-0000-0000-0000A2490000}"/>
    <cellStyle name="Output 2 6 2 5 3 2" xfId="12313" xr:uid="{00000000-0005-0000-0000-0000A3490000}"/>
    <cellStyle name="Output 2 6 2 5 3 3" xfId="18932" xr:uid="{00000000-0005-0000-0000-0000A4490000}"/>
    <cellStyle name="Output 2 6 2 5 3_Summary" xfId="23885" xr:uid="{00000000-0005-0000-0000-0000A5490000}"/>
    <cellStyle name="Output 2 6 2 5 4" xfId="8142" xr:uid="{00000000-0005-0000-0000-0000A6490000}"/>
    <cellStyle name="Output 2 6 2 5 5" xfId="14761" xr:uid="{00000000-0005-0000-0000-0000A7490000}"/>
    <cellStyle name="Output 2 6 2 5_Summary" xfId="23883" xr:uid="{00000000-0005-0000-0000-0000A8490000}"/>
    <cellStyle name="Output 2 6 2 6" xfId="1825" xr:uid="{00000000-0005-0000-0000-0000A9490000}"/>
    <cellStyle name="Output 2 6 2 6 2" xfId="3961" xr:uid="{00000000-0005-0000-0000-0000AA490000}"/>
    <cellStyle name="Output 2 6 2 6 2 2" xfId="10557" xr:uid="{00000000-0005-0000-0000-0000AB490000}"/>
    <cellStyle name="Output 2 6 2 6 2 3" xfId="17176" xr:uid="{00000000-0005-0000-0000-0000AC490000}"/>
    <cellStyle name="Output 2 6 2 6 2_Summary" xfId="23887" xr:uid="{00000000-0005-0000-0000-0000AD490000}"/>
    <cellStyle name="Output 2 6 2 6 3" xfId="5996" xr:uid="{00000000-0005-0000-0000-0000AE490000}"/>
    <cellStyle name="Output 2 6 2 6 3 2" xfId="12592" xr:uid="{00000000-0005-0000-0000-0000AF490000}"/>
    <cellStyle name="Output 2 6 2 6 3 3" xfId="19211" xr:uid="{00000000-0005-0000-0000-0000B0490000}"/>
    <cellStyle name="Output 2 6 2 6 3_Summary" xfId="23888" xr:uid="{00000000-0005-0000-0000-0000B1490000}"/>
    <cellStyle name="Output 2 6 2 6 4" xfId="8421" xr:uid="{00000000-0005-0000-0000-0000B2490000}"/>
    <cellStyle name="Output 2 6 2 6 5" xfId="15040" xr:uid="{00000000-0005-0000-0000-0000B3490000}"/>
    <cellStyle name="Output 2 6 2 6_Summary" xfId="23886" xr:uid="{00000000-0005-0000-0000-0000B4490000}"/>
    <cellStyle name="Output 2 6 2 7" xfId="2100" xr:uid="{00000000-0005-0000-0000-0000B5490000}"/>
    <cellStyle name="Output 2 6 2 7 2" xfId="4236" xr:uid="{00000000-0005-0000-0000-0000B6490000}"/>
    <cellStyle name="Output 2 6 2 7 2 2" xfId="10832" xr:uid="{00000000-0005-0000-0000-0000B7490000}"/>
    <cellStyle name="Output 2 6 2 7 2 3" xfId="17451" xr:uid="{00000000-0005-0000-0000-0000B8490000}"/>
    <cellStyle name="Output 2 6 2 7 2_Summary" xfId="23890" xr:uid="{00000000-0005-0000-0000-0000B9490000}"/>
    <cellStyle name="Output 2 6 2 7 3" xfId="6271" xr:uid="{00000000-0005-0000-0000-0000BA490000}"/>
    <cellStyle name="Output 2 6 2 7 3 2" xfId="12867" xr:uid="{00000000-0005-0000-0000-0000BB490000}"/>
    <cellStyle name="Output 2 6 2 7 3 3" xfId="19486" xr:uid="{00000000-0005-0000-0000-0000BC490000}"/>
    <cellStyle name="Output 2 6 2 7 3_Summary" xfId="23891" xr:uid="{00000000-0005-0000-0000-0000BD490000}"/>
    <cellStyle name="Output 2 6 2 7 4" xfId="8696" xr:uid="{00000000-0005-0000-0000-0000BE490000}"/>
    <cellStyle name="Output 2 6 2 7 5" xfId="15315" xr:uid="{00000000-0005-0000-0000-0000BF490000}"/>
    <cellStyle name="Output 2 6 2 7_Summary" xfId="23889" xr:uid="{00000000-0005-0000-0000-0000C0490000}"/>
    <cellStyle name="Output 2 6 2 8" xfId="2373" xr:uid="{00000000-0005-0000-0000-0000C1490000}"/>
    <cellStyle name="Output 2 6 2 8 2" xfId="4509" xr:uid="{00000000-0005-0000-0000-0000C2490000}"/>
    <cellStyle name="Output 2 6 2 8 2 2" xfId="11105" xr:uid="{00000000-0005-0000-0000-0000C3490000}"/>
    <cellStyle name="Output 2 6 2 8 2 3" xfId="17724" xr:uid="{00000000-0005-0000-0000-0000C4490000}"/>
    <cellStyle name="Output 2 6 2 8 2_Summary" xfId="23893" xr:uid="{00000000-0005-0000-0000-0000C5490000}"/>
    <cellStyle name="Output 2 6 2 8 3" xfId="6544" xr:uid="{00000000-0005-0000-0000-0000C6490000}"/>
    <cellStyle name="Output 2 6 2 8 3 2" xfId="13140" xr:uid="{00000000-0005-0000-0000-0000C7490000}"/>
    <cellStyle name="Output 2 6 2 8 3 3" xfId="19759" xr:uid="{00000000-0005-0000-0000-0000C8490000}"/>
    <cellStyle name="Output 2 6 2 8 3_Summary" xfId="23894" xr:uid="{00000000-0005-0000-0000-0000C9490000}"/>
    <cellStyle name="Output 2 6 2 8 4" xfId="8969" xr:uid="{00000000-0005-0000-0000-0000CA490000}"/>
    <cellStyle name="Output 2 6 2 8 5" xfId="15588" xr:uid="{00000000-0005-0000-0000-0000CB490000}"/>
    <cellStyle name="Output 2 6 2 8_Summary" xfId="23892" xr:uid="{00000000-0005-0000-0000-0000CC490000}"/>
    <cellStyle name="Output 2 6 2 9" xfId="2674" xr:uid="{00000000-0005-0000-0000-0000CD490000}"/>
    <cellStyle name="Output 2 6 2 9 2" xfId="9270" xr:uid="{00000000-0005-0000-0000-0000CE490000}"/>
    <cellStyle name="Output 2 6 2 9 3" xfId="15889" xr:uid="{00000000-0005-0000-0000-0000CF490000}"/>
    <cellStyle name="Output 2 6 2 9_Summary" xfId="23895" xr:uid="{00000000-0005-0000-0000-0000D0490000}"/>
    <cellStyle name="Output 2 6 2_Summary" xfId="23852" xr:uid="{00000000-0005-0000-0000-0000D1490000}"/>
    <cellStyle name="Output 2 6 20" xfId="29586" xr:uid="{EF99DD60-CD80-495E-8F5D-E014EFC02ADC}"/>
    <cellStyle name="Output 2 6 21" xfId="31151" xr:uid="{DE73DD78-ECAE-4B32-A7FB-A5A120A857E0}"/>
    <cellStyle name="Output 2 6 3" xfId="356" xr:uid="{00000000-0005-0000-0000-0000D2490000}"/>
    <cellStyle name="Output 2 6 3 10" xfId="683" xr:uid="{00000000-0005-0000-0000-0000D3490000}"/>
    <cellStyle name="Output 2 6 3 10 2" xfId="13898" xr:uid="{00000000-0005-0000-0000-0000D4490000}"/>
    <cellStyle name="Output 2 6 3 10_Summary" xfId="23897" xr:uid="{00000000-0005-0000-0000-0000D5490000}"/>
    <cellStyle name="Output 2 6 3 11" xfId="7249" xr:uid="{00000000-0005-0000-0000-0000D6490000}"/>
    <cellStyle name="Output 2 6 3 12" xfId="13571" xr:uid="{00000000-0005-0000-0000-0000D7490000}"/>
    <cellStyle name="Output 2 6 3 13" xfId="29588" xr:uid="{9B908AED-F320-41B6-9C7C-DBBE22995281}"/>
    <cellStyle name="Output 2 6 3 14" xfId="31153" xr:uid="{F6B83F51-04E8-4FD5-B9DA-D46380A38D64}"/>
    <cellStyle name="Output 2 6 3 2" xfId="1050" xr:uid="{00000000-0005-0000-0000-0000D8490000}"/>
    <cellStyle name="Output 2 6 3 2 2" xfId="3186" xr:uid="{00000000-0005-0000-0000-0000D9490000}"/>
    <cellStyle name="Output 2 6 3 2 2 2" xfId="9782" xr:uid="{00000000-0005-0000-0000-0000DA490000}"/>
    <cellStyle name="Output 2 6 3 2 2 3" xfId="16401" xr:uid="{00000000-0005-0000-0000-0000DB490000}"/>
    <cellStyle name="Output 2 6 3 2 2_Summary" xfId="23899" xr:uid="{00000000-0005-0000-0000-0000DC490000}"/>
    <cellStyle name="Output 2 6 3 2 3" xfId="5221" xr:uid="{00000000-0005-0000-0000-0000DD490000}"/>
    <cellStyle name="Output 2 6 3 2 3 2" xfId="11817" xr:uid="{00000000-0005-0000-0000-0000DE490000}"/>
    <cellStyle name="Output 2 6 3 2 3 3" xfId="18436" xr:uid="{00000000-0005-0000-0000-0000DF490000}"/>
    <cellStyle name="Output 2 6 3 2 3_Summary" xfId="23900" xr:uid="{00000000-0005-0000-0000-0000E0490000}"/>
    <cellStyle name="Output 2 6 3 2 4" xfId="7647" xr:uid="{00000000-0005-0000-0000-0000E1490000}"/>
    <cellStyle name="Output 2 6 3 2 5" xfId="14265" xr:uid="{00000000-0005-0000-0000-0000E2490000}"/>
    <cellStyle name="Output 2 6 3 2 6" xfId="30438" xr:uid="{93D4C553-50C7-4F1A-9D36-369358D3A3F8}"/>
    <cellStyle name="Output 2 6 3 2 7" xfId="31870" xr:uid="{24F7394A-2881-4476-9168-BF340D6E1D0A}"/>
    <cellStyle name="Output 2 6 3 2_Summary" xfId="23898" xr:uid="{00000000-0005-0000-0000-0000E3490000}"/>
    <cellStyle name="Output 2 6 3 3" xfId="1332" xr:uid="{00000000-0005-0000-0000-0000E4490000}"/>
    <cellStyle name="Output 2 6 3 3 2" xfId="3468" xr:uid="{00000000-0005-0000-0000-0000E5490000}"/>
    <cellStyle name="Output 2 6 3 3 2 2" xfId="10064" xr:uid="{00000000-0005-0000-0000-0000E6490000}"/>
    <cellStyle name="Output 2 6 3 3 2 3" xfId="16683" xr:uid="{00000000-0005-0000-0000-0000E7490000}"/>
    <cellStyle name="Output 2 6 3 3 2_Summary" xfId="23902" xr:uid="{00000000-0005-0000-0000-0000E8490000}"/>
    <cellStyle name="Output 2 6 3 3 3" xfId="5503" xr:uid="{00000000-0005-0000-0000-0000E9490000}"/>
    <cellStyle name="Output 2 6 3 3 3 2" xfId="12099" xr:uid="{00000000-0005-0000-0000-0000EA490000}"/>
    <cellStyle name="Output 2 6 3 3 3 3" xfId="18718" xr:uid="{00000000-0005-0000-0000-0000EB490000}"/>
    <cellStyle name="Output 2 6 3 3 3_Summary" xfId="23903" xr:uid="{00000000-0005-0000-0000-0000EC490000}"/>
    <cellStyle name="Output 2 6 3 3 4" xfId="7928" xr:uid="{00000000-0005-0000-0000-0000ED490000}"/>
    <cellStyle name="Output 2 6 3 3 5" xfId="14547" xr:uid="{00000000-0005-0000-0000-0000EE490000}"/>
    <cellStyle name="Output 2 6 3 3_Summary" xfId="23901" xr:uid="{00000000-0005-0000-0000-0000EF490000}"/>
    <cellStyle name="Output 2 6 3 4" xfId="1613" xr:uid="{00000000-0005-0000-0000-0000F0490000}"/>
    <cellStyle name="Output 2 6 3 4 2" xfId="3749" xr:uid="{00000000-0005-0000-0000-0000F1490000}"/>
    <cellStyle name="Output 2 6 3 4 2 2" xfId="10345" xr:uid="{00000000-0005-0000-0000-0000F2490000}"/>
    <cellStyle name="Output 2 6 3 4 2 3" xfId="16964" xr:uid="{00000000-0005-0000-0000-0000F3490000}"/>
    <cellStyle name="Output 2 6 3 4 2_Summary" xfId="23905" xr:uid="{00000000-0005-0000-0000-0000F4490000}"/>
    <cellStyle name="Output 2 6 3 4 3" xfId="5784" xr:uid="{00000000-0005-0000-0000-0000F5490000}"/>
    <cellStyle name="Output 2 6 3 4 3 2" xfId="12380" xr:uid="{00000000-0005-0000-0000-0000F6490000}"/>
    <cellStyle name="Output 2 6 3 4 3 3" xfId="18999" xr:uid="{00000000-0005-0000-0000-0000F7490000}"/>
    <cellStyle name="Output 2 6 3 4 3_Summary" xfId="23906" xr:uid="{00000000-0005-0000-0000-0000F8490000}"/>
    <cellStyle name="Output 2 6 3 4 4" xfId="8209" xr:uid="{00000000-0005-0000-0000-0000F9490000}"/>
    <cellStyle name="Output 2 6 3 4 5" xfId="14828" xr:uid="{00000000-0005-0000-0000-0000FA490000}"/>
    <cellStyle name="Output 2 6 3 4_Summary" xfId="23904" xr:uid="{00000000-0005-0000-0000-0000FB490000}"/>
    <cellStyle name="Output 2 6 3 5" xfId="1892" xr:uid="{00000000-0005-0000-0000-0000FC490000}"/>
    <cellStyle name="Output 2 6 3 5 2" xfId="4028" xr:uid="{00000000-0005-0000-0000-0000FD490000}"/>
    <cellStyle name="Output 2 6 3 5 2 2" xfId="10624" xr:uid="{00000000-0005-0000-0000-0000FE490000}"/>
    <cellStyle name="Output 2 6 3 5 2 3" xfId="17243" xr:uid="{00000000-0005-0000-0000-0000FF490000}"/>
    <cellStyle name="Output 2 6 3 5 2_Summary" xfId="23908" xr:uid="{00000000-0005-0000-0000-0000004A0000}"/>
    <cellStyle name="Output 2 6 3 5 3" xfId="6063" xr:uid="{00000000-0005-0000-0000-0000014A0000}"/>
    <cellStyle name="Output 2 6 3 5 3 2" xfId="12659" xr:uid="{00000000-0005-0000-0000-0000024A0000}"/>
    <cellStyle name="Output 2 6 3 5 3 3" xfId="19278" xr:uid="{00000000-0005-0000-0000-0000034A0000}"/>
    <cellStyle name="Output 2 6 3 5 3_Summary" xfId="23909" xr:uid="{00000000-0005-0000-0000-0000044A0000}"/>
    <cellStyle name="Output 2 6 3 5 4" xfId="8488" xr:uid="{00000000-0005-0000-0000-0000054A0000}"/>
    <cellStyle name="Output 2 6 3 5 5" xfId="15107" xr:uid="{00000000-0005-0000-0000-0000064A0000}"/>
    <cellStyle name="Output 2 6 3 5_Summary" xfId="23907" xr:uid="{00000000-0005-0000-0000-0000074A0000}"/>
    <cellStyle name="Output 2 6 3 6" xfId="2167" xr:uid="{00000000-0005-0000-0000-0000084A0000}"/>
    <cellStyle name="Output 2 6 3 6 2" xfId="4303" xr:uid="{00000000-0005-0000-0000-0000094A0000}"/>
    <cellStyle name="Output 2 6 3 6 2 2" xfId="10899" xr:uid="{00000000-0005-0000-0000-00000A4A0000}"/>
    <cellStyle name="Output 2 6 3 6 2 3" xfId="17518" xr:uid="{00000000-0005-0000-0000-00000B4A0000}"/>
    <cellStyle name="Output 2 6 3 6 2_Summary" xfId="23911" xr:uid="{00000000-0005-0000-0000-00000C4A0000}"/>
    <cellStyle name="Output 2 6 3 6 3" xfId="6338" xr:uid="{00000000-0005-0000-0000-00000D4A0000}"/>
    <cellStyle name="Output 2 6 3 6 3 2" xfId="12934" xr:uid="{00000000-0005-0000-0000-00000E4A0000}"/>
    <cellStyle name="Output 2 6 3 6 3 3" xfId="19553" xr:uid="{00000000-0005-0000-0000-00000F4A0000}"/>
    <cellStyle name="Output 2 6 3 6 3_Summary" xfId="23912" xr:uid="{00000000-0005-0000-0000-0000104A0000}"/>
    <cellStyle name="Output 2 6 3 6 4" xfId="8763" xr:uid="{00000000-0005-0000-0000-0000114A0000}"/>
    <cellStyle name="Output 2 6 3 6 5" xfId="15382" xr:uid="{00000000-0005-0000-0000-0000124A0000}"/>
    <cellStyle name="Output 2 6 3 6_Summary" xfId="23910" xr:uid="{00000000-0005-0000-0000-0000134A0000}"/>
    <cellStyle name="Output 2 6 3 7" xfId="2440" xr:uid="{00000000-0005-0000-0000-0000144A0000}"/>
    <cellStyle name="Output 2 6 3 7 2" xfId="4576" xr:uid="{00000000-0005-0000-0000-0000154A0000}"/>
    <cellStyle name="Output 2 6 3 7 2 2" xfId="11172" xr:uid="{00000000-0005-0000-0000-0000164A0000}"/>
    <cellStyle name="Output 2 6 3 7 2 3" xfId="17791" xr:uid="{00000000-0005-0000-0000-0000174A0000}"/>
    <cellStyle name="Output 2 6 3 7 2_Summary" xfId="23914" xr:uid="{00000000-0005-0000-0000-0000184A0000}"/>
    <cellStyle name="Output 2 6 3 7 3" xfId="6611" xr:uid="{00000000-0005-0000-0000-0000194A0000}"/>
    <cellStyle name="Output 2 6 3 7 3 2" xfId="13207" xr:uid="{00000000-0005-0000-0000-00001A4A0000}"/>
    <cellStyle name="Output 2 6 3 7 3 3" xfId="19826" xr:uid="{00000000-0005-0000-0000-00001B4A0000}"/>
    <cellStyle name="Output 2 6 3 7 3_Summary" xfId="23915" xr:uid="{00000000-0005-0000-0000-00001C4A0000}"/>
    <cellStyle name="Output 2 6 3 7 4" xfId="9036" xr:uid="{00000000-0005-0000-0000-00001D4A0000}"/>
    <cellStyle name="Output 2 6 3 7 5" xfId="15655" xr:uid="{00000000-0005-0000-0000-00001E4A0000}"/>
    <cellStyle name="Output 2 6 3 7_Summary" xfId="23913" xr:uid="{00000000-0005-0000-0000-00001F4A0000}"/>
    <cellStyle name="Output 2 6 3 8" xfId="2819" xr:uid="{00000000-0005-0000-0000-0000204A0000}"/>
    <cellStyle name="Output 2 6 3 8 2" xfId="9415" xr:uid="{00000000-0005-0000-0000-0000214A0000}"/>
    <cellStyle name="Output 2 6 3 8 3" xfId="16034" xr:uid="{00000000-0005-0000-0000-0000224A0000}"/>
    <cellStyle name="Output 2 6 3 8_Summary" xfId="23916" xr:uid="{00000000-0005-0000-0000-0000234A0000}"/>
    <cellStyle name="Output 2 6 3 9" xfId="4854" xr:uid="{00000000-0005-0000-0000-0000244A0000}"/>
    <cellStyle name="Output 2 6 3 9 2" xfId="11450" xr:uid="{00000000-0005-0000-0000-0000254A0000}"/>
    <cellStyle name="Output 2 6 3 9 3" xfId="18069" xr:uid="{00000000-0005-0000-0000-0000264A0000}"/>
    <cellStyle name="Output 2 6 3 9_Summary" xfId="23917" xr:uid="{00000000-0005-0000-0000-0000274A0000}"/>
    <cellStyle name="Output 2 6 3_Summary" xfId="23896" xr:uid="{00000000-0005-0000-0000-0000284A0000}"/>
    <cellStyle name="Output 2 6 4" xfId="628" xr:uid="{00000000-0005-0000-0000-0000294A0000}"/>
    <cellStyle name="Output 2 6 4 2" xfId="2764" xr:uid="{00000000-0005-0000-0000-00002A4A0000}"/>
    <cellStyle name="Output 2 6 4 2 2" xfId="9360" xr:uid="{00000000-0005-0000-0000-00002B4A0000}"/>
    <cellStyle name="Output 2 6 4 2 3" xfId="15979" xr:uid="{00000000-0005-0000-0000-00002C4A0000}"/>
    <cellStyle name="Output 2 6 4 2_Summary" xfId="23919" xr:uid="{00000000-0005-0000-0000-00002D4A0000}"/>
    <cellStyle name="Output 2 6 4 3" xfId="4799" xr:uid="{00000000-0005-0000-0000-00002E4A0000}"/>
    <cellStyle name="Output 2 6 4 3 2" xfId="11395" xr:uid="{00000000-0005-0000-0000-00002F4A0000}"/>
    <cellStyle name="Output 2 6 4 3 3" xfId="18014" xr:uid="{00000000-0005-0000-0000-0000304A0000}"/>
    <cellStyle name="Output 2 6 4 3_Summary" xfId="23920" xr:uid="{00000000-0005-0000-0000-0000314A0000}"/>
    <cellStyle name="Output 2 6 4 4" xfId="7400" xr:uid="{00000000-0005-0000-0000-0000324A0000}"/>
    <cellStyle name="Output 2 6 4 5" xfId="13843" xr:uid="{00000000-0005-0000-0000-0000334A0000}"/>
    <cellStyle name="Output 2 6 4 6" xfId="30436" xr:uid="{DC4C2B9F-83C0-46CF-95B0-BF26E69DF3E5}"/>
    <cellStyle name="Output 2 6 4 7" xfId="31868" xr:uid="{15E4FAB2-FE49-40F8-B761-A431B68B98E6}"/>
    <cellStyle name="Output 2 6 4_Summary" xfId="23918" xr:uid="{00000000-0005-0000-0000-0000344A0000}"/>
    <cellStyle name="Output 2 6 5" xfId="607" xr:uid="{00000000-0005-0000-0000-0000354A0000}"/>
    <cellStyle name="Output 2 6 5 2" xfId="2743" xr:uid="{00000000-0005-0000-0000-0000364A0000}"/>
    <cellStyle name="Output 2 6 5 2 2" xfId="9339" xr:uid="{00000000-0005-0000-0000-0000374A0000}"/>
    <cellStyle name="Output 2 6 5 2 3" xfId="15958" xr:uid="{00000000-0005-0000-0000-0000384A0000}"/>
    <cellStyle name="Output 2 6 5 2_Summary" xfId="23922" xr:uid="{00000000-0005-0000-0000-0000394A0000}"/>
    <cellStyle name="Output 2 6 5 3" xfId="4778" xr:uid="{00000000-0005-0000-0000-00003A4A0000}"/>
    <cellStyle name="Output 2 6 5 3 2" xfId="11374" xr:uid="{00000000-0005-0000-0000-00003B4A0000}"/>
    <cellStyle name="Output 2 6 5 3 3" xfId="17993" xr:uid="{00000000-0005-0000-0000-00003C4A0000}"/>
    <cellStyle name="Output 2 6 5 3_Summary" xfId="23923" xr:uid="{00000000-0005-0000-0000-00003D4A0000}"/>
    <cellStyle name="Output 2 6 5 4" xfId="7379" xr:uid="{00000000-0005-0000-0000-00003E4A0000}"/>
    <cellStyle name="Output 2 6 5 5" xfId="13822" xr:uid="{00000000-0005-0000-0000-00003F4A0000}"/>
    <cellStyle name="Output 2 6 5_Summary" xfId="23921" xr:uid="{00000000-0005-0000-0000-0000404A0000}"/>
    <cellStyle name="Output 2 6 6" xfId="616" xr:uid="{00000000-0005-0000-0000-0000414A0000}"/>
    <cellStyle name="Output 2 6 6 2" xfId="2752" xr:uid="{00000000-0005-0000-0000-0000424A0000}"/>
    <cellStyle name="Output 2 6 6 2 2" xfId="9348" xr:uid="{00000000-0005-0000-0000-0000434A0000}"/>
    <cellStyle name="Output 2 6 6 2 3" xfId="15967" xr:uid="{00000000-0005-0000-0000-0000444A0000}"/>
    <cellStyle name="Output 2 6 6 2_Summary" xfId="23925" xr:uid="{00000000-0005-0000-0000-0000454A0000}"/>
    <cellStyle name="Output 2 6 6 3" xfId="4787" xr:uid="{00000000-0005-0000-0000-0000464A0000}"/>
    <cellStyle name="Output 2 6 6 3 2" xfId="11383" xr:uid="{00000000-0005-0000-0000-0000474A0000}"/>
    <cellStyle name="Output 2 6 6 3 3" xfId="18002" xr:uid="{00000000-0005-0000-0000-0000484A0000}"/>
    <cellStyle name="Output 2 6 6 3_Summary" xfId="23926" xr:uid="{00000000-0005-0000-0000-0000494A0000}"/>
    <cellStyle name="Output 2 6 6 4" xfId="7388" xr:uid="{00000000-0005-0000-0000-00004A4A0000}"/>
    <cellStyle name="Output 2 6 6 5" xfId="13831" xr:uid="{00000000-0005-0000-0000-00004B4A0000}"/>
    <cellStyle name="Output 2 6 6_Summary" xfId="23924" xr:uid="{00000000-0005-0000-0000-00004C4A0000}"/>
    <cellStyle name="Output 2 6 7" xfId="677" xr:uid="{00000000-0005-0000-0000-00004D4A0000}"/>
    <cellStyle name="Output 2 6 7 2" xfId="2813" xr:uid="{00000000-0005-0000-0000-00004E4A0000}"/>
    <cellStyle name="Output 2 6 7 2 2" xfId="9409" xr:uid="{00000000-0005-0000-0000-00004F4A0000}"/>
    <cellStyle name="Output 2 6 7 2 3" xfId="16028" xr:uid="{00000000-0005-0000-0000-0000504A0000}"/>
    <cellStyle name="Output 2 6 7 2_Summary" xfId="23928" xr:uid="{00000000-0005-0000-0000-0000514A0000}"/>
    <cellStyle name="Output 2 6 7 3" xfId="4848" xr:uid="{00000000-0005-0000-0000-0000524A0000}"/>
    <cellStyle name="Output 2 6 7 3 2" xfId="11444" xr:uid="{00000000-0005-0000-0000-0000534A0000}"/>
    <cellStyle name="Output 2 6 7 3 3" xfId="18063" xr:uid="{00000000-0005-0000-0000-0000544A0000}"/>
    <cellStyle name="Output 2 6 7 3_Summary" xfId="23929" xr:uid="{00000000-0005-0000-0000-0000554A0000}"/>
    <cellStyle name="Output 2 6 7 4" xfId="7439" xr:uid="{00000000-0005-0000-0000-0000564A0000}"/>
    <cellStyle name="Output 2 6 7 5" xfId="13892" xr:uid="{00000000-0005-0000-0000-0000574A0000}"/>
    <cellStyle name="Output 2 6 7_Summary" xfId="23927" xr:uid="{00000000-0005-0000-0000-0000584A0000}"/>
    <cellStyle name="Output 2 6 8" xfId="601" xr:uid="{00000000-0005-0000-0000-0000594A0000}"/>
    <cellStyle name="Output 2 6 8 2" xfId="2737" xr:uid="{00000000-0005-0000-0000-00005A4A0000}"/>
    <cellStyle name="Output 2 6 8 2 2" xfId="9333" xr:uid="{00000000-0005-0000-0000-00005B4A0000}"/>
    <cellStyle name="Output 2 6 8 2 3" xfId="15952" xr:uid="{00000000-0005-0000-0000-00005C4A0000}"/>
    <cellStyle name="Output 2 6 8 2_Summary" xfId="23931" xr:uid="{00000000-0005-0000-0000-00005D4A0000}"/>
    <cellStyle name="Output 2 6 8 3" xfId="4772" xr:uid="{00000000-0005-0000-0000-00005E4A0000}"/>
    <cellStyle name="Output 2 6 8 3 2" xfId="11368" xr:uid="{00000000-0005-0000-0000-00005F4A0000}"/>
    <cellStyle name="Output 2 6 8 3 3" xfId="17987" xr:uid="{00000000-0005-0000-0000-0000604A0000}"/>
    <cellStyle name="Output 2 6 8 3_Summary" xfId="23932" xr:uid="{00000000-0005-0000-0000-0000614A0000}"/>
    <cellStyle name="Output 2 6 8 4" xfId="7373" xr:uid="{00000000-0005-0000-0000-0000624A0000}"/>
    <cellStyle name="Output 2 6 8 5" xfId="13816" xr:uid="{00000000-0005-0000-0000-0000634A0000}"/>
    <cellStyle name="Output 2 6 8_Summary" xfId="23930" xr:uid="{00000000-0005-0000-0000-0000644A0000}"/>
    <cellStyle name="Output 2 6 9" xfId="697" xr:uid="{00000000-0005-0000-0000-0000654A0000}"/>
    <cellStyle name="Output 2 6 9 2" xfId="2833" xr:uid="{00000000-0005-0000-0000-0000664A0000}"/>
    <cellStyle name="Output 2 6 9 2 2" xfId="9429" xr:uid="{00000000-0005-0000-0000-0000674A0000}"/>
    <cellStyle name="Output 2 6 9 2 3" xfId="16048" xr:uid="{00000000-0005-0000-0000-0000684A0000}"/>
    <cellStyle name="Output 2 6 9 2_Summary" xfId="23934" xr:uid="{00000000-0005-0000-0000-0000694A0000}"/>
    <cellStyle name="Output 2 6 9 3" xfId="4868" xr:uid="{00000000-0005-0000-0000-00006A4A0000}"/>
    <cellStyle name="Output 2 6 9 3 2" xfId="11464" xr:uid="{00000000-0005-0000-0000-00006B4A0000}"/>
    <cellStyle name="Output 2 6 9 3 3" xfId="18083" xr:uid="{00000000-0005-0000-0000-00006C4A0000}"/>
    <cellStyle name="Output 2 6 9 3_Summary" xfId="23935" xr:uid="{00000000-0005-0000-0000-00006D4A0000}"/>
    <cellStyle name="Output 2 6 9 4" xfId="7446" xr:uid="{00000000-0005-0000-0000-00006E4A0000}"/>
    <cellStyle name="Output 2 6 9 5" xfId="13912" xr:uid="{00000000-0005-0000-0000-00006F4A0000}"/>
    <cellStyle name="Output 2 6 9_Summary" xfId="23933" xr:uid="{00000000-0005-0000-0000-0000704A0000}"/>
    <cellStyle name="Output 2 6_Summary" xfId="23848" xr:uid="{00000000-0005-0000-0000-0000714A0000}"/>
    <cellStyle name="Output 2 60" xfId="26975" xr:uid="{3EA5754A-E0BC-46DA-92CA-13CBD63AC20D}"/>
    <cellStyle name="Output 2 61" xfId="26624" xr:uid="{B35B2348-11D0-4539-9E91-F1C42FFEDAEA}"/>
    <cellStyle name="Output 2 62" xfId="29568" xr:uid="{96273C84-787E-4376-9600-F95083D96517}"/>
    <cellStyle name="Output 2 63" xfId="31133" xr:uid="{676EFEC4-EC6D-4072-8EF5-9BE271EEB3ED}"/>
    <cellStyle name="Output 2 7" xfId="141" xr:uid="{00000000-0005-0000-0000-0000724A0000}"/>
    <cellStyle name="Output 2 7 10" xfId="2584" xr:uid="{00000000-0005-0000-0000-0000734A0000}"/>
    <cellStyle name="Output 2 7 10 2" xfId="9180" xr:uid="{00000000-0005-0000-0000-0000744A0000}"/>
    <cellStyle name="Output 2 7 10 3" xfId="15799" xr:uid="{00000000-0005-0000-0000-0000754A0000}"/>
    <cellStyle name="Output 2 7 10_Summary" xfId="23937" xr:uid="{00000000-0005-0000-0000-0000764A0000}"/>
    <cellStyle name="Output 2 7 11" xfId="2633" xr:uid="{00000000-0005-0000-0000-0000774A0000}"/>
    <cellStyle name="Output 2 7 11 2" xfId="9229" xr:uid="{00000000-0005-0000-0000-0000784A0000}"/>
    <cellStyle name="Output 2 7 11 3" xfId="15848" xr:uid="{00000000-0005-0000-0000-0000794A0000}"/>
    <cellStyle name="Output 2 7 11_Summary" xfId="23938" xr:uid="{00000000-0005-0000-0000-00007A4A0000}"/>
    <cellStyle name="Output 2 7 12" xfId="476" xr:uid="{00000000-0005-0000-0000-00007B4A0000}"/>
    <cellStyle name="Output 2 7 12 2" xfId="13691" xr:uid="{00000000-0005-0000-0000-00007C4A0000}"/>
    <cellStyle name="Output 2 7 12_Summary" xfId="23939" xr:uid="{00000000-0005-0000-0000-00007D4A0000}"/>
    <cellStyle name="Output 2 7 13" xfId="7055" xr:uid="{00000000-0005-0000-0000-00007E4A0000}"/>
    <cellStyle name="Output 2 7 14" xfId="6969" xr:uid="{00000000-0005-0000-0000-00007F4A0000}"/>
    <cellStyle name="Output 2 7 15" xfId="29589" xr:uid="{A967C274-A176-4EC0-A506-35AE0A79AAD3}"/>
    <cellStyle name="Output 2 7 16" xfId="31154" xr:uid="{9920E05D-6135-4FE7-8B23-0B4AA1164E17}"/>
    <cellStyle name="Output 2 7 2" xfId="290" xr:uid="{00000000-0005-0000-0000-0000804A0000}"/>
    <cellStyle name="Output 2 7 2 10" xfId="4711" xr:uid="{00000000-0005-0000-0000-0000814A0000}"/>
    <cellStyle name="Output 2 7 2 10 2" xfId="11307" xr:uid="{00000000-0005-0000-0000-0000824A0000}"/>
    <cellStyle name="Output 2 7 2 10 3" xfId="17926" xr:uid="{00000000-0005-0000-0000-0000834A0000}"/>
    <cellStyle name="Output 2 7 2 10_Summary" xfId="23941" xr:uid="{00000000-0005-0000-0000-0000844A0000}"/>
    <cellStyle name="Output 2 7 2 11" xfId="540" xr:uid="{00000000-0005-0000-0000-0000854A0000}"/>
    <cellStyle name="Output 2 7 2 11 2" xfId="13755" xr:uid="{00000000-0005-0000-0000-0000864A0000}"/>
    <cellStyle name="Output 2 7 2 11_Summary" xfId="23942" xr:uid="{00000000-0005-0000-0000-0000874A0000}"/>
    <cellStyle name="Output 2 7 2 12" xfId="7184" xr:uid="{00000000-0005-0000-0000-0000884A0000}"/>
    <cellStyle name="Output 2 7 2 13" xfId="13506" xr:uid="{00000000-0005-0000-0000-0000894A0000}"/>
    <cellStyle name="Output 2 7 2 14" xfId="29590" xr:uid="{A5D81C9E-4132-4BAB-A7A2-20EAB859CB88}"/>
    <cellStyle name="Output 2 7 2 15" xfId="31155" xr:uid="{9370746A-DB2A-4CA4-A3A8-A702BE7D97DD}"/>
    <cellStyle name="Output 2 7 2 2" xfId="419" xr:uid="{00000000-0005-0000-0000-00008A4A0000}"/>
    <cellStyle name="Output 2 7 2 2 10" xfId="813" xr:uid="{00000000-0005-0000-0000-00008B4A0000}"/>
    <cellStyle name="Output 2 7 2 2 10 2" xfId="14028" xr:uid="{00000000-0005-0000-0000-00008C4A0000}"/>
    <cellStyle name="Output 2 7 2 2 10_Summary" xfId="23944" xr:uid="{00000000-0005-0000-0000-00008D4A0000}"/>
    <cellStyle name="Output 2 7 2 2 11" xfId="7312" xr:uid="{00000000-0005-0000-0000-00008E4A0000}"/>
    <cellStyle name="Output 2 7 2 2 12" xfId="13634" xr:uid="{00000000-0005-0000-0000-00008F4A0000}"/>
    <cellStyle name="Output 2 7 2 2 13" xfId="30440" xr:uid="{5D652DE1-3B95-47C8-9732-C761407C415C}"/>
    <cellStyle name="Output 2 7 2 2 14" xfId="31872" xr:uid="{143209F5-A9CB-4508-A696-696213C4C7D8}"/>
    <cellStyle name="Output 2 7 2 2 2" xfId="1113" xr:uid="{00000000-0005-0000-0000-0000904A0000}"/>
    <cellStyle name="Output 2 7 2 2 2 2" xfId="3249" xr:uid="{00000000-0005-0000-0000-0000914A0000}"/>
    <cellStyle name="Output 2 7 2 2 2 2 2" xfId="9845" xr:uid="{00000000-0005-0000-0000-0000924A0000}"/>
    <cellStyle name="Output 2 7 2 2 2 2 3" xfId="16464" xr:uid="{00000000-0005-0000-0000-0000934A0000}"/>
    <cellStyle name="Output 2 7 2 2 2 2_Summary" xfId="23946" xr:uid="{00000000-0005-0000-0000-0000944A0000}"/>
    <cellStyle name="Output 2 7 2 2 2 3" xfId="5284" xr:uid="{00000000-0005-0000-0000-0000954A0000}"/>
    <cellStyle name="Output 2 7 2 2 2 3 2" xfId="11880" xr:uid="{00000000-0005-0000-0000-0000964A0000}"/>
    <cellStyle name="Output 2 7 2 2 2 3 3" xfId="18499" xr:uid="{00000000-0005-0000-0000-0000974A0000}"/>
    <cellStyle name="Output 2 7 2 2 2 3_Summary" xfId="23947" xr:uid="{00000000-0005-0000-0000-0000984A0000}"/>
    <cellStyle name="Output 2 7 2 2 2 4" xfId="7709" xr:uid="{00000000-0005-0000-0000-0000994A0000}"/>
    <cellStyle name="Output 2 7 2 2 2 5" xfId="14328" xr:uid="{00000000-0005-0000-0000-00009A4A0000}"/>
    <cellStyle name="Output 2 7 2 2 2_Summary" xfId="23945" xr:uid="{00000000-0005-0000-0000-00009B4A0000}"/>
    <cellStyle name="Output 2 7 2 2 3" xfId="1395" xr:uid="{00000000-0005-0000-0000-00009C4A0000}"/>
    <cellStyle name="Output 2 7 2 2 3 2" xfId="3531" xr:uid="{00000000-0005-0000-0000-00009D4A0000}"/>
    <cellStyle name="Output 2 7 2 2 3 2 2" xfId="10127" xr:uid="{00000000-0005-0000-0000-00009E4A0000}"/>
    <cellStyle name="Output 2 7 2 2 3 2 3" xfId="16746" xr:uid="{00000000-0005-0000-0000-00009F4A0000}"/>
    <cellStyle name="Output 2 7 2 2 3 2_Summary" xfId="23949" xr:uid="{00000000-0005-0000-0000-0000A04A0000}"/>
    <cellStyle name="Output 2 7 2 2 3 3" xfId="5566" xr:uid="{00000000-0005-0000-0000-0000A14A0000}"/>
    <cellStyle name="Output 2 7 2 2 3 3 2" xfId="12162" xr:uid="{00000000-0005-0000-0000-0000A24A0000}"/>
    <cellStyle name="Output 2 7 2 2 3 3 3" xfId="18781" xr:uid="{00000000-0005-0000-0000-0000A34A0000}"/>
    <cellStyle name="Output 2 7 2 2 3 3_Summary" xfId="23950" xr:uid="{00000000-0005-0000-0000-0000A44A0000}"/>
    <cellStyle name="Output 2 7 2 2 3 4" xfId="7991" xr:uid="{00000000-0005-0000-0000-0000A54A0000}"/>
    <cellStyle name="Output 2 7 2 2 3 5" xfId="14610" xr:uid="{00000000-0005-0000-0000-0000A64A0000}"/>
    <cellStyle name="Output 2 7 2 2 3_Summary" xfId="23948" xr:uid="{00000000-0005-0000-0000-0000A74A0000}"/>
    <cellStyle name="Output 2 7 2 2 4" xfId="1676" xr:uid="{00000000-0005-0000-0000-0000A84A0000}"/>
    <cellStyle name="Output 2 7 2 2 4 2" xfId="3812" xr:uid="{00000000-0005-0000-0000-0000A94A0000}"/>
    <cellStyle name="Output 2 7 2 2 4 2 2" xfId="10408" xr:uid="{00000000-0005-0000-0000-0000AA4A0000}"/>
    <cellStyle name="Output 2 7 2 2 4 2 3" xfId="17027" xr:uid="{00000000-0005-0000-0000-0000AB4A0000}"/>
    <cellStyle name="Output 2 7 2 2 4 2_Summary" xfId="23952" xr:uid="{00000000-0005-0000-0000-0000AC4A0000}"/>
    <cellStyle name="Output 2 7 2 2 4 3" xfId="5847" xr:uid="{00000000-0005-0000-0000-0000AD4A0000}"/>
    <cellStyle name="Output 2 7 2 2 4 3 2" xfId="12443" xr:uid="{00000000-0005-0000-0000-0000AE4A0000}"/>
    <cellStyle name="Output 2 7 2 2 4 3 3" xfId="19062" xr:uid="{00000000-0005-0000-0000-0000AF4A0000}"/>
    <cellStyle name="Output 2 7 2 2 4 3_Summary" xfId="23953" xr:uid="{00000000-0005-0000-0000-0000B04A0000}"/>
    <cellStyle name="Output 2 7 2 2 4 4" xfId="8272" xr:uid="{00000000-0005-0000-0000-0000B14A0000}"/>
    <cellStyle name="Output 2 7 2 2 4 5" xfId="14891" xr:uid="{00000000-0005-0000-0000-0000B24A0000}"/>
    <cellStyle name="Output 2 7 2 2 4_Summary" xfId="23951" xr:uid="{00000000-0005-0000-0000-0000B34A0000}"/>
    <cellStyle name="Output 2 7 2 2 5" xfId="1955" xr:uid="{00000000-0005-0000-0000-0000B44A0000}"/>
    <cellStyle name="Output 2 7 2 2 5 2" xfId="4091" xr:uid="{00000000-0005-0000-0000-0000B54A0000}"/>
    <cellStyle name="Output 2 7 2 2 5 2 2" xfId="10687" xr:uid="{00000000-0005-0000-0000-0000B64A0000}"/>
    <cellStyle name="Output 2 7 2 2 5 2 3" xfId="17306" xr:uid="{00000000-0005-0000-0000-0000B74A0000}"/>
    <cellStyle name="Output 2 7 2 2 5 2_Summary" xfId="23955" xr:uid="{00000000-0005-0000-0000-0000B84A0000}"/>
    <cellStyle name="Output 2 7 2 2 5 3" xfId="6126" xr:uid="{00000000-0005-0000-0000-0000B94A0000}"/>
    <cellStyle name="Output 2 7 2 2 5 3 2" xfId="12722" xr:uid="{00000000-0005-0000-0000-0000BA4A0000}"/>
    <cellStyle name="Output 2 7 2 2 5 3 3" xfId="19341" xr:uid="{00000000-0005-0000-0000-0000BB4A0000}"/>
    <cellStyle name="Output 2 7 2 2 5 3_Summary" xfId="23956" xr:uid="{00000000-0005-0000-0000-0000BC4A0000}"/>
    <cellStyle name="Output 2 7 2 2 5 4" xfId="8551" xr:uid="{00000000-0005-0000-0000-0000BD4A0000}"/>
    <cellStyle name="Output 2 7 2 2 5 5" xfId="15170" xr:uid="{00000000-0005-0000-0000-0000BE4A0000}"/>
    <cellStyle name="Output 2 7 2 2 5_Summary" xfId="23954" xr:uid="{00000000-0005-0000-0000-0000BF4A0000}"/>
    <cellStyle name="Output 2 7 2 2 6" xfId="2230" xr:uid="{00000000-0005-0000-0000-0000C04A0000}"/>
    <cellStyle name="Output 2 7 2 2 6 2" xfId="4366" xr:uid="{00000000-0005-0000-0000-0000C14A0000}"/>
    <cellStyle name="Output 2 7 2 2 6 2 2" xfId="10962" xr:uid="{00000000-0005-0000-0000-0000C24A0000}"/>
    <cellStyle name="Output 2 7 2 2 6 2 3" xfId="17581" xr:uid="{00000000-0005-0000-0000-0000C34A0000}"/>
    <cellStyle name="Output 2 7 2 2 6 2_Summary" xfId="23958" xr:uid="{00000000-0005-0000-0000-0000C44A0000}"/>
    <cellStyle name="Output 2 7 2 2 6 3" xfId="6401" xr:uid="{00000000-0005-0000-0000-0000C54A0000}"/>
    <cellStyle name="Output 2 7 2 2 6 3 2" xfId="12997" xr:uid="{00000000-0005-0000-0000-0000C64A0000}"/>
    <cellStyle name="Output 2 7 2 2 6 3 3" xfId="19616" xr:uid="{00000000-0005-0000-0000-0000C74A0000}"/>
    <cellStyle name="Output 2 7 2 2 6 3_Summary" xfId="23959" xr:uid="{00000000-0005-0000-0000-0000C84A0000}"/>
    <cellStyle name="Output 2 7 2 2 6 4" xfId="8826" xr:uid="{00000000-0005-0000-0000-0000C94A0000}"/>
    <cellStyle name="Output 2 7 2 2 6 5" xfId="15445" xr:uid="{00000000-0005-0000-0000-0000CA4A0000}"/>
    <cellStyle name="Output 2 7 2 2 6_Summary" xfId="23957" xr:uid="{00000000-0005-0000-0000-0000CB4A0000}"/>
    <cellStyle name="Output 2 7 2 2 7" xfId="2503" xr:uid="{00000000-0005-0000-0000-0000CC4A0000}"/>
    <cellStyle name="Output 2 7 2 2 7 2" xfId="4639" xr:uid="{00000000-0005-0000-0000-0000CD4A0000}"/>
    <cellStyle name="Output 2 7 2 2 7 2 2" xfId="11235" xr:uid="{00000000-0005-0000-0000-0000CE4A0000}"/>
    <cellStyle name="Output 2 7 2 2 7 2 3" xfId="17854" xr:uid="{00000000-0005-0000-0000-0000CF4A0000}"/>
    <cellStyle name="Output 2 7 2 2 7 2_Summary" xfId="23961" xr:uid="{00000000-0005-0000-0000-0000D04A0000}"/>
    <cellStyle name="Output 2 7 2 2 7 3" xfId="6674" xr:uid="{00000000-0005-0000-0000-0000D14A0000}"/>
    <cellStyle name="Output 2 7 2 2 7 3 2" xfId="13270" xr:uid="{00000000-0005-0000-0000-0000D24A0000}"/>
    <cellStyle name="Output 2 7 2 2 7 3 3" xfId="19889" xr:uid="{00000000-0005-0000-0000-0000D34A0000}"/>
    <cellStyle name="Output 2 7 2 2 7 3_Summary" xfId="23962" xr:uid="{00000000-0005-0000-0000-0000D44A0000}"/>
    <cellStyle name="Output 2 7 2 2 7 4" xfId="9099" xr:uid="{00000000-0005-0000-0000-0000D54A0000}"/>
    <cellStyle name="Output 2 7 2 2 7 5" xfId="15718" xr:uid="{00000000-0005-0000-0000-0000D64A0000}"/>
    <cellStyle name="Output 2 7 2 2 7_Summary" xfId="23960" xr:uid="{00000000-0005-0000-0000-0000D74A0000}"/>
    <cellStyle name="Output 2 7 2 2 8" xfId="2949" xr:uid="{00000000-0005-0000-0000-0000D84A0000}"/>
    <cellStyle name="Output 2 7 2 2 8 2" xfId="9545" xr:uid="{00000000-0005-0000-0000-0000D94A0000}"/>
    <cellStyle name="Output 2 7 2 2 8 3" xfId="16164" xr:uid="{00000000-0005-0000-0000-0000DA4A0000}"/>
    <cellStyle name="Output 2 7 2 2 8_Summary" xfId="23963" xr:uid="{00000000-0005-0000-0000-0000DB4A0000}"/>
    <cellStyle name="Output 2 7 2 2 9" xfId="4984" xr:uid="{00000000-0005-0000-0000-0000DC4A0000}"/>
    <cellStyle name="Output 2 7 2 2 9 2" xfId="11580" xr:uid="{00000000-0005-0000-0000-0000DD4A0000}"/>
    <cellStyle name="Output 2 7 2 2 9 3" xfId="18199" xr:uid="{00000000-0005-0000-0000-0000DE4A0000}"/>
    <cellStyle name="Output 2 7 2 2 9_Summary" xfId="23964" xr:uid="{00000000-0005-0000-0000-0000DF4A0000}"/>
    <cellStyle name="Output 2 7 2 2_Summary" xfId="23943" xr:uid="{00000000-0005-0000-0000-0000E04A0000}"/>
    <cellStyle name="Output 2 7 2 3" xfId="985" xr:uid="{00000000-0005-0000-0000-0000E14A0000}"/>
    <cellStyle name="Output 2 7 2 3 2" xfId="3121" xr:uid="{00000000-0005-0000-0000-0000E24A0000}"/>
    <cellStyle name="Output 2 7 2 3 2 2" xfId="9717" xr:uid="{00000000-0005-0000-0000-0000E34A0000}"/>
    <cellStyle name="Output 2 7 2 3 2 3" xfId="16336" xr:uid="{00000000-0005-0000-0000-0000E44A0000}"/>
    <cellStyle name="Output 2 7 2 3 2_Summary" xfId="23966" xr:uid="{00000000-0005-0000-0000-0000E54A0000}"/>
    <cellStyle name="Output 2 7 2 3 3" xfId="5156" xr:uid="{00000000-0005-0000-0000-0000E64A0000}"/>
    <cellStyle name="Output 2 7 2 3 3 2" xfId="11752" xr:uid="{00000000-0005-0000-0000-0000E74A0000}"/>
    <cellStyle name="Output 2 7 2 3 3 3" xfId="18371" xr:uid="{00000000-0005-0000-0000-0000E84A0000}"/>
    <cellStyle name="Output 2 7 2 3 3_Summary" xfId="23967" xr:uid="{00000000-0005-0000-0000-0000E94A0000}"/>
    <cellStyle name="Output 2 7 2 3 4" xfId="7582" xr:uid="{00000000-0005-0000-0000-0000EA4A0000}"/>
    <cellStyle name="Output 2 7 2 3 5" xfId="14200" xr:uid="{00000000-0005-0000-0000-0000EB4A0000}"/>
    <cellStyle name="Output 2 7 2 3_Summary" xfId="23965" xr:uid="{00000000-0005-0000-0000-0000EC4A0000}"/>
    <cellStyle name="Output 2 7 2 4" xfId="1267" xr:uid="{00000000-0005-0000-0000-0000ED4A0000}"/>
    <cellStyle name="Output 2 7 2 4 2" xfId="3403" xr:uid="{00000000-0005-0000-0000-0000EE4A0000}"/>
    <cellStyle name="Output 2 7 2 4 2 2" xfId="9999" xr:uid="{00000000-0005-0000-0000-0000EF4A0000}"/>
    <cellStyle name="Output 2 7 2 4 2 3" xfId="16618" xr:uid="{00000000-0005-0000-0000-0000F04A0000}"/>
    <cellStyle name="Output 2 7 2 4 2_Summary" xfId="23969" xr:uid="{00000000-0005-0000-0000-0000F14A0000}"/>
    <cellStyle name="Output 2 7 2 4 3" xfId="5438" xr:uid="{00000000-0005-0000-0000-0000F24A0000}"/>
    <cellStyle name="Output 2 7 2 4 3 2" xfId="12034" xr:uid="{00000000-0005-0000-0000-0000F34A0000}"/>
    <cellStyle name="Output 2 7 2 4 3 3" xfId="18653" xr:uid="{00000000-0005-0000-0000-0000F44A0000}"/>
    <cellStyle name="Output 2 7 2 4 3_Summary" xfId="23970" xr:uid="{00000000-0005-0000-0000-0000F54A0000}"/>
    <cellStyle name="Output 2 7 2 4 4" xfId="7863" xr:uid="{00000000-0005-0000-0000-0000F64A0000}"/>
    <cellStyle name="Output 2 7 2 4 5" xfId="14482" xr:uid="{00000000-0005-0000-0000-0000F74A0000}"/>
    <cellStyle name="Output 2 7 2 4_Summary" xfId="23968" xr:uid="{00000000-0005-0000-0000-0000F84A0000}"/>
    <cellStyle name="Output 2 7 2 5" xfId="1548" xr:uid="{00000000-0005-0000-0000-0000F94A0000}"/>
    <cellStyle name="Output 2 7 2 5 2" xfId="3684" xr:uid="{00000000-0005-0000-0000-0000FA4A0000}"/>
    <cellStyle name="Output 2 7 2 5 2 2" xfId="10280" xr:uid="{00000000-0005-0000-0000-0000FB4A0000}"/>
    <cellStyle name="Output 2 7 2 5 2 3" xfId="16899" xr:uid="{00000000-0005-0000-0000-0000FC4A0000}"/>
    <cellStyle name="Output 2 7 2 5 2_Summary" xfId="23972" xr:uid="{00000000-0005-0000-0000-0000FD4A0000}"/>
    <cellStyle name="Output 2 7 2 5 3" xfId="5719" xr:uid="{00000000-0005-0000-0000-0000FE4A0000}"/>
    <cellStyle name="Output 2 7 2 5 3 2" xfId="12315" xr:uid="{00000000-0005-0000-0000-0000FF4A0000}"/>
    <cellStyle name="Output 2 7 2 5 3 3" xfId="18934" xr:uid="{00000000-0005-0000-0000-0000004B0000}"/>
    <cellStyle name="Output 2 7 2 5 3_Summary" xfId="23973" xr:uid="{00000000-0005-0000-0000-0000014B0000}"/>
    <cellStyle name="Output 2 7 2 5 4" xfId="8144" xr:uid="{00000000-0005-0000-0000-0000024B0000}"/>
    <cellStyle name="Output 2 7 2 5 5" xfId="14763" xr:uid="{00000000-0005-0000-0000-0000034B0000}"/>
    <cellStyle name="Output 2 7 2 5_Summary" xfId="23971" xr:uid="{00000000-0005-0000-0000-0000044B0000}"/>
    <cellStyle name="Output 2 7 2 6" xfId="1827" xr:uid="{00000000-0005-0000-0000-0000054B0000}"/>
    <cellStyle name="Output 2 7 2 6 2" xfId="3963" xr:uid="{00000000-0005-0000-0000-0000064B0000}"/>
    <cellStyle name="Output 2 7 2 6 2 2" xfId="10559" xr:uid="{00000000-0005-0000-0000-0000074B0000}"/>
    <cellStyle name="Output 2 7 2 6 2 3" xfId="17178" xr:uid="{00000000-0005-0000-0000-0000084B0000}"/>
    <cellStyle name="Output 2 7 2 6 2_Summary" xfId="23975" xr:uid="{00000000-0005-0000-0000-0000094B0000}"/>
    <cellStyle name="Output 2 7 2 6 3" xfId="5998" xr:uid="{00000000-0005-0000-0000-00000A4B0000}"/>
    <cellStyle name="Output 2 7 2 6 3 2" xfId="12594" xr:uid="{00000000-0005-0000-0000-00000B4B0000}"/>
    <cellStyle name="Output 2 7 2 6 3 3" xfId="19213" xr:uid="{00000000-0005-0000-0000-00000C4B0000}"/>
    <cellStyle name="Output 2 7 2 6 3_Summary" xfId="23976" xr:uid="{00000000-0005-0000-0000-00000D4B0000}"/>
    <cellStyle name="Output 2 7 2 6 4" xfId="8423" xr:uid="{00000000-0005-0000-0000-00000E4B0000}"/>
    <cellStyle name="Output 2 7 2 6 5" xfId="15042" xr:uid="{00000000-0005-0000-0000-00000F4B0000}"/>
    <cellStyle name="Output 2 7 2 6_Summary" xfId="23974" xr:uid="{00000000-0005-0000-0000-0000104B0000}"/>
    <cellStyle name="Output 2 7 2 7" xfId="2102" xr:uid="{00000000-0005-0000-0000-0000114B0000}"/>
    <cellStyle name="Output 2 7 2 7 2" xfId="4238" xr:uid="{00000000-0005-0000-0000-0000124B0000}"/>
    <cellStyle name="Output 2 7 2 7 2 2" xfId="10834" xr:uid="{00000000-0005-0000-0000-0000134B0000}"/>
    <cellStyle name="Output 2 7 2 7 2 3" xfId="17453" xr:uid="{00000000-0005-0000-0000-0000144B0000}"/>
    <cellStyle name="Output 2 7 2 7 2_Summary" xfId="23978" xr:uid="{00000000-0005-0000-0000-0000154B0000}"/>
    <cellStyle name="Output 2 7 2 7 3" xfId="6273" xr:uid="{00000000-0005-0000-0000-0000164B0000}"/>
    <cellStyle name="Output 2 7 2 7 3 2" xfId="12869" xr:uid="{00000000-0005-0000-0000-0000174B0000}"/>
    <cellStyle name="Output 2 7 2 7 3 3" xfId="19488" xr:uid="{00000000-0005-0000-0000-0000184B0000}"/>
    <cellStyle name="Output 2 7 2 7 3_Summary" xfId="23979" xr:uid="{00000000-0005-0000-0000-0000194B0000}"/>
    <cellStyle name="Output 2 7 2 7 4" xfId="8698" xr:uid="{00000000-0005-0000-0000-00001A4B0000}"/>
    <cellStyle name="Output 2 7 2 7 5" xfId="15317" xr:uid="{00000000-0005-0000-0000-00001B4B0000}"/>
    <cellStyle name="Output 2 7 2 7_Summary" xfId="23977" xr:uid="{00000000-0005-0000-0000-00001C4B0000}"/>
    <cellStyle name="Output 2 7 2 8" xfId="2375" xr:uid="{00000000-0005-0000-0000-00001D4B0000}"/>
    <cellStyle name="Output 2 7 2 8 2" xfId="4511" xr:uid="{00000000-0005-0000-0000-00001E4B0000}"/>
    <cellStyle name="Output 2 7 2 8 2 2" xfId="11107" xr:uid="{00000000-0005-0000-0000-00001F4B0000}"/>
    <cellStyle name="Output 2 7 2 8 2 3" xfId="17726" xr:uid="{00000000-0005-0000-0000-0000204B0000}"/>
    <cellStyle name="Output 2 7 2 8 2_Summary" xfId="23981" xr:uid="{00000000-0005-0000-0000-0000214B0000}"/>
    <cellStyle name="Output 2 7 2 8 3" xfId="6546" xr:uid="{00000000-0005-0000-0000-0000224B0000}"/>
    <cellStyle name="Output 2 7 2 8 3 2" xfId="13142" xr:uid="{00000000-0005-0000-0000-0000234B0000}"/>
    <cellStyle name="Output 2 7 2 8 3 3" xfId="19761" xr:uid="{00000000-0005-0000-0000-0000244B0000}"/>
    <cellStyle name="Output 2 7 2 8 3_Summary" xfId="23982" xr:uid="{00000000-0005-0000-0000-0000254B0000}"/>
    <cellStyle name="Output 2 7 2 8 4" xfId="8971" xr:uid="{00000000-0005-0000-0000-0000264B0000}"/>
    <cellStyle name="Output 2 7 2 8 5" xfId="15590" xr:uid="{00000000-0005-0000-0000-0000274B0000}"/>
    <cellStyle name="Output 2 7 2 8_Summary" xfId="23980" xr:uid="{00000000-0005-0000-0000-0000284B0000}"/>
    <cellStyle name="Output 2 7 2 9" xfId="2676" xr:uid="{00000000-0005-0000-0000-0000294B0000}"/>
    <cellStyle name="Output 2 7 2 9 2" xfId="9272" xr:uid="{00000000-0005-0000-0000-00002A4B0000}"/>
    <cellStyle name="Output 2 7 2 9 3" xfId="15891" xr:uid="{00000000-0005-0000-0000-00002B4B0000}"/>
    <cellStyle name="Output 2 7 2 9_Summary" xfId="23983" xr:uid="{00000000-0005-0000-0000-00002C4B0000}"/>
    <cellStyle name="Output 2 7 2_Summary" xfId="23940" xr:uid="{00000000-0005-0000-0000-00002D4B0000}"/>
    <cellStyle name="Output 2 7 3" xfId="358" xr:uid="{00000000-0005-0000-0000-00002E4B0000}"/>
    <cellStyle name="Output 2 7 3 10" xfId="685" xr:uid="{00000000-0005-0000-0000-00002F4B0000}"/>
    <cellStyle name="Output 2 7 3 10 2" xfId="13900" xr:uid="{00000000-0005-0000-0000-0000304B0000}"/>
    <cellStyle name="Output 2 7 3 10_Summary" xfId="23985" xr:uid="{00000000-0005-0000-0000-0000314B0000}"/>
    <cellStyle name="Output 2 7 3 11" xfId="7251" xr:uid="{00000000-0005-0000-0000-0000324B0000}"/>
    <cellStyle name="Output 2 7 3 12" xfId="13573" xr:uid="{00000000-0005-0000-0000-0000334B0000}"/>
    <cellStyle name="Output 2 7 3 13" xfId="29591" xr:uid="{8349A30C-98D7-4194-A1FD-715C59D19CB1}"/>
    <cellStyle name="Output 2 7 3 14" xfId="31156" xr:uid="{7B4DCDFD-F86D-4595-8B3F-3F2A69BC50BE}"/>
    <cellStyle name="Output 2 7 3 2" xfId="1052" xr:uid="{00000000-0005-0000-0000-0000344B0000}"/>
    <cellStyle name="Output 2 7 3 2 2" xfId="3188" xr:uid="{00000000-0005-0000-0000-0000354B0000}"/>
    <cellStyle name="Output 2 7 3 2 2 2" xfId="9784" xr:uid="{00000000-0005-0000-0000-0000364B0000}"/>
    <cellStyle name="Output 2 7 3 2 2 3" xfId="16403" xr:uid="{00000000-0005-0000-0000-0000374B0000}"/>
    <cellStyle name="Output 2 7 3 2 2_Summary" xfId="23987" xr:uid="{00000000-0005-0000-0000-0000384B0000}"/>
    <cellStyle name="Output 2 7 3 2 3" xfId="5223" xr:uid="{00000000-0005-0000-0000-0000394B0000}"/>
    <cellStyle name="Output 2 7 3 2 3 2" xfId="11819" xr:uid="{00000000-0005-0000-0000-00003A4B0000}"/>
    <cellStyle name="Output 2 7 3 2 3 3" xfId="18438" xr:uid="{00000000-0005-0000-0000-00003B4B0000}"/>
    <cellStyle name="Output 2 7 3 2 3_Summary" xfId="23988" xr:uid="{00000000-0005-0000-0000-00003C4B0000}"/>
    <cellStyle name="Output 2 7 3 2 4" xfId="7649" xr:uid="{00000000-0005-0000-0000-00003D4B0000}"/>
    <cellStyle name="Output 2 7 3 2 5" xfId="14267" xr:uid="{00000000-0005-0000-0000-00003E4B0000}"/>
    <cellStyle name="Output 2 7 3 2 6" xfId="30441" xr:uid="{A145F0F9-1967-4975-A07F-11FF07C4BE7C}"/>
    <cellStyle name="Output 2 7 3 2 7" xfId="31873" xr:uid="{E62C1D77-11DC-4A41-868C-40D06741F00F}"/>
    <cellStyle name="Output 2 7 3 2_Summary" xfId="23986" xr:uid="{00000000-0005-0000-0000-00003F4B0000}"/>
    <cellStyle name="Output 2 7 3 3" xfId="1334" xr:uid="{00000000-0005-0000-0000-0000404B0000}"/>
    <cellStyle name="Output 2 7 3 3 2" xfId="3470" xr:uid="{00000000-0005-0000-0000-0000414B0000}"/>
    <cellStyle name="Output 2 7 3 3 2 2" xfId="10066" xr:uid="{00000000-0005-0000-0000-0000424B0000}"/>
    <cellStyle name="Output 2 7 3 3 2 3" xfId="16685" xr:uid="{00000000-0005-0000-0000-0000434B0000}"/>
    <cellStyle name="Output 2 7 3 3 2_Summary" xfId="23990" xr:uid="{00000000-0005-0000-0000-0000444B0000}"/>
    <cellStyle name="Output 2 7 3 3 3" xfId="5505" xr:uid="{00000000-0005-0000-0000-0000454B0000}"/>
    <cellStyle name="Output 2 7 3 3 3 2" xfId="12101" xr:uid="{00000000-0005-0000-0000-0000464B0000}"/>
    <cellStyle name="Output 2 7 3 3 3 3" xfId="18720" xr:uid="{00000000-0005-0000-0000-0000474B0000}"/>
    <cellStyle name="Output 2 7 3 3 3_Summary" xfId="23991" xr:uid="{00000000-0005-0000-0000-0000484B0000}"/>
    <cellStyle name="Output 2 7 3 3 4" xfId="7930" xr:uid="{00000000-0005-0000-0000-0000494B0000}"/>
    <cellStyle name="Output 2 7 3 3 5" xfId="14549" xr:uid="{00000000-0005-0000-0000-00004A4B0000}"/>
    <cellStyle name="Output 2 7 3 3_Summary" xfId="23989" xr:uid="{00000000-0005-0000-0000-00004B4B0000}"/>
    <cellStyle name="Output 2 7 3 4" xfId="1615" xr:uid="{00000000-0005-0000-0000-00004C4B0000}"/>
    <cellStyle name="Output 2 7 3 4 2" xfId="3751" xr:uid="{00000000-0005-0000-0000-00004D4B0000}"/>
    <cellStyle name="Output 2 7 3 4 2 2" xfId="10347" xr:uid="{00000000-0005-0000-0000-00004E4B0000}"/>
    <cellStyle name="Output 2 7 3 4 2 3" xfId="16966" xr:uid="{00000000-0005-0000-0000-00004F4B0000}"/>
    <cellStyle name="Output 2 7 3 4 2_Summary" xfId="23993" xr:uid="{00000000-0005-0000-0000-0000504B0000}"/>
    <cellStyle name="Output 2 7 3 4 3" xfId="5786" xr:uid="{00000000-0005-0000-0000-0000514B0000}"/>
    <cellStyle name="Output 2 7 3 4 3 2" xfId="12382" xr:uid="{00000000-0005-0000-0000-0000524B0000}"/>
    <cellStyle name="Output 2 7 3 4 3 3" xfId="19001" xr:uid="{00000000-0005-0000-0000-0000534B0000}"/>
    <cellStyle name="Output 2 7 3 4 3_Summary" xfId="23994" xr:uid="{00000000-0005-0000-0000-0000544B0000}"/>
    <cellStyle name="Output 2 7 3 4 4" xfId="8211" xr:uid="{00000000-0005-0000-0000-0000554B0000}"/>
    <cellStyle name="Output 2 7 3 4 5" xfId="14830" xr:uid="{00000000-0005-0000-0000-0000564B0000}"/>
    <cellStyle name="Output 2 7 3 4_Summary" xfId="23992" xr:uid="{00000000-0005-0000-0000-0000574B0000}"/>
    <cellStyle name="Output 2 7 3 5" xfId="1894" xr:uid="{00000000-0005-0000-0000-0000584B0000}"/>
    <cellStyle name="Output 2 7 3 5 2" xfId="4030" xr:uid="{00000000-0005-0000-0000-0000594B0000}"/>
    <cellStyle name="Output 2 7 3 5 2 2" xfId="10626" xr:uid="{00000000-0005-0000-0000-00005A4B0000}"/>
    <cellStyle name="Output 2 7 3 5 2 3" xfId="17245" xr:uid="{00000000-0005-0000-0000-00005B4B0000}"/>
    <cellStyle name="Output 2 7 3 5 2_Summary" xfId="23996" xr:uid="{00000000-0005-0000-0000-00005C4B0000}"/>
    <cellStyle name="Output 2 7 3 5 3" xfId="6065" xr:uid="{00000000-0005-0000-0000-00005D4B0000}"/>
    <cellStyle name="Output 2 7 3 5 3 2" xfId="12661" xr:uid="{00000000-0005-0000-0000-00005E4B0000}"/>
    <cellStyle name="Output 2 7 3 5 3 3" xfId="19280" xr:uid="{00000000-0005-0000-0000-00005F4B0000}"/>
    <cellStyle name="Output 2 7 3 5 3_Summary" xfId="23997" xr:uid="{00000000-0005-0000-0000-0000604B0000}"/>
    <cellStyle name="Output 2 7 3 5 4" xfId="8490" xr:uid="{00000000-0005-0000-0000-0000614B0000}"/>
    <cellStyle name="Output 2 7 3 5 5" xfId="15109" xr:uid="{00000000-0005-0000-0000-0000624B0000}"/>
    <cellStyle name="Output 2 7 3 5_Summary" xfId="23995" xr:uid="{00000000-0005-0000-0000-0000634B0000}"/>
    <cellStyle name="Output 2 7 3 6" xfId="2169" xr:uid="{00000000-0005-0000-0000-0000644B0000}"/>
    <cellStyle name="Output 2 7 3 6 2" xfId="4305" xr:uid="{00000000-0005-0000-0000-0000654B0000}"/>
    <cellStyle name="Output 2 7 3 6 2 2" xfId="10901" xr:uid="{00000000-0005-0000-0000-0000664B0000}"/>
    <cellStyle name="Output 2 7 3 6 2 3" xfId="17520" xr:uid="{00000000-0005-0000-0000-0000674B0000}"/>
    <cellStyle name="Output 2 7 3 6 2_Summary" xfId="23999" xr:uid="{00000000-0005-0000-0000-0000684B0000}"/>
    <cellStyle name="Output 2 7 3 6 3" xfId="6340" xr:uid="{00000000-0005-0000-0000-0000694B0000}"/>
    <cellStyle name="Output 2 7 3 6 3 2" xfId="12936" xr:uid="{00000000-0005-0000-0000-00006A4B0000}"/>
    <cellStyle name="Output 2 7 3 6 3 3" xfId="19555" xr:uid="{00000000-0005-0000-0000-00006B4B0000}"/>
    <cellStyle name="Output 2 7 3 6 3_Summary" xfId="24000" xr:uid="{00000000-0005-0000-0000-00006C4B0000}"/>
    <cellStyle name="Output 2 7 3 6 4" xfId="8765" xr:uid="{00000000-0005-0000-0000-00006D4B0000}"/>
    <cellStyle name="Output 2 7 3 6 5" xfId="15384" xr:uid="{00000000-0005-0000-0000-00006E4B0000}"/>
    <cellStyle name="Output 2 7 3 6_Summary" xfId="23998" xr:uid="{00000000-0005-0000-0000-00006F4B0000}"/>
    <cellStyle name="Output 2 7 3 7" xfId="2442" xr:uid="{00000000-0005-0000-0000-0000704B0000}"/>
    <cellStyle name="Output 2 7 3 7 2" xfId="4578" xr:uid="{00000000-0005-0000-0000-0000714B0000}"/>
    <cellStyle name="Output 2 7 3 7 2 2" xfId="11174" xr:uid="{00000000-0005-0000-0000-0000724B0000}"/>
    <cellStyle name="Output 2 7 3 7 2 3" xfId="17793" xr:uid="{00000000-0005-0000-0000-0000734B0000}"/>
    <cellStyle name="Output 2 7 3 7 2_Summary" xfId="24002" xr:uid="{00000000-0005-0000-0000-0000744B0000}"/>
    <cellStyle name="Output 2 7 3 7 3" xfId="6613" xr:uid="{00000000-0005-0000-0000-0000754B0000}"/>
    <cellStyle name="Output 2 7 3 7 3 2" xfId="13209" xr:uid="{00000000-0005-0000-0000-0000764B0000}"/>
    <cellStyle name="Output 2 7 3 7 3 3" xfId="19828" xr:uid="{00000000-0005-0000-0000-0000774B0000}"/>
    <cellStyle name="Output 2 7 3 7 3_Summary" xfId="24003" xr:uid="{00000000-0005-0000-0000-0000784B0000}"/>
    <cellStyle name="Output 2 7 3 7 4" xfId="9038" xr:uid="{00000000-0005-0000-0000-0000794B0000}"/>
    <cellStyle name="Output 2 7 3 7 5" xfId="15657" xr:uid="{00000000-0005-0000-0000-00007A4B0000}"/>
    <cellStyle name="Output 2 7 3 7_Summary" xfId="24001" xr:uid="{00000000-0005-0000-0000-00007B4B0000}"/>
    <cellStyle name="Output 2 7 3 8" xfId="2821" xr:uid="{00000000-0005-0000-0000-00007C4B0000}"/>
    <cellStyle name="Output 2 7 3 8 2" xfId="9417" xr:uid="{00000000-0005-0000-0000-00007D4B0000}"/>
    <cellStyle name="Output 2 7 3 8 3" xfId="16036" xr:uid="{00000000-0005-0000-0000-00007E4B0000}"/>
    <cellStyle name="Output 2 7 3 8_Summary" xfId="24004" xr:uid="{00000000-0005-0000-0000-00007F4B0000}"/>
    <cellStyle name="Output 2 7 3 9" xfId="4856" xr:uid="{00000000-0005-0000-0000-0000804B0000}"/>
    <cellStyle name="Output 2 7 3 9 2" xfId="11452" xr:uid="{00000000-0005-0000-0000-0000814B0000}"/>
    <cellStyle name="Output 2 7 3 9 3" xfId="18071" xr:uid="{00000000-0005-0000-0000-0000824B0000}"/>
    <cellStyle name="Output 2 7 3 9_Summary" xfId="24005" xr:uid="{00000000-0005-0000-0000-0000834B0000}"/>
    <cellStyle name="Output 2 7 3_Summary" xfId="23984" xr:uid="{00000000-0005-0000-0000-0000844B0000}"/>
    <cellStyle name="Output 2 7 4" xfId="641" xr:uid="{00000000-0005-0000-0000-0000854B0000}"/>
    <cellStyle name="Output 2 7 4 2" xfId="2777" xr:uid="{00000000-0005-0000-0000-0000864B0000}"/>
    <cellStyle name="Output 2 7 4 2 2" xfId="9373" xr:uid="{00000000-0005-0000-0000-0000874B0000}"/>
    <cellStyle name="Output 2 7 4 2 3" xfId="15992" xr:uid="{00000000-0005-0000-0000-0000884B0000}"/>
    <cellStyle name="Output 2 7 4 2_Summary" xfId="24007" xr:uid="{00000000-0005-0000-0000-0000894B0000}"/>
    <cellStyle name="Output 2 7 4 3" xfId="4812" xr:uid="{00000000-0005-0000-0000-00008A4B0000}"/>
    <cellStyle name="Output 2 7 4 3 2" xfId="11408" xr:uid="{00000000-0005-0000-0000-00008B4B0000}"/>
    <cellStyle name="Output 2 7 4 3 3" xfId="18027" xr:uid="{00000000-0005-0000-0000-00008C4B0000}"/>
    <cellStyle name="Output 2 7 4 3_Summary" xfId="24008" xr:uid="{00000000-0005-0000-0000-00008D4B0000}"/>
    <cellStyle name="Output 2 7 4 4" xfId="7413" xr:uid="{00000000-0005-0000-0000-00008E4B0000}"/>
    <cellStyle name="Output 2 7 4 5" xfId="13856" xr:uid="{00000000-0005-0000-0000-00008F4B0000}"/>
    <cellStyle name="Output 2 7 4 6" xfId="30439" xr:uid="{70DF7B25-9963-4027-B5D5-970503567D08}"/>
    <cellStyle name="Output 2 7 4 7" xfId="31871" xr:uid="{0FFE628A-38D9-4384-B3D3-1FC7259C6F2F}"/>
    <cellStyle name="Output 2 7 4_Summary" xfId="24006" xr:uid="{00000000-0005-0000-0000-0000904B0000}"/>
    <cellStyle name="Output 2 7 5" xfId="609" xr:uid="{00000000-0005-0000-0000-0000914B0000}"/>
    <cellStyle name="Output 2 7 5 2" xfId="2745" xr:uid="{00000000-0005-0000-0000-0000924B0000}"/>
    <cellStyle name="Output 2 7 5 2 2" xfId="9341" xr:uid="{00000000-0005-0000-0000-0000934B0000}"/>
    <cellStyle name="Output 2 7 5 2 3" xfId="15960" xr:uid="{00000000-0005-0000-0000-0000944B0000}"/>
    <cellStyle name="Output 2 7 5 2_Summary" xfId="24010" xr:uid="{00000000-0005-0000-0000-0000954B0000}"/>
    <cellStyle name="Output 2 7 5 3" xfId="4780" xr:uid="{00000000-0005-0000-0000-0000964B0000}"/>
    <cellStyle name="Output 2 7 5 3 2" xfId="11376" xr:uid="{00000000-0005-0000-0000-0000974B0000}"/>
    <cellStyle name="Output 2 7 5 3 3" xfId="17995" xr:uid="{00000000-0005-0000-0000-0000984B0000}"/>
    <cellStyle name="Output 2 7 5 3_Summary" xfId="24011" xr:uid="{00000000-0005-0000-0000-0000994B0000}"/>
    <cellStyle name="Output 2 7 5 4" xfId="7381" xr:uid="{00000000-0005-0000-0000-00009A4B0000}"/>
    <cellStyle name="Output 2 7 5 5" xfId="13824" xr:uid="{00000000-0005-0000-0000-00009B4B0000}"/>
    <cellStyle name="Output 2 7 5_Summary" xfId="24009" xr:uid="{00000000-0005-0000-0000-00009C4B0000}"/>
    <cellStyle name="Output 2 7 6" xfId="954" xr:uid="{00000000-0005-0000-0000-00009D4B0000}"/>
    <cellStyle name="Output 2 7 6 2" xfId="3090" xr:uid="{00000000-0005-0000-0000-00009E4B0000}"/>
    <cellStyle name="Output 2 7 6 2 2" xfId="9686" xr:uid="{00000000-0005-0000-0000-00009F4B0000}"/>
    <cellStyle name="Output 2 7 6 2 3" xfId="16305" xr:uid="{00000000-0005-0000-0000-0000A04B0000}"/>
    <cellStyle name="Output 2 7 6 2_Summary" xfId="24013" xr:uid="{00000000-0005-0000-0000-0000A14B0000}"/>
    <cellStyle name="Output 2 7 6 3" xfId="5125" xr:uid="{00000000-0005-0000-0000-0000A24B0000}"/>
    <cellStyle name="Output 2 7 6 3 2" xfId="11721" xr:uid="{00000000-0005-0000-0000-0000A34B0000}"/>
    <cellStyle name="Output 2 7 6 3 3" xfId="18340" xr:uid="{00000000-0005-0000-0000-0000A44B0000}"/>
    <cellStyle name="Output 2 7 6 3_Summary" xfId="24014" xr:uid="{00000000-0005-0000-0000-0000A54B0000}"/>
    <cellStyle name="Output 2 7 6 4" xfId="7551" xr:uid="{00000000-0005-0000-0000-0000A64B0000}"/>
    <cellStyle name="Output 2 7 6 5" xfId="14169" xr:uid="{00000000-0005-0000-0000-0000A74B0000}"/>
    <cellStyle name="Output 2 7 6_Summary" xfId="24012" xr:uid="{00000000-0005-0000-0000-0000A84B0000}"/>
    <cellStyle name="Output 2 7 7" xfId="1239" xr:uid="{00000000-0005-0000-0000-0000A94B0000}"/>
    <cellStyle name="Output 2 7 7 2" xfId="3375" xr:uid="{00000000-0005-0000-0000-0000AA4B0000}"/>
    <cellStyle name="Output 2 7 7 2 2" xfId="9971" xr:uid="{00000000-0005-0000-0000-0000AB4B0000}"/>
    <cellStyle name="Output 2 7 7 2 3" xfId="16590" xr:uid="{00000000-0005-0000-0000-0000AC4B0000}"/>
    <cellStyle name="Output 2 7 7 2_Summary" xfId="24016" xr:uid="{00000000-0005-0000-0000-0000AD4B0000}"/>
    <cellStyle name="Output 2 7 7 3" xfId="5410" xr:uid="{00000000-0005-0000-0000-0000AE4B0000}"/>
    <cellStyle name="Output 2 7 7 3 2" xfId="12006" xr:uid="{00000000-0005-0000-0000-0000AF4B0000}"/>
    <cellStyle name="Output 2 7 7 3 3" xfId="18625" xr:uid="{00000000-0005-0000-0000-0000B04B0000}"/>
    <cellStyle name="Output 2 7 7 3_Summary" xfId="24017" xr:uid="{00000000-0005-0000-0000-0000B14B0000}"/>
    <cellStyle name="Output 2 7 7 4" xfId="7835" xr:uid="{00000000-0005-0000-0000-0000B24B0000}"/>
    <cellStyle name="Output 2 7 7 5" xfId="14454" xr:uid="{00000000-0005-0000-0000-0000B34B0000}"/>
    <cellStyle name="Output 2 7 7_Summary" xfId="24015" xr:uid="{00000000-0005-0000-0000-0000B44B0000}"/>
    <cellStyle name="Output 2 7 8" xfId="1521" xr:uid="{00000000-0005-0000-0000-0000B54B0000}"/>
    <cellStyle name="Output 2 7 8 2" xfId="3657" xr:uid="{00000000-0005-0000-0000-0000B64B0000}"/>
    <cellStyle name="Output 2 7 8 2 2" xfId="10253" xr:uid="{00000000-0005-0000-0000-0000B74B0000}"/>
    <cellStyle name="Output 2 7 8 2 3" xfId="16872" xr:uid="{00000000-0005-0000-0000-0000B84B0000}"/>
    <cellStyle name="Output 2 7 8 2_Summary" xfId="24019" xr:uid="{00000000-0005-0000-0000-0000B94B0000}"/>
    <cellStyle name="Output 2 7 8 3" xfId="5692" xr:uid="{00000000-0005-0000-0000-0000BA4B0000}"/>
    <cellStyle name="Output 2 7 8 3 2" xfId="12288" xr:uid="{00000000-0005-0000-0000-0000BB4B0000}"/>
    <cellStyle name="Output 2 7 8 3 3" xfId="18907" xr:uid="{00000000-0005-0000-0000-0000BC4B0000}"/>
    <cellStyle name="Output 2 7 8 3_Summary" xfId="24020" xr:uid="{00000000-0005-0000-0000-0000BD4B0000}"/>
    <cellStyle name="Output 2 7 8 4" xfId="8117" xr:uid="{00000000-0005-0000-0000-0000BE4B0000}"/>
    <cellStyle name="Output 2 7 8 5" xfId="14736" xr:uid="{00000000-0005-0000-0000-0000BF4B0000}"/>
    <cellStyle name="Output 2 7 8_Summary" xfId="24018" xr:uid="{00000000-0005-0000-0000-0000C04B0000}"/>
    <cellStyle name="Output 2 7 9" xfId="1802" xr:uid="{00000000-0005-0000-0000-0000C14B0000}"/>
    <cellStyle name="Output 2 7 9 2" xfId="3938" xr:uid="{00000000-0005-0000-0000-0000C24B0000}"/>
    <cellStyle name="Output 2 7 9 2 2" xfId="10534" xr:uid="{00000000-0005-0000-0000-0000C34B0000}"/>
    <cellStyle name="Output 2 7 9 2 3" xfId="17153" xr:uid="{00000000-0005-0000-0000-0000C44B0000}"/>
    <cellStyle name="Output 2 7 9 2_Summary" xfId="24022" xr:uid="{00000000-0005-0000-0000-0000C54B0000}"/>
    <cellStyle name="Output 2 7 9 3" xfId="5973" xr:uid="{00000000-0005-0000-0000-0000C64B0000}"/>
    <cellStyle name="Output 2 7 9 3 2" xfId="12569" xr:uid="{00000000-0005-0000-0000-0000C74B0000}"/>
    <cellStyle name="Output 2 7 9 3 3" xfId="19188" xr:uid="{00000000-0005-0000-0000-0000C84B0000}"/>
    <cellStyle name="Output 2 7 9 3_Summary" xfId="24023" xr:uid="{00000000-0005-0000-0000-0000C94B0000}"/>
    <cellStyle name="Output 2 7 9 4" xfId="8398" xr:uid="{00000000-0005-0000-0000-0000CA4B0000}"/>
    <cellStyle name="Output 2 7 9 5" xfId="15017" xr:uid="{00000000-0005-0000-0000-0000CB4B0000}"/>
    <cellStyle name="Output 2 7 9_Summary" xfId="24021" xr:uid="{00000000-0005-0000-0000-0000CC4B0000}"/>
    <cellStyle name="Output 2 7_Summary" xfId="23936" xr:uid="{00000000-0005-0000-0000-0000CD4B0000}"/>
    <cellStyle name="Output 2 8" xfId="138" xr:uid="{00000000-0005-0000-0000-0000CE4B0000}"/>
    <cellStyle name="Output 2 8 10" xfId="2581" xr:uid="{00000000-0005-0000-0000-0000CF4B0000}"/>
    <cellStyle name="Output 2 8 10 2" xfId="9177" xr:uid="{00000000-0005-0000-0000-0000D04B0000}"/>
    <cellStyle name="Output 2 8 10 3" xfId="15796" xr:uid="{00000000-0005-0000-0000-0000D14B0000}"/>
    <cellStyle name="Output 2 8 10_Summary" xfId="24025" xr:uid="{00000000-0005-0000-0000-0000D24B0000}"/>
    <cellStyle name="Output 2 8 11" xfId="2574" xr:uid="{00000000-0005-0000-0000-0000D34B0000}"/>
    <cellStyle name="Output 2 8 11 2" xfId="9170" xr:uid="{00000000-0005-0000-0000-0000D44B0000}"/>
    <cellStyle name="Output 2 8 11 3" xfId="15789" xr:uid="{00000000-0005-0000-0000-0000D54B0000}"/>
    <cellStyle name="Output 2 8 11_Summary" xfId="24026" xr:uid="{00000000-0005-0000-0000-0000D64B0000}"/>
    <cellStyle name="Output 2 8 12" xfId="473" xr:uid="{00000000-0005-0000-0000-0000D74B0000}"/>
    <cellStyle name="Output 2 8 12 2" xfId="13688" xr:uid="{00000000-0005-0000-0000-0000D84B0000}"/>
    <cellStyle name="Output 2 8 12_Summary" xfId="24027" xr:uid="{00000000-0005-0000-0000-0000D94B0000}"/>
    <cellStyle name="Output 2 8 13" xfId="7052" xr:uid="{00000000-0005-0000-0000-0000DA4B0000}"/>
    <cellStyle name="Output 2 8 14" xfId="6978" xr:uid="{00000000-0005-0000-0000-0000DB4B0000}"/>
    <cellStyle name="Output 2 8 15" xfId="29592" xr:uid="{2DCFBEE9-5B3C-43B7-B0E7-9C5F53E8AB9F}"/>
    <cellStyle name="Output 2 8 16" xfId="31157" xr:uid="{8EB0C72A-C449-4232-8B01-A310ED74B097}"/>
    <cellStyle name="Output 2 8 2" xfId="287" xr:uid="{00000000-0005-0000-0000-0000DC4B0000}"/>
    <cellStyle name="Output 2 8 2 10" xfId="4708" xr:uid="{00000000-0005-0000-0000-0000DD4B0000}"/>
    <cellStyle name="Output 2 8 2 10 2" xfId="11304" xr:uid="{00000000-0005-0000-0000-0000DE4B0000}"/>
    <cellStyle name="Output 2 8 2 10 3" xfId="17923" xr:uid="{00000000-0005-0000-0000-0000DF4B0000}"/>
    <cellStyle name="Output 2 8 2 10_Summary" xfId="24029" xr:uid="{00000000-0005-0000-0000-0000E04B0000}"/>
    <cellStyle name="Output 2 8 2 11" xfId="537" xr:uid="{00000000-0005-0000-0000-0000E14B0000}"/>
    <cellStyle name="Output 2 8 2 11 2" xfId="13752" xr:uid="{00000000-0005-0000-0000-0000E24B0000}"/>
    <cellStyle name="Output 2 8 2 11_Summary" xfId="24030" xr:uid="{00000000-0005-0000-0000-0000E34B0000}"/>
    <cellStyle name="Output 2 8 2 12" xfId="7181" xr:uid="{00000000-0005-0000-0000-0000E44B0000}"/>
    <cellStyle name="Output 2 8 2 13" xfId="13503" xr:uid="{00000000-0005-0000-0000-0000E54B0000}"/>
    <cellStyle name="Output 2 8 2 14" xfId="29593" xr:uid="{3FE5B52B-1215-4562-AC03-CC66475D2D09}"/>
    <cellStyle name="Output 2 8 2 15" xfId="31158" xr:uid="{F00FE46E-5501-4269-AFD9-93E07AB7945D}"/>
    <cellStyle name="Output 2 8 2 2" xfId="416" xr:uid="{00000000-0005-0000-0000-0000E64B0000}"/>
    <cellStyle name="Output 2 8 2 2 10" xfId="810" xr:uid="{00000000-0005-0000-0000-0000E74B0000}"/>
    <cellStyle name="Output 2 8 2 2 10 2" xfId="14025" xr:uid="{00000000-0005-0000-0000-0000E84B0000}"/>
    <cellStyle name="Output 2 8 2 2 10_Summary" xfId="24032" xr:uid="{00000000-0005-0000-0000-0000E94B0000}"/>
    <cellStyle name="Output 2 8 2 2 11" xfId="7309" xr:uid="{00000000-0005-0000-0000-0000EA4B0000}"/>
    <cellStyle name="Output 2 8 2 2 12" xfId="13631" xr:uid="{00000000-0005-0000-0000-0000EB4B0000}"/>
    <cellStyle name="Output 2 8 2 2 13" xfId="30443" xr:uid="{1D628813-FAF8-4619-80CE-5766A3073CE1}"/>
    <cellStyle name="Output 2 8 2 2 14" xfId="31875" xr:uid="{11301F48-74D0-4E36-B3D9-957470DE584F}"/>
    <cellStyle name="Output 2 8 2 2 2" xfId="1110" xr:uid="{00000000-0005-0000-0000-0000EC4B0000}"/>
    <cellStyle name="Output 2 8 2 2 2 2" xfId="3246" xr:uid="{00000000-0005-0000-0000-0000ED4B0000}"/>
    <cellStyle name="Output 2 8 2 2 2 2 2" xfId="9842" xr:uid="{00000000-0005-0000-0000-0000EE4B0000}"/>
    <cellStyle name="Output 2 8 2 2 2 2 3" xfId="16461" xr:uid="{00000000-0005-0000-0000-0000EF4B0000}"/>
    <cellStyle name="Output 2 8 2 2 2 2_Summary" xfId="24034" xr:uid="{00000000-0005-0000-0000-0000F04B0000}"/>
    <cellStyle name="Output 2 8 2 2 2 3" xfId="5281" xr:uid="{00000000-0005-0000-0000-0000F14B0000}"/>
    <cellStyle name="Output 2 8 2 2 2 3 2" xfId="11877" xr:uid="{00000000-0005-0000-0000-0000F24B0000}"/>
    <cellStyle name="Output 2 8 2 2 2 3 3" xfId="18496" xr:uid="{00000000-0005-0000-0000-0000F34B0000}"/>
    <cellStyle name="Output 2 8 2 2 2 3_Summary" xfId="24035" xr:uid="{00000000-0005-0000-0000-0000F44B0000}"/>
    <cellStyle name="Output 2 8 2 2 2 4" xfId="7706" xr:uid="{00000000-0005-0000-0000-0000F54B0000}"/>
    <cellStyle name="Output 2 8 2 2 2 5" xfId="14325" xr:uid="{00000000-0005-0000-0000-0000F64B0000}"/>
    <cellStyle name="Output 2 8 2 2 2_Summary" xfId="24033" xr:uid="{00000000-0005-0000-0000-0000F74B0000}"/>
    <cellStyle name="Output 2 8 2 2 3" xfId="1392" xr:uid="{00000000-0005-0000-0000-0000F84B0000}"/>
    <cellStyle name="Output 2 8 2 2 3 2" xfId="3528" xr:uid="{00000000-0005-0000-0000-0000F94B0000}"/>
    <cellStyle name="Output 2 8 2 2 3 2 2" xfId="10124" xr:uid="{00000000-0005-0000-0000-0000FA4B0000}"/>
    <cellStyle name="Output 2 8 2 2 3 2 3" xfId="16743" xr:uid="{00000000-0005-0000-0000-0000FB4B0000}"/>
    <cellStyle name="Output 2 8 2 2 3 2_Summary" xfId="24037" xr:uid="{00000000-0005-0000-0000-0000FC4B0000}"/>
    <cellStyle name="Output 2 8 2 2 3 3" xfId="5563" xr:uid="{00000000-0005-0000-0000-0000FD4B0000}"/>
    <cellStyle name="Output 2 8 2 2 3 3 2" xfId="12159" xr:uid="{00000000-0005-0000-0000-0000FE4B0000}"/>
    <cellStyle name="Output 2 8 2 2 3 3 3" xfId="18778" xr:uid="{00000000-0005-0000-0000-0000FF4B0000}"/>
    <cellStyle name="Output 2 8 2 2 3 3_Summary" xfId="24038" xr:uid="{00000000-0005-0000-0000-0000004C0000}"/>
    <cellStyle name="Output 2 8 2 2 3 4" xfId="7988" xr:uid="{00000000-0005-0000-0000-0000014C0000}"/>
    <cellStyle name="Output 2 8 2 2 3 5" xfId="14607" xr:uid="{00000000-0005-0000-0000-0000024C0000}"/>
    <cellStyle name="Output 2 8 2 2 3_Summary" xfId="24036" xr:uid="{00000000-0005-0000-0000-0000034C0000}"/>
    <cellStyle name="Output 2 8 2 2 4" xfId="1673" xr:uid="{00000000-0005-0000-0000-0000044C0000}"/>
    <cellStyle name="Output 2 8 2 2 4 2" xfId="3809" xr:uid="{00000000-0005-0000-0000-0000054C0000}"/>
    <cellStyle name="Output 2 8 2 2 4 2 2" xfId="10405" xr:uid="{00000000-0005-0000-0000-0000064C0000}"/>
    <cellStyle name="Output 2 8 2 2 4 2 3" xfId="17024" xr:uid="{00000000-0005-0000-0000-0000074C0000}"/>
    <cellStyle name="Output 2 8 2 2 4 2_Summary" xfId="24040" xr:uid="{00000000-0005-0000-0000-0000084C0000}"/>
    <cellStyle name="Output 2 8 2 2 4 3" xfId="5844" xr:uid="{00000000-0005-0000-0000-0000094C0000}"/>
    <cellStyle name="Output 2 8 2 2 4 3 2" xfId="12440" xr:uid="{00000000-0005-0000-0000-00000A4C0000}"/>
    <cellStyle name="Output 2 8 2 2 4 3 3" xfId="19059" xr:uid="{00000000-0005-0000-0000-00000B4C0000}"/>
    <cellStyle name="Output 2 8 2 2 4 3_Summary" xfId="24041" xr:uid="{00000000-0005-0000-0000-00000C4C0000}"/>
    <cellStyle name="Output 2 8 2 2 4 4" xfId="8269" xr:uid="{00000000-0005-0000-0000-00000D4C0000}"/>
    <cellStyle name="Output 2 8 2 2 4 5" xfId="14888" xr:uid="{00000000-0005-0000-0000-00000E4C0000}"/>
    <cellStyle name="Output 2 8 2 2 4_Summary" xfId="24039" xr:uid="{00000000-0005-0000-0000-00000F4C0000}"/>
    <cellStyle name="Output 2 8 2 2 5" xfId="1952" xr:uid="{00000000-0005-0000-0000-0000104C0000}"/>
    <cellStyle name="Output 2 8 2 2 5 2" xfId="4088" xr:uid="{00000000-0005-0000-0000-0000114C0000}"/>
    <cellStyle name="Output 2 8 2 2 5 2 2" xfId="10684" xr:uid="{00000000-0005-0000-0000-0000124C0000}"/>
    <cellStyle name="Output 2 8 2 2 5 2 3" xfId="17303" xr:uid="{00000000-0005-0000-0000-0000134C0000}"/>
    <cellStyle name="Output 2 8 2 2 5 2_Summary" xfId="24043" xr:uid="{00000000-0005-0000-0000-0000144C0000}"/>
    <cellStyle name="Output 2 8 2 2 5 3" xfId="6123" xr:uid="{00000000-0005-0000-0000-0000154C0000}"/>
    <cellStyle name="Output 2 8 2 2 5 3 2" xfId="12719" xr:uid="{00000000-0005-0000-0000-0000164C0000}"/>
    <cellStyle name="Output 2 8 2 2 5 3 3" xfId="19338" xr:uid="{00000000-0005-0000-0000-0000174C0000}"/>
    <cellStyle name="Output 2 8 2 2 5 3_Summary" xfId="24044" xr:uid="{00000000-0005-0000-0000-0000184C0000}"/>
    <cellStyle name="Output 2 8 2 2 5 4" xfId="8548" xr:uid="{00000000-0005-0000-0000-0000194C0000}"/>
    <cellStyle name="Output 2 8 2 2 5 5" xfId="15167" xr:uid="{00000000-0005-0000-0000-00001A4C0000}"/>
    <cellStyle name="Output 2 8 2 2 5_Summary" xfId="24042" xr:uid="{00000000-0005-0000-0000-00001B4C0000}"/>
    <cellStyle name="Output 2 8 2 2 6" xfId="2227" xr:uid="{00000000-0005-0000-0000-00001C4C0000}"/>
    <cellStyle name="Output 2 8 2 2 6 2" xfId="4363" xr:uid="{00000000-0005-0000-0000-00001D4C0000}"/>
    <cellStyle name="Output 2 8 2 2 6 2 2" xfId="10959" xr:uid="{00000000-0005-0000-0000-00001E4C0000}"/>
    <cellStyle name="Output 2 8 2 2 6 2 3" xfId="17578" xr:uid="{00000000-0005-0000-0000-00001F4C0000}"/>
    <cellStyle name="Output 2 8 2 2 6 2_Summary" xfId="24046" xr:uid="{00000000-0005-0000-0000-0000204C0000}"/>
    <cellStyle name="Output 2 8 2 2 6 3" xfId="6398" xr:uid="{00000000-0005-0000-0000-0000214C0000}"/>
    <cellStyle name="Output 2 8 2 2 6 3 2" xfId="12994" xr:uid="{00000000-0005-0000-0000-0000224C0000}"/>
    <cellStyle name="Output 2 8 2 2 6 3 3" xfId="19613" xr:uid="{00000000-0005-0000-0000-0000234C0000}"/>
    <cellStyle name="Output 2 8 2 2 6 3_Summary" xfId="24047" xr:uid="{00000000-0005-0000-0000-0000244C0000}"/>
    <cellStyle name="Output 2 8 2 2 6 4" xfId="8823" xr:uid="{00000000-0005-0000-0000-0000254C0000}"/>
    <cellStyle name="Output 2 8 2 2 6 5" xfId="15442" xr:uid="{00000000-0005-0000-0000-0000264C0000}"/>
    <cellStyle name="Output 2 8 2 2 6_Summary" xfId="24045" xr:uid="{00000000-0005-0000-0000-0000274C0000}"/>
    <cellStyle name="Output 2 8 2 2 7" xfId="2500" xr:uid="{00000000-0005-0000-0000-0000284C0000}"/>
    <cellStyle name="Output 2 8 2 2 7 2" xfId="4636" xr:uid="{00000000-0005-0000-0000-0000294C0000}"/>
    <cellStyle name="Output 2 8 2 2 7 2 2" xfId="11232" xr:uid="{00000000-0005-0000-0000-00002A4C0000}"/>
    <cellStyle name="Output 2 8 2 2 7 2 3" xfId="17851" xr:uid="{00000000-0005-0000-0000-00002B4C0000}"/>
    <cellStyle name="Output 2 8 2 2 7 2_Summary" xfId="24049" xr:uid="{00000000-0005-0000-0000-00002C4C0000}"/>
    <cellStyle name="Output 2 8 2 2 7 3" xfId="6671" xr:uid="{00000000-0005-0000-0000-00002D4C0000}"/>
    <cellStyle name="Output 2 8 2 2 7 3 2" xfId="13267" xr:uid="{00000000-0005-0000-0000-00002E4C0000}"/>
    <cellStyle name="Output 2 8 2 2 7 3 3" xfId="19886" xr:uid="{00000000-0005-0000-0000-00002F4C0000}"/>
    <cellStyle name="Output 2 8 2 2 7 3_Summary" xfId="24050" xr:uid="{00000000-0005-0000-0000-0000304C0000}"/>
    <cellStyle name="Output 2 8 2 2 7 4" xfId="9096" xr:uid="{00000000-0005-0000-0000-0000314C0000}"/>
    <cellStyle name="Output 2 8 2 2 7 5" xfId="15715" xr:uid="{00000000-0005-0000-0000-0000324C0000}"/>
    <cellStyle name="Output 2 8 2 2 7_Summary" xfId="24048" xr:uid="{00000000-0005-0000-0000-0000334C0000}"/>
    <cellStyle name="Output 2 8 2 2 8" xfId="2946" xr:uid="{00000000-0005-0000-0000-0000344C0000}"/>
    <cellStyle name="Output 2 8 2 2 8 2" xfId="9542" xr:uid="{00000000-0005-0000-0000-0000354C0000}"/>
    <cellStyle name="Output 2 8 2 2 8 3" xfId="16161" xr:uid="{00000000-0005-0000-0000-0000364C0000}"/>
    <cellStyle name="Output 2 8 2 2 8_Summary" xfId="24051" xr:uid="{00000000-0005-0000-0000-0000374C0000}"/>
    <cellStyle name="Output 2 8 2 2 9" xfId="4981" xr:uid="{00000000-0005-0000-0000-0000384C0000}"/>
    <cellStyle name="Output 2 8 2 2 9 2" xfId="11577" xr:uid="{00000000-0005-0000-0000-0000394C0000}"/>
    <cellStyle name="Output 2 8 2 2 9 3" xfId="18196" xr:uid="{00000000-0005-0000-0000-00003A4C0000}"/>
    <cellStyle name="Output 2 8 2 2 9_Summary" xfId="24052" xr:uid="{00000000-0005-0000-0000-00003B4C0000}"/>
    <cellStyle name="Output 2 8 2 2_Summary" xfId="24031" xr:uid="{00000000-0005-0000-0000-00003C4C0000}"/>
    <cellStyle name="Output 2 8 2 3" xfId="982" xr:uid="{00000000-0005-0000-0000-00003D4C0000}"/>
    <cellStyle name="Output 2 8 2 3 2" xfId="3118" xr:uid="{00000000-0005-0000-0000-00003E4C0000}"/>
    <cellStyle name="Output 2 8 2 3 2 2" xfId="9714" xr:uid="{00000000-0005-0000-0000-00003F4C0000}"/>
    <cellStyle name="Output 2 8 2 3 2 3" xfId="16333" xr:uid="{00000000-0005-0000-0000-0000404C0000}"/>
    <cellStyle name="Output 2 8 2 3 2_Summary" xfId="24054" xr:uid="{00000000-0005-0000-0000-0000414C0000}"/>
    <cellStyle name="Output 2 8 2 3 3" xfId="5153" xr:uid="{00000000-0005-0000-0000-0000424C0000}"/>
    <cellStyle name="Output 2 8 2 3 3 2" xfId="11749" xr:uid="{00000000-0005-0000-0000-0000434C0000}"/>
    <cellStyle name="Output 2 8 2 3 3 3" xfId="18368" xr:uid="{00000000-0005-0000-0000-0000444C0000}"/>
    <cellStyle name="Output 2 8 2 3 3_Summary" xfId="24055" xr:uid="{00000000-0005-0000-0000-0000454C0000}"/>
    <cellStyle name="Output 2 8 2 3 4" xfId="7579" xr:uid="{00000000-0005-0000-0000-0000464C0000}"/>
    <cellStyle name="Output 2 8 2 3 5" xfId="14197" xr:uid="{00000000-0005-0000-0000-0000474C0000}"/>
    <cellStyle name="Output 2 8 2 3_Summary" xfId="24053" xr:uid="{00000000-0005-0000-0000-0000484C0000}"/>
    <cellStyle name="Output 2 8 2 4" xfId="1264" xr:uid="{00000000-0005-0000-0000-0000494C0000}"/>
    <cellStyle name="Output 2 8 2 4 2" xfId="3400" xr:uid="{00000000-0005-0000-0000-00004A4C0000}"/>
    <cellStyle name="Output 2 8 2 4 2 2" xfId="9996" xr:uid="{00000000-0005-0000-0000-00004B4C0000}"/>
    <cellStyle name="Output 2 8 2 4 2 3" xfId="16615" xr:uid="{00000000-0005-0000-0000-00004C4C0000}"/>
    <cellStyle name="Output 2 8 2 4 2_Summary" xfId="24057" xr:uid="{00000000-0005-0000-0000-00004D4C0000}"/>
    <cellStyle name="Output 2 8 2 4 3" xfId="5435" xr:uid="{00000000-0005-0000-0000-00004E4C0000}"/>
    <cellStyle name="Output 2 8 2 4 3 2" xfId="12031" xr:uid="{00000000-0005-0000-0000-00004F4C0000}"/>
    <cellStyle name="Output 2 8 2 4 3 3" xfId="18650" xr:uid="{00000000-0005-0000-0000-0000504C0000}"/>
    <cellStyle name="Output 2 8 2 4 3_Summary" xfId="24058" xr:uid="{00000000-0005-0000-0000-0000514C0000}"/>
    <cellStyle name="Output 2 8 2 4 4" xfId="7860" xr:uid="{00000000-0005-0000-0000-0000524C0000}"/>
    <cellStyle name="Output 2 8 2 4 5" xfId="14479" xr:uid="{00000000-0005-0000-0000-0000534C0000}"/>
    <cellStyle name="Output 2 8 2 4_Summary" xfId="24056" xr:uid="{00000000-0005-0000-0000-0000544C0000}"/>
    <cellStyle name="Output 2 8 2 5" xfId="1545" xr:uid="{00000000-0005-0000-0000-0000554C0000}"/>
    <cellStyle name="Output 2 8 2 5 2" xfId="3681" xr:uid="{00000000-0005-0000-0000-0000564C0000}"/>
    <cellStyle name="Output 2 8 2 5 2 2" xfId="10277" xr:uid="{00000000-0005-0000-0000-0000574C0000}"/>
    <cellStyle name="Output 2 8 2 5 2 3" xfId="16896" xr:uid="{00000000-0005-0000-0000-0000584C0000}"/>
    <cellStyle name="Output 2 8 2 5 2_Summary" xfId="24060" xr:uid="{00000000-0005-0000-0000-0000594C0000}"/>
    <cellStyle name="Output 2 8 2 5 3" xfId="5716" xr:uid="{00000000-0005-0000-0000-00005A4C0000}"/>
    <cellStyle name="Output 2 8 2 5 3 2" xfId="12312" xr:uid="{00000000-0005-0000-0000-00005B4C0000}"/>
    <cellStyle name="Output 2 8 2 5 3 3" xfId="18931" xr:uid="{00000000-0005-0000-0000-00005C4C0000}"/>
    <cellStyle name="Output 2 8 2 5 3_Summary" xfId="24061" xr:uid="{00000000-0005-0000-0000-00005D4C0000}"/>
    <cellStyle name="Output 2 8 2 5 4" xfId="8141" xr:uid="{00000000-0005-0000-0000-00005E4C0000}"/>
    <cellStyle name="Output 2 8 2 5 5" xfId="14760" xr:uid="{00000000-0005-0000-0000-00005F4C0000}"/>
    <cellStyle name="Output 2 8 2 5_Summary" xfId="24059" xr:uid="{00000000-0005-0000-0000-0000604C0000}"/>
    <cellStyle name="Output 2 8 2 6" xfId="1824" xr:uid="{00000000-0005-0000-0000-0000614C0000}"/>
    <cellStyle name="Output 2 8 2 6 2" xfId="3960" xr:uid="{00000000-0005-0000-0000-0000624C0000}"/>
    <cellStyle name="Output 2 8 2 6 2 2" xfId="10556" xr:uid="{00000000-0005-0000-0000-0000634C0000}"/>
    <cellStyle name="Output 2 8 2 6 2 3" xfId="17175" xr:uid="{00000000-0005-0000-0000-0000644C0000}"/>
    <cellStyle name="Output 2 8 2 6 2_Summary" xfId="24063" xr:uid="{00000000-0005-0000-0000-0000654C0000}"/>
    <cellStyle name="Output 2 8 2 6 3" xfId="5995" xr:uid="{00000000-0005-0000-0000-0000664C0000}"/>
    <cellStyle name="Output 2 8 2 6 3 2" xfId="12591" xr:uid="{00000000-0005-0000-0000-0000674C0000}"/>
    <cellStyle name="Output 2 8 2 6 3 3" xfId="19210" xr:uid="{00000000-0005-0000-0000-0000684C0000}"/>
    <cellStyle name="Output 2 8 2 6 3_Summary" xfId="24064" xr:uid="{00000000-0005-0000-0000-0000694C0000}"/>
    <cellStyle name="Output 2 8 2 6 4" xfId="8420" xr:uid="{00000000-0005-0000-0000-00006A4C0000}"/>
    <cellStyle name="Output 2 8 2 6 5" xfId="15039" xr:uid="{00000000-0005-0000-0000-00006B4C0000}"/>
    <cellStyle name="Output 2 8 2 6_Summary" xfId="24062" xr:uid="{00000000-0005-0000-0000-00006C4C0000}"/>
    <cellStyle name="Output 2 8 2 7" xfId="2099" xr:uid="{00000000-0005-0000-0000-00006D4C0000}"/>
    <cellStyle name="Output 2 8 2 7 2" xfId="4235" xr:uid="{00000000-0005-0000-0000-00006E4C0000}"/>
    <cellStyle name="Output 2 8 2 7 2 2" xfId="10831" xr:uid="{00000000-0005-0000-0000-00006F4C0000}"/>
    <cellStyle name="Output 2 8 2 7 2 3" xfId="17450" xr:uid="{00000000-0005-0000-0000-0000704C0000}"/>
    <cellStyle name="Output 2 8 2 7 2_Summary" xfId="24066" xr:uid="{00000000-0005-0000-0000-0000714C0000}"/>
    <cellStyle name="Output 2 8 2 7 3" xfId="6270" xr:uid="{00000000-0005-0000-0000-0000724C0000}"/>
    <cellStyle name="Output 2 8 2 7 3 2" xfId="12866" xr:uid="{00000000-0005-0000-0000-0000734C0000}"/>
    <cellStyle name="Output 2 8 2 7 3 3" xfId="19485" xr:uid="{00000000-0005-0000-0000-0000744C0000}"/>
    <cellStyle name="Output 2 8 2 7 3_Summary" xfId="24067" xr:uid="{00000000-0005-0000-0000-0000754C0000}"/>
    <cellStyle name="Output 2 8 2 7 4" xfId="8695" xr:uid="{00000000-0005-0000-0000-0000764C0000}"/>
    <cellStyle name="Output 2 8 2 7 5" xfId="15314" xr:uid="{00000000-0005-0000-0000-0000774C0000}"/>
    <cellStyle name="Output 2 8 2 7_Summary" xfId="24065" xr:uid="{00000000-0005-0000-0000-0000784C0000}"/>
    <cellStyle name="Output 2 8 2 8" xfId="2372" xr:uid="{00000000-0005-0000-0000-0000794C0000}"/>
    <cellStyle name="Output 2 8 2 8 2" xfId="4508" xr:uid="{00000000-0005-0000-0000-00007A4C0000}"/>
    <cellStyle name="Output 2 8 2 8 2 2" xfId="11104" xr:uid="{00000000-0005-0000-0000-00007B4C0000}"/>
    <cellStyle name="Output 2 8 2 8 2 3" xfId="17723" xr:uid="{00000000-0005-0000-0000-00007C4C0000}"/>
    <cellStyle name="Output 2 8 2 8 2_Summary" xfId="24069" xr:uid="{00000000-0005-0000-0000-00007D4C0000}"/>
    <cellStyle name="Output 2 8 2 8 3" xfId="6543" xr:uid="{00000000-0005-0000-0000-00007E4C0000}"/>
    <cellStyle name="Output 2 8 2 8 3 2" xfId="13139" xr:uid="{00000000-0005-0000-0000-00007F4C0000}"/>
    <cellStyle name="Output 2 8 2 8 3 3" xfId="19758" xr:uid="{00000000-0005-0000-0000-0000804C0000}"/>
    <cellStyle name="Output 2 8 2 8 3_Summary" xfId="24070" xr:uid="{00000000-0005-0000-0000-0000814C0000}"/>
    <cellStyle name="Output 2 8 2 8 4" xfId="8968" xr:uid="{00000000-0005-0000-0000-0000824C0000}"/>
    <cellStyle name="Output 2 8 2 8 5" xfId="15587" xr:uid="{00000000-0005-0000-0000-0000834C0000}"/>
    <cellStyle name="Output 2 8 2 8_Summary" xfId="24068" xr:uid="{00000000-0005-0000-0000-0000844C0000}"/>
    <cellStyle name="Output 2 8 2 9" xfId="2673" xr:uid="{00000000-0005-0000-0000-0000854C0000}"/>
    <cellStyle name="Output 2 8 2 9 2" xfId="9269" xr:uid="{00000000-0005-0000-0000-0000864C0000}"/>
    <cellStyle name="Output 2 8 2 9 3" xfId="15888" xr:uid="{00000000-0005-0000-0000-0000874C0000}"/>
    <cellStyle name="Output 2 8 2 9_Summary" xfId="24071" xr:uid="{00000000-0005-0000-0000-0000884C0000}"/>
    <cellStyle name="Output 2 8 2_Summary" xfId="24028" xr:uid="{00000000-0005-0000-0000-0000894C0000}"/>
    <cellStyle name="Output 2 8 3" xfId="355" xr:uid="{00000000-0005-0000-0000-00008A4C0000}"/>
    <cellStyle name="Output 2 8 3 10" xfId="682" xr:uid="{00000000-0005-0000-0000-00008B4C0000}"/>
    <cellStyle name="Output 2 8 3 10 2" xfId="13897" xr:uid="{00000000-0005-0000-0000-00008C4C0000}"/>
    <cellStyle name="Output 2 8 3 10_Summary" xfId="24073" xr:uid="{00000000-0005-0000-0000-00008D4C0000}"/>
    <cellStyle name="Output 2 8 3 11" xfId="7248" xr:uid="{00000000-0005-0000-0000-00008E4C0000}"/>
    <cellStyle name="Output 2 8 3 12" xfId="13570" xr:uid="{00000000-0005-0000-0000-00008F4C0000}"/>
    <cellStyle name="Output 2 8 3 13" xfId="29594" xr:uid="{4586231C-5C48-4C7C-AFA4-C4D8D05246FF}"/>
    <cellStyle name="Output 2 8 3 14" xfId="31159" xr:uid="{2403299E-7E8E-4ED4-8A3F-F15FF6FB5104}"/>
    <cellStyle name="Output 2 8 3 2" xfId="1049" xr:uid="{00000000-0005-0000-0000-0000904C0000}"/>
    <cellStyle name="Output 2 8 3 2 2" xfId="3185" xr:uid="{00000000-0005-0000-0000-0000914C0000}"/>
    <cellStyle name="Output 2 8 3 2 2 2" xfId="9781" xr:uid="{00000000-0005-0000-0000-0000924C0000}"/>
    <cellStyle name="Output 2 8 3 2 2 3" xfId="16400" xr:uid="{00000000-0005-0000-0000-0000934C0000}"/>
    <cellStyle name="Output 2 8 3 2 2_Summary" xfId="24075" xr:uid="{00000000-0005-0000-0000-0000944C0000}"/>
    <cellStyle name="Output 2 8 3 2 3" xfId="5220" xr:uid="{00000000-0005-0000-0000-0000954C0000}"/>
    <cellStyle name="Output 2 8 3 2 3 2" xfId="11816" xr:uid="{00000000-0005-0000-0000-0000964C0000}"/>
    <cellStyle name="Output 2 8 3 2 3 3" xfId="18435" xr:uid="{00000000-0005-0000-0000-0000974C0000}"/>
    <cellStyle name="Output 2 8 3 2 3_Summary" xfId="24076" xr:uid="{00000000-0005-0000-0000-0000984C0000}"/>
    <cellStyle name="Output 2 8 3 2 4" xfId="7646" xr:uid="{00000000-0005-0000-0000-0000994C0000}"/>
    <cellStyle name="Output 2 8 3 2 5" xfId="14264" xr:uid="{00000000-0005-0000-0000-00009A4C0000}"/>
    <cellStyle name="Output 2 8 3 2 6" xfId="30444" xr:uid="{ECD8AC3A-11B2-40B8-A290-4AE3D5600032}"/>
    <cellStyle name="Output 2 8 3 2 7" xfId="31876" xr:uid="{A2E522EF-F94A-44A4-B24E-295FFBB85455}"/>
    <cellStyle name="Output 2 8 3 2_Summary" xfId="24074" xr:uid="{00000000-0005-0000-0000-00009B4C0000}"/>
    <cellStyle name="Output 2 8 3 3" xfId="1331" xr:uid="{00000000-0005-0000-0000-00009C4C0000}"/>
    <cellStyle name="Output 2 8 3 3 2" xfId="3467" xr:uid="{00000000-0005-0000-0000-00009D4C0000}"/>
    <cellStyle name="Output 2 8 3 3 2 2" xfId="10063" xr:uid="{00000000-0005-0000-0000-00009E4C0000}"/>
    <cellStyle name="Output 2 8 3 3 2 3" xfId="16682" xr:uid="{00000000-0005-0000-0000-00009F4C0000}"/>
    <cellStyle name="Output 2 8 3 3 2_Summary" xfId="24078" xr:uid="{00000000-0005-0000-0000-0000A04C0000}"/>
    <cellStyle name="Output 2 8 3 3 3" xfId="5502" xr:uid="{00000000-0005-0000-0000-0000A14C0000}"/>
    <cellStyle name="Output 2 8 3 3 3 2" xfId="12098" xr:uid="{00000000-0005-0000-0000-0000A24C0000}"/>
    <cellStyle name="Output 2 8 3 3 3 3" xfId="18717" xr:uid="{00000000-0005-0000-0000-0000A34C0000}"/>
    <cellStyle name="Output 2 8 3 3 3_Summary" xfId="24079" xr:uid="{00000000-0005-0000-0000-0000A44C0000}"/>
    <cellStyle name="Output 2 8 3 3 4" xfId="7927" xr:uid="{00000000-0005-0000-0000-0000A54C0000}"/>
    <cellStyle name="Output 2 8 3 3 5" xfId="14546" xr:uid="{00000000-0005-0000-0000-0000A64C0000}"/>
    <cellStyle name="Output 2 8 3 3_Summary" xfId="24077" xr:uid="{00000000-0005-0000-0000-0000A74C0000}"/>
    <cellStyle name="Output 2 8 3 4" xfId="1612" xr:uid="{00000000-0005-0000-0000-0000A84C0000}"/>
    <cellStyle name="Output 2 8 3 4 2" xfId="3748" xr:uid="{00000000-0005-0000-0000-0000A94C0000}"/>
    <cellStyle name="Output 2 8 3 4 2 2" xfId="10344" xr:uid="{00000000-0005-0000-0000-0000AA4C0000}"/>
    <cellStyle name="Output 2 8 3 4 2 3" xfId="16963" xr:uid="{00000000-0005-0000-0000-0000AB4C0000}"/>
    <cellStyle name="Output 2 8 3 4 2_Summary" xfId="24081" xr:uid="{00000000-0005-0000-0000-0000AC4C0000}"/>
    <cellStyle name="Output 2 8 3 4 3" xfId="5783" xr:uid="{00000000-0005-0000-0000-0000AD4C0000}"/>
    <cellStyle name="Output 2 8 3 4 3 2" xfId="12379" xr:uid="{00000000-0005-0000-0000-0000AE4C0000}"/>
    <cellStyle name="Output 2 8 3 4 3 3" xfId="18998" xr:uid="{00000000-0005-0000-0000-0000AF4C0000}"/>
    <cellStyle name="Output 2 8 3 4 3_Summary" xfId="24082" xr:uid="{00000000-0005-0000-0000-0000B04C0000}"/>
    <cellStyle name="Output 2 8 3 4 4" xfId="8208" xr:uid="{00000000-0005-0000-0000-0000B14C0000}"/>
    <cellStyle name="Output 2 8 3 4 5" xfId="14827" xr:uid="{00000000-0005-0000-0000-0000B24C0000}"/>
    <cellStyle name="Output 2 8 3 4_Summary" xfId="24080" xr:uid="{00000000-0005-0000-0000-0000B34C0000}"/>
    <cellStyle name="Output 2 8 3 5" xfId="1891" xr:uid="{00000000-0005-0000-0000-0000B44C0000}"/>
    <cellStyle name="Output 2 8 3 5 2" xfId="4027" xr:uid="{00000000-0005-0000-0000-0000B54C0000}"/>
    <cellStyle name="Output 2 8 3 5 2 2" xfId="10623" xr:uid="{00000000-0005-0000-0000-0000B64C0000}"/>
    <cellStyle name="Output 2 8 3 5 2 3" xfId="17242" xr:uid="{00000000-0005-0000-0000-0000B74C0000}"/>
    <cellStyle name="Output 2 8 3 5 2_Summary" xfId="24084" xr:uid="{00000000-0005-0000-0000-0000B84C0000}"/>
    <cellStyle name="Output 2 8 3 5 3" xfId="6062" xr:uid="{00000000-0005-0000-0000-0000B94C0000}"/>
    <cellStyle name="Output 2 8 3 5 3 2" xfId="12658" xr:uid="{00000000-0005-0000-0000-0000BA4C0000}"/>
    <cellStyle name="Output 2 8 3 5 3 3" xfId="19277" xr:uid="{00000000-0005-0000-0000-0000BB4C0000}"/>
    <cellStyle name="Output 2 8 3 5 3_Summary" xfId="24085" xr:uid="{00000000-0005-0000-0000-0000BC4C0000}"/>
    <cellStyle name="Output 2 8 3 5 4" xfId="8487" xr:uid="{00000000-0005-0000-0000-0000BD4C0000}"/>
    <cellStyle name="Output 2 8 3 5 5" xfId="15106" xr:uid="{00000000-0005-0000-0000-0000BE4C0000}"/>
    <cellStyle name="Output 2 8 3 5_Summary" xfId="24083" xr:uid="{00000000-0005-0000-0000-0000BF4C0000}"/>
    <cellStyle name="Output 2 8 3 6" xfId="2166" xr:uid="{00000000-0005-0000-0000-0000C04C0000}"/>
    <cellStyle name="Output 2 8 3 6 2" xfId="4302" xr:uid="{00000000-0005-0000-0000-0000C14C0000}"/>
    <cellStyle name="Output 2 8 3 6 2 2" xfId="10898" xr:uid="{00000000-0005-0000-0000-0000C24C0000}"/>
    <cellStyle name="Output 2 8 3 6 2 3" xfId="17517" xr:uid="{00000000-0005-0000-0000-0000C34C0000}"/>
    <cellStyle name="Output 2 8 3 6 2_Summary" xfId="24087" xr:uid="{00000000-0005-0000-0000-0000C44C0000}"/>
    <cellStyle name="Output 2 8 3 6 3" xfId="6337" xr:uid="{00000000-0005-0000-0000-0000C54C0000}"/>
    <cellStyle name="Output 2 8 3 6 3 2" xfId="12933" xr:uid="{00000000-0005-0000-0000-0000C64C0000}"/>
    <cellStyle name="Output 2 8 3 6 3 3" xfId="19552" xr:uid="{00000000-0005-0000-0000-0000C74C0000}"/>
    <cellStyle name="Output 2 8 3 6 3_Summary" xfId="24088" xr:uid="{00000000-0005-0000-0000-0000C84C0000}"/>
    <cellStyle name="Output 2 8 3 6 4" xfId="8762" xr:uid="{00000000-0005-0000-0000-0000C94C0000}"/>
    <cellStyle name="Output 2 8 3 6 5" xfId="15381" xr:uid="{00000000-0005-0000-0000-0000CA4C0000}"/>
    <cellStyle name="Output 2 8 3 6_Summary" xfId="24086" xr:uid="{00000000-0005-0000-0000-0000CB4C0000}"/>
    <cellStyle name="Output 2 8 3 7" xfId="2439" xr:uid="{00000000-0005-0000-0000-0000CC4C0000}"/>
    <cellStyle name="Output 2 8 3 7 2" xfId="4575" xr:uid="{00000000-0005-0000-0000-0000CD4C0000}"/>
    <cellStyle name="Output 2 8 3 7 2 2" xfId="11171" xr:uid="{00000000-0005-0000-0000-0000CE4C0000}"/>
    <cellStyle name="Output 2 8 3 7 2 3" xfId="17790" xr:uid="{00000000-0005-0000-0000-0000CF4C0000}"/>
    <cellStyle name="Output 2 8 3 7 2_Summary" xfId="24090" xr:uid="{00000000-0005-0000-0000-0000D04C0000}"/>
    <cellStyle name="Output 2 8 3 7 3" xfId="6610" xr:uid="{00000000-0005-0000-0000-0000D14C0000}"/>
    <cellStyle name="Output 2 8 3 7 3 2" xfId="13206" xr:uid="{00000000-0005-0000-0000-0000D24C0000}"/>
    <cellStyle name="Output 2 8 3 7 3 3" xfId="19825" xr:uid="{00000000-0005-0000-0000-0000D34C0000}"/>
    <cellStyle name="Output 2 8 3 7 3_Summary" xfId="24091" xr:uid="{00000000-0005-0000-0000-0000D44C0000}"/>
    <cellStyle name="Output 2 8 3 7 4" xfId="9035" xr:uid="{00000000-0005-0000-0000-0000D54C0000}"/>
    <cellStyle name="Output 2 8 3 7 5" xfId="15654" xr:uid="{00000000-0005-0000-0000-0000D64C0000}"/>
    <cellStyle name="Output 2 8 3 7_Summary" xfId="24089" xr:uid="{00000000-0005-0000-0000-0000D74C0000}"/>
    <cellStyle name="Output 2 8 3 8" xfId="2818" xr:uid="{00000000-0005-0000-0000-0000D84C0000}"/>
    <cellStyle name="Output 2 8 3 8 2" xfId="9414" xr:uid="{00000000-0005-0000-0000-0000D94C0000}"/>
    <cellStyle name="Output 2 8 3 8 3" xfId="16033" xr:uid="{00000000-0005-0000-0000-0000DA4C0000}"/>
    <cellStyle name="Output 2 8 3 8_Summary" xfId="24092" xr:uid="{00000000-0005-0000-0000-0000DB4C0000}"/>
    <cellStyle name="Output 2 8 3 9" xfId="4853" xr:uid="{00000000-0005-0000-0000-0000DC4C0000}"/>
    <cellStyle name="Output 2 8 3 9 2" xfId="11449" xr:uid="{00000000-0005-0000-0000-0000DD4C0000}"/>
    <cellStyle name="Output 2 8 3 9 3" xfId="18068" xr:uid="{00000000-0005-0000-0000-0000DE4C0000}"/>
    <cellStyle name="Output 2 8 3 9_Summary" xfId="24093" xr:uid="{00000000-0005-0000-0000-0000DF4C0000}"/>
    <cellStyle name="Output 2 8 3_Summary" xfId="24072" xr:uid="{00000000-0005-0000-0000-0000E04C0000}"/>
    <cellStyle name="Output 2 8 4" xfId="642" xr:uid="{00000000-0005-0000-0000-0000E14C0000}"/>
    <cellStyle name="Output 2 8 4 2" xfId="2778" xr:uid="{00000000-0005-0000-0000-0000E24C0000}"/>
    <cellStyle name="Output 2 8 4 2 2" xfId="9374" xr:uid="{00000000-0005-0000-0000-0000E34C0000}"/>
    <cellStyle name="Output 2 8 4 2 3" xfId="15993" xr:uid="{00000000-0005-0000-0000-0000E44C0000}"/>
    <cellStyle name="Output 2 8 4 2_Summary" xfId="24095" xr:uid="{00000000-0005-0000-0000-0000E54C0000}"/>
    <cellStyle name="Output 2 8 4 3" xfId="4813" xr:uid="{00000000-0005-0000-0000-0000E64C0000}"/>
    <cellStyle name="Output 2 8 4 3 2" xfId="11409" xr:uid="{00000000-0005-0000-0000-0000E74C0000}"/>
    <cellStyle name="Output 2 8 4 3 3" xfId="18028" xr:uid="{00000000-0005-0000-0000-0000E84C0000}"/>
    <cellStyle name="Output 2 8 4 3_Summary" xfId="24096" xr:uid="{00000000-0005-0000-0000-0000E94C0000}"/>
    <cellStyle name="Output 2 8 4 4" xfId="7414" xr:uid="{00000000-0005-0000-0000-0000EA4C0000}"/>
    <cellStyle name="Output 2 8 4 5" xfId="13857" xr:uid="{00000000-0005-0000-0000-0000EB4C0000}"/>
    <cellStyle name="Output 2 8 4 6" xfId="30442" xr:uid="{58C1C06F-34F1-4E35-A418-4BA5787F55A9}"/>
    <cellStyle name="Output 2 8 4 7" xfId="31874" xr:uid="{2C897826-A704-4A8E-83D9-2EDB452E54BA}"/>
    <cellStyle name="Output 2 8 4_Summary" xfId="24094" xr:uid="{00000000-0005-0000-0000-0000EC4C0000}"/>
    <cellStyle name="Output 2 8 5" xfId="655" xr:uid="{00000000-0005-0000-0000-0000ED4C0000}"/>
    <cellStyle name="Output 2 8 5 2" xfId="2791" xr:uid="{00000000-0005-0000-0000-0000EE4C0000}"/>
    <cellStyle name="Output 2 8 5 2 2" xfId="9387" xr:uid="{00000000-0005-0000-0000-0000EF4C0000}"/>
    <cellStyle name="Output 2 8 5 2 3" xfId="16006" xr:uid="{00000000-0005-0000-0000-0000F04C0000}"/>
    <cellStyle name="Output 2 8 5 2_Summary" xfId="24098" xr:uid="{00000000-0005-0000-0000-0000F14C0000}"/>
    <cellStyle name="Output 2 8 5 3" xfId="4826" xr:uid="{00000000-0005-0000-0000-0000F24C0000}"/>
    <cellStyle name="Output 2 8 5 3 2" xfId="11422" xr:uid="{00000000-0005-0000-0000-0000F34C0000}"/>
    <cellStyle name="Output 2 8 5 3 3" xfId="18041" xr:uid="{00000000-0005-0000-0000-0000F44C0000}"/>
    <cellStyle name="Output 2 8 5 3_Summary" xfId="24099" xr:uid="{00000000-0005-0000-0000-0000F54C0000}"/>
    <cellStyle name="Output 2 8 5 4" xfId="7427" xr:uid="{00000000-0005-0000-0000-0000F64C0000}"/>
    <cellStyle name="Output 2 8 5 5" xfId="13870" xr:uid="{00000000-0005-0000-0000-0000F74C0000}"/>
    <cellStyle name="Output 2 8 5_Summary" xfId="24097" xr:uid="{00000000-0005-0000-0000-0000F84C0000}"/>
    <cellStyle name="Output 2 8 6" xfId="974" xr:uid="{00000000-0005-0000-0000-0000F94C0000}"/>
    <cellStyle name="Output 2 8 6 2" xfId="3110" xr:uid="{00000000-0005-0000-0000-0000FA4C0000}"/>
    <cellStyle name="Output 2 8 6 2 2" xfId="9706" xr:uid="{00000000-0005-0000-0000-0000FB4C0000}"/>
    <cellStyle name="Output 2 8 6 2 3" xfId="16325" xr:uid="{00000000-0005-0000-0000-0000FC4C0000}"/>
    <cellStyle name="Output 2 8 6 2_Summary" xfId="24101" xr:uid="{00000000-0005-0000-0000-0000FD4C0000}"/>
    <cellStyle name="Output 2 8 6 3" xfId="5145" xr:uid="{00000000-0005-0000-0000-0000FE4C0000}"/>
    <cellStyle name="Output 2 8 6 3 2" xfId="11741" xr:uid="{00000000-0005-0000-0000-0000FF4C0000}"/>
    <cellStyle name="Output 2 8 6 3 3" xfId="18360" xr:uid="{00000000-0005-0000-0000-0000004D0000}"/>
    <cellStyle name="Output 2 8 6 3_Summary" xfId="24102" xr:uid="{00000000-0005-0000-0000-0000014D0000}"/>
    <cellStyle name="Output 2 8 6 4" xfId="7571" xr:uid="{00000000-0005-0000-0000-0000024D0000}"/>
    <cellStyle name="Output 2 8 6 5" xfId="14189" xr:uid="{00000000-0005-0000-0000-0000034D0000}"/>
    <cellStyle name="Output 2 8 6_Summary" xfId="24100" xr:uid="{00000000-0005-0000-0000-0000044D0000}"/>
    <cellStyle name="Output 2 8 7" xfId="1256" xr:uid="{00000000-0005-0000-0000-0000054D0000}"/>
    <cellStyle name="Output 2 8 7 2" xfId="3392" xr:uid="{00000000-0005-0000-0000-0000064D0000}"/>
    <cellStyle name="Output 2 8 7 2 2" xfId="9988" xr:uid="{00000000-0005-0000-0000-0000074D0000}"/>
    <cellStyle name="Output 2 8 7 2 3" xfId="16607" xr:uid="{00000000-0005-0000-0000-0000084D0000}"/>
    <cellStyle name="Output 2 8 7 2_Summary" xfId="24104" xr:uid="{00000000-0005-0000-0000-0000094D0000}"/>
    <cellStyle name="Output 2 8 7 3" xfId="5427" xr:uid="{00000000-0005-0000-0000-00000A4D0000}"/>
    <cellStyle name="Output 2 8 7 3 2" xfId="12023" xr:uid="{00000000-0005-0000-0000-00000B4D0000}"/>
    <cellStyle name="Output 2 8 7 3 3" xfId="18642" xr:uid="{00000000-0005-0000-0000-00000C4D0000}"/>
    <cellStyle name="Output 2 8 7 3_Summary" xfId="24105" xr:uid="{00000000-0005-0000-0000-00000D4D0000}"/>
    <cellStyle name="Output 2 8 7 4" xfId="7852" xr:uid="{00000000-0005-0000-0000-00000E4D0000}"/>
    <cellStyle name="Output 2 8 7 5" xfId="14471" xr:uid="{00000000-0005-0000-0000-00000F4D0000}"/>
    <cellStyle name="Output 2 8 7_Summary" xfId="24103" xr:uid="{00000000-0005-0000-0000-0000104D0000}"/>
    <cellStyle name="Output 2 8 8" xfId="1537" xr:uid="{00000000-0005-0000-0000-0000114D0000}"/>
    <cellStyle name="Output 2 8 8 2" xfId="3673" xr:uid="{00000000-0005-0000-0000-0000124D0000}"/>
    <cellStyle name="Output 2 8 8 2 2" xfId="10269" xr:uid="{00000000-0005-0000-0000-0000134D0000}"/>
    <cellStyle name="Output 2 8 8 2 3" xfId="16888" xr:uid="{00000000-0005-0000-0000-0000144D0000}"/>
    <cellStyle name="Output 2 8 8 2_Summary" xfId="24107" xr:uid="{00000000-0005-0000-0000-0000154D0000}"/>
    <cellStyle name="Output 2 8 8 3" xfId="5708" xr:uid="{00000000-0005-0000-0000-0000164D0000}"/>
    <cellStyle name="Output 2 8 8 3 2" xfId="12304" xr:uid="{00000000-0005-0000-0000-0000174D0000}"/>
    <cellStyle name="Output 2 8 8 3 3" xfId="18923" xr:uid="{00000000-0005-0000-0000-0000184D0000}"/>
    <cellStyle name="Output 2 8 8 3_Summary" xfId="24108" xr:uid="{00000000-0005-0000-0000-0000194D0000}"/>
    <cellStyle name="Output 2 8 8 4" xfId="8133" xr:uid="{00000000-0005-0000-0000-00001A4D0000}"/>
    <cellStyle name="Output 2 8 8 5" xfId="14752" xr:uid="{00000000-0005-0000-0000-00001B4D0000}"/>
    <cellStyle name="Output 2 8 8_Summary" xfId="24106" xr:uid="{00000000-0005-0000-0000-00001C4D0000}"/>
    <cellStyle name="Output 2 8 9" xfId="1816" xr:uid="{00000000-0005-0000-0000-00001D4D0000}"/>
    <cellStyle name="Output 2 8 9 2" xfId="3952" xr:uid="{00000000-0005-0000-0000-00001E4D0000}"/>
    <cellStyle name="Output 2 8 9 2 2" xfId="10548" xr:uid="{00000000-0005-0000-0000-00001F4D0000}"/>
    <cellStyle name="Output 2 8 9 2 3" xfId="17167" xr:uid="{00000000-0005-0000-0000-0000204D0000}"/>
    <cellStyle name="Output 2 8 9 2_Summary" xfId="24110" xr:uid="{00000000-0005-0000-0000-0000214D0000}"/>
    <cellStyle name="Output 2 8 9 3" xfId="5987" xr:uid="{00000000-0005-0000-0000-0000224D0000}"/>
    <cellStyle name="Output 2 8 9 3 2" xfId="12583" xr:uid="{00000000-0005-0000-0000-0000234D0000}"/>
    <cellStyle name="Output 2 8 9 3 3" xfId="19202" xr:uid="{00000000-0005-0000-0000-0000244D0000}"/>
    <cellStyle name="Output 2 8 9 3_Summary" xfId="24111" xr:uid="{00000000-0005-0000-0000-0000254D0000}"/>
    <cellStyle name="Output 2 8 9 4" xfId="8412" xr:uid="{00000000-0005-0000-0000-0000264D0000}"/>
    <cellStyle name="Output 2 8 9 5" xfId="15031" xr:uid="{00000000-0005-0000-0000-0000274D0000}"/>
    <cellStyle name="Output 2 8 9_Summary" xfId="24109" xr:uid="{00000000-0005-0000-0000-0000284D0000}"/>
    <cellStyle name="Output 2 8_Summary" xfId="24024" xr:uid="{00000000-0005-0000-0000-0000294D0000}"/>
    <cellStyle name="Output 2 9" xfId="142" xr:uid="{00000000-0005-0000-0000-00002A4D0000}"/>
    <cellStyle name="Output 2 9 10" xfId="2585" xr:uid="{00000000-0005-0000-0000-00002B4D0000}"/>
    <cellStyle name="Output 2 9 10 2" xfId="9181" xr:uid="{00000000-0005-0000-0000-00002C4D0000}"/>
    <cellStyle name="Output 2 9 10 3" xfId="15800" xr:uid="{00000000-0005-0000-0000-00002D4D0000}"/>
    <cellStyle name="Output 2 9 10_Summary" xfId="24113" xr:uid="{00000000-0005-0000-0000-00002E4D0000}"/>
    <cellStyle name="Output 2 9 11" xfId="2572" xr:uid="{00000000-0005-0000-0000-00002F4D0000}"/>
    <cellStyle name="Output 2 9 11 2" xfId="9168" xr:uid="{00000000-0005-0000-0000-0000304D0000}"/>
    <cellStyle name="Output 2 9 11 3" xfId="15787" xr:uid="{00000000-0005-0000-0000-0000314D0000}"/>
    <cellStyle name="Output 2 9 11_Summary" xfId="24114" xr:uid="{00000000-0005-0000-0000-0000324D0000}"/>
    <cellStyle name="Output 2 9 12" xfId="477" xr:uid="{00000000-0005-0000-0000-0000334D0000}"/>
    <cellStyle name="Output 2 9 12 2" xfId="13692" xr:uid="{00000000-0005-0000-0000-0000344D0000}"/>
    <cellStyle name="Output 2 9 12_Summary" xfId="24115" xr:uid="{00000000-0005-0000-0000-0000354D0000}"/>
    <cellStyle name="Output 2 9 13" xfId="7056" xr:uid="{00000000-0005-0000-0000-0000364D0000}"/>
    <cellStyle name="Output 2 9 14" xfId="7034" xr:uid="{00000000-0005-0000-0000-0000374D0000}"/>
    <cellStyle name="Output 2 9 15" xfId="29595" xr:uid="{5F094175-639A-4347-96E5-C106949DE763}"/>
    <cellStyle name="Output 2 9 16" xfId="31160" xr:uid="{ADDDF5B9-0B49-44C0-978C-262E51167019}"/>
    <cellStyle name="Output 2 9 2" xfId="291" xr:uid="{00000000-0005-0000-0000-0000384D0000}"/>
    <cellStyle name="Output 2 9 2 10" xfId="4712" xr:uid="{00000000-0005-0000-0000-0000394D0000}"/>
    <cellStyle name="Output 2 9 2 10 2" xfId="11308" xr:uid="{00000000-0005-0000-0000-00003A4D0000}"/>
    <cellStyle name="Output 2 9 2 10 3" xfId="17927" xr:uid="{00000000-0005-0000-0000-00003B4D0000}"/>
    <cellStyle name="Output 2 9 2 10_Summary" xfId="24117" xr:uid="{00000000-0005-0000-0000-00003C4D0000}"/>
    <cellStyle name="Output 2 9 2 11" xfId="541" xr:uid="{00000000-0005-0000-0000-00003D4D0000}"/>
    <cellStyle name="Output 2 9 2 11 2" xfId="13756" xr:uid="{00000000-0005-0000-0000-00003E4D0000}"/>
    <cellStyle name="Output 2 9 2 11_Summary" xfId="24118" xr:uid="{00000000-0005-0000-0000-00003F4D0000}"/>
    <cellStyle name="Output 2 9 2 12" xfId="7185" xr:uid="{00000000-0005-0000-0000-0000404D0000}"/>
    <cellStyle name="Output 2 9 2 13" xfId="13507" xr:uid="{00000000-0005-0000-0000-0000414D0000}"/>
    <cellStyle name="Output 2 9 2 14" xfId="29596" xr:uid="{D5B36BF2-90B0-4185-AFAE-79F1139DC1A9}"/>
    <cellStyle name="Output 2 9 2 15" xfId="31161" xr:uid="{66C1F66A-4911-4133-89A8-F2BAFCC6CB8C}"/>
    <cellStyle name="Output 2 9 2 2" xfId="420" xr:uid="{00000000-0005-0000-0000-0000424D0000}"/>
    <cellStyle name="Output 2 9 2 2 10" xfId="814" xr:uid="{00000000-0005-0000-0000-0000434D0000}"/>
    <cellStyle name="Output 2 9 2 2 10 2" xfId="14029" xr:uid="{00000000-0005-0000-0000-0000444D0000}"/>
    <cellStyle name="Output 2 9 2 2 10_Summary" xfId="24120" xr:uid="{00000000-0005-0000-0000-0000454D0000}"/>
    <cellStyle name="Output 2 9 2 2 11" xfId="7313" xr:uid="{00000000-0005-0000-0000-0000464D0000}"/>
    <cellStyle name="Output 2 9 2 2 12" xfId="13635" xr:uid="{00000000-0005-0000-0000-0000474D0000}"/>
    <cellStyle name="Output 2 9 2 2 13" xfId="30446" xr:uid="{5AA2CE96-076F-445B-BF12-B65621D92A5E}"/>
    <cellStyle name="Output 2 9 2 2 14" xfId="31878" xr:uid="{30FFD36A-4856-446D-9959-B0A60FD61288}"/>
    <cellStyle name="Output 2 9 2 2 2" xfId="1114" xr:uid="{00000000-0005-0000-0000-0000484D0000}"/>
    <cellStyle name="Output 2 9 2 2 2 2" xfId="3250" xr:uid="{00000000-0005-0000-0000-0000494D0000}"/>
    <cellStyle name="Output 2 9 2 2 2 2 2" xfId="9846" xr:uid="{00000000-0005-0000-0000-00004A4D0000}"/>
    <cellStyle name="Output 2 9 2 2 2 2 3" xfId="16465" xr:uid="{00000000-0005-0000-0000-00004B4D0000}"/>
    <cellStyle name="Output 2 9 2 2 2 2_Summary" xfId="24122" xr:uid="{00000000-0005-0000-0000-00004C4D0000}"/>
    <cellStyle name="Output 2 9 2 2 2 3" xfId="5285" xr:uid="{00000000-0005-0000-0000-00004D4D0000}"/>
    <cellStyle name="Output 2 9 2 2 2 3 2" xfId="11881" xr:uid="{00000000-0005-0000-0000-00004E4D0000}"/>
    <cellStyle name="Output 2 9 2 2 2 3 3" xfId="18500" xr:uid="{00000000-0005-0000-0000-00004F4D0000}"/>
    <cellStyle name="Output 2 9 2 2 2 3_Summary" xfId="24123" xr:uid="{00000000-0005-0000-0000-0000504D0000}"/>
    <cellStyle name="Output 2 9 2 2 2 4" xfId="7710" xr:uid="{00000000-0005-0000-0000-0000514D0000}"/>
    <cellStyle name="Output 2 9 2 2 2 5" xfId="14329" xr:uid="{00000000-0005-0000-0000-0000524D0000}"/>
    <cellStyle name="Output 2 9 2 2 2_Summary" xfId="24121" xr:uid="{00000000-0005-0000-0000-0000534D0000}"/>
    <cellStyle name="Output 2 9 2 2 3" xfId="1396" xr:uid="{00000000-0005-0000-0000-0000544D0000}"/>
    <cellStyle name="Output 2 9 2 2 3 2" xfId="3532" xr:uid="{00000000-0005-0000-0000-0000554D0000}"/>
    <cellStyle name="Output 2 9 2 2 3 2 2" xfId="10128" xr:uid="{00000000-0005-0000-0000-0000564D0000}"/>
    <cellStyle name="Output 2 9 2 2 3 2 3" xfId="16747" xr:uid="{00000000-0005-0000-0000-0000574D0000}"/>
    <cellStyle name="Output 2 9 2 2 3 2_Summary" xfId="24125" xr:uid="{00000000-0005-0000-0000-0000584D0000}"/>
    <cellStyle name="Output 2 9 2 2 3 3" xfId="5567" xr:uid="{00000000-0005-0000-0000-0000594D0000}"/>
    <cellStyle name="Output 2 9 2 2 3 3 2" xfId="12163" xr:uid="{00000000-0005-0000-0000-00005A4D0000}"/>
    <cellStyle name="Output 2 9 2 2 3 3 3" xfId="18782" xr:uid="{00000000-0005-0000-0000-00005B4D0000}"/>
    <cellStyle name="Output 2 9 2 2 3 3_Summary" xfId="24126" xr:uid="{00000000-0005-0000-0000-00005C4D0000}"/>
    <cellStyle name="Output 2 9 2 2 3 4" xfId="7992" xr:uid="{00000000-0005-0000-0000-00005D4D0000}"/>
    <cellStyle name="Output 2 9 2 2 3 5" xfId="14611" xr:uid="{00000000-0005-0000-0000-00005E4D0000}"/>
    <cellStyle name="Output 2 9 2 2 3_Summary" xfId="24124" xr:uid="{00000000-0005-0000-0000-00005F4D0000}"/>
    <cellStyle name="Output 2 9 2 2 4" xfId="1677" xr:uid="{00000000-0005-0000-0000-0000604D0000}"/>
    <cellStyle name="Output 2 9 2 2 4 2" xfId="3813" xr:uid="{00000000-0005-0000-0000-0000614D0000}"/>
    <cellStyle name="Output 2 9 2 2 4 2 2" xfId="10409" xr:uid="{00000000-0005-0000-0000-0000624D0000}"/>
    <cellStyle name="Output 2 9 2 2 4 2 3" xfId="17028" xr:uid="{00000000-0005-0000-0000-0000634D0000}"/>
    <cellStyle name="Output 2 9 2 2 4 2_Summary" xfId="24128" xr:uid="{00000000-0005-0000-0000-0000644D0000}"/>
    <cellStyle name="Output 2 9 2 2 4 3" xfId="5848" xr:uid="{00000000-0005-0000-0000-0000654D0000}"/>
    <cellStyle name="Output 2 9 2 2 4 3 2" xfId="12444" xr:uid="{00000000-0005-0000-0000-0000664D0000}"/>
    <cellStyle name="Output 2 9 2 2 4 3 3" xfId="19063" xr:uid="{00000000-0005-0000-0000-0000674D0000}"/>
    <cellStyle name="Output 2 9 2 2 4 3_Summary" xfId="24129" xr:uid="{00000000-0005-0000-0000-0000684D0000}"/>
    <cellStyle name="Output 2 9 2 2 4 4" xfId="8273" xr:uid="{00000000-0005-0000-0000-0000694D0000}"/>
    <cellStyle name="Output 2 9 2 2 4 5" xfId="14892" xr:uid="{00000000-0005-0000-0000-00006A4D0000}"/>
    <cellStyle name="Output 2 9 2 2 4_Summary" xfId="24127" xr:uid="{00000000-0005-0000-0000-00006B4D0000}"/>
    <cellStyle name="Output 2 9 2 2 5" xfId="1956" xr:uid="{00000000-0005-0000-0000-00006C4D0000}"/>
    <cellStyle name="Output 2 9 2 2 5 2" xfId="4092" xr:uid="{00000000-0005-0000-0000-00006D4D0000}"/>
    <cellStyle name="Output 2 9 2 2 5 2 2" xfId="10688" xr:uid="{00000000-0005-0000-0000-00006E4D0000}"/>
    <cellStyle name="Output 2 9 2 2 5 2 3" xfId="17307" xr:uid="{00000000-0005-0000-0000-00006F4D0000}"/>
    <cellStyle name="Output 2 9 2 2 5 2_Summary" xfId="24131" xr:uid="{00000000-0005-0000-0000-0000704D0000}"/>
    <cellStyle name="Output 2 9 2 2 5 3" xfId="6127" xr:uid="{00000000-0005-0000-0000-0000714D0000}"/>
    <cellStyle name="Output 2 9 2 2 5 3 2" xfId="12723" xr:uid="{00000000-0005-0000-0000-0000724D0000}"/>
    <cellStyle name="Output 2 9 2 2 5 3 3" xfId="19342" xr:uid="{00000000-0005-0000-0000-0000734D0000}"/>
    <cellStyle name="Output 2 9 2 2 5 3_Summary" xfId="24132" xr:uid="{00000000-0005-0000-0000-0000744D0000}"/>
    <cellStyle name="Output 2 9 2 2 5 4" xfId="8552" xr:uid="{00000000-0005-0000-0000-0000754D0000}"/>
    <cellStyle name="Output 2 9 2 2 5 5" xfId="15171" xr:uid="{00000000-0005-0000-0000-0000764D0000}"/>
    <cellStyle name="Output 2 9 2 2 5_Summary" xfId="24130" xr:uid="{00000000-0005-0000-0000-0000774D0000}"/>
    <cellStyle name="Output 2 9 2 2 6" xfId="2231" xr:uid="{00000000-0005-0000-0000-0000784D0000}"/>
    <cellStyle name="Output 2 9 2 2 6 2" xfId="4367" xr:uid="{00000000-0005-0000-0000-0000794D0000}"/>
    <cellStyle name="Output 2 9 2 2 6 2 2" xfId="10963" xr:uid="{00000000-0005-0000-0000-00007A4D0000}"/>
    <cellStyle name="Output 2 9 2 2 6 2 3" xfId="17582" xr:uid="{00000000-0005-0000-0000-00007B4D0000}"/>
    <cellStyle name="Output 2 9 2 2 6 2_Summary" xfId="24134" xr:uid="{00000000-0005-0000-0000-00007C4D0000}"/>
    <cellStyle name="Output 2 9 2 2 6 3" xfId="6402" xr:uid="{00000000-0005-0000-0000-00007D4D0000}"/>
    <cellStyle name="Output 2 9 2 2 6 3 2" xfId="12998" xr:uid="{00000000-0005-0000-0000-00007E4D0000}"/>
    <cellStyle name="Output 2 9 2 2 6 3 3" xfId="19617" xr:uid="{00000000-0005-0000-0000-00007F4D0000}"/>
    <cellStyle name="Output 2 9 2 2 6 3_Summary" xfId="24135" xr:uid="{00000000-0005-0000-0000-0000804D0000}"/>
    <cellStyle name="Output 2 9 2 2 6 4" xfId="8827" xr:uid="{00000000-0005-0000-0000-0000814D0000}"/>
    <cellStyle name="Output 2 9 2 2 6 5" xfId="15446" xr:uid="{00000000-0005-0000-0000-0000824D0000}"/>
    <cellStyle name="Output 2 9 2 2 6_Summary" xfId="24133" xr:uid="{00000000-0005-0000-0000-0000834D0000}"/>
    <cellStyle name="Output 2 9 2 2 7" xfId="2504" xr:uid="{00000000-0005-0000-0000-0000844D0000}"/>
    <cellStyle name="Output 2 9 2 2 7 2" xfId="4640" xr:uid="{00000000-0005-0000-0000-0000854D0000}"/>
    <cellStyle name="Output 2 9 2 2 7 2 2" xfId="11236" xr:uid="{00000000-0005-0000-0000-0000864D0000}"/>
    <cellStyle name="Output 2 9 2 2 7 2 3" xfId="17855" xr:uid="{00000000-0005-0000-0000-0000874D0000}"/>
    <cellStyle name="Output 2 9 2 2 7 2_Summary" xfId="24137" xr:uid="{00000000-0005-0000-0000-0000884D0000}"/>
    <cellStyle name="Output 2 9 2 2 7 3" xfId="6675" xr:uid="{00000000-0005-0000-0000-0000894D0000}"/>
    <cellStyle name="Output 2 9 2 2 7 3 2" xfId="13271" xr:uid="{00000000-0005-0000-0000-00008A4D0000}"/>
    <cellStyle name="Output 2 9 2 2 7 3 3" xfId="19890" xr:uid="{00000000-0005-0000-0000-00008B4D0000}"/>
    <cellStyle name="Output 2 9 2 2 7 3_Summary" xfId="24138" xr:uid="{00000000-0005-0000-0000-00008C4D0000}"/>
    <cellStyle name="Output 2 9 2 2 7 4" xfId="9100" xr:uid="{00000000-0005-0000-0000-00008D4D0000}"/>
    <cellStyle name="Output 2 9 2 2 7 5" xfId="15719" xr:uid="{00000000-0005-0000-0000-00008E4D0000}"/>
    <cellStyle name="Output 2 9 2 2 7_Summary" xfId="24136" xr:uid="{00000000-0005-0000-0000-00008F4D0000}"/>
    <cellStyle name="Output 2 9 2 2 8" xfId="2950" xr:uid="{00000000-0005-0000-0000-0000904D0000}"/>
    <cellStyle name="Output 2 9 2 2 8 2" xfId="9546" xr:uid="{00000000-0005-0000-0000-0000914D0000}"/>
    <cellStyle name="Output 2 9 2 2 8 3" xfId="16165" xr:uid="{00000000-0005-0000-0000-0000924D0000}"/>
    <cellStyle name="Output 2 9 2 2 8_Summary" xfId="24139" xr:uid="{00000000-0005-0000-0000-0000934D0000}"/>
    <cellStyle name="Output 2 9 2 2 9" xfId="4985" xr:uid="{00000000-0005-0000-0000-0000944D0000}"/>
    <cellStyle name="Output 2 9 2 2 9 2" xfId="11581" xr:uid="{00000000-0005-0000-0000-0000954D0000}"/>
    <cellStyle name="Output 2 9 2 2 9 3" xfId="18200" xr:uid="{00000000-0005-0000-0000-0000964D0000}"/>
    <cellStyle name="Output 2 9 2 2 9_Summary" xfId="24140" xr:uid="{00000000-0005-0000-0000-0000974D0000}"/>
    <cellStyle name="Output 2 9 2 2_Summary" xfId="24119" xr:uid="{00000000-0005-0000-0000-0000984D0000}"/>
    <cellStyle name="Output 2 9 2 3" xfId="986" xr:uid="{00000000-0005-0000-0000-0000994D0000}"/>
    <cellStyle name="Output 2 9 2 3 2" xfId="3122" xr:uid="{00000000-0005-0000-0000-00009A4D0000}"/>
    <cellStyle name="Output 2 9 2 3 2 2" xfId="9718" xr:uid="{00000000-0005-0000-0000-00009B4D0000}"/>
    <cellStyle name="Output 2 9 2 3 2 3" xfId="16337" xr:uid="{00000000-0005-0000-0000-00009C4D0000}"/>
    <cellStyle name="Output 2 9 2 3 2_Summary" xfId="24142" xr:uid="{00000000-0005-0000-0000-00009D4D0000}"/>
    <cellStyle name="Output 2 9 2 3 3" xfId="5157" xr:uid="{00000000-0005-0000-0000-00009E4D0000}"/>
    <cellStyle name="Output 2 9 2 3 3 2" xfId="11753" xr:uid="{00000000-0005-0000-0000-00009F4D0000}"/>
    <cellStyle name="Output 2 9 2 3 3 3" xfId="18372" xr:uid="{00000000-0005-0000-0000-0000A04D0000}"/>
    <cellStyle name="Output 2 9 2 3 3_Summary" xfId="24143" xr:uid="{00000000-0005-0000-0000-0000A14D0000}"/>
    <cellStyle name="Output 2 9 2 3 4" xfId="7583" xr:uid="{00000000-0005-0000-0000-0000A24D0000}"/>
    <cellStyle name="Output 2 9 2 3 5" xfId="14201" xr:uid="{00000000-0005-0000-0000-0000A34D0000}"/>
    <cellStyle name="Output 2 9 2 3_Summary" xfId="24141" xr:uid="{00000000-0005-0000-0000-0000A44D0000}"/>
    <cellStyle name="Output 2 9 2 4" xfId="1268" xr:uid="{00000000-0005-0000-0000-0000A54D0000}"/>
    <cellStyle name="Output 2 9 2 4 2" xfId="3404" xr:uid="{00000000-0005-0000-0000-0000A64D0000}"/>
    <cellStyle name="Output 2 9 2 4 2 2" xfId="10000" xr:uid="{00000000-0005-0000-0000-0000A74D0000}"/>
    <cellStyle name="Output 2 9 2 4 2 3" xfId="16619" xr:uid="{00000000-0005-0000-0000-0000A84D0000}"/>
    <cellStyle name="Output 2 9 2 4 2_Summary" xfId="24145" xr:uid="{00000000-0005-0000-0000-0000A94D0000}"/>
    <cellStyle name="Output 2 9 2 4 3" xfId="5439" xr:uid="{00000000-0005-0000-0000-0000AA4D0000}"/>
    <cellStyle name="Output 2 9 2 4 3 2" xfId="12035" xr:uid="{00000000-0005-0000-0000-0000AB4D0000}"/>
    <cellStyle name="Output 2 9 2 4 3 3" xfId="18654" xr:uid="{00000000-0005-0000-0000-0000AC4D0000}"/>
    <cellStyle name="Output 2 9 2 4 3_Summary" xfId="24146" xr:uid="{00000000-0005-0000-0000-0000AD4D0000}"/>
    <cellStyle name="Output 2 9 2 4 4" xfId="7864" xr:uid="{00000000-0005-0000-0000-0000AE4D0000}"/>
    <cellStyle name="Output 2 9 2 4 5" xfId="14483" xr:uid="{00000000-0005-0000-0000-0000AF4D0000}"/>
    <cellStyle name="Output 2 9 2 4_Summary" xfId="24144" xr:uid="{00000000-0005-0000-0000-0000B04D0000}"/>
    <cellStyle name="Output 2 9 2 5" xfId="1549" xr:uid="{00000000-0005-0000-0000-0000B14D0000}"/>
    <cellStyle name="Output 2 9 2 5 2" xfId="3685" xr:uid="{00000000-0005-0000-0000-0000B24D0000}"/>
    <cellStyle name="Output 2 9 2 5 2 2" xfId="10281" xr:uid="{00000000-0005-0000-0000-0000B34D0000}"/>
    <cellStyle name="Output 2 9 2 5 2 3" xfId="16900" xr:uid="{00000000-0005-0000-0000-0000B44D0000}"/>
    <cellStyle name="Output 2 9 2 5 2_Summary" xfId="24148" xr:uid="{00000000-0005-0000-0000-0000B54D0000}"/>
    <cellStyle name="Output 2 9 2 5 3" xfId="5720" xr:uid="{00000000-0005-0000-0000-0000B64D0000}"/>
    <cellStyle name="Output 2 9 2 5 3 2" xfId="12316" xr:uid="{00000000-0005-0000-0000-0000B74D0000}"/>
    <cellStyle name="Output 2 9 2 5 3 3" xfId="18935" xr:uid="{00000000-0005-0000-0000-0000B84D0000}"/>
    <cellStyle name="Output 2 9 2 5 3_Summary" xfId="24149" xr:uid="{00000000-0005-0000-0000-0000B94D0000}"/>
    <cellStyle name="Output 2 9 2 5 4" xfId="8145" xr:uid="{00000000-0005-0000-0000-0000BA4D0000}"/>
    <cellStyle name="Output 2 9 2 5 5" xfId="14764" xr:uid="{00000000-0005-0000-0000-0000BB4D0000}"/>
    <cellStyle name="Output 2 9 2 5_Summary" xfId="24147" xr:uid="{00000000-0005-0000-0000-0000BC4D0000}"/>
    <cellStyle name="Output 2 9 2 6" xfId="1828" xr:uid="{00000000-0005-0000-0000-0000BD4D0000}"/>
    <cellStyle name="Output 2 9 2 6 2" xfId="3964" xr:uid="{00000000-0005-0000-0000-0000BE4D0000}"/>
    <cellStyle name="Output 2 9 2 6 2 2" xfId="10560" xr:uid="{00000000-0005-0000-0000-0000BF4D0000}"/>
    <cellStyle name="Output 2 9 2 6 2 3" xfId="17179" xr:uid="{00000000-0005-0000-0000-0000C04D0000}"/>
    <cellStyle name="Output 2 9 2 6 2_Summary" xfId="24151" xr:uid="{00000000-0005-0000-0000-0000C14D0000}"/>
    <cellStyle name="Output 2 9 2 6 3" xfId="5999" xr:uid="{00000000-0005-0000-0000-0000C24D0000}"/>
    <cellStyle name="Output 2 9 2 6 3 2" xfId="12595" xr:uid="{00000000-0005-0000-0000-0000C34D0000}"/>
    <cellStyle name="Output 2 9 2 6 3 3" xfId="19214" xr:uid="{00000000-0005-0000-0000-0000C44D0000}"/>
    <cellStyle name="Output 2 9 2 6 3_Summary" xfId="24152" xr:uid="{00000000-0005-0000-0000-0000C54D0000}"/>
    <cellStyle name="Output 2 9 2 6 4" xfId="8424" xr:uid="{00000000-0005-0000-0000-0000C64D0000}"/>
    <cellStyle name="Output 2 9 2 6 5" xfId="15043" xr:uid="{00000000-0005-0000-0000-0000C74D0000}"/>
    <cellStyle name="Output 2 9 2 6_Summary" xfId="24150" xr:uid="{00000000-0005-0000-0000-0000C84D0000}"/>
    <cellStyle name="Output 2 9 2 7" xfId="2103" xr:uid="{00000000-0005-0000-0000-0000C94D0000}"/>
    <cellStyle name="Output 2 9 2 7 2" xfId="4239" xr:uid="{00000000-0005-0000-0000-0000CA4D0000}"/>
    <cellStyle name="Output 2 9 2 7 2 2" xfId="10835" xr:uid="{00000000-0005-0000-0000-0000CB4D0000}"/>
    <cellStyle name="Output 2 9 2 7 2 3" xfId="17454" xr:uid="{00000000-0005-0000-0000-0000CC4D0000}"/>
    <cellStyle name="Output 2 9 2 7 2_Summary" xfId="24154" xr:uid="{00000000-0005-0000-0000-0000CD4D0000}"/>
    <cellStyle name="Output 2 9 2 7 3" xfId="6274" xr:uid="{00000000-0005-0000-0000-0000CE4D0000}"/>
    <cellStyle name="Output 2 9 2 7 3 2" xfId="12870" xr:uid="{00000000-0005-0000-0000-0000CF4D0000}"/>
    <cellStyle name="Output 2 9 2 7 3 3" xfId="19489" xr:uid="{00000000-0005-0000-0000-0000D04D0000}"/>
    <cellStyle name="Output 2 9 2 7 3_Summary" xfId="24155" xr:uid="{00000000-0005-0000-0000-0000D14D0000}"/>
    <cellStyle name="Output 2 9 2 7 4" xfId="8699" xr:uid="{00000000-0005-0000-0000-0000D24D0000}"/>
    <cellStyle name="Output 2 9 2 7 5" xfId="15318" xr:uid="{00000000-0005-0000-0000-0000D34D0000}"/>
    <cellStyle name="Output 2 9 2 7_Summary" xfId="24153" xr:uid="{00000000-0005-0000-0000-0000D44D0000}"/>
    <cellStyle name="Output 2 9 2 8" xfId="2376" xr:uid="{00000000-0005-0000-0000-0000D54D0000}"/>
    <cellStyle name="Output 2 9 2 8 2" xfId="4512" xr:uid="{00000000-0005-0000-0000-0000D64D0000}"/>
    <cellStyle name="Output 2 9 2 8 2 2" xfId="11108" xr:uid="{00000000-0005-0000-0000-0000D74D0000}"/>
    <cellStyle name="Output 2 9 2 8 2 3" xfId="17727" xr:uid="{00000000-0005-0000-0000-0000D84D0000}"/>
    <cellStyle name="Output 2 9 2 8 2_Summary" xfId="24157" xr:uid="{00000000-0005-0000-0000-0000D94D0000}"/>
    <cellStyle name="Output 2 9 2 8 3" xfId="6547" xr:uid="{00000000-0005-0000-0000-0000DA4D0000}"/>
    <cellStyle name="Output 2 9 2 8 3 2" xfId="13143" xr:uid="{00000000-0005-0000-0000-0000DB4D0000}"/>
    <cellStyle name="Output 2 9 2 8 3 3" xfId="19762" xr:uid="{00000000-0005-0000-0000-0000DC4D0000}"/>
    <cellStyle name="Output 2 9 2 8 3_Summary" xfId="24158" xr:uid="{00000000-0005-0000-0000-0000DD4D0000}"/>
    <cellStyle name="Output 2 9 2 8 4" xfId="8972" xr:uid="{00000000-0005-0000-0000-0000DE4D0000}"/>
    <cellStyle name="Output 2 9 2 8 5" xfId="15591" xr:uid="{00000000-0005-0000-0000-0000DF4D0000}"/>
    <cellStyle name="Output 2 9 2 8_Summary" xfId="24156" xr:uid="{00000000-0005-0000-0000-0000E04D0000}"/>
    <cellStyle name="Output 2 9 2 9" xfId="2677" xr:uid="{00000000-0005-0000-0000-0000E14D0000}"/>
    <cellStyle name="Output 2 9 2 9 2" xfId="9273" xr:uid="{00000000-0005-0000-0000-0000E24D0000}"/>
    <cellStyle name="Output 2 9 2 9 3" xfId="15892" xr:uid="{00000000-0005-0000-0000-0000E34D0000}"/>
    <cellStyle name="Output 2 9 2 9_Summary" xfId="24159" xr:uid="{00000000-0005-0000-0000-0000E44D0000}"/>
    <cellStyle name="Output 2 9 2_Summary" xfId="24116" xr:uid="{00000000-0005-0000-0000-0000E54D0000}"/>
    <cellStyle name="Output 2 9 3" xfId="359" xr:uid="{00000000-0005-0000-0000-0000E64D0000}"/>
    <cellStyle name="Output 2 9 3 10" xfId="686" xr:uid="{00000000-0005-0000-0000-0000E74D0000}"/>
    <cellStyle name="Output 2 9 3 10 2" xfId="13901" xr:uid="{00000000-0005-0000-0000-0000E84D0000}"/>
    <cellStyle name="Output 2 9 3 10_Summary" xfId="24161" xr:uid="{00000000-0005-0000-0000-0000E94D0000}"/>
    <cellStyle name="Output 2 9 3 11" xfId="7252" xr:uid="{00000000-0005-0000-0000-0000EA4D0000}"/>
    <cellStyle name="Output 2 9 3 12" xfId="13574" xr:uid="{00000000-0005-0000-0000-0000EB4D0000}"/>
    <cellStyle name="Output 2 9 3 13" xfId="29597" xr:uid="{E755260A-A086-43AD-80DF-44C4D29FC950}"/>
    <cellStyle name="Output 2 9 3 14" xfId="31162" xr:uid="{77B305AD-D55E-4F2C-9916-A7C2A93E5BAC}"/>
    <cellStyle name="Output 2 9 3 2" xfId="1053" xr:uid="{00000000-0005-0000-0000-0000EC4D0000}"/>
    <cellStyle name="Output 2 9 3 2 2" xfId="3189" xr:uid="{00000000-0005-0000-0000-0000ED4D0000}"/>
    <cellStyle name="Output 2 9 3 2 2 2" xfId="9785" xr:uid="{00000000-0005-0000-0000-0000EE4D0000}"/>
    <cellStyle name="Output 2 9 3 2 2 3" xfId="16404" xr:uid="{00000000-0005-0000-0000-0000EF4D0000}"/>
    <cellStyle name="Output 2 9 3 2 2_Summary" xfId="24163" xr:uid="{00000000-0005-0000-0000-0000F04D0000}"/>
    <cellStyle name="Output 2 9 3 2 3" xfId="5224" xr:uid="{00000000-0005-0000-0000-0000F14D0000}"/>
    <cellStyle name="Output 2 9 3 2 3 2" xfId="11820" xr:uid="{00000000-0005-0000-0000-0000F24D0000}"/>
    <cellStyle name="Output 2 9 3 2 3 3" xfId="18439" xr:uid="{00000000-0005-0000-0000-0000F34D0000}"/>
    <cellStyle name="Output 2 9 3 2 3_Summary" xfId="24164" xr:uid="{00000000-0005-0000-0000-0000F44D0000}"/>
    <cellStyle name="Output 2 9 3 2 4" xfId="7650" xr:uid="{00000000-0005-0000-0000-0000F54D0000}"/>
    <cellStyle name="Output 2 9 3 2 5" xfId="14268" xr:uid="{00000000-0005-0000-0000-0000F64D0000}"/>
    <cellStyle name="Output 2 9 3 2 6" xfId="30447" xr:uid="{6AA29056-7E19-406D-90AA-FF43DB90BC35}"/>
    <cellStyle name="Output 2 9 3 2 7" xfId="31879" xr:uid="{11ACA092-DF64-4D77-839D-4F3D7EE9FB93}"/>
    <cellStyle name="Output 2 9 3 2_Summary" xfId="24162" xr:uid="{00000000-0005-0000-0000-0000F74D0000}"/>
    <cellStyle name="Output 2 9 3 3" xfId="1335" xr:uid="{00000000-0005-0000-0000-0000F84D0000}"/>
    <cellStyle name="Output 2 9 3 3 2" xfId="3471" xr:uid="{00000000-0005-0000-0000-0000F94D0000}"/>
    <cellStyle name="Output 2 9 3 3 2 2" xfId="10067" xr:uid="{00000000-0005-0000-0000-0000FA4D0000}"/>
    <cellStyle name="Output 2 9 3 3 2 3" xfId="16686" xr:uid="{00000000-0005-0000-0000-0000FB4D0000}"/>
    <cellStyle name="Output 2 9 3 3 2_Summary" xfId="24166" xr:uid="{00000000-0005-0000-0000-0000FC4D0000}"/>
    <cellStyle name="Output 2 9 3 3 3" xfId="5506" xr:uid="{00000000-0005-0000-0000-0000FD4D0000}"/>
    <cellStyle name="Output 2 9 3 3 3 2" xfId="12102" xr:uid="{00000000-0005-0000-0000-0000FE4D0000}"/>
    <cellStyle name="Output 2 9 3 3 3 3" xfId="18721" xr:uid="{00000000-0005-0000-0000-0000FF4D0000}"/>
    <cellStyle name="Output 2 9 3 3 3_Summary" xfId="24167" xr:uid="{00000000-0005-0000-0000-0000004E0000}"/>
    <cellStyle name="Output 2 9 3 3 4" xfId="7931" xr:uid="{00000000-0005-0000-0000-0000014E0000}"/>
    <cellStyle name="Output 2 9 3 3 5" xfId="14550" xr:uid="{00000000-0005-0000-0000-0000024E0000}"/>
    <cellStyle name="Output 2 9 3 3_Summary" xfId="24165" xr:uid="{00000000-0005-0000-0000-0000034E0000}"/>
    <cellStyle name="Output 2 9 3 4" xfId="1616" xr:uid="{00000000-0005-0000-0000-0000044E0000}"/>
    <cellStyle name="Output 2 9 3 4 2" xfId="3752" xr:uid="{00000000-0005-0000-0000-0000054E0000}"/>
    <cellStyle name="Output 2 9 3 4 2 2" xfId="10348" xr:uid="{00000000-0005-0000-0000-0000064E0000}"/>
    <cellStyle name="Output 2 9 3 4 2 3" xfId="16967" xr:uid="{00000000-0005-0000-0000-0000074E0000}"/>
    <cellStyle name="Output 2 9 3 4 2_Summary" xfId="24169" xr:uid="{00000000-0005-0000-0000-0000084E0000}"/>
    <cellStyle name="Output 2 9 3 4 3" xfId="5787" xr:uid="{00000000-0005-0000-0000-0000094E0000}"/>
    <cellStyle name="Output 2 9 3 4 3 2" xfId="12383" xr:uid="{00000000-0005-0000-0000-00000A4E0000}"/>
    <cellStyle name="Output 2 9 3 4 3 3" xfId="19002" xr:uid="{00000000-0005-0000-0000-00000B4E0000}"/>
    <cellStyle name="Output 2 9 3 4 3_Summary" xfId="24170" xr:uid="{00000000-0005-0000-0000-00000C4E0000}"/>
    <cellStyle name="Output 2 9 3 4 4" xfId="8212" xr:uid="{00000000-0005-0000-0000-00000D4E0000}"/>
    <cellStyle name="Output 2 9 3 4 5" xfId="14831" xr:uid="{00000000-0005-0000-0000-00000E4E0000}"/>
    <cellStyle name="Output 2 9 3 4_Summary" xfId="24168" xr:uid="{00000000-0005-0000-0000-00000F4E0000}"/>
    <cellStyle name="Output 2 9 3 5" xfId="1895" xr:uid="{00000000-0005-0000-0000-0000104E0000}"/>
    <cellStyle name="Output 2 9 3 5 2" xfId="4031" xr:uid="{00000000-0005-0000-0000-0000114E0000}"/>
    <cellStyle name="Output 2 9 3 5 2 2" xfId="10627" xr:uid="{00000000-0005-0000-0000-0000124E0000}"/>
    <cellStyle name="Output 2 9 3 5 2 3" xfId="17246" xr:uid="{00000000-0005-0000-0000-0000134E0000}"/>
    <cellStyle name="Output 2 9 3 5 2_Summary" xfId="24172" xr:uid="{00000000-0005-0000-0000-0000144E0000}"/>
    <cellStyle name="Output 2 9 3 5 3" xfId="6066" xr:uid="{00000000-0005-0000-0000-0000154E0000}"/>
    <cellStyle name="Output 2 9 3 5 3 2" xfId="12662" xr:uid="{00000000-0005-0000-0000-0000164E0000}"/>
    <cellStyle name="Output 2 9 3 5 3 3" xfId="19281" xr:uid="{00000000-0005-0000-0000-0000174E0000}"/>
    <cellStyle name="Output 2 9 3 5 3_Summary" xfId="24173" xr:uid="{00000000-0005-0000-0000-0000184E0000}"/>
    <cellStyle name="Output 2 9 3 5 4" xfId="8491" xr:uid="{00000000-0005-0000-0000-0000194E0000}"/>
    <cellStyle name="Output 2 9 3 5 5" xfId="15110" xr:uid="{00000000-0005-0000-0000-00001A4E0000}"/>
    <cellStyle name="Output 2 9 3 5_Summary" xfId="24171" xr:uid="{00000000-0005-0000-0000-00001B4E0000}"/>
    <cellStyle name="Output 2 9 3 6" xfId="2170" xr:uid="{00000000-0005-0000-0000-00001C4E0000}"/>
    <cellStyle name="Output 2 9 3 6 2" xfId="4306" xr:uid="{00000000-0005-0000-0000-00001D4E0000}"/>
    <cellStyle name="Output 2 9 3 6 2 2" xfId="10902" xr:uid="{00000000-0005-0000-0000-00001E4E0000}"/>
    <cellStyle name="Output 2 9 3 6 2 3" xfId="17521" xr:uid="{00000000-0005-0000-0000-00001F4E0000}"/>
    <cellStyle name="Output 2 9 3 6 2_Summary" xfId="24175" xr:uid="{00000000-0005-0000-0000-0000204E0000}"/>
    <cellStyle name="Output 2 9 3 6 3" xfId="6341" xr:uid="{00000000-0005-0000-0000-0000214E0000}"/>
    <cellStyle name="Output 2 9 3 6 3 2" xfId="12937" xr:uid="{00000000-0005-0000-0000-0000224E0000}"/>
    <cellStyle name="Output 2 9 3 6 3 3" xfId="19556" xr:uid="{00000000-0005-0000-0000-0000234E0000}"/>
    <cellStyle name="Output 2 9 3 6 3_Summary" xfId="24176" xr:uid="{00000000-0005-0000-0000-0000244E0000}"/>
    <cellStyle name="Output 2 9 3 6 4" xfId="8766" xr:uid="{00000000-0005-0000-0000-0000254E0000}"/>
    <cellStyle name="Output 2 9 3 6 5" xfId="15385" xr:uid="{00000000-0005-0000-0000-0000264E0000}"/>
    <cellStyle name="Output 2 9 3 6_Summary" xfId="24174" xr:uid="{00000000-0005-0000-0000-0000274E0000}"/>
    <cellStyle name="Output 2 9 3 7" xfId="2443" xr:uid="{00000000-0005-0000-0000-0000284E0000}"/>
    <cellStyle name="Output 2 9 3 7 2" xfId="4579" xr:uid="{00000000-0005-0000-0000-0000294E0000}"/>
    <cellStyle name="Output 2 9 3 7 2 2" xfId="11175" xr:uid="{00000000-0005-0000-0000-00002A4E0000}"/>
    <cellStyle name="Output 2 9 3 7 2 3" xfId="17794" xr:uid="{00000000-0005-0000-0000-00002B4E0000}"/>
    <cellStyle name="Output 2 9 3 7 2_Summary" xfId="24178" xr:uid="{00000000-0005-0000-0000-00002C4E0000}"/>
    <cellStyle name="Output 2 9 3 7 3" xfId="6614" xr:uid="{00000000-0005-0000-0000-00002D4E0000}"/>
    <cellStyle name="Output 2 9 3 7 3 2" xfId="13210" xr:uid="{00000000-0005-0000-0000-00002E4E0000}"/>
    <cellStyle name="Output 2 9 3 7 3 3" xfId="19829" xr:uid="{00000000-0005-0000-0000-00002F4E0000}"/>
    <cellStyle name="Output 2 9 3 7 3_Summary" xfId="24179" xr:uid="{00000000-0005-0000-0000-0000304E0000}"/>
    <cellStyle name="Output 2 9 3 7 4" xfId="9039" xr:uid="{00000000-0005-0000-0000-0000314E0000}"/>
    <cellStyle name="Output 2 9 3 7 5" xfId="15658" xr:uid="{00000000-0005-0000-0000-0000324E0000}"/>
    <cellStyle name="Output 2 9 3 7_Summary" xfId="24177" xr:uid="{00000000-0005-0000-0000-0000334E0000}"/>
    <cellStyle name="Output 2 9 3 8" xfId="2822" xr:uid="{00000000-0005-0000-0000-0000344E0000}"/>
    <cellStyle name="Output 2 9 3 8 2" xfId="9418" xr:uid="{00000000-0005-0000-0000-0000354E0000}"/>
    <cellStyle name="Output 2 9 3 8 3" xfId="16037" xr:uid="{00000000-0005-0000-0000-0000364E0000}"/>
    <cellStyle name="Output 2 9 3 8_Summary" xfId="24180" xr:uid="{00000000-0005-0000-0000-0000374E0000}"/>
    <cellStyle name="Output 2 9 3 9" xfId="4857" xr:uid="{00000000-0005-0000-0000-0000384E0000}"/>
    <cellStyle name="Output 2 9 3 9 2" xfId="11453" xr:uid="{00000000-0005-0000-0000-0000394E0000}"/>
    <cellStyle name="Output 2 9 3 9 3" xfId="18072" xr:uid="{00000000-0005-0000-0000-00003A4E0000}"/>
    <cellStyle name="Output 2 9 3 9_Summary" xfId="24181" xr:uid="{00000000-0005-0000-0000-00003B4E0000}"/>
    <cellStyle name="Output 2 9 3_Summary" xfId="24160" xr:uid="{00000000-0005-0000-0000-00003C4E0000}"/>
    <cellStyle name="Output 2 9 4" xfId="625" xr:uid="{00000000-0005-0000-0000-00003D4E0000}"/>
    <cellStyle name="Output 2 9 4 2" xfId="2761" xr:uid="{00000000-0005-0000-0000-00003E4E0000}"/>
    <cellStyle name="Output 2 9 4 2 2" xfId="9357" xr:uid="{00000000-0005-0000-0000-00003F4E0000}"/>
    <cellStyle name="Output 2 9 4 2 3" xfId="15976" xr:uid="{00000000-0005-0000-0000-0000404E0000}"/>
    <cellStyle name="Output 2 9 4 2_Summary" xfId="24183" xr:uid="{00000000-0005-0000-0000-0000414E0000}"/>
    <cellStyle name="Output 2 9 4 3" xfId="4796" xr:uid="{00000000-0005-0000-0000-0000424E0000}"/>
    <cellStyle name="Output 2 9 4 3 2" xfId="11392" xr:uid="{00000000-0005-0000-0000-0000434E0000}"/>
    <cellStyle name="Output 2 9 4 3 3" xfId="18011" xr:uid="{00000000-0005-0000-0000-0000444E0000}"/>
    <cellStyle name="Output 2 9 4 3_Summary" xfId="24184" xr:uid="{00000000-0005-0000-0000-0000454E0000}"/>
    <cellStyle name="Output 2 9 4 4" xfId="7397" xr:uid="{00000000-0005-0000-0000-0000464E0000}"/>
    <cellStyle name="Output 2 9 4 5" xfId="13840" xr:uid="{00000000-0005-0000-0000-0000474E0000}"/>
    <cellStyle name="Output 2 9 4 6" xfId="30445" xr:uid="{BDEB598C-6FE3-46F1-B30B-41E1D0BAA20F}"/>
    <cellStyle name="Output 2 9 4 7" xfId="31877" xr:uid="{A1EE439B-DBC4-4332-9F9F-C9BC3A20F55D}"/>
    <cellStyle name="Output 2 9 4_Summary" xfId="24182" xr:uid="{00000000-0005-0000-0000-0000484E0000}"/>
    <cellStyle name="Output 2 9 5" xfId="634" xr:uid="{00000000-0005-0000-0000-0000494E0000}"/>
    <cellStyle name="Output 2 9 5 2" xfId="2770" xr:uid="{00000000-0005-0000-0000-00004A4E0000}"/>
    <cellStyle name="Output 2 9 5 2 2" xfId="9366" xr:uid="{00000000-0005-0000-0000-00004B4E0000}"/>
    <cellStyle name="Output 2 9 5 2 3" xfId="15985" xr:uid="{00000000-0005-0000-0000-00004C4E0000}"/>
    <cellStyle name="Output 2 9 5 2_Summary" xfId="24186" xr:uid="{00000000-0005-0000-0000-00004D4E0000}"/>
    <cellStyle name="Output 2 9 5 3" xfId="4805" xr:uid="{00000000-0005-0000-0000-00004E4E0000}"/>
    <cellStyle name="Output 2 9 5 3 2" xfId="11401" xr:uid="{00000000-0005-0000-0000-00004F4E0000}"/>
    <cellStyle name="Output 2 9 5 3 3" xfId="18020" xr:uid="{00000000-0005-0000-0000-0000504E0000}"/>
    <cellStyle name="Output 2 9 5 3_Summary" xfId="24187" xr:uid="{00000000-0005-0000-0000-0000514E0000}"/>
    <cellStyle name="Output 2 9 5 4" xfId="7406" xr:uid="{00000000-0005-0000-0000-0000524E0000}"/>
    <cellStyle name="Output 2 9 5 5" xfId="13849" xr:uid="{00000000-0005-0000-0000-0000534E0000}"/>
    <cellStyle name="Output 2 9 5_Summary" xfId="24185" xr:uid="{00000000-0005-0000-0000-0000544E0000}"/>
    <cellStyle name="Output 2 9 6" xfId="678" xr:uid="{00000000-0005-0000-0000-0000554E0000}"/>
    <cellStyle name="Output 2 9 6 2" xfId="2814" xr:uid="{00000000-0005-0000-0000-0000564E0000}"/>
    <cellStyle name="Output 2 9 6 2 2" xfId="9410" xr:uid="{00000000-0005-0000-0000-0000574E0000}"/>
    <cellStyle name="Output 2 9 6 2 3" xfId="16029" xr:uid="{00000000-0005-0000-0000-0000584E0000}"/>
    <cellStyle name="Output 2 9 6 2_Summary" xfId="24189" xr:uid="{00000000-0005-0000-0000-0000594E0000}"/>
    <cellStyle name="Output 2 9 6 3" xfId="4849" xr:uid="{00000000-0005-0000-0000-00005A4E0000}"/>
    <cellStyle name="Output 2 9 6 3 2" xfId="11445" xr:uid="{00000000-0005-0000-0000-00005B4E0000}"/>
    <cellStyle name="Output 2 9 6 3 3" xfId="18064" xr:uid="{00000000-0005-0000-0000-00005C4E0000}"/>
    <cellStyle name="Output 2 9 6 3_Summary" xfId="24190" xr:uid="{00000000-0005-0000-0000-00005D4E0000}"/>
    <cellStyle name="Output 2 9 6 4" xfId="7440" xr:uid="{00000000-0005-0000-0000-00005E4E0000}"/>
    <cellStyle name="Output 2 9 6 5" xfId="13893" xr:uid="{00000000-0005-0000-0000-00005F4E0000}"/>
    <cellStyle name="Output 2 9 6_Summary" xfId="24188" xr:uid="{00000000-0005-0000-0000-0000604E0000}"/>
    <cellStyle name="Output 2 9 7" xfId="632" xr:uid="{00000000-0005-0000-0000-0000614E0000}"/>
    <cellStyle name="Output 2 9 7 2" xfId="2768" xr:uid="{00000000-0005-0000-0000-0000624E0000}"/>
    <cellStyle name="Output 2 9 7 2 2" xfId="9364" xr:uid="{00000000-0005-0000-0000-0000634E0000}"/>
    <cellStyle name="Output 2 9 7 2 3" xfId="15983" xr:uid="{00000000-0005-0000-0000-0000644E0000}"/>
    <cellStyle name="Output 2 9 7 2_Summary" xfId="24192" xr:uid="{00000000-0005-0000-0000-0000654E0000}"/>
    <cellStyle name="Output 2 9 7 3" xfId="4803" xr:uid="{00000000-0005-0000-0000-0000664E0000}"/>
    <cellStyle name="Output 2 9 7 3 2" xfId="11399" xr:uid="{00000000-0005-0000-0000-0000674E0000}"/>
    <cellStyle name="Output 2 9 7 3 3" xfId="18018" xr:uid="{00000000-0005-0000-0000-0000684E0000}"/>
    <cellStyle name="Output 2 9 7 3_Summary" xfId="24193" xr:uid="{00000000-0005-0000-0000-0000694E0000}"/>
    <cellStyle name="Output 2 9 7 4" xfId="7404" xr:uid="{00000000-0005-0000-0000-00006A4E0000}"/>
    <cellStyle name="Output 2 9 7 5" xfId="13847" xr:uid="{00000000-0005-0000-0000-00006B4E0000}"/>
    <cellStyle name="Output 2 9 7_Summary" xfId="24191" xr:uid="{00000000-0005-0000-0000-00006C4E0000}"/>
    <cellStyle name="Output 2 9 8" xfId="660" xr:uid="{00000000-0005-0000-0000-00006D4E0000}"/>
    <cellStyle name="Output 2 9 8 2" xfId="2796" xr:uid="{00000000-0005-0000-0000-00006E4E0000}"/>
    <cellStyle name="Output 2 9 8 2 2" xfId="9392" xr:uid="{00000000-0005-0000-0000-00006F4E0000}"/>
    <cellStyle name="Output 2 9 8 2 3" xfId="16011" xr:uid="{00000000-0005-0000-0000-0000704E0000}"/>
    <cellStyle name="Output 2 9 8 2_Summary" xfId="24195" xr:uid="{00000000-0005-0000-0000-0000714E0000}"/>
    <cellStyle name="Output 2 9 8 3" xfId="4831" xr:uid="{00000000-0005-0000-0000-0000724E0000}"/>
    <cellStyle name="Output 2 9 8 3 2" xfId="11427" xr:uid="{00000000-0005-0000-0000-0000734E0000}"/>
    <cellStyle name="Output 2 9 8 3 3" xfId="18046" xr:uid="{00000000-0005-0000-0000-0000744E0000}"/>
    <cellStyle name="Output 2 9 8 3_Summary" xfId="24196" xr:uid="{00000000-0005-0000-0000-0000754E0000}"/>
    <cellStyle name="Output 2 9 8 4" xfId="7431" xr:uid="{00000000-0005-0000-0000-0000764E0000}"/>
    <cellStyle name="Output 2 9 8 5" xfId="13875" xr:uid="{00000000-0005-0000-0000-0000774E0000}"/>
    <cellStyle name="Output 2 9 8_Summary" xfId="24194" xr:uid="{00000000-0005-0000-0000-0000784E0000}"/>
    <cellStyle name="Output 2 9 9" xfId="649" xr:uid="{00000000-0005-0000-0000-0000794E0000}"/>
    <cellStyle name="Output 2 9 9 2" xfId="2785" xr:uid="{00000000-0005-0000-0000-00007A4E0000}"/>
    <cellStyle name="Output 2 9 9 2 2" xfId="9381" xr:uid="{00000000-0005-0000-0000-00007B4E0000}"/>
    <cellStyle name="Output 2 9 9 2 3" xfId="16000" xr:uid="{00000000-0005-0000-0000-00007C4E0000}"/>
    <cellStyle name="Output 2 9 9 2_Summary" xfId="24198" xr:uid="{00000000-0005-0000-0000-00007D4E0000}"/>
    <cellStyle name="Output 2 9 9 3" xfId="4820" xr:uid="{00000000-0005-0000-0000-00007E4E0000}"/>
    <cellStyle name="Output 2 9 9 3 2" xfId="11416" xr:uid="{00000000-0005-0000-0000-00007F4E0000}"/>
    <cellStyle name="Output 2 9 9 3 3" xfId="18035" xr:uid="{00000000-0005-0000-0000-0000804E0000}"/>
    <cellStyle name="Output 2 9 9 3_Summary" xfId="24199" xr:uid="{00000000-0005-0000-0000-0000814E0000}"/>
    <cellStyle name="Output 2 9 9 4" xfId="7421" xr:uid="{00000000-0005-0000-0000-0000824E0000}"/>
    <cellStyle name="Output 2 9 9 5" xfId="13864" xr:uid="{00000000-0005-0000-0000-0000834E0000}"/>
    <cellStyle name="Output 2 9 9_Summary" xfId="24197" xr:uid="{00000000-0005-0000-0000-0000844E0000}"/>
    <cellStyle name="Output 2 9_Summary" xfId="24112" xr:uid="{00000000-0005-0000-0000-0000854E0000}"/>
    <cellStyle name="Output 2_Summary" xfId="23049" xr:uid="{00000000-0005-0000-0000-0000864E0000}"/>
    <cellStyle name="Output 3" xfId="25641" xr:uid="{00000000-0005-0000-0000-0000CA000000}"/>
    <cellStyle name="Output 3 10" xfId="29598" xr:uid="{46AA74B0-CB95-48B3-A2B0-755A7F95E013}"/>
    <cellStyle name="Output 3 10 2" xfId="29599" xr:uid="{3EB7485D-4821-4005-9001-D81EA757F3FF}"/>
    <cellStyle name="Output 3 10 2 2" xfId="30449" xr:uid="{F046653E-9974-4D18-91FD-1F61D281AC34}"/>
    <cellStyle name="Output 3 10 2 2 2" xfId="31881" xr:uid="{560A5A12-FE89-4893-AEDD-C0210A7A8EE7}"/>
    <cellStyle name="Output 3 10 2 3" xfId="31164" xr:uid="{84D0D0F2-EC59-486A-B742-C34B937EF84D}"/>
    <cellStyle name="Output 3 10 3" xfId="29600" xr:uid="{4381E1D7-1BC6-4211-9FA6-037B7CE86F81}"/>
    <cellStyle name="Output 3 10 3 2" xfId="30450" xr:uid="{D2BA81C4-54E0-4AD4-8D63-144AAE865B70}"/>
    <cellStyle name="Output 3 10 3 2 2" xfId="31882" xr:uid="{FACC5E3D-0B91-483E-9480-B419B71FC5D4}"/>
    <cellStyle name="Output 3 10 3 3" xfId="31165" xr:uid="{17E31912-DFE7-4BE1-8174-403009267076}"/>
    <cellStyle name="Output 3 10 4" xfId="30448" xr:uid="{F1B6538E-70B9-4044-84A1-B58C7DBF02BE}"/>
    <cellStyle name="Output 3 10 4 2" xfId="31880" xr:uid="{2E7CD408-6F32-446A-9FDE-CCF76E38B81C}"/>
    <cellStyle name="Output 3 10 5" xfId="31163" xr:uid="{160F53FA-9C51-4907-A46E-8293FEA0A005}"/>
    <cellStyle name="Output 3 2" xfId="25718" xr:uid="{00000000-0005-0000-0000-0000CA000000}"/>
    <cellStyle name="Output 3 2 2" xfId="29602" xr:uid="{716E8214-FD41-45AA-B718-37D731F53CD5}"/>
    <cellStyle name="Output 3 2 2 2" xfId="30452" xr:uid="{D4404AC9-1D5C-490F-B8F3-2FF883B0C173}"/>
    <cellStyle name="Output 3 2 2 2 2" xfId="31884" xr:uid="{7D175DE2-4D20-407E-B04E-0127C89A2B70}"/>
    <cellStyle name="Output 3 2 2 3" xfId="31167" xr:uid="{D18C8DE8-9D2C-4257-A2CB-C1F7817842CB}"/>
    <cellStyle name="Output 3 2 3" xfId="29603" xr:uid="{0BECBA1F-C40A-4BB2-B116-27957810AAAB}"/>
    <cellStyle name="Output 3 2 3 2" xfId="30453" xr:uid="{F0BF8F9E-A527-4E90-8CCA-109926EC543B}"/>
    <cellStyle name="Output 3 2 3 2 2" xfId="31885" xr:uid="{422B82B8-63F1-4168-8617-36A1B1E7B943}"/>
    <cellStyle name="Output 3 2 3 3" xfId="31168" xr:uid="{49021E8B-6D4B-4863-917F-33A39BD502E7}"/>
    <cellStyle name="Output 3 2 4" xfId="30451" xr:uid="{96685CF9-889B-4205-882E-6A1A88EF96F8}"/>
    <cellStyle name="Output 3 2 4 2" xfId="31883" xr:uid="{1CCFA220-BAE7-4497-8A0C-C0A68AFDF3D8}"/>
    <cellStyle name="Output 3 2 5" xfId="29601" xr:uid="{AD51D620-CEBC-402D-B017-F9552356E57C}"/>
    <cellStyle name="Output 3 2 6" xfId="31166" xr:uid="{390DD8F2-3073-44FF-B592-F33EFE9FF5BF}"/>
    <cellStyle name="Output 3 3" xfId="29604" xr:uid="{6BA981BC-DD48-476D-B524-54994609CE99}"/>
    <cellStyle name="Output 3 3 2" xfId="29605" xr:uid="{7C4181A0-BF95-4182-9B34-4255E21B599D}"/>
    <cellStyle name="Output 3 3 2 2" xfId="30455" xr:uid="{26FD62A3-477E-4C52-A796-65DF7976CDFA}"/>
    <cellStyle name="Output 3 3 2 2 2" xfId="31887" xr:uid="{6AB37F89-2B93-45AF-9757-1B81D32BE762}"/>
    <cellStyle name="Output 3 3 2 3" xfId="31170" xr:uid="{CA89C38C-16FF-45F0-9621-94F7746F612F}"/>
    <cellStyle name="Output 3 3 3" xfId="29606" xr:uid="{4C43F29D-49AD-475C-A55A-DCE8A75B5D40}"/>
    <cellStyle name="Output 3 3 3 2" xfId="30456" xr:uid="{FEA23C9A-5172-49FE-B0EC-5FED620E966B}"/>
    <cellStyle name="Output 3 3 3 2 2" xfId="31888" xr:uid="{F6F544A5-5E5B-4D04-B525-B3CD309E4059}"/>
    <cellStyle name="Output 3 3 3 3" xfId="31171" xr:uid="{2416879F-BC1D-4B25-B014-8B5971046DD2}"/>
    <cellStyle name="Output 3 3 4" xfId="30454" xr:uid="{DDCA5B9E-F684-44DE-9767-FA9C2E13A6C6}"/>
    <cellStyle name="Output 3 3 4 2" xfId="31886" xr:uid="{44B7CC6E-4D04-4A64-9970-C095CD7E70EB}"/>
    <cellStyle name="Output 3 3 5" xfId="31169" xr:uid="{944C08B6-8C74-4566-A7B1-3FE529BFA99D}"/>
    <cellStyle name="Output 3 4" xfId="29607" xr:uid="{FE694590-C9AE-436E-80C4-ED92804BCD51}"/>
    <cellStyle name="Output 3 4 2" xfId="29608" xr:uid="{1EE8F1AF-8AF3-439B-AC35-BC2FFB9E6232}"/>
    <cellStyle name="Output 3 4 2 2" xfId="30458" xr:uid="{41D17C50-30D0-45F3-BB72-1BEE0CD67639}"/>
    <cellStyle name="Output 3 4 2 2 2" xfId="31890" xr:uid="{7203C3CA-2030-46F2-9F63-281FB79FF950}"/>
    <cellStyle name="Output 3 4 2 3" xfId="31173" xr:uid="{503C7038-D4DF-4DB2-BA28-9FF82C9B1120}"/>
    <cellStyle name="Output 3 4 3" xfId="29609" xr:uid="{7DA44814-4CFE-4675-A916-4B556BAD6BA5}"/>
    <cellStyle name="Output 3 4 3 2" xfId="30459" xr:uid="{ABFB2CBD-2344-4533-B1BB-A353C0757CE8}"/>
    <cellStyle name="Output 3 4 3 2 2" xfId="31891" xr:uid="{95844606-1098-4ED2-927E-E6AFBDC1E2E7}"/>
    <cellStyle name="Output 3 4 3 3" xfId="31174" xr:uid="{C3D68525-D05E-4CB2-B280-539ED5DDB6BE}"/>
    <cellStyle name="Output 3 4 4" xfId="30457" xr:uid="{36FC9D9A-4960-4B16-8B6C-A39E47099037}"/>
    <cellStyle name="Output 3 4 4 2" xfId="31889" xr:uid="{C14E7ED8-D41C-4DC2-926A-76792BA4F96D}"/>
    <cellStyle name="Output 3 4 5" xfId="31172" xr:uid="{84565218-728F-411B-88B4-A8FED886F6E8}"/>
    <cellStyle name="Output 3 5" xfId="29610" xr:uid="{C6220679-6BC6-4134-A679-25F063A36F15}"/>
    <cellStyle name="Output 3 5 2" xfId="29611" xr:uid="{C3FFA4C0-B73E-4543-91EB-E5357258DA42}"/>
    <cellStyle name="Output 3 5 2 2" xfId="30461" xr:uid="{E2F6532C-D813-48D6-967D-86E14FD4EF62}"/>
    <cellStyle name="Output 3 5 2 2 2" xfId="31893" xr:uid="{3AA68FB3-C370-4756-8482-8A18670B2A67}"/>
    <cellStyle name="Output 3 5 2 3" xfId="31176" xr:uid="{14E0C435-1332-4F83-AE43-8CCD84B0CF16}"/>
    <cellStyle name="Output 3 5 3" xfId="29612" xr:uid="{3CFBFE6B-20E2-478B-8D06-CED0A11572E5}"/>
    <cellStyle name="Output 3 5 3 2" xfId="30462" xr:uid="{5EBAFC28-EBB4-4F69-AE44-80C2E22F6856}"/>
    <cellStyle name="Output 3 5 3 2 2" xfId="31894" xr:uid="{151CF981-5FE8-44C7-93AB-C93558B569E1}"/>
    <cellStyle name="Output 3 5 3 3" xfId="31177" xr:uid="{81CD5566-3002-492B-A289-6D26B9B33BEF}"/>
    <cellStyle name="Output 3 5 4" xfId="30460" xr:uid="{A0FC0223-772A-4E98-BD98-79DDB13F46FA}"/>
    <cellStyle name="Output 3 5 4 2" xfId="31892" xr:uid="{8550CA8A-DD43-4585-B1D2-31FB88D69E6F}"/>
    <cellStyle name="Output 3 5 5" xfId="31175" xr:uid="{6CADB1EA-053A-4FE5-B1FB-271D6ED028A5}"/>
    <cellStyle name="Output 3 6" xfId="29613" xr:uid="{E6AB8E52-DFDC-414F-8117-C25EB4ECB2D4}"/>
    <cellStyle name="Output 3 6 2" xfId="29614" xr:uid="{F63B7D43-8C13-421D-B084-1DFB7374ACDA}"/>
    <cellStyle name="Output 3 6 2 2" xfId="30464" xr:uid="{CAC514CD-D550-4861-878D-6D9D5FE67C84}"/>
    <cellStyle name="Output 3 6 2 2 2" xfId="31896" xr:uid="{859B1C68-9B12-4D1E-A446-13B79056DAF8}"/>
    <cellStyle name="Output 3 6 2 3" xfId="31179" xr:uid="{D14673F7-5330-46F7-AC62-D0EAC1B07E30}"/>
    <cellStyle name="Output 3 6 3" xfId="29615" xr:uid="{C82B0F5F-83D2-4A09-AA79-F2DAB85C409E}"/>
    <cellStyle name="Output 3 6 3 2" xfId="30465" xr:uid="{C61648CF-A537-4441-92A6-F0778AEFF6D4}"/>
    <cellStyle name="Output 3 6 3 2 2" xfId="31897" xr:uid="{DC1A8ACE-2911-435A-911A-6AAFEC7452AA}"/>
    <cellStyle name="Output 3 6 3 3" xfId="31180" xr:uid="{9F00B12B-33C5-4A5A-8FE9-9D7DDD019B1B}"/>
    <cellStyle name="Output 3 6 4" xfId="30463" xr:uid="{FA15D81A-F140-4335-B9F6-72D552DA7FE6}"/>
    <cellStyle name="Output 3 6 4 2" xfId="31895" xr:uid="{011721F2-233D-49B4-956C-62061ACB3FFC}"/>
    <cellStyle name="Output 3 6 5" xfId="31178" xr:uid="{595DF31F-8F9D-4909-9238-2D94D7873686}"/>
    <cellStyle name="Output 3 7" xfId="29616" xr:uid="{8A0CDC12-DE1A-4EC9-BCD1-886D814D3D7C}"/>
    <cellStyle name="Output 3 7 2" xfId="29617" xr:uid="{50F17615-26DF-4A37-87D4-2E3E323A87E9}"/>
    <cellStyle name="Output 3 7 2 2" xfId="30467" xr:uid="{B970EAA1-A228-46AA-9E78-462376586FE5}"/>
    <cellStyle name="Output 3 7 2 2 2" xfId="31899" xr:uid="{C8DCE26F-42BD-45CF-9BCA-B198E7D2054B}"/>
    <cellStyle name="Output 3 7 2 3" xfId="31182" xr:uid="{F0675CBD-CFFC-4794-9C8A-99D8F2E79ADB}"/>
    <cellStyle name="Output 3 7 3" xfId="29618" xr:uid="{02DA27C0-4DEF-46ED-B915-712748C52B2E}"/>
    <cellStyle name="Output 3 7 3 2" xfId="30468" xr:uid="{9D953399-2070-4AFB-AA4E-7D3683DFFDD6}"/>
    <cellStyle name="Output 3 7 3 2 2" xfId="31900" xr:uid="{E2C8861A-43F8-411B-8C35-26C075331716}"/>
    <cellStyle name="Output 3 7 3 3" xfId="31183" xr:uid="{A637F48E-EA63-492E-B496-16626A9CC161}"/>
    <cellStyle name="Output 3 7 4" xfId="30466" xr:uid="{7762079E-3010-4099-AD52-235FAEDB172B}"/>
    <cellStyle name="Output 3 7 4 2" xfId="31898" xr:uid="{3531082D-CA6A-41B6-A38D-BDF3F1666A78}"/>
    <cellStyle name="Output 3 7 5" xfId="31181" xr:uid="{3169052E-15A0-4868-9F2C-0AAB657EA3DA}"/>
    <cellStyle name="Output 3 8" xfId="29619" xr:uid="{1CB4CD66-CB2A-4B10-B27E-33F410A2DAA0}"/>
    <cellStyle name="Output 3 8 2" xfId="29620" xr:uid="{AC6A42AF-31F4-4075-A4C2-7F07DFEF6049}"/>
    <cellStyle name="Output 3 8 2 2" xfId="30470" xr:uid="{70DEB7C7-E1DB-4781-8820-55E03AB7F8CE}"/>
    <cellStyle name="Output 3 8 2 2 2" xfId="31902" xr:uid="{81590172-AA0C-44DA-9697-76F1F1417B60}"/>
    <cellStyle name="Output 3 8 2 3" xfId="31185" xr:uid="{DF0FB949-75DB-4E74-8421-A6D8BFD86A43}"/>
    <cellStyle name="Output 3 8 3" xfId="29621" xr:uid="{3AC8CAA4-7669-4F02-8A5E-99305FB33918}"/>
    <cellStyle name="Output 3 8 3 2" xfId="30471" xr:uid="{BFC96C7A-1EC4-4F24-85D9-6DDD5405EC04}"/>
    <cellStyle name="Output 3 8 3 2 2" xfId="31903" xr:uid="{E9AD8623-262C-49FD-9600-260298AE3376}"/>
    <cellStyle name="Output 3 8 3 3" xfId="31186" xr:uid="{F32A6BC2-BAB3-4CBC-97FD-5F37EE2B0557}"/>
    <cellStyle name="Output 3 8 4" xfId="30469" xr:uid="{08B3B4FB-7D4D-4B15-A9DD-AF39D8BD7EC3}"/>
    <cellStyle name="Output 3 8 4 2" xfId="31901" xr:uid="{DF1C1968-0284-4C6C-B2E0-06867A00D443}"/>
    <cellStyle name="Output 3 8 5" xfId="31184" xr:uid="{53E30691-030E-4F57-B522-819E001AEBC5}"/>
    <cellStyle name="Output 3 9" xfId="29622" xr:uid="{26A06B73-9DBC-4898-BF67-41C24522DC8C}"/>
    <cellStyle name="Output 3 9 2" xfId="29623" xr:uid="{611B1E9F-01BA-4240-B0FB-509892FD4DEA}"/>
    <cellStyle name="Output 3 9 2 2" xfId="30473" xr:uid="{94EEA400-9FDC-4629-B9BD-D9C6F4338036}"/>
    <cellStyle name="Output 3 9 2 2 2" xfId="31905" xr:uid="{71E56779-F765-40DA-888F-766BCD1A8D36}"/>
    <cellStyle name="Output 3 9 2 3" xfId="31188" xr:uid="{030E70BC-5A84-459D-A482-00FA1F24C3FB}"/>
    <cellStyle name="Output 3 9 3" xfId="29624" xr:uid="{9B034D98-A8C4-4B22-B79C-B97D0852B71C}"/>
    <cellStyle name="Output 3 9 3 2" xfId="30474" xr:uid="{1A45A3E1-6B4D-49F5-8F2A-3F1393A704C7}"/>
    <cellStyle name="Output 3 9 3 2 2" xfId="31906" xr:uid="{6098EBA1-6878-4C94-A1F4-2736278C2F1F}"/>
    <cellStyle name="Output 3 9 3 3" xfId="31189" xr:uid="{9AF0EDE3-96E8-406B-B9C0-5B05BA8650CB}"/>
    <cellStyle name="Output 3 9 4" xfId="30472" xr:uid="{DF22630E-2F60-4008-A8BF-D6B677780188}"/>
    <cellStyle name="Output 3 9 4 2" xfId="31904" xr:uid="{8D6F6989-C1D3-4179-BDFF-9EB9201FE741}"/>
    <cellStyle name="Output 3 9 5" xfId="31187" xr:uid="{F2C15FAF-9D84-4FC1-937C-B5F53F514BBC}"/>
    <cellStyle name="Output 4 10" xfId="29625" xr:uid="{0286860E-96AF-4793-9FF6-81D80988B89A}"/>
    <cellStyle name="Output 4 10 2" xfId="29626" xr:uid="{B2BD9412-BB1A-4646-AAA2-7D0C2A1C1FCF}"/>
    <cellStyle name="Output 4 10 2 2" xfId="30476" xr:uid="{BE9398C7-F5A7-4083-BDDC-D95CE03BCB9A}"/>
    <cellStyle name="Output 4 10 2 2 2" xfId="31908" xr:uid="{0E592B9A-7A63-4CA7-A15B-37ED8663C0C0}"/>
    <cellStyle name="Output 4 10 2 3" xfId="31191" xr:uid="{D619DB2E-5D5C-4F3F-BFB4-7A1C2FB16C71}"/>
    <cellStyle name="Output 4 10 3" xfId="29627" xr:uid="{7639BBFA-7E8B-48C5-AE08-8DA031880398}"/>
    <cellStyle name="Output 4 10 3 2" xfId="30477" xr:uid="{4FF6C365-FDB1-4022-AF45-2B8CD6465EBE}"/>
    <cellStyle name="Output 4 10 3 2 2" xfId="31909" xr:uid="{C01022CA-9F40-46FD-B8E5-CE52A5758328}"/>
    <cellStyle name="Output 4 10 3 3" xfId="31192" xr:uid="{376953EB-BDDA-4EE2-8412-B0EA18E13DDD}"/>
    <cellStyle name="Output 4 10 4" xfId="30475" xr:uid="{EC02C024-C98E-4C74-A2AE-AD78F4F04C5E}"/>
    <cellStyle name="Output 4 10 4 2" xfId="31907" xr:uid="{F3E59F9F-9B05-4E3C-B5D9-940F40B81B7A}"/>
    <cellStyle name="Output 4 10 5" xfId="31190" xr:uid="{673CCC95-2B72-430D-BF12-606A57692BA0}"/>
    <cellStyle name="Output 4 2" xfId="29628" xr:uid="{4BF4BBFC-B7F2-464D-8302-4C79532F107A}"/>
    <cellStyle name="Output 4 2 2" xfId="29629" xr:uid="{E92A09CB-DFD3-4173-B1FD-B3AFF164EBEA}"/>
    <cellStyle name="Output 4 2 2 2" xfId="30479" xr:uid="{8536BAC0-8784-429F-A34F-E9ED989391E2}"/>
    <cellStyle name="Output 4 2 2 2 2" xfId="31911" xr:uid="{1ACDA908-8BF0-49F9-BEEB-C6F7E98F3EA4}"/>
    <cellStyle name="Output 4 2 2 3" xfId="31194" xr:uid="{948A7274-4DF1-45DC-AEE4-A163182C23CE}"/>
    <cellStyle name="Output 4 2 3" xfId="29630" xr:uid="{C8B4FA71-2EEC-4346-B5D1-4F02C7E84649}"/>
    <cellStyle name="Output 4 2 3 2" xfId="30480" xr:uid="{51E37B7F-5B94-408A-A7B2-B8F4B48D2A90}"/>
    <cellStyle name="Output 4 2 3 2 2" xfId="31912" xr:uid="{FB091F0E-CC3F-4E5C-AB41-C992A4325CC8}"/>
    <cellStyle name="Output 4 2 3 3" xfId="31195" xr:uid="{8D4AB01F-3F64-4859-B316-9E9A2FBA0BA6}"/>
    <cellStyle name="Output 4 2 4" xfId="30478" xr:uid="{216B5F96-3EC5-4288-8757-820EF75E25C0}"/>
    <cellStyle name="Output 4 2 4 2" xfId="31910" xr:uid="{FD68F1D0-4E72-4CAB-B012-BA3111930A5E}"/>
    <cellStyle name="Output 4 2 5" xfId="31193" xr:uid="{95327166-B8A2-489E-8C8D-1912E001E7FC}"/>
    <cellStyle name="Output 4 3" xfId="29631" xr:uid="{3659B741-54DE-4A84-808E-503C627FE34C}"/>
    <cellStyle name="Output 4 3 2" xfId="29632" xr:uid="{3DD6A09F-A1A7-45C8-B535-513469DE3216}"/>
    <cellStyle name="Output 4 3 2 2" xfId="30482" xr:uid="{C1E2EC68-B4D4-423C-8CF5-451281696349}"/>
    <cellStyle name="Output 4 3 2 2 2" xfId="31914" xr:uid="{E822F914-9086-4EC5-8185-28D1B49A6364}"/>
    <cellStyle name="Output 4 3 2 3" xfId="31197" xr:uid="{C537721D-3149-4780-821A-BC385E4C8D14}"/>
    <cellStyle name="Output 4 3 3" xfId="29633" xr:uid="{F26BC7B4-2B1E-4EDA-A85A-CE8CE11747B8}"/>
    <cellStyle name="Output 4 3 3 2" xfId="30483" xr:uid="{D502CD65-9D64-4590-9524-83E0758F02FC}"/>
    <cellStyle name="Output 4 3 3 2 2" xfId="31915" xr:uid="{5C72D792-0BB5-435F-BE66-AFF63A82EDF5}"/>
    <cellStyle name="Output 4 3 3 3" xfId="31198" xr:uid="{9A811DCA-675F-4865-918C-C0F9AD12FCB5}"/>
    <cellStyle name="Output 4 3 4" xfId="30481" xr:uid="{1D40C7F4-A1EF-4DE0-A066-B6566461F3C0}"/>
    <cellStyle name="Output 4 3 4 2" xfId="31913" xr:uid="{E1846C23-4DF1-4BCA-9D6F-F3729E4D2E77}"/>
    <cellStyle name="Output 4 3 5" xfId="31196" xr:uid="{BA362B3D-91DF-430C-9697-8F2214F908EE}"/>
    <cellStyle name="Output 4 4" xfId="29634" xr:uid="{1FB0A570-1C77-4972-9FE9-FC72E0717513}"/>
    <cellStyle name="Output 4 4 2" xfId="29635" xr:uid="{058ECC5E-CAEF-4373-8059-5309E01CB4A9}"/>
    <cellStyle name="Output 4 4 2 2" xfId="30485" xr:uid="{D903E3D9-ECE3-4A9D-8956-3ED2FF528E79}"/>
    <cellStyle name="Output 4 4 2 2 2" xfId="31917" xr:uid="{7D07BED0-DBCB-43BB-BA2F-F8FAAD4A25A4}"/>
    <cellStyle name="Output 4 4 2 3" xfId="31200" xr:uid="{1F7E206E-EA17-4CDB-98DD-ECE20514746B}"/>
    <cellStyle name="Output 4 4 3" xfId="29636" xr:uid="{2236F5E2-9178-4A36-8A6B-8EF3FE7F68B2}"/>
    <cellStyle name="Output 4 4 3 2" xfId="30486" xr:uid="{92BF0C7B-0BFD-400A-A481-752DCAE7D47E}"/>
    <cellStyle name="Output 4 4 3 2 2" xfId="31918" xr:uid="{74B104E2-9DF4-4993-A556-2F89A53D08B3}"/>
    <cellStyle name="Output 4 4 3 3" xfId="31201" xr:uid="{EE079AD2-7AB2-4976-B457-576216CC859D}"/>
    <cellStyle name="Output 4 4 4" xfId="30484" xr:uid="{4663BCF6-CA0A-4CDE-AB31-4F4BCEF780CF}"/>
    <cellStyle name="Output 4 4 4 2" xfId="31916" xr:uid="{C4D2F0A7-2DDB-4A13-AFE1-22FABD54F859}"/>
    <cellStyle name="Output 4 4 5" xfId="31199" xr:uid="{916772A0-E97A-4F7D-9D97-D62C479B0C57}"/>
    <cellStyle name="Output 4 5" xfId="29637" xr:uid="{B19969EE-5467-4798-9FC3-5D787C603E3D}"/>
    <cellStyle name="Output 4 5 2" xfId="29638" xr:uid="{DD350A7B-C90B-4055-B105-0E21EE8BD05D}"/>
    <cellStyle name="Output 4 5 2 2" xfId="30488" xr:uid="{108EC9A1-772C-4D3A-8CD7-FA89D6D1AEE6}"/>
    <cellStyle name="Output 4 5 2 2 2" xfId="31920" xr:uid="{1F3F4C94-C938-4B7D-BDCC-AF0FFF40C144}"/>
    <cellStyle name="Output 4 5 2 3" xfId="31203" xr:uid="{0860AF12-9759-4C43-A1AD-0B98032DCD45}"/>
    <cellStyle name="Output 4 5 3" xfId="29639" xr:uid="{D63DCAA9-69D9-44AF-9B08-291DB57C2442}"/>
    <cellStyle name="Output 4 5 3 2" xfId="30489" xr:uid="{5BF9EAE2-A47E-472A-AA54-939C06949115}"/>
    <cellStyle name="Output 4 5 3 2 2" xfId="31921" xr:uid="{1F1A642F-FF47-45FD-B5A6-B807D0E5F543}"/>
    <cellStyle name="Output 4 5 3 3" xfId="31204" xr:uid="{421F556A-0A4E-4CF1-8FD9-393C21754289}"/>
    <cellStyle name="Output 4 5 4" xfId="30487" xr:uid="{B1D07E58-D145-40E9-8E9F-36C4E8AAD252}"/>
    <cellStyle name="Output 4 5 4 2" xfId="31919" xr:uid="{4E7B2F27-A02A-4426-AAF0-327452FC9731}"/>
    <cellStyle name="Output 4 5 5" xfId="31202" xr:uid="{D0CFB568-2F5F-4C78-85DD-8795498AC3E2}"/>
    <cellStyle name="Output 4 6" xfId="29640" xr:uid="{8F06C296-FB4A-4D81-954B-D2F7F698D8D8}"/>
    <cellStyle name="Output 4 6 2" xfId="29641" xr:uid="{494FE3C6-7D96-4EBA-80AB-3107B2527304}"/>
    <cellStyle name="Output 4 6 2 2" xfId="30491" xr:uid="{BFA7A38C-9F9A-4D04-8F0F-97459C705EF4}"/>
    <cellStyle name="Output 4 6 2 2 2" xfId="31923" xr:uid="{7763D60B-A182-479C-9633-078C0FBCF766}"/>
    <cellStyle name="Output 4 6 2 3" xfId="31206" xr:uid="{F214C7CA-CA02-4355-ACAE-AD6D10D5BE3A}"/>
    <cellStyle name="Output 4 6 3" xfId="29642" xr:uid="{9628A6EA-4911-47A1-837A-1B5E1FEFA468}"/>
    <cellStyle name="Output 4 6 3 2" xfId="30492" xr:uid="{8830ECA0-8B43-4CBF-8EC7-B11B6CAE9A90}"/>
    <cellStyle name="Output 4 6 3 2 2" xfId="31924" xr:uid="{F4792433-7950-437C-83D7-769172EF5E97}"/>
    <cellStyle name="Output 4 6 3 3" xfId="31207" xr:uid="{489B4A38-F189-4E2F-8D13-6F8DFFE7EFEB}"/>
    <cellStyle name="Output 4 6 4" xfId="30490" xr:uid="{7979A282-BE89-40A4-813F-E67B6ED473CD}"/>
    <cellStyle name="Output 4 6 4 2" xfId="31922" xr:uid="{085E5F19-404D-4939-9AE5-D091B5E33FE2}"/>
    <cellStyle name="Output 4 6 5" xfId="31205" xr:uid="{CDEA6425-6870-4489-A557-981F302E21CD}"/>
    <cellStyle name="Output 4 7" xfId="29643" xr:uid="{DEC58A9F-5BB5-457A-B86A-FF18FD199FAA}"/>
    <cellStyle name="Output 4 7 2" xfId="29644" xr:uid="{3AA92CB6-594E-433E-AAF4-F303167FA7AF}"/>
    <cellStyle name="Output 4 7 2 2" xfId="30494" xr:uid="{86D09B7B-8969-4F0B-A727-8C70E96E3E02}"/>
    <cellStyle name="Output 4 7 2 2 2" xfId="31926" xr:uid="{192E37DC-10F8-4C9C-A716-42F8FA906933}"/>
    <cellStyle name="Output 4 7 2 3" xfId="31209" xr:uid="{7D026EEC-71E8-4477-AFBC-8C7249ECEA95}"/>
    <cellStyle name="Output 4 7 3" xfId="29645" xr:uid="{ABC07FC0-895B-4012-B526-F1278CA946BA}"/>
    <cellStyle name="Output 4 7 3 2" xfId="30495" xr:uid="{2D8FC772-CC95-4C48-B86B-FE8B30698FB4}"/>
    <cellStyle name="Output 4 7 3 2 2" xfId="31927" xr:uid="{D5B40BDA-7992-412E-A909-156AC70C631E}"/>
    <cellStyle name="Output 4 7 3 3" xfId="31210" xr:uid="{959D210C-30C1-436A-9293-7BEA084C96F2}"/>
    <cellStyle name="Output 4 7 4" xfId="30493" xr:uid="{935C4366-3889-4AB8-8E4E-8EA87C2A037A}"/>
    <cellStyle name="Output 4 7 4 2" xfId="31925" xr:uid="{0819915E-C8F2-4955-95B0-C4ED787A7F02}"/>
    <cellStyle name="Output 4 7 5" xfId="31208" xr:uid="{19133002-B1A7-431F-9FCC-C5793E9B94ED}"/>
    <cellStyle name="Output 4 8" xfId="29646" xr:uid="{E6C00C77-47EF-4EE9-A7C2-4AC373E117C7}"/>
    <cellStyle name="Output 4 8 2" xfId="29647" xr:uid="{7353C296-1F6E-4358-AC3B-93A27873DB7C}"/>
    <cellStyle name="Output 4 8 2 2" xfId="30497" xr:uid="{8D078CDD-7C60-4258-ADAD-BF9A0DD157D4}"/>
    <cellStyle name="Output 4 8 2 2 2" xfId="31929" xr:uid="{56CE1020-812C-43DF-8576-556967D89F8D}"/>
    <cellStyle name="Output 4 8 2 3" xfId="31212" xr:uid="{FEB3F564-982E-4977-A98D-B23245F3F4FF}"/>
    <cellStyle name="Output 4 8 3" xfId="29648" xr:uid="{315DF80E-05BC-457A-8A3F-2A6A1560CB4A}"/>
    <cellStyle name="Output 4 8 3 2" xfId="30498" xr:uid="{C9A6B514-A494-443A-B88A-A4C1F85C26E4}"/>
    <cellStyle name="Output 4 8 3 2 2" xfId="31930" xr:uid="{382909FA-6F41-4BC0-B11C-04C1DC679C32}"/>
    <cellStyle name="Output 4 8 3 3" xfId="31213" xr:uid="{2646275C-18C9-4E1E-ADAC-54E873175BEF}"/>
    <cellStyle name="Output 4 8 4" xfId="30496" xr:uid="{5C56DA61-EE67-484D-B740-6FB6BACEC501}"/>
    <cellStyle name="Output 4 8 4 2" xfId="31928" xr:uid="{A50F4316-4FE0-49F1-B007-D17F8EF70F50}"/>
    <cellStyle name="Output 4 8 5" xfId="31211" xr:uid="{1D70D642-E606-4DF7-AB89-FD9D09F658D8}"/>
    <cellStyle name="Output 4 9" xfId="29649" xr:uid="{6AA1B2F1-8577-4A8A-A8A2-76B5D082A971}"/>
    <cellStyle name="Output 4 9 2" xfId="29650" xr:uid="{2379838C-DE4E-40C4-8D72-31CD53281E11}"/>
    <cellStyle name="Output 4 9 2 2" xfId="30500" xr:uid="{41BD8C45-72F4-4AF5-87A5-036C355FBE4B}"/>
    <cellStyle name="Output 4 9 2 2 2" xfId="31932" xr:uid="{AC5D5FB7-5196-4C5B-BD1D-1B507307BA7F}"/>
    <cellStyle name="Output 4 9 2 3" xfId="31215" xr:uid="{4F9EB4BE-F7B4-4817-83A7-D9F9BE7D337F}"/>
    <cellStyle name="Output 4 9 3" xfId="29651" xr:uid="{B63A2760-73B6-4E93-9533-42561C7FF671}"/>
    <cellStyle name="Output 4 9 3 2" xfId="30501" xr:uid="{30328C36-B958-4961-9695-A8414B7DDB52}"/>
    <cellStyle name="Output 4 9 3 2 2" xfId="31933" xr:uid="{655305F3-B3A4-4FF5-A920-21D00FA87A00}"/>
    <cellStyle name="Output 4 9 3 3" xfId="31216" xr:uid="{20C53042-8672-4A30-BBF0-700B7783837E}"/>
    <cellStyle name="Output 4 9 4" xfId="30499" xr:uid="{2802716A-0B10-4F7A-B78C-DFAED87D327C}"/>
    <cellStyle name="Output 4 9 4 2" xfId="31931" xr:uid="{33E2F0E9-92A1-475A-BF0A-B1995C354413}"/>
    <cellStyle name="Output 4 9 5" xfId="31214" xr:uid="{F0C2B6EF-CD72-411B-B1AF-166DD2043990}"/>
    <cellStyle name="Output 5 10" xfId="29652" xr:uid="{0404F573-924E-4E70-9A69-A62FC4F44091}"/>
    <cellStyle name="Output 5 10 2" xfId="29653" xr:uid="{8BB89C89-9E51-4790-BF51-44AA161DAD55}"/>
    <cellStyle name="Output 5 10 2 2" xfId="30503" xr:uid="{852823BC-E17C-4403-B933-315BD4A466FA}"/>
    <cellStyle name="Output 5 10 2 2 2" xfId="31935" xr:uid="{CC47183B-A9E6-4AB0-8BAB-3346880CD5F9}"/>
    <cellStyle name="Output 5 10 2 3" xfId="31218" xr:uid="{331E2BD9-5A91-4868-A6D5-A412D3175F94}"/>
    <cellStyle name="Output 5 10 3" xfId="29654" xr:uid="{A9657AF9-8D25-44A3-9C60-0BC3DAB8B1BD}"/>
    <cellStyle name="Output 5 10 3 2" xfId="30504" xr:uid="{79495309-DB2C-4AF3-88B0-7F5048BD19DB}"/>
    <cellStyle name="Output 5 10 3 2 2" xfId="31936" xr:uid="{EE534047-FB65-4D27-ACBF-62770A429020}"/>
    <cellStyle name="Output 5 10 3 3" xfId="31219" xr:uid="{29179290-6A2D-4BC3-85D6-B85AF74A2896}"/>
    <cellStyle name="Output 5 10 4" xfId="30502" xr:uid="{69E28FC5-6B2F-4A8B-861B-BF8500DABE73}"/>
    <cellStyle name="Output 5 10 4 2" xfId="31934" xr:uid="{85FFE300-C8D4-4EBC-8D82-8B88BD610730}"/>
    <cellStyle name="Output 5 10 5" xfId="31217" xr:uid="{58C56D47-637C-4890-9361-6B366077F953}"/>
    <cellStyle name="Output 5 2" xfId="29655" xr:uid="{01CB782A-1A2D-4EEA-B52D-F9E7BD53D772}"/>
    <cellStyle name="Output 5 2 2" xfId="29656" xr:uid="{C3A898B9-41E4-4812-A616-E3442D9B7960}"/>
    <cellStyle name="Output 5 2 2 2" xfId="30506" xr:uid="{726035B3-CBA9-4086-B640-92229F6CAE6F}"/>
    <cellStyle name="Output 5 2 2 2 2" xfId="31938" xr:uid="{A8D81FEC-6F34-43E9-94E6-6EF3EAA52B41}"/>
    <cellStyle name="Output 5 2 2 3" xfId="31221" xr:uid="{64922BF5-73BF-4371-8CCE-FB28E45FF57E}"/>
    <cellStyle name="Output 5 2 3" xfId="29657" xr:uid="{23DB22CB-338A-4B36-8BE9-DD948187FB85}"/>
    <cellStyle name="Output 5 2 3 2" xfId="30507" xr:uid="{560FCE0D-74E2-4F12-BF2F-ED80EDE7CBE4}"/>
    <cellStyle name="Output 5 2 3 2 2" xfId="31939" xr:uid="{BB0DB51E-E757-4F82-B74A-40FCE60C91DA}"/>
    <cellStyle name="Output 5 2 3 3" xfId="31222" xr:uid="{922AABD7-8E33-4759-95C8-1C23477FE22B}"/>
    <cellStyle name="Output 5 2 4" xfId="30505" xr:uid="{23E331B7-308C-42BD-B4B7-44484AA2771E}"/>
    <cellStyle name="Output 5 2 4 2" xfId="31937" xr:uid="{3D293BE5-241B-4861-AA01-46A1925404F3}"/>
    <cellStyle name="Output 5 2 5" xfId="31220" xr:uid="{EEAA9773-BA21-4A4D-A863-B76B6AB0027D}"/>
    <cellStyle name="Output 5 3" xfId="29658" xr:uid="{060E2C51-80DE-4137-AA59-F46DEF95EA0E}"/>
    <cellStyle name="Output 5 3 2" xfId="29659" xr:uid="{7C7346B4-5D7D-40E3-9644-F3163C83A105}"/>
    <cellStyle name="Output 5 3 2 2" xfId="30509" xr:uid="{057D267E-B0FD-469A-8ABD-DD39A851BF20}"/>
    <cellStyle name="Output 5 3 2 2 2" xfId="31941" xr:uid="{25912CB8-E01E-40A1-956F-E1B7B1DA4AE2}"/>
    <cellStyle name="Output 5 3 2 3" xfId="31224" xr:uid="{70DEEC8C-08BC-416A-B5AD-23EDEF68386B}"/>
    <cellStyle name="Output 5 3 3" xfId="29660" xr:uid="{70581BAF-FE14-4141-9320-1A9D06FC1F38}"/>
    <cellStyle name="Output 5 3 3 2" xfId="30510" xr:uid="{B35F9AB1-1491-4953-A2E4-C46737545132}"/>
    <cellStyle name="Output 5 3 3 2 2" xfId="31942" xr:uid="{26B62DED-83A1-4A20-A373-5A587ADF1957}"/>
    <cellStyle name="Output 5 3 3 3" xfId="31225" xr:uid="{BB776AD5-9597-45E8-A631-BD173CED436C}"/>
    <cellStyle name="Output 5 3 4" xfId="30508" xr:uid="{9985463D-0E76-4003-9117-9948E2BCA126}"/>
    <cellStyle name="Output 5 3 4 2" xfId="31940" xr:uid="{4D689A2C-F28C-4C0D-9BFE-92B9ABCF0044}"/>
    <cellStyle name="Output 5 3 5" xfId="31223" xr:uid="{608D035A-D988-47EC-8843-C5D2D688F465}"/>
    <cellStyle name="Output 5 4" xfId="29661" xr:uid="{9DBCE25C-8A5B-4DED-8928-703E7E46F871}"/>
    <cellStyle name="Output 5 4 2" xfId="29662" xr:uid="{28637236-39D7-4A82-B4A6-BA6ABCDEB48F}"/>
    <cellStyle name="Output 5 4 2 2" xfId="30512" xr:uid="{C4C207DB-4BEC-4ABD-869D-9EB340982003}"/>
    <cellStyle name="Output 5 4 2 2 2" xfId="31944" xr:uid="{F7BF380D-120C-49D1-83D8-EAA42943EA3B}"/>
    <cellStyle name="Output 5 4 2 3" xfId="31227" xr:uid="{08FF61A5-DE6A-41AC-BEF9-35EB029745F5}"/>
    <cellStyle name="Output 5 4 3" xfId="29663" xr:uid="{78B8281A-3736-4F72-9E9C-43E0B48EA368}"/>
    <cellStyle name="Output 5 4 3 2" xfId="30513" xr:uid="{B48102CF-3938-4C29-A8DD-61C183D82CCF}"/>
    <cellStyle name="Output 5 4 3 2 2" xfId="31945" xr:uid="{2CE75763-AB22-41F1-A9B0-E3978AF4CFBD}"/>
    <cellStyle name="Output 5 4 3 3" xfId="31228" xr:uid="{4D219BB2-D19E-4033-A61C-3404D38AA587}"/>
    <cellStyle name="Output 5 4 4" xfId="30511" xr:uid="{144216EB-B453-49ED-8E12-B5850E4CD97D}"/>
    <cellStyle name="Output 5 4 4 2" xfId="31943" xr:uid="{E2468C10-BDA9-4C21-9128-2B31ACE3F59A}"/>
    <cellStyle name="Output 5 4 5" xfId="31226" xr:uid="{DA83A72C-EABC-4CA5-BD88-E2DCEEC4DED3}"/>
    <cellStyle name="Output 5 5" xfId="29664" xr:uid="{EB7D68AE-99BC-4453-BB0B-AC8409AAC654}"/>
    <cellStyle name="Output 5 5 2" xfId="29665" xr:uid="{12F905E1-C383-4DFC-8630-E14F1472E129}"/>
    <cellStyle name="Output 5 5 2 2" xfId="30515" xr:uid="{D9153FA1-70BD-4029-9D1A-D3A0F4988806}"/>
    <cellStyle name="Output 5 5 2 2 2" xfId="31947" xr:uid="{EE91B0D6-1D0D-4116-85B6-5413D0C483FE}"/>
    <cellStyle name="Output 5 5 2 3" xfId="31230" xr:uid="{13D3C596-8B44-4511-8E3E-47E864C8D4C3}"/>
    <cellStyle name="Output 5 5 3" xfId="29666" xr:uid="{323DFBCB-33F3-4ED2-B600-565120FE3E69}"/>
    <cellStyle name="Output 5 5 3 2" xfId="30516" xr:uid="{601F3DFE-F15E-4D82-8EA4-AAC7F08AB3DE}"/>
    <cellStyle name="Output 5 5 3 2 2" xfId="31948" xr:uid="{50748A12-977D-4FA2-BA37-E9301A203E82}"/>
    <cellStyle name="Output 5 5 3 3" xfId="31231" xr:uid="{D0C35DA4-65CA-495D-B3DB-A79AF8A4F5D0}"/>
    <cellStyle name="Output 5 5 4" xfId="30514" xr:uid="{E6858DBF-56C4-46EE-AB12-62F9E5F39C3F}"/>
    <cellStyle name="Output 5 5 4 2" xfId="31946" xr:uid="{A8309A0D-1A14-4953-82E6-E97C84E729B4}"/>
    <cellStyle name="Output 5 5 5" xfId="31229" xr:uid="{0CBE984C-7E45-4E41-9885-060C27EC80BA}"/>
    <cellStyle name="Output 5 6" xfId="29667" xr:uid="{2FA08418-A942-4575-A6C2-EC9734B5DE56}"/>
    <cellStyle name="Output 5 6 2" xfId="29668" xr:uid="{0AF01449-DFEC-499D-A12A-C518F19665F4}"/>
    <cellStyle name="Output 5 6 2 2" xfId="30518" xr:uid="{D5B317B4-1B51-4358-A06B-AE68B9EA96C8}"/>
    <cellStyle name="Output 5 6 2 2 2" xfId="31950" xr:uid="{7530000E-35DF-4FBC-A82E-D1AF96229655}"/>
    <cellStyle name="Output 5 6 2 3" xfId="31233" xr:uid="{C782A20D-A546-4B13-BE1A-196371C872A8}"/>
    <cellStyle name="Output 5 6 3" xfId="29669" xr:uid="{F2B20B3A-8C9D-4975-AE84-6BEEC34EA2AE}"/>
    <cellStyle name="Output 5 6 3 2" xfId="30519" xr:uid="{A10F9D60-A133-48AE-9DB9-DD4C19EF56D6}"/>
    <cellStyle name="Output 5 6 3 2 2" xfId="31951" xr:uid="{170A2F29-E048-4251-9D3F-5D9DBE44FE2E}"/>
    <cellStyle name="Output 5 6 3 3" xfId="31234" xr:uid="{E9FFB682-8B29-4432-B410-0335B69D9E7C}"/>
    <cellStyle name="Output 5 6 4" xfId="30517" xr:uid="{13FF366D-4C1F-40A6-B92C-F3552808A74E}"/>
    <cellStyle name="Output 5 6 4 2" xfId="31949" xr:uid="{91DB61C6-067C-46B7-A3D3-12BCF063FB95}"/>
    <cellStyle name="Output 5 6 5" xfId="31232" xr:uid="{C8637A1F-742E-44AD-8629-880FDA2CDA70}"/>
    <cellStyle name="Output 5 7" xfId="29670" xr:uid="{2341FC00-6962-4A30-A4A4-8B81FE98726D}"/>
    <cellStyle name="Output 5 7 2" xfId="29671" xr:uid="{16513C68-F5D1-4B7C-ACDE-95C55E6F463A}"/>
    <cellStyle name="Output 5 7 2 2" xfId="30521" xr:uid="{A03DACF9-CC42-4447-9CA5-AB6EF8816C9C}"/>
    <cellStyle name="Output 5 7 2 2 2" xfId="31953" xr:uid="{B8ECB043-467C-41D1-8A7F-6EE6F4333A68}"/>
    <cellStyle name="Output 5 7 2 3" xfId="31236" xr:uid="{3676C3F8-DFF4-437B-8213-02B3F008DF7A}"/>
    <cellStyle name="Output 5 7 3" xfId="29672" xr:uid="{939208F9-C2BC-4281-8782-928A1B3CC54A}"/>
    <cellStyle name="Output 5 7 3 2" xfId="30522" xr:uid="{C7082D08-21D0-4CFE-81DE-A68D4AD05266}"/>
    <cellStyle name="Output 5 7 3 2 2" xfId="31954" xr:uid="{7B310D35-18D4-485D-9263-F1766217C069}"/>
    <cellStyle name="Output 5 7 3 3" xfId="31237" xr:uid="{6F2931B2-91BA-4B81-B52F-3557FE8ACE12}"/>
    <cellStyle name="Output 5 7 4" xfId="30520" xr:uid="{2A6A1E64-E441-4C10-A023-75E331130BB0}"/>
    <cellStyle name="Output 5 7 4 2" xfId="31952" xr:uid="{092C2067-B838-4CDD-9CBB-E0F8862766B8}"/>
    <cellStyle name="Output 5 7 5" xfId="31235" xr:uid="{43EF0B8B-140D-4AC2-B960-760A16019AEB}"/>
    <cellStyle name="Output 5 8" xfId="29673" xr:uid="{8F38A48E-2823-47D8-A2E0-9A48779A07E4}"/>
    <cellStyle name="Output 5 8 2" xfId="29674" xr:uid="{199D1C99-5A04-4A66-B305-9ADE0AA27A3A}"/>
    <cellStyle name="Output 5 8 2 2" xfId="30524" xr:uid="{5EBE2483-04CD-425A-95E9-130CF27D391F}"/>
    <cellStyle name="Output 5 8 2 2 2" xfId="31956" xr:uid="{11923660-B082-4039-BAC5-C033AE7D580E}"/>
    <cellStyle name="Output 5 8 2 3" xfId="31239" xr:uid="{0F1E55A1-D495-44BF-BEC7-B527CF7DD5D7}"/>
    <cellStyle name="Output 5 8 3" xfId="29675" xr:uid="{16273DC8-D1B4-48CB-90F8-DCF40434D797}"/>
    <cellStyle name="Output 5 8 3 2" xfId="30525" xr:uid="{65D7A527-5366-4FA2-9163-502607846FB4}"/>
    <cellStyle name="Output 5 8 3 2 2" xfId="31957" xr:uid="{A2DEE19D-3394-440D-B74D-907F64189FDE}"/>
    <cellStyle name="Output 5 8 3 3" xfId="31240" xr:uid="{6FC01FDC-7158-4210-A4E8-EA1A19AF74E4}"/>
    <cellStyle name="Output 5 8 4" xfId="30523" xr:uid="{C91E8784-7BD5-480F-98B7-37C5F11747E2}"/>
    <cellStyle name="Output 5 8 4 2" xfId="31955" xr:uid="{C90C6F48-7580-4107-AB94-3E2C4C3F61D6}"/>
    <cellStyle name="Output 5 8 5" xfId="31238" xr:uid="{DD6F521A-79D9-41DC-A237-D1F50B0C4893}"/>
    <cellStyle name="Output 5 9" xfId="29676" xr:uid="{B37CF6F4-0212-4C85-A82A-2CDC246C64E2}"/>
    <cellStyle name="Output 5 9 2" xfId="29677" xr:uid="{ABE8CF40-56FB-4850-8579-AB032C75E83E}"/>
    <cellStyle name="Output 5 9 2 2" xfId="30527" xr:uid="{406CB318-DF29-4D1F-A302-6602999659B9}"/>
    <cellStyle name="Output 5 9 2 2 2" xfId="31959" xr:uid="{BD941C37-51F7-4771-953B-1299941D8E33}"/>
    <cellStyle name="Output 5 9 2 3" xfId="31242" xr:uid="{B8B14F97-C9E9-4F62-A389-50675BFF1705}"/>
    <cellStyle name="Output 5 9 3" xfId="29678" xr:uid="{4FC7F46E-5DD3-419E-B72B-03146FAAC820}"/>
    <cellStyle name="Output 5 9 3 2" xfId="30528" xr:uid="{23D5EE0D-57CD-44E7-8D28-62008FF3F0AE}"/>
    <cellStyle name="Output 5 9 3 2 2" xfId="31960" xr:uid="{28B1BE19-6B0E-4107-8CF7-200C0B060947}"/>
    <cellStyle name="Output 5 9 3 3" xfId="31243" xr:uid="{B1F063DA-CD11-4F33-9DD5-C17F85A55CB0}"/>
    <cellStyle name="Output 5 9 4" xfId="30526" xr:uid="{760D0584-9B33-40F6-BEBD-8CBE01846B53}"/>
    <cellStyle name="Output 5 9 4 2" xfId="31958" xr:uid="{8BFCF323-E9CE-42E2-8396-3ACC77015CAA}"/>
    <cellStyle name="Output 5 9 5" xfId="31241" xr:uid="{596D0A0F-738D-4A24-9F19-19846F039BBC}"/>
    <cellStyle name="Output Amounts" xfId="29679" xr:uid="{4D898F87-0FF9-41C3-8453-1F743D9D7F14}"/>
    <cellStyle name="Output Column Headings" xfId="29680" xr:uid="{AE99758D-A1D8-4F32-ADF0-F6E5A1BD9BCA}"/>
    <cellStyle name="Output Line Items" xfId="29681" xr:uid="{C1CE9131-53A8-47A3-B1FB-F76079D2F316}"/>
    <cellStyle name="Output Report Heading" xfId="29682" xr:uid="{0E6668F3-3C95-48F0-BC4B-B9C1AFE1A615}"/>
    <cellStyle name="Output Report Title" xfId="29683" xr:uid="{44CFB775-4269-43D1-A322-B27D343BFB50}"/>
    <cellStyle name="Percent [2]" xfId="26150" xr:uid="{B31420EA-EB32-48E4-B526-B8D8ECECBB8E}"/>
    <cellStyle name="Percent 2" xfId="66" xr:uid="{00000000-0005-0000-0000-0000884E0000}"/>
    <cellStyle name="Percent 2 2" xfId="26474" xr:uid="{0A116225-4623-49AC-AE86-EA784C5F98F7}"/>
    <cellStyle name="Percent 2 2 3" xfId="32223" xr:uid="{DFB3F7F7-EC2B-4DAF-BDB7-2E3504620507}"/>
    <cellStyle name="Percent 2 3" xfId="25877" xr:uid="{94311D98-579B-4E10-8179-8787AA633DFB}"/>
    <cellStyle name="Percent 2 4" xfId="29684" xr:uid="{82AD8629-E6F1-4B90-A323-2EB1C514E653}"/>
    <cellStyle name="Percent 3" xfId="29685" xr:uid="{20C52289-7EFE-461F-95CD-BBC450D34A0E}"/>
    <cellStyle name="Percent 5" xfId="20096" xr:uid="{00000000-0005-0000-0000-0000894E0000}"/>
    <cellStyle name="SAPBEXaggData" xfId="29686" xr:uid="{9879E8AC-180E-4B76-8A9D-BDD4870232EC}"/>
    <cellStyle name="SAPBEXaggData 2" xfId="29687" xr:uid="{E59A4C64-0E40-4254-BAD6-3A3770C1133F}"/>
    <cellStyle name="SAPBEXaggData 2 2" xfId="30530" xr:uid="{B20FD9B4-6825-4D50-ADB6-2E13B028799E}"/>
    <cellStyle name="SAPBEXaggData 2 2 2" xfId="31962" xr:uid="{A1CE6AD0-C1C4-4D0C-AA02-216BD728973A}"/>
    <cellStyle name="SAPBEXaggData 2 3" xfId="31245" xr:uid="{752FE563-6120-4ED6-9CAA-129331961F42}"/>
    <cellStyle name="SAPBEXaggData 3" xfId="29688" xr:uid="{F9582790-953A-4364-997C-7995B23E56C8}"/>
    <cellStyle name="SAPBEXaggData 3 2" xfId="30531" xr:uid="{4DF356A6-5F7A-4208-BD26-6A79965DA679}"/>
    <cellStyle name="SAPBEXaggData 3 2 2" xfId="31963" xr:uid="{8D0366E3-1050-4712-9299-50ACC0601748}"/>
    <cellStyle name="SAPBEXaggData 3 3" xfId="31246" xr:uid="{883AEEA9-2398-4E12-BEFB-B814AB8E2224}"/>
    <cellStyle name="SAPBEXaggData 4" xfId="30529" xr:uid="{C117D130-AA79-4CBD-8F24-F1FA29171E5D}"/>
    <cellStyle name="SAPBEXaggData 4 2" xfId="31961" xr:uid="{31F26CB3-B002-4A89-A8A8-FE998687B23C}"/>
    <cellStyle name="SAPBEXaggData 5" xfId="31244" xr:uid="{400150A0-482F-485E-8CCF-EF9C249E550B}"/>
    <cellStyle name="SAPBEXaggDataEmph" xfId="29689" xr:uid="{BE3533D0-F564-45C3-9E09-38CC6496A52E}"/>
    <cellStyle name="SAPBEXaggDataEmph 2" xfId="29690" xr:uid="{04EC8450-06DF-4E1B-A526-08FD7DDDCB29}"/>
    <cellStyle name="SAPBEXaggDataEmph 2 2" xfId="30533" xr:uid="{10F4DBA9-1AC8-43B2-A175-6CC0D412548B}"/>
    <cellStyle name="SAPBEXaggDataEmph 2 2 2" xfId="31965" xr:uid="{01049253-2594-43CA-BAA6-9926B1EB710F}"/>
    <cellStyle name="SAPBEXaggDataEmph 2 3" xfId="31248" xr:uid="{02A1029A-F8E9-4316-A18C-DD3480FAAACB}"/>
    <cellStyle name="SAPBEXaggDataEmph 3" xfId="29691" xr:uid="{EFB0E9C2-9764-449C-8F3D-46F5266A44C1}"/>
    <cellStyle name="SAPBEXaggDataEmph 3 2" xfId="30534" xr:uid="{91F113D1-71A7-4F4F-B079-6E0090E3C998}"/>
    <cellStyle name="SAPBEXaggDataEmph 3 2 2" xfId="31966" xr:uid="{E5FF42F1-186E-43C4-BAB8-25D104D52BA6}"/>
    <cellStyle name="SAPBEXaggDataEmph 3 3" xfId="31249" xr:uid="{CB8A064A-7EDD-49D1-ADA5-467F7EDFF1B8}"/>
    <cellStyle name="SAPBEXaggDataEmph 4" xfId="30532" xr:uid="{6787D385-C93C-4540-AF60-465353D6DE04}"/>
    <cellStyle name="SAPBEXaggDataEmph 4 2" xfId="31964" xr:uid="{B82F9F4B-8A92-41CB-A1CA-0F766B42511B}"/>
    <cellStyle name="SAPBEXaggDataEmph 5" xfId="31247" xr:uid="{823AFAB0-50F7-46E9-86DA-3B463E8E9D03}"/>
    <cellStyle name="SAPBEXaggItem" xfId="29692" xr:uid="{AF80C249-9EAB-4B2C-9EC5-1B91AB24FB90}"/>
    <cellStyle name="SAPBEXaggItem 2" xfId="29693" xr:uid="{90F8357B-93A1-4202-A18D-923B24963A4D}"/>
    <cellStyle name="SAPBEXaggItem 2 2" xfId="30536" xr:uid="{D216D6AA-0929-49FC-BDCE-5480E1C510FC}"/>
    <cellStyle name="SAPBEXaggItem 2 2 2" xfId="31968" xr:uid="{5F09CC24-DE40-49F0-BE60-C645C6395259}"/>
    <cellStyle name="SAPBEXaggItem 2 3" xfId="31251" xr:uid="{E13C61AE-7D3E-4A42-B345-3CBEEB11CBF9}"/>
    <cellStyle name="SAPBEXaggItem 3" xfId="29694" xr:uid="{52D5E367-0826-40FB-ADF0-59C90E6F554F}"/>
    <cellStyle name="SAPBEXaggItem 3 2" xfId="30537" xr:uid="{D4D83716-52A7-4C49-9243-80B5FC5B9DE3}"/>
    <cellStyle name="SAPBEXaggItem 3 2 2" xfId="31969" xr:uid="{29CC2361-F33D-467F-ACD6-546EAE7B98D6}"/>
    <cellStyle name="SAPBEXaggItem 3 3" xfId="31252" xr:uid="{86660F96-B31E-4A7D-862F-CA74BDC23A45}"/>
    <cellStyle name="SAPBEXaggItem 4" xfId="30535" xr:uid="{CCB05163-4F3D-433C-8F3E-A3D2DC3764BF}"/>
    <cellStyle name="SAPBEXaggItem 4 2" xfId="31967" xr:uid="{E7134192-69C9-4130-98C3-FC924AFCB239}"/>
    <cellStyle name="SAPBEXaggItem 5" xfId="31250" xr:uid="{91BBF922-783D-4F04-831F-3127B86D243A}"/>
    <cellStyle name="SAPBEXaggItemX" xfId="29695" xr:uid="{158A60C4-DC46-4665-86F7-07CE13E068D0}"/>
    <cellStyle name="SAPBEXaggItemX 2" xfId="29696" xr:uid="{0EFB27CE-46AC-454B-8CD8-80353F434A43}"/>
    <cellStyle name="SAPBEXaggItemX 2 2" xfId="30539" xr:uid="{4437E9BC-618A-462A-807A-3F6CB5B2C4D9}"/>
    <cellStyle name="SAPBEXaggItemX 2 2 2" xfId="31971" xr:uid="{EB2A1710-9737-4631-9D9D-BA9DCF3488FE}"/>
    <cellStyle name="SAPBEXaggItemX 2 3" xfId="31254" xr:uid="{F729A561-4CB9-45FE-ABD9-5E727DCC126B}"/>
    <cellStyle name="SAPBEXaggItemX 3" xfId="29697" xr:uid="{965F944F-E6CC-47AC-966B-9A96130CD6F0}"/>
    <cellStyle name="SAPBEXaggItemX 3 2" xfId="30540" xr:uid="{7891758D-FF49-4FE3-8816-B222E3ED2918}"/>
    <cellStyle name="SAPBEXaggItemX 3 2 2" xfId="31972" xr:uid="{8A8284A0-7BE6-4502-A275-BD0770317948}"/>
    <cellStyle name="SAPBEXaggItemX 3 3" xfId="31255" xr:uid="{5C97A197-E97D-4E2F-8DB4-96EAAE05CCF9}"/>
    <cellStyle name="SAPBEXaggItemX 4" xfId="30538" xr:uid="{99BE6937-F909-4B19-A46A-687E4FDB5C0A}"/>
    <cellStyle name="SAPBEXaggItemX 4 2" xfId="31970" xr:uid="{AE139DBC-8BA8-4AF7-A5CC-E9EF2E6B7D3F}"/>
    <cellStyle name="SAPBEXaggItemX 5" xfId="31253" xr:uid="{9553BCDA-2F6C-4D7C-A767-84037EB7C53B}"/>
    <cellStyle name="SAPBEXchaText" xfId="29698" xr:uid="{2F7CC9B5-D32C-4C36-9DC3-46186AF40FB7}"/>
    <cellStyle name="SAPBEXchaText 2" xfId="29699" xr:uid="{64DC4BB2-B5CB-4606-8A14-4A0C8C9121E1}"/>
    <cellStyle name="SAPBEXchaText 2 2" xfId="30542" xr:uid="{D64B3BF1-8918-402E-BE50-F903FB5BDC01}"/>
    <cellStyle name="SAPBEXchaText 2 2 2" xfId="31974" xr:uid="{C9307429-278A-4A22-872A-8DCC905A606B}"/>
    <cellStyle name="SAPBEXchaText 2 3" xfId="31257" xr:uid="{2B0234AF-F571-4568-8920-BB4309C74AF1}"/>
    <cellStyle name="SAPBEXchaText 3" xfId="29700" xr:uid="{4FC70223-5584-4025-9E20-EFBC6EB0F564}"/>
    <cellStyle name="SAPBEXchaText 3 2" xfId="30543" xr:uid="{4BA40FFC-83CB-46CF-99FD-9C9669B1F386}"/>
    <cellStyle name="SAPBEXchaText 3 2 2" xfId="31975" xr:uid="{23EF1A6A-B09A-4C8E-9C20-B9B38FBDD8E1}"/>
    <cellStyle name="SAPBEXchaText 3 3" xfId="31258" xr:uid="{C67A0942-3F11-4238-9D4C-E3897DF8C98E}"/>
    <cellStyle name="SAPBEXchaText 4" xfId="30541" xr:uid="{BDAE6DCD-8DC4-4B14-B0B5-D5CF04C93F0D}"/>
    <cellStyle name="SAPBEXchaText 4 2" xfId="31973" xr:uid="{52D90E88-5DE9-4FA6-8D28-D3913C470CA8}"/>
    <cellStyle name="SAPBEXchaText 5" xfId="31256" xr:uid="{7C3859CB-8606-481A-BECC-546854958D9E}"/>
    <cellStyle name="SAPBEXexcBad7" xfId="29701" xr:uid="{9F638B60-0C79-46B1-8E6F-A329BC63CA4D}"/>
    <cellStyle name="SAPBEXexcBad7 2" xfId="29702" xr:uid="{D51F2ED1-0581-4374-AC0B-FFE4C28A7212}"/>
    <cellStyle name="SAPBEXexcBad7 2 2" xfId="30545" xr:uid="{5B533AD8-54B4-48C7-B3EF-52EF2D3BCFD1}"/>
    <cellStyle name="SAPBEXexcBad7 2 2 2" xfId="31977" xr:uid="{60D6FE7F-0DFC-4502-9A41-E980FAC9E166}"/>
    <cellStyle name="SAPBEXexcBad7 2 3" xfId="31260" xr:uid="{02DF19D3-B31D-4667-940C-73D57663E1B6}"/>
    <cellStyle name="SAPBEXexcBad7 3" xfId="29703" xr:uid="{05DB66C1-B5F4-40C0-B63E-1026315FB272}"/>
    <cellStyle name="SAPBEXexcBad7 3 2" xfId="30546" xr:uid="{E8652679-97CC-48AC-BD69-6EBF73304B3E}"/>
    <cellStyle name="SAPBEXexcBad7 3 2 2" xfId="31978" xr:uid="{E0841B07-7E1F-4D2C-815D-769AEA78BDC8}"/>
    <cellStyle name="SAPBEXexcBad7 3 3" xfId="31261" xr:uid="{3E187A12-11DC-435A-AD3F-C77711BEC45B}"/>
    <cellStyle name="SAPBEXexcBad7 4" xfId="30544" xr:uid="{DE1A5167-9A41-4F06-BDB1-2C963FBFE9B4}"/>
    <cellStyle name="SAPBEXexcBad7 4 2" xfId="31976" xr:uid="{C48C419A-83C2-4F35-9CCD-8246EA918897}"/>
    <cellStyle name="SAPBEXexcBad7 5" xfId="31259" xr:uid="{8775F0C5-98AB-4D48-B213-B9D664B0A5E0}"/>
    <cellStyle name="SAPBEXexcBad8" xfId="29704" xr:uid="{4DB4A32B-A2DE-4948-AC31-83FE37280B2C}"/>
    <cellStyle name="SAPBEXexcBad8 2" xfId="29705" xr:uid="{28E6CEB9-4DEF-4956-8DD5-A98B0453EE9E}"/>
    <cellStyle name="SAPBEXexcBad8 2 2" xfId="30548" xr:uid="{4A83BDE4-5C09-4D7F-A44D-3AA333D5B2F7}"/>
    <cellStyle name="SAPBEXexcBad8 2 2 2" xfId="31980" xr:uid="{47F064FB-7674-4244-9934-97B5D2500049}"/>
    <cellStyle name="SAPBEXexcBad8 2 3" xfId="31263" xr:uid="{AB8F7D37-959E-4589-847A-2CA83CBC61D9}"/>
    <cellStyle name="SAPBEXexcBad8 3" xfId="29706" xr:uid="{77372206-02CA-4871-9589-BBA012C31655}"/>
    <cellStyle name="SAPBEXexcBad8 3 2" xfId="30549" xr:uid="{89B6C50F-2CC7-46A6-8F20-BD0BA736BCDC}"/>
    <cellStyle name="SAPBEXexcBad8 3 2 2" xfId="31981" xr:uid="{1789F951-52B9-4D39-9323-28B76E131B0A}"/>
    <cellStyle name="SAPBEXexcBad8 3 3" xfId="31264" xr:uid="{E155E716-881B-4430-A1C1-A44DAAA4DC14}"/>
    <cellStyle name="SAPBEXexcBad8 4" xfId="30547" xr:uid="{61136D11-A9A8-4D93-BF1B-B6DB8E0EBE36}"/>
    <cellStyle name="SAPBEXexcBad8 4 2" xfId="31979" xr:uid="{99AFD8D2-A386-4E47-A868-19CB5C399902}"/>
    <cellStyle name="SAPBEXexcBad8 5" xfId="31262" xr:uid="{B020C9A0-8934-4DB8-A6FF-397E8EE39F42}"/>
    <cellStyle name="SAPBEXexcBad9" xfId="29707" xr:uid="{50034A58-0BEE-4144-8701-E3E5756935FD}"/>
    <cellStyle name="SAPBEXexcBad9 2" xfId="29708" xr:uid="{C94FA839-D588-42A3-885A-F25A7C039B21}"/>
    <cellStyle name="SAPBEXexcBad9 2 2" xfId="30551" xr:uid="{6720B701-98BE-4732-A7E2-B2ABE3888A1E}"/>
    <cellStyle name="SAPBEXexcBad9 2 2 2" xfId="31983" xr:uid="{2EF72CFD-FA6B-401C-BED2-A20A8E4FEF50}"/>
    <cellStyle name="SAPBEXexcBad9 2 3" xfId="31266" xr:uid="{F6D71475-950C-4AAA-AE2B-61C25C162E7C}"/>
    <cellStyle name="SAPBEXexcBad9 3" xfId="29709" xr:uid="{9C9CEEDA-54CA-443E-9B69-1F1D3BE8B1E7}"/>
    <cellStyle name="SAPBEXexcBad9 3 2" xfId="30552" xr:uid="{22EFF3C7-54D0-41A4-AF6E-A1D604EFAB52}"/>
    <cellStyle name="SAPBEXexcBad9 3 2 2" xfId="31984" xr:uid="{AB68A4DF-7C1F-4D6B-8BE9-F861B711B55C}"/>
    <cellStyle name="SAPBEXexcBad9 3 3" xfId="31267" xr:uid="{A5830BDF-03A1-4FB3-A1E5-4109474C9C70}"/>
    <cellStyle name="SAPBEXexcBad9 4" xfId="30550" xr:uid="{E0803085-2D0E-4C64-B36C-0898C182EAC1}"/>
    <cellStyle name="SAPBEXexcBad9 4 2" xfId="31982" xr:uid="{D9C2F85E-DD7B-4455-9DA9-A7A42630E21C}"/>
    <cellStyle name="SAPBEXexcBad9 5" xfId="31265" xr:uid="{AD71002D-A050-4E22-86DF-E3C8D70E8523}"/>
    <cellStyle name="SAPBEXexcCritical4" xfId="29710" xr:uid="{E8BC21F9-CA6B-4CC8-8CAD-B20AE713E78A}"/>
    <cellStyle name="SAPBEXexcCritical4 2" xfId="29711" xr:uid="{453E6D05-4BBC-41B1-BA8A-A8DE8ECD3667}"/>
    <cellStyle name="SAPBEXexcCritical4 2 2" xfId="30554" xr:uid="{ECCBD17B-53FB-47B1-968A-EBCAC21EE724}"/>
    <cellStyle name="SAPBEXexcCritical4 2 2 2" xfId="31986" xr:uid="{B06E6BB1-4A82-45CB-AD2F-B474BDCD7790}"/>
    <cellStyle name="SAPBEXexcCritical4 2 3" xfId="31269" xr:uid="{F67333E4-D630-4B7D-8486-0E0F7C7E2521}"/>
    <cellStyle name="SAPBEXexcCritical4 3" xfId="29712" xr:uid="{E4D503A2-DAA5-471B-B40C-84F1260F5CDA}"/>
    <cellStyle name="SAPBEXexcCritical4 3 2" xfId="30555" xr:uid="{22CF6D4D-0026-4B4B-AE55-9C27A2E11BB2}"/>
    <cellStyle name="SAPBEXexcCritical4 3 2 2" xfId="31987" xr:uid="{BA16EEBF-54AE-40DA-8CCD-ACB53609DD0D}"/>
    <cellStyle name="SAPBEXexcCritical4 3 3" xfId="31270" xr:uid="{3DCE951D-36FF-4DBA-8182-F4F31FCCE9F6}"/>
    <cellStyle name="SAPBEXexcCritical4 4" xfId="30553" xr:uid="{B8F379F1-74C2-4D26-AF5D-BCCEB1EFA5A3}"/>
    <cellStyle name="SAPBEXexcCritical4 4 2" xfId="31985" xr:uid="{847A5040-FF5E-4AD9-BD3D-4F31FD085B55}"/>
    <cellStyle name="SAPBEXexcCritical4 5" xfId="31268" xr:uid="{54A40F02-FDA3-46FA-95FD-2FE1AB08CDEF}"/>
    <cellStyle name="SAPBEXexcCritical5" xfId="29713" xr:uid="{B6BDF3CB-90FF-4D7F-96DD-E7EF5DCEFB65}"/>
    <cellStyle name="SAPBEXexcCritical5 2" xfId="29714" xr:uid="{8E4DA786-EE45-47D2-BA8E-C8141D0D7548}"/>
    <cellStyle name="SAPBEXexcCritical5 2 2" xfId="30557" xr:uid="{6ADF6A18-7E59-4625-95B2-B23B38AA418C}"/>
    <cellStyle name="SAPBEXexcCritical5 2 2 2" xfId="31989" xr:uid="{6E96AE4D-3C6D-4D88-8207-E970FA46EB55}"/>
    <cellStyle name="SAPBEXexcCritical5 2 3" xfId="31272" xr:uid="{B2B9AEAB-E2D8-4E56-93C8-59209B626EDB}"/>
    <cellStyle name="SAPBEXexcCritical5 3" xfId="29715" xr:uid="{26B092AC-5C3B-4B0A-809D-041351F8FC20}"/>
    <cellStyle name="SAPBEXexcCritical5 3 2" xfId="30558" xr:uid="{01D01C1F-E5FF-47B1-8640-6EA8BFAEC156}"/>
    <cellStyle name="SAPBEXexcCritical5 3 2 2" xfId="31990" xr:uid="{8B2A78B4-9E78-4F7B-B9A8-93559B1EFFBC}"/>
    <cellStyle name="SAPBEXexcCritical5 3 3" xfId="31273" xr:uid="{8B98662E-B387-4229-B9B3-CC658B0514B4}"/>
    <cellStyle name="SAPBEXexcCritical5 4" xfId="30556" xr:uid="{2BC8C042-0362-4147-8702-1AB4046A97BC}"/>
    <cellStyle name="SAPBEXexcCritical5 4 2" xfId="31988" xr:uid="{DB6BCC88-7112-4EAB-890F-D16702292C9D}"/>
    <cellStyle name="SAPBEXexcCritical5 5" xfId="31271" xr:uid="{49C1EE7C-4E79-4C41-BEE6-CB16250FF7F6}"/>
    <cellStyle name="SAPBEXexcCritical6" xfId="29716" xr:uid="{EC54C790-4E87-428B-BFA0-288E9C48E9A8}"/>
    <cellStyle name="SAPBEXexcCritical6 2" xfId="29717" xr:uid="{35C56625-BBD2-4E6E-BFBA-9164C702E5A5}"/>
    <cellStyle name="SAPBEXexcCritical6 2 2" xfId="30560" xr:uid="{D115D2F2-C885-447A-B1D8-53EA8B3206BB}"/>
    <cellStyle name="SAPBEXexcCritical6 2 2 2" xfId="31992" xr:uid="{72DF4CEB-FC0E-40B6-BDC5-682FC756CAFF}"/>
    <cellStyle name="SAPBEXexcCritical6 2 3" xfId="31275" xr:uid="{51E4E800-F8BA-42B8-A5AA-B9326545B1AC}"/>
    <cellStyle name="SAPBEXexcCritical6 3" xfId="29718" xr:uid="{2D97ECC4-C4EE-464B-8D3B-43948E7498F7}"/>
    <cellStyle name="SAPBEXexcCritical6 3 2" xfId="30561" xr:uid="{2850D753-654A-4CFC-8168-ED9BD625A525}"/>
    <cellStyle name="SAPBEXexcCritical6 3 2 2" xfId="31993" xr:uid="{C8238F14-E19A-473A-9F3F-829B762CD53B}"/>
    <cellStyle name="SAPBEXexcCritical6 3 3" xfId="31276" xr:uid="{00242BDB-BBC9-4310-B5B8-364E62F4DFE3}"/>
    <cellStyle name="SAPBEXexcCritical6 4" xfId="30559" xr:uid="{775001F2-D18C-4DC4-9F52-D663D70A6BC3}"/>
    <cellStyle name="SAPBEXexcCritical6 4 2" xfId="31991" xr:uid="{76754443-4002-4201-906D-E7E1103E54AA}"/>
    <cellStyle name="SAPBEXexcCritical6 5" xfId="31274" xr:uid="{B8210B21-85B5-402E-89B7-0806A92AF32C}"/>
    <cellStyle name="SAPBEXexcGood1" xfId="29719" xr:uid="{5D207C15-6B55-4772-8489-52BE5DD10128}"/>
    <cellStyle name="SAPBEXexcGood1 2" xfId="29720" xr:uid="{4020A883-59CC-4621-A528-6F419014F16B}"/>
    <cellStyle name="SAPBEXexcGood1 2 2" xfId="30563" xr:uid="{3D3252F8-BAD7-4B40-BC9D-B59C2E9D38D7}"/>
    <cellStyle name="SAPBEXexcGood1 2 2 2" xfId="31995" xr:uid="{56DC47D3-80E4-4450-8C13-2B9E52F5CD19}"/>
    <cellStyle name="SAPBEXexcGood1 2 3" xfId="31278" xr:uid="{BAD58B74-933D-4FD6-B2BC-41D663F76ECF}"/>
    <cellStyle name="SAPBEXexcGood1 3" xfId="29721" xr:uid="{39B93F42-49AD-428B-8DAC-E25DACB76494}"/>
    <cellStyle name="SAPBEXexcGood1 3 2" xfId="30564" xr:uid="{03274013-15B7-4094-9B8F-8BC64390A3E6}"/>
    <cellStyle name="SAPBEXexcGood1 3 2 2" xfId="31996" xr:uid="{BA1AB338-938F-4D90-8D13-511FE8F62869}"/>
    <cellStyle name="SAPBEXexcGood1 3 3" xfId="31279" xr:uid="{720615F9-62EE-4325-AE5A-EB8D7F9DAFCF}"/>
    <cellStyle name="SAPBEXexcGood1 4" xfId="30562" xr:uid="{4E0E9DC4-CDEF-4CAE-8E3F-645C4C417E60}"/>
    <cellStyle name="SAPBEXexcGood1 4 2" xfId="31994" xr:uid="{BE2DB446-135E-49B7-A0AA-18DAB419FA47}"/>
    <cellStyle name="SAPBEXexcGood1 5" xfId="31277" xr:uid="{3C41CE43-68E8-4AC8-BA20-09D62B19C14D}"/>
    <cellStyle name="SAPBEXexcGood2" xfId="29722" xr:uid="{F9816429-9F52-40A4-AA2C-9FA8BFB8698D}"/>
    <cellStyle name="SAPBEXexcGood2 2" xfId="29723" xr:uid="{F4B35A06-9172-4EAC-81D2-CED40FA79192}"/>
    <cellStyle name="SAPBEXexcGood2 2 2" xfId="30566" xr:uid="{C4B4C474-8C48-495D-BA29-3718515213F0}"/>
    <cellStyle name="SAPBEXexcGood2 2 2 2" xfId="31998" xr:uid="{4E1A737E-1E71-4A31-8E50-B1B600152363}"/>
    <cellStyle name="SAPBEXexcGood2 2 3" xfId="31281" xr:uid="{EFA25BDB-2F99-41B5-8949-AF73954FED23}"/>
    <cellStyle name="SAPBEXexcGood2 3" xfId="29724" xr:uid="{C827AAC9-D7C1-4472-B82B-D7D82310EC5D}"/>
    <cellStyle name="SAPBEXexcGood2 3 2" xfId="30567" xr:uid="{91202A1E-D768-4C8E-A3BB-3E655921AA73}"/>
    <cellStyle name="SAPBEXexcGood2 3 2 2" xfId="31999" xr:uid="{3EE1F682-C921-4A05-974C-FD020EB27722}"/>
    <cellStyle name="SAPBEXexcGood2 3 3" xfId="31282" xr:uid="{573A0EDF-00B3-4EE8-B2FD-A18100AD648D}"/>
    <cellStyle name="SAPBEXexcGood2 4" xfId="30565" xr:uid="{AA0C51E4-16A7-4BC7-BF58-76BD2D1950E2}"/>
    <cellStyle name="SAPBEXexcGood2 4 2" xfId="31997" xr:uid="{2C34EAAB-DC0A-4927-9047-CF95A741760B}"/>
    <cellStyle name="SAPBEXexcGood2 5" xfId="31280" xr:uid="{F7BF117D-B28F-4834-BF7F-4CBEDAAD3C45}"/>
    <cellStyle name="SAPBEXexcGood3" xfId="29725" xr:uid="{651DB8EC-4454-4FB0-BEF9-BF23FC7462DE}"/>
    <cellStyle name="SAPBEXexcGood3 2" xfId="29726" xr:uid="{4CBF17EC-C99F-4F27-BEA2-AF3D100D348D}"/>
    <cellStyle name="SAPBEXexcGood3 2 2" xfId="30569" xr:uid="{AAF11B01-0BFF-47A1-AD55-A0DB70953FA6}"/>
    <cellStyle name="SAPBEXexcGood3 2 2 2" xfId="32001" xr:uid="{40B86DEF-8E44-43C2-9A7E-73B0B0794713}"/>
    <cellStyle name="SAPBEXexcGood3 2 3" xfId="31284" xr:uid="{AE876B44-8787-4F00-A18D-252752BD76BA}"/>
    <cellStyle name="SAPBEXexcGood3 3" xfId="29727" xr:uid="{94347A13-143B-43AD-B49F-10B89A7B1030}"/>
    <cellStyle name="SAPBEXexcGood3 3 2" xfId="30570" xr:uid="{00BB7291-3DEC-4C6D-AB7C-17E18BC0A7B0}"/>
    <cellStyle name="SAPBEXexcGood3 3 2 2" xfId="32002" xr:uid="{CB1105DF-2610-43D5-850A-CA88103E5A0D}"/>
    <cellStyle name="SAPBEXexcGood3 3 3" xfId="31285" xr:uid="{92A7C0D2-8734-4414-8A54-CD5F2E73A92F}"/>
    <cellStyle name="SAPBEXexcGood3 4" xfId="30568" xr:uid="{C9FA1BD5-08C4-41B1-A954-C64372E515A8}"/>
    <cellStyle name="SAPBEXexcGood3 4 2" xfId="32000" xr:uid="{CCB6C04F-78FB-4E36-ABBC-36C1C8A31AB5}"/>
    <cellStyle name="SAPBEXexcGood3 5" xfId="31283" xr:uid="{3302B7D0-3F5F-4F22-87E8-E34DDCA25905}"/>
    <cellStyle name="SAPBEXfilterDrill" xfId="29728" xr:uid="{D8755192-3549-4BC6-B85D-7AB8299528A4}"/>
    <cellStyle name="SAPBEXfilterDrill 2" xfId="29729" xr:uid="{10F9BAEA-8779-4480-A183-6F3D1EEA01A1}"/>
    <cellStyle name="SAPBEXfilterDrill 2 2" xfId="30572" xr:uid="{18E749E2-96DD-4C19-BDA9-FAD633514660}"/>
    <cellStyle name="SAPBEXfilterDrill 2 2 2" xfId="32004" xr:uid="{D5EDB0B1-DE0D-423C-AC44-941C06415C4B}"/>
    <cellStyle name="SAPBEXfilterDrill 2 3" xfId="31287" xr:uid="{B84DC4C6-5E6E-4845-AE74-0B73F385CB2B}"/>
    <cellStyle name="SAPBEXfilterDrill 3" xfId="29730" xr:uid="{90BF0B82-19F8-4F54-BFDA-3D1E9B7496F6}"/>
    <cellStyle name="SAPBEXfilterDrill 3 2" xfId="30573" xr:uid="{8386840D-73DE-44D9-A3FF-94D3E5F3FAA1}"/>
    <cellStyle name="SAPBEXfilterDrill 3 2 2" xfId="32005" xr:uid="{929F2944-8BDF-4165-AAF8-37E1233FC0BA}"/>
    <cellStyle name="SAPBEXfilterDrill 3 3" xfId="31288" xr:uid="{E23694EC-F2C8-4C70-8532-F47D70031A68}"/>
    <cellStyle name="SAPBEXfilterDrill 4" xfId="30571" xr:uid="{3FF6160C-8AB3-47C5-BA41-C5B533142528}"/>
    <cellStyle name="SAPBEXfilterDrill 4 2" xfId="32003" xr:uid="{5D648B1A-17E0-4DB7-888D-38D806C05C3E}"/>
    <cellStyle name="SAPBEXfilterDrill 5" xfId="31286" xr:uid="{E8B28555-E2BB-41AA-B0F9-6F89C2745A82}"/>
    <cellStyle name="SAPBEXfilterItem" xfId="29731" xr:uid="{67286BBC-8BCE-42C3-A4B3-F7D3CAAD9904}"/>
    <cellStyle name="SAPBEXfilterItem 2" xfId="29732" xr:uid="{DBBFA642-EC98-41C8-BBA2-CF125152C006}"/>
    <cellStyle name="SAPBEXfilterItem 2 2" xfId="30575" xr:uid="{9CBB8BCF-810E-4663-9523-F2CB54E7DA7A}"/>
    <cellStyle name="SAPBEXfilterItem 2 2 2" xfId="32007" xr:uid="{6E727A8F-885E-4E57-BA8A-6E5D71D00864}"/>
    <cellStyle name="SAPBEXfilterItem 3" xfId="29733" xr:uid="{558B2D70-A351-4B11-B8C2-0248BFF8AAA9}"/>
    <cellStyle name="SAPBEXfilterItem 3 2" xfId="30576" xr:uid="{B30E1BAE-A9B4-46A8-AA34-45F1993BF8A8}"/>
    <cellStyle name="SAPBEXfilterItem 3 2 2" xfId="32008" xr:uid="{6F5E2940-90D8-4BD3-A61C-7EA13B7D6A18}"/>
    <cellStyle name="SAPBEXfilterItem 4" xfId="29734" xr:uid="{C8E502F4-F669-4190-B406-C0DCDC4E02EA}"/>
    <cellStyle name="SAPBEXfilterItem 4 2" xfId="30577" xr:uid="{6C4E48C8-23D3-4F67-8A75-A9988166CEE6}"/>
    <cellStyle name="SAPBEXfilterItem 4 2 2" xfId="32009" xr:uid="{05933CF7-2B01-4950-9F65-0A508101E413}"/>
    <cellStyle name="SAPBEXfilterItem 5" xfId="30574" xr:uid="{3E01EAAB-1526-4889-B0C8-27AAF1E05615}"/>
    <cellStyle name="SAPBEXfilterItem 5 2" xfId="32006" xr:uid="{86CD93E9-F729-43A0-901C-9204D0AD04D4}"/>
    <cellStyle name="SAPBEXfilterText" xfId="29735" xr:uid="{53951A0A-CC37-464D-BE39-7AFE2090F26A}"/>
    <cellStyle name="SAPBEXformats" xfId="29736" xr:uid="{698CC72A-F84C-4FAC-A165-FF9CF5B37DBC}"/>
    <cellStyle name="SAPBEXformats 2" xfId="29737" xr:uid="{54127189-E944-484A-BCE4-B982AC4BE0C5}"/>
    <cellStyle name="SAPBEXformats 2 2" xfId="30579" xr:uid="{DF55C3D9-B875-4FEA-9C18-406FCEC63E5A}"/>
    <cellStyle name="SAPBEXformats 2 2 2" xfId="32011" xr:uid="{DAA635BB-0F07-48F8-BB8F-B7F4DCF466C3}"/>
    <cellStyle name="SAPBEXformats 2 3" xfId="31290" xr:uid="{73CA3DE4-5DF9-44E8-83C7-AFFC304ACC00}"/>
    <cellStyle name="SAPBEXformats 3" xfId="29738" xr:uid="{FF120F9C-AFFF-4C9B-8673-A0F8F341F79A}"/>
    <cellStyle name="SAPBEXformats 3 2" xfId="30580" xr:uid="{F6B43EC5-9B21-42C8-B28F-99EAF157DD88}"/>
    <cellStyle name="SAPBEXformats 3 2 2" xfId="32012" xr:uid="{8EBCB8EE-18DF-43F3-B726-6AA3865FB1C0}"/>
    <cellStyle name="SAPBEXformats 3 3" xfId="31291" xr:uid="{E9154210-4A36-4E83-9029-1B86E0752E9E}"/>
    <cellStyle name="SAPBEXformats 4" xfId="30578" xr:uid="{DCA71B58-8F91-47ED-9835-71FE4E46A86B}"/>
    <cellStyle name="SAPBEXformats 4 2" xfId="32010" xr:uid="{B0CA6044-E27A-4C1A-8BC9-59D314D53791}"/>
    <cellStyle name="SAPBEXformats 5" xfId="31289" xr:uid="{D13B695C-C167-4A64-8498-C93B2DA6F0F0}"/>
    <cellStyle name="SAPBEXheaderItem" xfId="29739" xr:uid="{ED59B6E7-36D5-4A19-8C83-9E65599DE018}"/>
    <cellStyle name="SAPBEXheaderItem 2" xfId="29740" xr:uid="{BEC0C951-7098-4A19-9017-4FC621EE8672}"/>
    <cellStyle name="SAPBEXheaderItem 2 2" xfId="30582" xr:uid="{1BC3E293-445E-476D-A86E-00EC271F7F27}"/>
    <cellStyle name="SAPBEXheaderItem 2 2 2" xfId="32014" xr:uid="{02A07D8C-EEFE-4E04-84D3-B431CC9C904B}"/>
    <cellStyle name="SAPBEXheaderItem 2 3" xfId="31293" xr:uid="{691F77B8-D9E1-4D15-AE0C-99FBF79AD0AC}"/>
    <cellStyle name="SAPBEXheaderItem 3" xfId="29741" xr:uid="{006AD46D-DD96-478A-AF40-781B0285973B}"/>
    <cellStyle name="SAPBEXheaderItem 3 2" xfId="30583" xr:uid="{578092DF-659E-4392-A7F6-73D5EDE8178B}"/>
    <cellStyle name="SAPBEXheaderItem 3 2 2" xfId="32015" xr:uid="{2FD77303-EFC1-4CF1-95EF-5B46B59ECE57}"/>
    <cellStyle name="SAPBEXheaderItem 3 3" xfId="31294" xr:uid="{E0BA5E51-BD46-4B4D-9ACF-C78D4F685030}"/>
    <cellStyle name="SAPBEXheaderItem 4" xfId="30581" xr:uid="{E619852B-13A1-4AD2-B778-DA38ED250A0B}"/>
    <cellStyle name="SAPBEXheaderItem 4 2" xfId="32013" xr:uid="{326B3DF9-A88A-434A-AE5D-A03021572AD3}"/>
    <cellStyle name="SAPBEXheaderItem 5" xfId="31292" xr:uid="{0484F711-3B39-4F17-9A75-42F5F500DF79}"/>
    <cellStyle name="SAPBEXheaderText" xfId="29742" xr:uid="{18AE7D4E-BE9E-4FE0-9648-D22A3897937A}"/>
    <cellStyle name="SAPBEXheaderText 2" xfId="29743" xr:uid="{E2898860-0F85-4419-AF56-C672A48EA029}"/>
    <cellStyle name="SAPBEXheaderText 2 2" xfId="30585" xr:uid="{0CC98099-C277-4CAF-B991-C0A1117A5D51}"/>
    <cellStyle name="SAPBEXheaderText 2 2 2" xfId="32017" xr:uid="{42816D87-4571-4C56-9189-9CB718A5DA82}"/>
    <cellStyle name="SAPBEXheaderText 2 3" xfId="31296" xr:uid="{6730AE9C-102C-4EFB-A72A-A0D1D8CDDE79}"/>
    <cellStyle name="SAPBEXheaderText 3" xfId="29744" xr:uid="{327BDC37-0BC2-42F7-95D9-EF31B9DD2C11}"/>
    <cellStyle name="SAPBEXheaderText 3 2" xfId="30586" xr:uid="{C53CE0F0-750A-4D6D-B7E0-DEF469DEAFB5}"/>
    <cellStyle name="SAPBEXheaderText 3 2 2" xfId="32018" xr:uid="{36AA13D0-ABC0-47CC-BDD3-5B0F0BE5272A}"/>
    <cellStyle name="SAPBEXheaderText 3 3" xfId="31297" xr:uid="{4C11AFD4-6F71-4C74-B25B-C31A5689CBB7}"/>
    <cellStyle name="SAPBEXheaderText 4" xfId="30584" xr:uid="{EF255C96-5F6F-4D38-AA3D-0E9824A10165}"/>
    <cellStyle name="SAPBEXheaderText 4 2" xfId="32016" xr:uid="{B99F7344-D265-4A5C-BE29-8B492FE77F86}"/>
    <cellStyle name="SAPBEXheaderText 5" xfId="31295" xr:uid="{854076D8-2E0F-42B8-8677-CF30E953BE37}"/>
    <cellStyle name="SAPBEXHLevel0" xfId="29745" xr:uid="{A03FD143-D67E-48B7-95C9-5E7C309E2EDB}"/>
    <cellStyle name="SAPBEXHLevel0 2" xfId="29746" xr:uid="{13D4F25D-C68D-415A-ADA5-1F6DD7FECA83}"/>
    <cellStyle name="SAPBEXHLevel0 2 2" xfId="30588" xr:uid="{5378207B-D5DC-431C-BF67-A8496EA1856B}"/>
    <cellStyle name="SAPBEXHLevel0 2 2 2" xfId="32020" xr:uid="{194E57CC-5901-494B-9B0F-3F457BA65C3C}"/>
    <cellStyle name="SAPBEXHLevel0 2 3" xfId="31299" xr:uid="{3C3E404B-5AA9-4D20-A5D5-CBB71F933FB4}"/>
    <cellStyle name="SAPBEXHLevel0 3" xfId="29747" xr:uid="{50B1E961-59F0-469F-AFDA-D63F9C08C1C0}"/>
    <cellStyle name="SAPBEXHLevel0 3 2" xfId="30589" xr:uid="{DEF918F5-1E1D-413E-ABB6-4F929375AD33}"/>
    <cellStyle name="SAPBEXHLevel0 3 2 2" xfId="32021" xr:uid="{7AE8B430-CBC1-46BC-AEDF-35B807175AA2}"/>
    <cellStyle name="SAPBEXHLevel0 3 3" xfId="31300" xr:uid="{784F7532-2D71-4170-AFF9-E9671348ECBD}"/>
    <cellStyle name="SAPBEXHLevel0 4" xfId="30587" xr:uid="{4300C74F-3FC5-4F88-9DE5-F356C882601A}"/>
    <cellStyle name="SAPBEXHLevel0 4 2" xfId="32019" xr:uid="{80B6A9A5-60A0-437B-A06E-CA55D0632D3B}"/>
    <cellStyle name="SAPBEXHLevel0 5" xfId="31298" xr:uid="{A2F50BC8-27F6-4F99-8BAB-DBC6E73FF56C}"/>
    <cellStyle name="SAPBEXHLevel0X" xfId="29748" xr:uid="{49334029-FA29-431D-9B25-7946C7062458}"/>
    <cellStyle name="SAPBEXHLevel0X 2" xfId="29749" xr:uid="{9E2503EB-8D70-4F30-AA06-4097AB1B04A3}"/>
    <cellStyle name="SAPBEXHLevel0X 2 2" xfId="30591" xr:uid="{BB28ACE9-5845-4711-8CB9-1E6095EEA026}"/>
    <cellStyle name="SAPBEXHLevel0X 2 2 2" xfId="32023" xr:uid="{2E312BA1-8C37-43EF-A24B-008C0AD7E60D}"/>
    <cellStyle name="SAPBEXHLevel0X 2 3" xfId="31302" xr:uid="{B528A1B8-E4E5-4940-B130-6ABECB162481}"/>
    <cellStyle name="SAPBEXHLevel0X 3" xfId="29750" xr:uid="{A8ABA607-EA93-49C9-AE42-A578040A3A04}"/>
    <cellStyle name="SAPBEXHLevel0X 3 2" xfId="30592" xr:uid="{86BDADC8-8B1D-4CB6-B3BE-91D16E405EBF}"/>
    <cellStyle name="SAPBEXHLevel0X 3 2 2" xfId="32024" xr:uid="{0CD80020-3413-457B-AE16-9D9CE7A627D3}"/>
    <cellStyle name="SAPBEXHLevel0X 3 3" xfId="31303" xr:uid="{CE7C441F-78D3-4237-8139-DE5B220B7966}"/>
    <cellStyle name="SAPBEXHLevel0X 4" xfId="30590" xr:uid="{E2ED72CF-5D22-43D3-8CFA-DD3510924AD8}"/>
    <cellStyle name="SAPBEXHLevel0X 4 2" xfId="32022" xr:uid="{01690597-8305-4637-BCBB-5BD778CF60B0}"/>
    <cellStyle name="SAPBEXHLevel0X 5" xfId="31301" xr:uid="{BC078761-9A62-47C5-9858-C802AFD14A98}"/>
    <cellStyle name="SAPBEXHLevel1" xfId="29751" xr:uid="{781EE776-A5EA-4A4F-A128-BCEE536BDEC8}"/>
    <cellStyle name="SAPBEXHLevel1 2" xfId="29752" xr:uid="{309B2350-F70C-4C49-8FAC-4171D8B50B92}"/>
    <cellStyle name="SAPBEXHLevel1 2 2" xfId="30594" xr:uid="{2EA84929-7704-4384-AB3B-237585EE73B0}"/>
    <cellStyle name="SAPBEXHLevel1 2 2 2" xfId="32026" xr:uid="{87A76351-D096-45DC-9472-0645702CC9B7}"/>
    <cellStyle name="SAPBEXHLevel1 2 3" xfId="31305" xr:uid="{B8C5ECAE-E158-432C-A3AA-C1F3B73584E8}"/>
    <cellStyle name="SAPBEXHLevel1 3" xfId="29753" xr:uid="{EE330988-BDDF-4D22-BFC0-ED9410BC2856}"/>
    <cellStyle name="SAPBEXHLevel1 3 2" xfId="30595" xr:uid="{5E78F730-6E78-4CBA-A762-732A75E38B8E}"/>
    <cellStyle name="SAPBEXHLevel1 3 2 2" xfId="32027" xr:uid="{3DD56FC2-2D4A-48F8-9B21-5ED577C2529A}"/>
    <cellStyle name="SAPBEXHLevel1 3 3" xfId="31306" xr:uid="{AFE1E3D8-D2BA-48C8-9AFC-C46F765F75A4}"/>
    <cellStyle name="SAPBEXHLevel1 4" xfId="30593" xr:uid="{0D7B1B5D-B0A1-4E65-85C0-A02155222B70}"/>
    <cellStyle name="SAPBEXHLevel1 4 2" xfId="32025" xr:uid="{5808FAC6-7FFC-4353-9C7F-3805E3688E38}"/>
    <cellStyle name="SAPBEXHLevel1 5" xfId="31304" xr:uid="{1A8F8D6D-E954-4977-BFC3-E748619BDCCA}"/>
    <cellStyle name="SAPBEXHLevel1X" xfId="29754" xr:uid="{50774C93-0F94-4DF3-8B2B-1D759F8FE18D}"/>
    <cellStyle name="SAPBEXHLevel1X 2" xfId="29755" xr:uid="{0AC2675E-B47E-4506-800E-B496FFD4F4B1}"/>
    <cellStyle name="SAPBEXHLevel1X 2 2" xfId="30597" xr:uid="{CD44BA42-0C8C-43D9-85E1-FD28FD2EFE75}"/>
    <cellStyle name="SAPBEXHLevel1X 2 2 2" xfId="32029" xr:uid="{B5B083AB-A33F-4EFE-B35C-61912C09A067}"/>
    <cellStyle name="SAPBEXHLevel1X 2 3" xfId="31308" xr:uid="{15341EBA-2CF7-438B-8DE3-268F796909AA}"/>
    <cellStyle name="SAPBEXHLevel1X 3" xfId="29756" xr:uid="{B98D7163-3572-47E3-A277-AEAFE9958A50}"/>
    <cellStyle name="SAPBEXHLevel1X 3 2" xfId="30598" xr:uid="{69B46761-490C-4DF2-A4D9-6DE051386F93}"/>
    <cellStyle name="SAPBEXHLevel1X 3 2 2" xfId="32030" xr:uid="{0B025A0E-7F42-40E8-9B9E-1355A633464C}"/>
    <cellStyle name="SAPBEXHLevel1X 3 3" xfId="31309" xr:uid="{46BC07AC-4F17-4C3B-8CA3-87BD5E8ECE9B}"/>
    <cellStyle name="SAPBEXHLevel1X 4" xfId="30596" xr:uid="{BCD4A6ED-43D6-4312-9740-02F14AAF158B}"/>
    <cellStyle name="SAPBEXHLevel1X 4 2" xfId="32028" xr:uid="{CB3467AD-3F73-4BBA-BEC4-8A17B23D5AD2}"/>
    <cellStyle name="SAPBEXHLevel1X 5" xfId="31307" xr:uid="{80D1243D-BC8A-4680-BFB9-F4D2D3FCFC6C}"/>
    <cellStyle name="SAPBEXHLevel2" xfId="29757" xr:uid="{53922FFF-4101-4496-ADD8-AB1F01EAED79}"/>
    <cellStyle name="SAPBEXHLevel2 2" xfId="29758" xr:uid="{9D3A8039-6C87-4600-BB1C-F9803D6FBFEC}"/>
    <cellStyle name="SAPBEXHLevel2 2 2" xfId="30600" xr:uid="{E3D1FE76-D123-4BDD-ABB8-2E01474C8F32}"/>
    <cellStyle name="SAPBEXHLevel2 2 2 2" xfId="32032" xr:uid="{8BEEE6AF-0AB9-4CB3-8C24-9AE3D309C4DC}"/>
    <cellStyle name="SAPBEXHLevel2 2 3" xfId="31311" xr:uid="{2B9F5E21-161C-4D74-9283-9DD0D2A41F29}"/>
    <cellStyle name="SAPBEXHLevel2 3" xfId="29759" xr:uid="{1EEA3DA8-5EF7-4F17-A25B-5A0F42158EF8}"/>
    <cellStyle name="SAPBEXHLevel2 3 2" xfId="30601" xr:uid="{3343522E-3DE0-48D2-8E5E-B6D04BD063B2}"/>
    <cellStyle name="SAPBEXHLevel2 3 2 2" xfId="32033" xr:uid="{D2E89292-B978-4F9D-8B51-2A6D9D6F731E}"/>
    <cellStyle name="SAPBEXHLevel2 3 3" xfId="31312" xr:uid="{26FF3783-740B-4F38-82A5-05AFA08CD07C}"/>
    <cellStyle name="SAPBEXHLevel2 4" xfId="30599" xr:uid="{82D81EEF-7CF5-4439-B02A-C9E4D248972E}"/>
    <cellStyle name="SAPBEXHLevel2 4 2" xfId="32031" xr:uid="{B53F2245-C6EC-4609-B396-93C6EF659BCA}"/>
    <cellStyle name="SAPBEXHLevel2 5" xfId="31310" xr:uid="{32EE49AB-D1F6-4FA5-B4E9-1F4F8A9335F9}"/>
    <cellStyle name="SAPBEXHLevel2X" xfId="29760" xr:uid="{C8CFFC88-2528-4069-A044-37E90CA3B97B}"/>
    <cellStyle name="SAPBEXHLevel2X 2" xfId="29761" xr:uid="{3D1B70D4-FF0D-405D-A68D-833D55A06AA8}"/>
    <cellStyle name="SAPBEXHLevel2X 2 2" xfId="30603" xr:uid="{1A1A24E6-93D4-45D6-AAAE-6D68AD1D282E}"/>
    <cellStyle name="SAPBEXHLevel2X 2 2 2" xfId="32035" xr:uid="{01201BFD-9648-4093-97D9-239637D34E33}"/>
    <cellStyle name="SAPBEXHLevel2X 2 3" xfId="31314" xr:uid="{7580D9DB-63D0-40FE-9233-43C2D7F1D0C6}"/>
    <cellStyle name="SAPBEXHLevel2X 3" xfId="29762" xr:uid="{85F2804E-47FC-4A0C-94B0-178D9D035FC3}"/>
    <cellStyle name="SAPBEXHLevel2X 3 2" xfId="30604" xr:uid="{FA4C03B1-E102-4C8C-AB81-E237C996DA42}"/>
    <cellStyle name="SAPBEXHLevel2X 3 2 2" xfId="32036" xr:uid="{352F7E73-AD29-4572-B35A-62325BD40A75}"/>
    <cellStyle name="SAPBEXHLevel2X 3 3" xfId="31315" xr:uid="{C205B5B1-0DF7-447A-9EF6-26999295E89E}"/>
    <cellStyle name="SAPBEXHLevel2X 4" xfId="30602" xr:uid="{ABB8F95B-DB44-48C5-91CA-D5C5E635FE57}"/>
    <cellStyle name="SAPBEXHLevel2X 4 2" xfId="32034" xr:uid="{A3E52712-CF73-4567-8C35-8B690F2F95D8}"/>
    <cellStyle name="SAPBEXHLevel2X 5" xfId="31313" xr:uid="{290AB95E-6032-43A4-890B-8105AC323B7C}"/>
    <cellStyle name="SAPBEXHLevel3" xfId="29763" xr:uid="{B98B2755-19C8-445C-962F-C52E35BF5F13}"/>
    <cellStyle name="SAPBEXHLevel3 2" xfId="29764" xr:uid="{E5B0E272-B855-4EB0-9D61-06F252E19BAA}"/>
    <cellStyle name="SAPBEXHLevel3 2 2" xfId="30606" xr:uid="{8FBD5822-A43D-49A7-8E96-93AFDF81586B}"/>
    <cellStyle name="SAPBEXHLevel3 2 2 2" xfId="32038" xr:uid="{47C0AF92-0635-4781-96D7-2129697E76AF}"/>
    <cellStyle name="SAPBEXHLevel3 2 3" xfId="31317" xr:uid="{5B1C73B6-78A0-4EDA-8194-5F8713FDD1ED}"/>
    <cellStyle name="SAPBEXHLevel3 3" xfId="29765" xr:uid="{0E6EE694-2AB1-48EA-BD93-E35A880A61D2}"/>
    <cellStyle name="SAPBEXHLevel3 3 2" xfId="30607" xr:uid="{E571C154-FFCB-456B-B86F-3515E889D745}"/>
    <cellStyle name="SAPBEXHLevel3 3 2 2" xfId="32039" xr:uid="{25051EE5-8FEA-4209-BB8A-9C867BA5E9C3}"/>
    <cellStyle name="SAPBEXHLevel3 3 3" xfId="31318" xr:uid="{5E5F769D-9448-4D74-B365-79F5F37C01AA}"/>
    <cellStyle name="SAPBEXHLevel3 4" xfId="30605" xr:uid="{C4443EF4-FF38-4DB7-9C97-484D627CD973}"/>
    <cellStyle name="SAPBEXHLevel3 4 2" xfId="32037" xr:uid="{3B824514-5924-40C5-A7D2-05FF0EF4E973}"/>
    <cellStyle name="SAPBEXHLevel3 5" xfId="31316" xr:uid="{2A40A494-3C01-4827-BB5C-E541EABDB947}"/>
    <cellStyle name="SAPBEXHLevel3X" xfId="29766" xr:uid="{A8660056-A0E0-43C3-B7A6-E9DB69DBC97F}"/>
    <cellStyle name="SAPBEXHLevel3X 2" xfId="29767" xr:uid="{BF6904DE-F193-4E7C-90ED-BA9F9F685E05}"/>
    <cellStyle name="SAPBEXHLevel3X 2 2" xfId="30609" xr:uid="{384435B9-1922-4180-BBA2-762822BC88A7}"/>
    <cellStyle name="SAPBEXHLevel3X 2 2 2" xfId="32041" xr:uid="{628A4ADF-F798-43F2-A9D8-244EED4FBF3D}"/>
    <cellStyle name="SAPBEXHLevel3X 2 3" xfId="31320" xr:uid="{35BAD193-D6B7-4A75-8698-53287B69C4C8}"/>
    <cellStyle name="SAPBEXHLevel3X 3" xfId="29768" xr:uid="{E5676526-31A5-4A21-8544-6EA5FBE3705E}"/>
    <cellStyle name="SAPBEXHLevel3X 3 2" xfId="30610" xr:uid="{D5A13641-B12E-4D51-B196-EC9FEBD59B3C}"/>
    <cellStyle name="SAPBEXHLevel3X 3 2 2" xfId="32042" xr:uid="{89627707-78A2-4C2D-BF71-1B0D51494044}"/>
    <cellStyle name="SAPBEXHLevel3X 3 3" xfId="31321" xr:uid="{C2081C4F-3A9C-44CD-9384-34AF40BB8B73}"/>
    <cellStyle name="SAPBEXHLevel3X 4" xfId="30608" xr:uid="{972829AC-5C0D-4B51-B720-7623C859418F}"/>
    <cellStyle name="SAPBEXHLevel3X 4 2" xfId="32040" xr:uid="{9E9F1E17-6FB4-452D-997A-8113705D83C5}"/>
    <cellStyle name="SAPBEXHLevel3X 5" xfId="31319" xr:uid="{C7C84E13-DA46-466F-9B63-CA98408169B5}"/>
    <cellStyle name="SAPBEXresData" xfId="29769" xr:uid="{56F20C42-5BFA-4166-9E6D-7E3F4E38BFEF}"/>
    <cellStyle name="SAPBEXresData 2" xfId="29770" xr:uid="{B7D21773-A044-4F40-92E5-2CCF060B71C7}"/>
    <cellStyle name="SAPBEXresData 2 2" xfId="30612" xr:uid="{60AD8D0C-6358-464A-9DD4-F7C54A2008FE}"/>
    <cellStyle name="SAPBEXresData 2 2 2" xfId="32044" xr:uid="{6D39EAAA-704D-4010-B5AE-4F638E9C6BEF}"/>
    <cellStyle name="SAPBEXresData 2 3" xfId="31323" xr:uid="{4E230D3A-C050-400E-A38F-F54C899A3261}"/>
    <cellStyle name="SAPBEXresData 3" xfId="29771" xr:uid="{1562516B-E074-4071-B504-47F9D60B482F}"/>
    <cellStyle name="SAPBEXresData 3 2" xfId="30613" xr:uid="{868398CD-6FBA-49CD-ADD8-E0A9A2AEFDE0}"/>
    <cellStyle name="SAPBEXresData 3 2 2" xfId="32045" xr:uid="{68358711-ADB6-4C57-AD56-31F2F65C93C9}"/>
    <cellStyle name="SAPBEXresData 3 3" xfId="31324" xr:uid="{DC265AE9-5E5E-492D-9A02-A18709E4F143}"/>
    <cellStyle name="SAPBEXresData 4" xfId="30611" xr:uid="{E23D9510-99C5-47AB-BAB1-EC211D134730}"/>
    <cellStyle name="SAPBEXresData 4 2" xfId="32043" xr:uid="{F82F3736-D75C-47DD-80CF-9716FC1C62A5}"/>
    <cellStyle name="SAPBEXresData 5" xfId="31322" xr:uid="{9D6683B8-08EB-481C-AD08-3E89F7BF7433}"/>
    <cellStyle name="SAPBEXresDataEmph" xfId="29772" xr:uid="{D1C66C9E-A54C-49C1-863A-145331934B4B}"/>
    <cellStyle name="SAPBEXresDataEmph 2" xfId="29773" xr:uid="{D04D124A-8001-4391-A0AF-AE5BBB2B7FA0}"/>
    <cellStyle name="SAPBEXresDataEmph 2 2" xfId="30615" xr:uid="{CB1C6805-0909-40E5-90F9-9EC3F96D5294}"/>
    <cellStyle name="SAPBEXresDataEmph 2 2 2" xfId="32047" xr:uid="{63B581E1-4EF3-4E2F-ABE6-FE7BBDE6DE08}"/>
    <cellStyle name="SAPBEXresDataEmph 2 3" xfId="31326" xr:uid="{716C9EC5-2BAA-4603-916E-9641F73BD92A}"/>
    <cellStyle name="SAPBEXresDataEmph 3" xfId="29774" xr:uid="{5EB92C89-E613-4E14-A9D9-E6A3E174D2C6}"/>
    <cellStyle name="SAPBEXresDataEmph 3 2" xfId="30616" xr:uid="{E4EE5E8C-94AF-4C31-84B9-04AB6C2B52AF}"/>
    <cellStyle name="SAPBEXresDataEmph 3 2 2" xfId="32048" xr:uid="{CEA14FC3-5BEF-44F8-8B03-303D0C7E3DBA}"/>
    <cellStyle name="SAPBEXresDataEmph 3 3" xfId="31327" xr:uid="{B0CD29DD-02F9-4057-8FEB-464D0E93F8A9}"/>
    <cellStyle name="SAPBEXresDataEmph 4" xfId="30614" xr:uid="{849BB79D-DD57-45E0-8780-CB8D0BEF46C5}"/>
    <cellStyle name="SAPBEXresDataEmph 4 2" xfId="32046" xr:uid="{074AC5C1-2128-43AE-8556-0DDB50E3B9E5}"/>
    <cellStyle name="SAPBEXresDataEmph 5" xfId="31325" xr:uid="{FC08DFCF-2A72-46E9-AD4F-AFE2E10D39A1}"/>
    <cellStyle name="SAPBEXresItem" xfId="29775" xr:uid="{9C3B28A6-8853-42ED-B030-28B3BB35B15E}"/>
    <cellStyle name="SAPBEXresItem 2" xfId="29776" xr:uid="{CF0F4565-0D62-48D0-9487-8EAC89BC37EF}"/>
    <cellStyle name="SAPBEXresItem 2 2" xfId="30618" xr:uid="{04737855-A5B8-49BA-A29F-EDC57FC005CE}"/>
    <cellStyle name="SAPBEXresItem 2 2 2" xfId="32050" xr:uid="{5FEB8DB4-8DA0-4AB0-A838-8146C6AA39A0}"/>
    <cellStyle name="SAPBEXresItem 2 3" xfId="31329" xr:uid="{D75DDCFE-8914-4EF7-9AC9-E1D4FFA2E77B}"/>
    <cellStyle name="SAPBEXresItem 3" xfId="29777" xr:uid="{2AF0BE24-E74C-4936-90B6-B1B65544F8B9}"/>
    <cellStyle name="SAPBEXresItem 3 2" xfId="30619" xr:uid="{84D47A69-740C-429F-905E-844C7ED379AA}"/>
    <cellStyle name="SAPBEXresItem 3 2 2" xfId="32051" xr:uid="{36BEFA47-6A15-4EB0-8EE1-237C2C841B8F}"/>
    <cellStyle name="SAPBEXresItem 3 3" xfId="31330" xr:uid="{FB57D48A-6D35-4923-8A4A-F317BB8E3896}"/>
    <cellStyle name="SAPBEXresItem 4" xfId="30617" xr:uid="{9B3F4043-9BD3-4062-839B-8D1483FAC02E}"/>
    <cellStyle name="SAPBEXresItem 4 2" xfId="32049" xr:uid="{21A00B34-E3EF-457D-9197-849617DD0191}"/>
    <cellStyle name="SAPBEXresItem 5" xfId="31328" xr:uid="{9A48BBB8-517E-4692-AD14-44CDE3F34B69}"/>
    <cellStyle name="SAPBEXresItemX" xfId="29778" xr:uid="{0BBBABC0-037B-4840-A0F2-779542D958F3}"/>
    <cellStyle name="SAPBEXresItemX 2" xfId="29779" xr:uid="{C915E944-0E69-4DAE-B664-8B9A84BE7F3A}"/>
    <cellStyle name="SAPBEXresItemX 2 2" xfId="30621" xr:uid="{4C951684-044D-4EAD-B428-7B03045C78D7}"/>
    <cellStyle name="SAPBEXresItemX 2 2 2" xfId="32053" xr:uid="{CD6E6F74-DD7E-4AEF-A1D3-81C7CAB24029}"/>
    <cellStyle name="SAPBEXresItemX 2 3" xfId="31332" xr:uid="{23F754A7-CE39-4FF7-B41E-331F179D0A91}"/>
    <cellStyle name="SAPBEXresItemX 3" xfId="29780" xr:uid="{59D0D251-8C78-4765-87EE-B1EA2924BFB4}"/>
    <cellStyle name="SAPBEXresItemX 3 2" xfId="30622" xr:uid="{1FBEFD6F-E2CD-4969-AE13-1E8176863BE4}"/>
    <cellStyle name="SAPBEXresItemX 3 2 2" xfId="32054" xr:uid="{A1E77685-6485-4451-A0F9-E66CA39BB7E1}"/>
    <cellStyle name="SAPBEXresItemX 3 3" xfId="31333" xr:uid="{5D54D447-7317-49DB-9C09-90113998A44D}"/>
    <cellStyle name="SAPBEXresItemX 4" xfId="30620" xr:uid="{21E278D3-7ED6-4538-AB72-10D7928E4681}"/>
    <cellStyle name="SAPBEXresItemX 4 2" xfId="32052" xr:uid="{958203D4-3F06-4626-B171-6F8C46032154}"/>
    <cellStyle name="SAPBEXresItemX 5" xfId="31331" xr:uid="{6FC2D3D3-1340-4AD4-8FB2-C5E13270A088}"/>
    <cellStyle name="SAPBEXstdData" xfId="29781" xr:uid="{0131C2F0-C397-47CC-A635-2994D656149D}"/>
    <cellStyle name="SAPBEXstdData 2" xfId="29782" xr:uid="{4E4ABB2B-A049-4987-A8CD-52A2A5BBD482}"/>
    <cellStyle name="SAPBEXstdData 2 2" xfId="30624" xr:uid="{9C521498-3819-43EE-A327-C6D3D741BE9E}"/>
    <cellStyle name="SAPBEXstdData 2 2 2" xfId="32056" xr:uid="{0FC82C81-1F8F-4C2D-AB00-F1EED26819D6}"/>
    <cellStyle name="SAPBEXstdData 2 3" xfId="31335" xr:uid="{7874D93F-E546-47EA-B90A-838501369E16}"/>
    <cellStyle name="SAPBEXstdData 3" xfId="29783" xr:uid="{68ED7533-B1C1-4935-A155-95FE84921844}"/>
    <cellStyle name="SAPBEXstdData 3 2" xfId="30625" xr:uid="{28E29ED2-680B-45D7-A03A-EAF11D463D32}"/>
    <cellStyle name="SAPBEXstdData 3 2 2" xfId="32057" xr:uid="{2AFEF1B7-172E-4418-BB72-2BCED17D9910}"/>
    <cellStyle name="SAPBEXstdData 3 3" xfId="31336" xr:uid="{3F0A738E-B045-4C9E-B016-25A832057A6C}"/>
    <cellStyle name="SAPBEXstdData 4" xfId="30623" xr:uid="{A4B8AC80-55CF-4812-90A5-2EDE5C8BC6FC}"/>
    <cellStyle name="SAPBEXstdData 4 2" xfId="32055" xr:uid="{D398EAB4-C934-478F-B06D-684EA85D608A}"/>
    <cellStyle name="SAPBEXstdData 5" xfId="31334" xr:uid="{BC0B787A-7AE7-4DE4-9039-663BF2073E66}"/>
    <cellStyle name="SAPBEXstdDataEmph" xfId="29784" xr:uid="{6818620B-A2CC-4D21-8FA5-F61F2C03B20E}"/>
    <cellStyle name="SAPBEXstdDataEmph 2" xfId="29785" xr:uid="{F2C127D5-6A70-4110-B725-A83C69F0B968}"/>
    <cellStyle name="SAPBEXstdDataEmph 2 2" xfId="30627" xr:uid="{E7292D91-B08F-476F-B867-7A50098EEA23}"/>
    <cellStyle name="SAPBEXstdDataEmph 2 2 2" xfId="32059" xr:uid="{89C54AF0-ACDB-4A3E-8A70-7C3EE55B77F9}"/>
    <cellStyle name="SAPBEXstdDataEmph 2 3" xfId="31338" xr:uid="{A41032AA-A574-4AD1-8492-04D776622ACC}"/>
    <cellStyle name="SAPBEXstdDataEmph 3" xfId="29786" xr:uid="{3B848A16-529B-4FC7-ACB7-4AD28ABB5200}"/>
    <cellStyle name="SAPBEXstdDataEmph 3 2" xfId="30628" xr:uid="{B3540167-A0AA-4C67-ACC9-589F0AF170A0}"/>
    <cellStyle name="SAPBEXstdDataEmph 3 2 2" xfId="32060" xr:uid="{52860956-7BEB-4BDA-82B6-D7370A5E8DC8}"/>
    <cellStyle name="SAPBEXstdDataEmph 3 3" xfId="31339" xr:uid="{E4282BB6-07D4-4058-A25B-27DD759C802F}"/>
    <cellStyle name="SAPBEXstdDataEmph 4" xfId="30626" xr:uid="{5B013D0F-6C00-4397-8BBB-A15AD1D49BA4}"/>
    <cellStyle name="SAPBEXstdDataEmph 4 2" xfId="32058" xr:uid="{3EE410FC-EFAB-454B-9BEA-2C22DCFDDCE9}"/>
    <cellStyle name="SAPBEXstdDataEmph 5" xfId="31337" xr:uid="{4CD14872-9236-46D3-A10E-9EF6C1B09597}"/>
    <cellStyle name="SAPBEXstdItem" xfId="29787" xr:uid="{7A4CE8A0-B689-4ED9-AC61-76F2CCDECEBA}"/>
    <cellStyle name="SAPBEXstdItem 2" xfId="29788" xr:uid="{9E12956C-9625-4727-A1CF-06FCE950E2B5}"/>
    <cellStyle name="SAPBEXstdItem 2 2" xfId="30630" xr:uid="{C1336213-DB96-489F-A677-8A8A4608EB4E}"/>
    <cellStyle name="SAPBEXstdItem 2 2 2" xfId="32062" xr:uid="{C1BAA788-B51A-4C1C-96DD-37E5E9A9A90F}"/>
    <cellStyle name="SAPBEXstdItem 2 3" xfId="31341" xr:uid="{1DA45877-7D31-4C45-A4B3-E4E3B6C47DDF}"/>
    <cellStyle name="SAPBEXstdItem 3" xfId="29789" xr:uid="{958B3EAB-537D-4086-B12D-60CDBAF08F2C}"/>
    <cellStyle name="SAPBEXstdItem 3 2" xfId="30631" xr:uid="{EE829F4B-C31C-4527-B12E-862227D08AB0}"/>
    <cellStyle name="SAPBEXstdItem 3 2 2" xfId="32063" xr:uid="{74011087-2F40-4E5D-9969-0CDE192166F5}"/>
    <cellStyle name="SAPBEXstdItem 3 3" xfId="31342" xr:uid="{13048117-61F4-4D86-8E55-7B0072489C51}"/>
    <cellStyle name="SAPBEXstdItem 4" xfId="30629" xr:uid="{877DC643-9A52-4D48-9FB4-94532D6A274D}"/>
    <cellStyle name="SAPBEXstdItem 4 2" xfId="32061" xr:uid="{EB14429D-6C1D-4EC4-AD96-A162FAE65D93}"/>
    <cellStyle name="SAPBEXstdItem 5" xfId="31340" xr:uid="{2D058A6F-8790-49C8-A1A5-E168290E7800}"/>
    <cellStyle name="SAPBEXstdItemX" xfId="29790" xr:uid="{3AB2FB6C-DC0E-4522-B2BC-4C21B6CEDB6E}"/>
    <cellStyle name="SAPBEXstdItemX 2" xfId="29791" xr:uid="{C0348DA8-1F93-4F02-9619-F3010A6818FC}"/>
    <cellStyle name="SAPBEXstdItemX 2 2" xfId="30633" xr:uid="{3CE8EAEC-94F4-495F-9C68-A6FD24F06C48}"/>
    <cellStyle name="SAPBEXstdItemX 2 2 2" xfId="32065" xr:uid="{B3C88844-0749-416A-B526-102118C6BC44}"/>
    <cellStyle name="SAPBEXstdItemX 2 3" xfId="31344" xr:uid="{52D5A387-845A-4D36-BE46-4416E97BA496}"/>
    <cellStyle name="SAPBEXstdItemX 3" xfId="29792" xr:uid="{B760E7E0-5CB5-4033-8344-C16FBCBEB8F4}"/>
    <cellStyle name="SAPBEXstdItemX 3 2" xfId="30634" xr:uid="{3EFE8025-00CE-4F05-96CA-B885A708B432}"/>
    <cellStyle name="SAPBEXstdItemX 3 2 2" xfId="32066" xr:uid="{6C4C258D-FDE7-40BD-B13A-DEE25737782B}"/>
    <cellStyle name="SAPBEXstdItemX 3 3" xfId="31345" xr:uid="{DF0F03EF-D921-43F5-AA34-797520C5DEBF}"/>
    <cellStyle name="SAPBEXstdItemX 4" xfId="30632" xr:uid="{C7786D45-2E18-4031-91F1-7074E70C6524}"/>
    <cellStyle name="SAPBEXstdItemX 4 2" xfId="32064" xr:uid="{C90FF511-0BBC-4F6A-971B-8554BA8F9FBA}"/>
    <cellStyle name="SAPBEXstdItemX 5" xfId="31343" xr:uid="{DD4E0970-F5AD-4C47-8713-A2E052A7CE91}"/>
    <cellStyle name="SAPBEXtitle" xfId="29793" xr:uid="{842937A6-4C3B-4299-9945-34E787B237B0}"/>
    <cellStyle name="SAPBEXundefined" xfId="29794" xr:uid="{FD866843-792B-417B-A250-7DFD708C8DD6}"/>
    <cellStyle name="SAPBEXundefined 2" xfId="29795" xr:uid="{68C660DE-F71B-49BF-A331-10620256FDD5}"/>
    <cellStyle name="SAPBEXundefined 2 2" xfId="30636" xr:uid="{30FDD4AB-5924-4104-8D1D-98D535D347A9}"/>
    <cellStyle name="SAPBEXundefined 2 2 2" xfId="32068" xr:uid="{5BA39F85-C223-4A0B-A881-ED5BB8848EB2}"/>
    <cellStyle name="SAPBEXundefined 2 3" xfId="31347" xr:uid="{DD2F3CD0-32B9-48D0-B036-9C59AD31E618}"/>
    <cellStyle name="SAPBEXundefined 3" xfId="29796" xr:uid="{9F874537-FA59-433D-9322-7D9EC3650884}"/>
    <cellStyle name="SAPBEXundefined 3 2" xfId="30637" xr:uid="{C6C97493-1079-44A3-A698-3BA7254D9B59}"/>
    <cellStyle name="SAPBEXundefined 3 2 2" xfId="32069" xr:uid="{E8F3C217-E915-4FC3-B3ED-B47CD2CF9F41}"/>
    <cellStyle name="SAPBEXundefined 3 3" xfId="31348" xr:uid="{33699EA6-4D2D-4E84-89F3-B072F5E2C343}"/>
    <cellStyle name="SAPBEXundefined 4" xfId="30635" xr:uid="{D8EF8E7F-972A-4E4B-AEE8-C3AB85ADFEDA}"/>
    <cellStyle name="SAPBEXundefined 4 2" xfId="32067" xr:uid="{63A7B06B-E3A5-46BD-BE43-E5BE43F8CF69}"/>
    <cellStyle name="SAPBEXundefined 5" xfId="31346" xr:uid="{E0BB873B-8168-404B-AFC3-642D7AD1F6E6}"/>
    <cellStyle name="SAPBorder" xfId="6859" xr:uid="{00000000-0005-0000-0000-00008A4E0000}"/>
    <cellStyle name="SAPDataCell" xfId="6842" xr:uid="{00000000-0005-0000-0000-00008B4E0000}"/>
    <cellStyle name="SAPDataTotalCell" xfId="6843" xr:uid="{00000000-0005-0000-0000-00008C4E0000}"/>
    <cellStyle name="SAPDimensionCell" xfId="6841" xr:uid="{00000000-0005-0000-0000-00008D4E0000}"/>
    <cellStyle name="SAPEditableDataCell" xfId="6844" xr:uid="{00000000-0005-0000-0000-00008E4E0000}"/>
    <cellStyle name="SAPEditableDataTotalCell" xfId="6847" xr:uid="{00000000-0005-0000-0000-00008F4E0000}"/>
    <cellStyle name="SAPEmphasized" xfId="6867" xr:uid="{00000000-0005-0000-0000-0000904E0000}"/>
    <cellStyle name="SAPEmphasizedEditableDataCell" xfId="6869" xr:uid="{00000000-0005-0000-0000-0000914E0000}"/>
    <cellStyle name="SAPEmphasizedEditableDataTotalCell" xfId="6870" xr:uid="{00000000-0005-0000-0000-0000924E0000}"/>
    <cellStyle name="SAPEmphasizedLockedDataCell" xfId="6873" xr:uid="{00000000-0005-0000-0000-0000934E0000}"/>
    <cellStyle name="SAPEmphasizedLockedDataTotalCell" xfId="6874" xr:uid="{00000000-0005-0000-0000-0000944E0000}"/>
    <cellStyle name="SAPEmphasizedReadonlyDataCell" xfId="6871" xr:uid="{00000000-0005-0000-0000-0000954E0000}"/>
    <cellStyle name="SAPEmphasizedReadonlyDataTotalCell" xfId="6872" xr:uid="{00000000-0005-0000-0000-0000964E0000}"/>
    <cellStyle name="SAPEmphasizedTotal" xfId="6868" xr:uid="{00000000-0005-0000-0000-0000974E0000}"/>
    <cellStyle name="SAPExceptionLevel1" xfId="6850" xr:uid="{00000000-0005-0000-0000-0000984E0000}"/>
    <cellStyle name="SAPExceptionLevel2" xfId="6851" xr:uid="{00000000-0005-0000-0000-0000994E0000}"/>
    <cellStyle name="SAPExceptionLevel3" xfId="6852" xr:uid="{00000000-0005-0000-0000-00009A4E0000}"/>
    <cellStyle name="SAPExceptionLevel4" xfId="6853" xr:uid="{00000000-0005-0000-0000-00009B4E0000}"/>
    <cellStyle name="SAPExceptionLevel5" xfId="6854" xr:uid="{00000000-0005-0000-0000-00009C4E0000}"/>
    <cellStyle name="SAPExceptionLevel6" xfId="6855" xr:uid="{00000000-0005-0000-0000-00009D4E0000}"/>
    <cellStyle name="SAPExceptionLevel7" xfId="6856" xr:uid="{00000000-0005-0000-0000-00009E4E0000}"/>
    <cellStyle name="SAPExceptionLevel8" xfId="6857" xr:uid="{00000000-0005-0000-0000-00009F4E0000}"/>
    <cellStyle name="SAPExceptionLevel9" xfId="6858" xr:uid="{00000000-0005-0000-0000-0000A04E0000}"/>
    <cellStyle name="SAPHierarchyCell0" xfId="6862" xr:uid="{00000000-0005-0000-0000-0000A14E0000}"/>
    <cellStyle name="SAPHierarchyCell1" xfId="6863" xr:uid="{00000000-0005-0000-0000-0000A24E0000}"/>
    <cellStyle name="SAPHierarchyCell2" xfId="6864" xr:uid="{00000000-0005-0000-0000-0000A34E0000}"/>
    <cellStyle name="SAPHierarchyCell3" xfId="6865" xr:uid="{00000000-0005-0000-0000-0000A44E0000}"/>
    <cellStyle name="SAPHierarchyCell4" xfId="6866" xr:uid="{00000000-0005-0000-0000-0000A54E0000}"/>
    <cellStyle name="SAPLockedDataCell" xfId="6846" xr:uid="{00000000-0005-0000-0000-0000A64E0000}"/>
    <cellStyle name="SAPLockedDataTotalCell" xfId="6849" xr:uid="{00000000-0005-0000-0000-0000A74E0000}"/>
    <cellStyle name="SAPMemberCell" xfId="6860" xr:uid="{00000000-0005-0000-0000-0000A84E0000}"/>
    <cellStyle name="SAPMemberTotalCell" xfId="6861" xr:uid="{00000000-0005-0000-0000-0000A94E0000}"/>
    <cellStyle name="SAPReadonlyDataCell" xfId="6845" xr:uid="{00000000-0005-0000-0000-0000AA4E0000}"/>
    <cellStyle name="SAPReadonlyDataTotalCell" xfId="6848" xr:uid="{00000000-0005-0000-0000-0000AB4E0000}"/>
    <cellStyle name="STANDARD" xfId="26151" xr:uid="{3634F203-34B7-4031-9717-EA61CD2DF8D2}"/>
    <cellStyle name="Standard 2" xfId="29797" xr:uid="{6902B683-B5C8-48D1-825F-7DE2979D084A}"/>
    <cellStyle name="Style 1" xfId="11" xr:uid="{00000000-0005-0000-0000-0000AC4E0000}"/>
    <cellStyle name="Style 1 10" xfId="25971" xr:uid="{863B8ABD-C73A-4016-B613-9E34026A5409}"/>
    <cellStyle name="Style 1 10 10" xfId="25974" xr:uid="{C4A107FE-F93B-443E-A8A3-57D8A73AE3C2}"/>
    <cellStyle name="Style 1 10 11" xfId="25889" xr:uid="{DA2C89B3-1761-4ECA-B003-021F081FFD88}"/>
    <cellStyle name="Style 1 10 2" xfId="29798" xr:uid="{AF459F5E-9D50-43FD-8943-B60A4511115B}"/>
    <cellStyle name="Style 1 11" xfId="26071" xr:uid="{F16D8942-0FAE-4491-BE6C-BFBCD335C87F}"/>
    <cellStyle name="Style 1 11 2" xfId="29799" xr:uid="{F9D805A0-3CC9-4527-9A61-A961B700954C}"/>
    <cellStyle name="Style 1 12" xfId="26074" xr:uid="{84159C88-658B-416F-96A9-7502FB55F973}"/>
    <cellStyle name="Style 1 12 2" xfId="29800" xr:uid="{FB601457-376A-4A6B-9723-383D9EBB4FD7}"/>
    <cellStyle name="Style 1 13" xfId="26084" xr:uid="{B99A092B-AF8C-4F57-9330-EA68D9152645}"/>
    <cellStyle name="Style 1 13 2" xfId="26175" xr:uid="{AB9497D0-EDE3-436A-90D4-9CF30409E721}"/>
    <cellStyle name="Style 1 13 3" xfId="29801" xr:uid="{1AE55B3F-5923-4069-A4DE-DF62EFBFEDA5}"/>
    <cellStyle name="Style 1 14" xfId="25885" xr:uid="{7D37DAA8-1EE4-4723-80F7-670345AFE78A}"/>
    <cellStyle name="Style 1 14 2" xfId="29802" xr:uid="{9235A84E-2A32-4BA9-A5A6-4D58BD726BC4}"/>
    <cellStyle name="Style 1 15" xfId="29803" xr:uid="{AC592667-F222-445C-A127-251201ADA13C}"/>
    <cellStyle name="Style 1 16" xfId="29804" xr:uid="{1D946AC9-F435-4B75-96C4-B6253F7855A3}"/>
    <cellStyle name="Style 1 17" xfId="29805" xr:uid="{2EF32B79-4619-4849-8D10-D567DC068A0D}"/>
    <cellStyle name="Style 1 18" xfId="29806" xr:uid="{AD1B8308-4CE9-4876-BD1D-090E81BB4E20}"/>
    <cellStyle name="Style 1 19" xfId="29807" xr:uid="{5F37FFAC-D60B-4B68-8992-063BA38D051E}"/>
    <cellStyle name="Style 1 2" xfId="117" xr:uid="{00000000-0005-0000-0000-0000AD4E0000}"/>
    <cellStyle name="Style 1 2 2" xfId="169" xr:uid="{00000000-0005-0000-0000-0000AE4E0000}"/>
    <cellStyle name="Style 1 2 2 2" xfId="25891" xr:uid="{FF395E15-BC45-4CF5-8DB1-BB23AB13B27B}"/>
    <cellStyle name="Style 1 2 3" xfId="29808" xr:uid="{C9D313E5-FC03-44A3-A28B-124E1A40AED5}"/>
    <cellStyle name="Style 1 2_Summary" xfId="24200" xr:uid="{00000000-0005-0000-0000-0000AF4E0000}"/>
    <cellStyle name="Style 1 20" xfId="29809" xr:uid="{9EC59D52-1E6F-4FC1-8594-B3A19449DB39}"/>
    <cellStyle name="Style 1 21" xfId="29810" xr:uid="{5AEE9582-CDB9-414D-8426-78324141D604}"/>
    <cellStyle name="Style 1 22" xfId="29811" xr:uid="{E32C3308-5056-4491-B0CC-12BCE2593EB8}"/>
    <cellStyle name="Style 1 23" xfId="29812" xr:uid="{6612B59F-AB61-45F7-A0FA-2A2A481AA797}"/>
    <cellStyle name="Style 1 24" xfId="29813" xr:uid="{C3B1C31D-8524-4E89-84B2-7ED377CBB7C8}"/>
    <cellStyle name="Style 1 25" xfId="29814" xr:uid="{67E9709D-8196-4430-9420-3445A64B5370}"/>
    <cellStyle name="Style 1 26" xfId="29815" xr:uid="{D8FDE5AF-21BA-462D-9117-90885D9D376C}"/>
    <cellStyle name="Style 1 27" xfId="29816" xr:uid="{F0CB513E-4654-4C86-88EE-5F25E46A15F0}"/>
    <cellStyle name="Style 1 28" xfId="29817" xr:uid="{6A091E9E-2FA7-4459-9A7D-962F9C58F7BC}"/>
    <cellStyle name="Style 1 29" xfId="29818" xr:uid="{CA05A9FB-F8C0-42B7-BA6F-AF59C6AD964B}"/>
    <cellStyle name="Style 1 3" xfId="69" xr:uid="{00000000-0005-0000-0000-0000B04E0000}"/>
    <cellStyle name="Style 1 3 2" xfId="26044" xr:uid="{A6D04124-E782-486B-8506-A04C77E5E871}"/>
    <cellStyle name="Style 1 3 2 10" xfId="25888" xr:uid="{0CC1F007-0A4D-4CC6-8751-23FE208BEC15}"/>
    <cellStyle name="Style 1 3 3" xfId="25895" xr:uid="{1FF298A9-7647-4C04-B782-A59FD54E3E93}"/>
    <cellStyle name="Style 1 3 4" xfId="29819" xr:uid="{A93D433F-E1BB-4FC9-8E73-58E0BD0DA63D}"/>
    <cellStyle name="Style 1 30" xfId="29820" xr:uid="{D18E6788-5119-470D-86EB-38B5327B2A24}"/>
    <cellStyle name="Style 1 31" xfId="29821" xr:uid="{63F0AD93-A368-4877-B94C-05C40DCC948D}"/>
    <cellStyle name="Style 1 31 2" xfId="29822" xr:uid="{40F2DF83-BFE2-4005-83DE-71F562F0DDC0}"/>
    <cellStyle name="Style 1 32" xfId="29823" xr:uid="{B1316731-E91E-4AAD-A5E6-4CFBF50AA7F1}"/>
    <cellStyle name="Style 1 33" xfId="29824" xr:uid="{33B62917-77D9-4ABE-AAB5-E719E84CA624}"/>
    <cellStyle name="Style 1 34" xfId="29825" xr:uid="{7DFD2863-ED35-482B-9812-57450D4009F6}"/>
    <cellStyle name="Style 1 35" xfId="29826" xr:uid="{ABD00DE1-CAB5-40B9-A664-CF318D41EB8D}"/>
    <cellStyle name="Style 1 36" xfId="29827" xr:uid="{8F78333A-CC5B-47D0-9867-1817A12D0E1B}"/>
    <cellStyle name="Style 1 37" xfId="29828" xr:uid="{111C5C91-D102-45C2-92F0-6B74EACC092E}"/>
    <cellStyle name="Style 1 38" xfId="29829" xr:uid="{18CC0212-E061-49E5-A023-C496B2FC06FF}"/>
    <cellStyle name="Style 1 38 2" xfId="29830" xr:uid="{FD453C45-C7AD-4B97-B32B-9A7BB3A1EC20}"/>
    <cellStyle name="Style 1 39" xfId="29831" xr:uid="{08EE5998-A02C-48EB-AD40-FCE209CBF4FC}"/>
    <cellStyle name="Style 1 4" xfId="25788" xr:uid="{7D62BB0C-EED7-4B22-BEE6-9DCA398F77E2}"/>
    <cellStyle name="Style 1 4 2" xfId="26023" xr:uid="{367E5514-4A55-479D-B1B7-2FE00C86EF2C}"/>
    <cellStyle name="Style 1 4 3" xfId="29832" xr:uid="{B3C3730E-C991-4734-B6A2-B64381234221}"/>
    <cellStyle name="Style 1 40" xfId="29833" xr:uid="{698B3365-569A-4A01-A934-E137B3B808B9}"/>
    <cellStyle name="Style 1 5" xfId="26054" xr:uid="{8442BDED-537F-4F1E-B59C-ECFB6D5A4594}"/>
    <cellStyle name="Style 1 5 2" xfId="29834" xr:uid="{4210DB1B-C642-4143-83B4-CEE27D8639DD}"/>
    <cellStyle name="Style 1 6" xfId="26057" xr:uid="{C7A38837-292B-4BFA-8E7E-B0070BE4990B}"/>
    <cellStyle name="Style 1 6 2" xfId="29835" xr:uid="{F4F8A47A-1D94-412B-96F2-C4738EF84980}"/>
    <cellStyle name="Style 1 7" xfId="26060" xr:uid="{43C91D47-DE3E-4593-AD5B-BCAF7196B4E4}"/>
    <cellStyle name="Style 1 7 2" xfId="29836" xr:uid="{E531BBA8-0B60-4F8F-8274-307AA34C6A37}"/>
    <cellStyle name="Style 1 8" xfId="26063" xr:uid="{60C34496-9302-465B-AB9A-0757885FB76B}"/>
    <cellStyle name="Style 1 8 2" xfId="29837" xr:uid="{8045A4FD-46CB-4AA5-BA9A-9DB3E5C471A0}"/>
    <cellStyle name="Style 1 9" xfId="26066" xr:uid="{55FF6776-94C0-4B21-B229-1B4E6D267113}"/>
    <cellStyle name="Style 1 9 2" xfId="29838" xr:uid="{55642CCE-D30E-4A31-BEC6-ED4FD9C136C7}"/>
    <cellStyle name="Style 1_Book1" xfId="29839" xr:uid="{6554CD4B-5ADB-404A-82E0-C934B2ABA1FA}"/>
    <cellStyle name="subhead" xfId="26152" xr:uid="{A26E88F9-17C3-4966-96C9-0447C7E70601}"/>
    <cellStyle name="Times New Roman" xfId="26153" xr:uid="{08EAF49C-772D-4830-A31F-3817EEC07037}"/>
    <cellStyle name="Title" xfId="23" builtinId="15" customBuiltin="1"/>
    <cellStyle name="Title 2" xfId="118" xr:uid="{00000000-0005-0000-0000-0000B34E0000}"/>
    <cellStyle name="Title 2 10" xfId="29840" xr:uid="{1BE89562-0296-4AB3-915D-DB9B8170C061}"/>
    <cellStyle name="Title 2 2" xfId="26211" xr:uid="{AB14CFB8-657D-4497-A75E-AC965C3CD05B}"/>
    <cellStyle name="Title 2 2 2" xfId="29841" xr:uid="{F5685FC7-45D7-43E6-996E-5F3FE7186896}"/>
    <cellStyle name="Title 2 3" xfId="26154" xr:uid="{8ADB70C2-B44E-4E7A-A573-A785A69D5641}"/>
    <cellStyle name="Title 2 3 2" xfId="29842" xr:uid="{7456F9C6-1BD8-4223-9E94-9D214FA42FCB}"/>
    <cellStyle name="Title 2 4" xfId="29843" xr:uid="{002E4E50-FE58-4598-A22A-8CF4A099D860}"/>
    <cellStyle name="Title 2 5" xfId="29844" xr:uid="{CE21A4F6-C384-4A8F-9E89-C287EF7770E4}"/>
    <cellStyle name="Title 2 6" xfId="29845" xr:uid="{1A6DBAB7-9B1D-4CE6-AA96-F39CED354837}"/>
    <cellStyle name="Title 2 7" xfId="29846" xr:uid="{5817D73E-5DD8-436F-9EAF-D552E3621A96}"/>
    <cellStyle name="Title 2 8" xfId="29847" xr:uid="{66959F22-F346-4815-8A9C-0E8D2B01BB93}"/>
    <cellStyle name="Title 2 9" xfId="29848" xr:uid="{B551E295-F81D-4D3C-AE73-4CEF99004270}"/>
    <cellStyle name="Title 2_WBS Creation" xfId="29849" xr:uid="{407CD76B-2EB2-4D1A-95B4-DB92B0DF3462}"/>
    <cellStyle name="Title 3" xfId="259" xr:uid="{00000000-0005-0000-0000-0000B44E0000}"/>
    <cellStyle name="Title 3 10" xfId="29850" xr:uid="{E36606E3-A2A6-4F40-9A04-B09BDE4699B5}"/>
    <cellStyle name="Title 3 2" xfId="29851" xr:uid="{6372EEC0-D9BA-4AB5-917D-6C5B303095C4}"/>
    <cellStyle name="Title 3 3" xfId="29852" xr:uid="{4E76C2A1-42C9-475C-89E4-B9E2120DAED8}"/>
    <cellStyle name="Title 3 4" xfId="29853" xr:uid="{D368DD65-16B6-4BBB-8586-1EBBC7CF21BD}"/>
    <cellStyle name="Title 3 5" xfId="29854" xr:uid="{55C580B9-936A-4048-9948-D43CFF569311}"/>
    <cellStyle name="Title 3 6" xfId="29855" xr:uid="{7CB3E662-2266-4023-B8AD-305F93FA18B2}"/>
    <cellStyle name="Title 3 7" xfId="29856" xr:uid="{FA9F9748-B60B-4E07-B8B5-D3588AD42D8C}"/>
    <cellStyle name="Title 3 8" xfId="29857" xr:uid="{AF7310F1-04FA-4011-9D75-00252FD06BAA}"/>
    <cellStyle name="Title 3 9" xfId="29858" xr:uid="{5E5F66C3-7728-427A-9C50-85A7FD39E288}"/>
    <cellStyle name="Title 4" xfId="25780" xr:uid="{9C40DA01-7686-424B-A2CA-2F428F949AC8}"/>
    <cellStyle name="Title 4 10" xfId="29859" xr:uid="{DF0E49A5-781D-478F-AE31-EEA6A3E8749C}"/>
    <cellStyle name="Title 4 2" xfId="29860" xr:uid="{5E91415C-2A89-4357-A442-3B6FB9897668}"/>
    <cellStyle name="Title 4 3" xfId="29861" xr:uid="{551536B9-A830-44DE-B5A7-4B20873D5E08}"/>
    <cellStyle name="Title 4 4" xfId="29862" xr:uid="{BDB40389-695E-477F-B692-1CE81C623131}"/>
    <cellStyle name="Title 4 5" xfId="29863" xr:uid="{619EA440-513F-48E5-BB98-A941797FDFAD}"/>
    <cellStyle name="Title 4 6" xfId="29864" xr:uid="{9827440A-6B97-4049-B208-91F9F1AEB582}"/>
    <cellStyle name="Title 4 7" xfId="29865" xr:uid="{E7F04F85-7D16-44A0-9057-C48CFEB03988}"/>
    <cellStyle name="Title 4 8" xfId="29866" xr:uid="{2A8AB632-F033-4071-ACCA-9639EF4C58CF}"/>
    <cellStyle name="Title 4 9" xfId="29867" xr:uid="{AEEFB8A1-742F-44DD-93F6-E2D472B63B7D}"/>
    <cellStyle name="Title 5 10" xfId="29868" xr:uid="{D72AF66B-0AE7-49EA-8794-3B4D7B8D9734}"/>
    <cellStyle name="Title 5 2" xfId="29869" xr:uid="{BB76E57A-1052-41C2-BA5B-916F20330627}"/>
    <cellStyle name="Title 5 3" xfId="29870" xr:uid="{F02136AB-D3BF-4D23-8399-329DF963C039}"/>
    <cellStyle name="Title 5 4" xfId="29871" xr:uid="{891DA711-F1CD-4B93-89C4-0DC36761EDB6}"/>
    <cellStyle name="Title 5 5" xfId="29872" xr:uid="{D2A98B57-00B2-4DAC-8023-5A1F21A41EEF}"/>
    <cellStyle name="Title 5 6" xfId="29873" xr:uid="{A72A1175-971D-4F33-B5CC-5D89FA6FC3C2}"/>
    <cellStyle name="Title 5 7" xfId="29874" xr:uid="{BEC902A6-5D3B-4B3D-9753-00F78ADDAA2A}"/>
    <cellStyle name="Title 5 8" xfId="29875" xr:uid="{61980320-B9BE-42B9-9139-24338DDC2914}"/>
    <cellStyle name="Title 5 9" xfId="29876" xr:uid="{A8B89326-06E6-479E-AF6D-361FAB7B12C0}"/>
    <cellStyle name="Total" xfId="39" builtinId="25" customBuiltin="1"/>
    <cellStyle name="Total 2" xfId="119" xr:uid="{00000000-0005-0000-0000-0000B64E0000}"/>
    <cellStyle name="Total 2 10" xfId="201" xr:uid="{00000000-0005-0000-0000-0000B74E0000}"/>
    <cellStyle name="Total 2 10 10" xfId="2310" xr:uid="{00000000-0005-0000-0000-0000B84E0000}"/>
    <cellStyle name="Total 2 10 10 2" xfId="4446" xr:uid="{00000000-0005-0000-0000-0000B94E0000}"/>
    <cellStyle name="Total 2 10 10 2 2" xfId="11042" xr:uid="{00000000-0005-0000-0000-0000BA4E0000}"/>
    <cellStyle name="Total 2 10 10 2 3" xfId="17661" xr:uid="{00000000-0005-0000-0000-0000BB4E0000}"/>
    <cellStyle name="Total 2 10 10 2_Summary" xfId="24204" xr:uid="{00000000-0005-0000-0000-0000BC4E0000}"/>
    <cellStyle name="Total 2 10 10 3" xfId="6481" xr:uid="{00000000-0005-0000-0000-0000BD4E0000}"/>
    <cellStyle name="Total 2 10 10 3 2" xfId="13077" xr:uid="{00000000-0005-0000-0000-0000BE4E0000}"/>
    <cellStyle name="Total 2 10 10 3 3" xfId="19696" xr:uid="{00000000-0005-0000-0000-0000BF4E0000}"/>
    <cellStyle name="Total 2 10 10 3_Summary" xfId="24205" xr:uid="{00000000-0005-0000-0000-0000C04E0000}"/>
    <cellStyle name="Total 2 10 10 4" xfId="8906" xr:uid="{00000000-0005-0000-0000-0000C14E0000}"/>
    <cellStyle name="Total 2 10 10 5" xfId="15525" xr:uid="{00000000-0005-0000-0000-0000C24E0000}"/>
    <cellStyle name="Total 2 10 10_Summary" xfId="24203" xr:uid="{00000000-0005-0000-0000-0000C34E0000}"/>
    <cellStyle name="Total 2 10 11" xfId="2629" xr:uid="{00000000-0005-0000-0000-0000C44E0000}"/>
    <cellStyle name="Total 2 10 11 2" xfId="9225" xr:uid="{00000000-0005-0000-0000-0000C54E0000}"/>
    <cellStyle name="Total 2 10 11 3" xfId="15844" xr:uid="{00000000-0005-0000-0000-0000C64E0000}"/>
    <cellStyle name="Total 2 10 11_Summary" xfId="24206" xr:uid="{00000000-0005-0000-0000-0000C74E0000}"/>
    <cellStyle name="Total 2 10 12" xfId="2591" xr:uid="{00000000-0005-0000-0000-0000C84E0000}"/>
    <cellStyle name="Total 2 10 12 2" xfId="9187" xr:uid="{00000000-0005-0000-0000-0000C94E0000}"/>
    <cellStyle name="Total 2 10 12 3" xfId="15806" xr:uid="{00000000-0005-0000-0000-0000CA4E0000}"/>
    <cellStyle name="Total 2 10 12_Summary" xfId="24207" xr:uid="{00000000-0005-0000-0000-0000CB4E0000}"/>
    <cellStyle name="Total 2 10 13" xfId="518" xr:uid="{00000000-0005-0000-0000-0000CC4E0000}"/>
    <cellStyle name="Total 2 10 13 2" xfId="13733" xr:uid="{00000000-0005-0000-0000-0000CD4E0000}"/>
    <cellStyle name="Total 2 10 13_Summary" xfId="24208" xr:uid="{00000000-0005-0000-0000-0000CE4E0000}"/>
    <cellStyle name="Total 2 10 14" xfId="7109" xr:uid="{00000000-0005-0000-0000-0000CF4E0000}"/>
    <cellStyle name="Total 2 10 15" xfId="7002" xr:uid="{00000000-0005-0000-0000-0000D04E0000}"/>
    <cellStyle name="Total 2 10 16" xfId="29878" xr:uid="{A6C3D2C8-0A31-42D8-8EB3-647F46B0A28B}"/>
    <cellStyle name="Total 2 10 17" xfId="31350" xr:uid="{33F60F8C-E35B-4786-B69E-92D42EAF20B6}"/>
    <cellStyle name="Total 2 10 2" xfId="333" xr:uid="{00000000-0005-0000-0000-0000D14E0000}"/>
    <cellStyle name="Total 2 10 2 10" xfId="4754" xr:uid="{00000000-0005-0000-0000-0000D24E0000}"/>
    <cellStyle name="Total 2 10 2 10 2" xfId="11350" xr:uid="{00000000-0005-0000-0000-0000D34E0000}"/>
    <cellStyle name="Total 2 10 2 10 3" xfId="17969" xr:uid="{00000000-0005-0000-0000-0000D44E0000}"/>
    <cellStyle name="Total 2 10 2 10_Summary" xfId="24210" xr:uid="{00000000-0005-0000-0000-0000D54E0000}"/>
    <cellStyle name="Total 2 10 2 11" xfId="583" xr:uid="{00000000-0005-0000-0000-0000D64E0000}"/>
    <cellStyle name="Total 2 10 2 11 2" xfId="13798" xr:uid="{00000000-0005-0000-0000-0000D74E0000}"/>
    <cellStyle name="Total 2 10 2 11_Summary" xfId="24211" xr:uid="{00000000-0005-0000-0000-0000D84E0000}"/>
    <cellStyle name="Total 2 10 2 12" xfId="7227" xr:uid="{00000000-0005-0000-0000-0000D94E0000}"/>
    <cellStyle name="Total 2 10 2 13" xfId="13549" xr:uid="{00000000-0005-0000-0000-0000DA4E0000}"/>
    <cellStyle name="Total 2 10 2 14" xfId="29879" xr:uid="{8ECE81CE-3AA6-48E6-8CAB-F0199E9F2C35}"/>
    <cellStyle name="Total 2 10 2 15" xfId="31351" xr:uid="{8F4D28D7-1E92-46BD-A396-BBE10FAE8B9C}"/>
    <cellStyle name="Total 2 10 2 2" xfId="462" xr:uid="{00000000-0005-0000-0000-0000DB4E0000}"/>
    <cellStyle name="Total 2 10 2 2 10" xfId="856" xr:uid="{00000000-0005-0000-0000-0000DC4E0000}"/>
    <cellStyle name="Total 2 10 2 2 10 2" xfId="14071" xr:uid="{00000000-0005-0000-0000-0000DD4E0000}"/>
    <cellStyle name="Total 2 10 2 2 10_Summary" xfId="24213" xr:uid="{00000000-0005-0000-0000-0000DE4E0000}"/>
    <cellStyle name="Total 2 10 2 2 11" xfId="7355" xr:uid="{00000000-0005-0000-0000-0000DF4E0000}"/>
    <cellStyle name="Total 2 10 2 2 12" xfId="13677" xr:uid="{00000000-0005-0000-0000-0000E04E0000}"/>
    <cellStyle name="Total 2 10 2 2 13" xfId="30640" xr:uid="{DED9D279-A138-4729-AA06-45B308DA0A2C}"/>
    <cellStyle name="Total 2 10 2 2 14" xfId="32072" xr:uid="{C424A79B-DFAD-4C77-9BC2-72B12AF9373F}"/>
    <cellStyle name="Total 2 10 2 2 2" xfId="1156" xr:uid="{00000000-0005-0000-0000-0000E14E0000}"/>
    <cellStyle name="Total 2 10 2 2 2 2" xfId="3292" xr:uid="{00000000-0005-0000-0000-0000E24E0000}"/>
    <cellStyle name="Total 2 10 2 2 2 2 2" xfId="9888" xr:uid="{00000000-0005-0000-0000-0000E34E0000}"/>
    <cellStyle name="Total 2 10 2 2 2 2 3" xfId="16507" xr:uid="{00000000-0005-0000-0000-0000E44E0000}"/>
    <cellStyle name="Total 2 10 2 2 2 2_Summary" xfId="24215" xr:uid="{00000000-0005-0000-0000-0000E54E0000}"/>
    <cellStyle name="Total 2 10 2 2 2 3" xfId="5327" xr:uid="{00000000-0005-0000-0000-0000E64E0000}"/>
    <cellStyle name="Total 2 10 2 2 2 3 2" xfId="11923" xr:uid="{00000000-0005-0000-0000-0000E74E0000}"/>
    <cellStyle name="Total 2 10 2 2 2 3 3" xfId="18542" xr:uid="{00000000-0005-0000-0000-0000E84E0000}"/>
    <cellStyle name="Total 2 10 2 2 2 3_Summary" xfId="24216" xr:uid="{00000000-0005-0000-0000-0000E94E0000}"/>
    <cellStyle name="Total 2 10 2 2 2 4" xfId="7752" xr:uid="{00000000-0005-0000-0000-0000EA4E0000}"/>
    <cellStyle name="Total 2 10 2 2 2 5" xfId="14371" xr:uid="{00000000-0005-0000-0000-0000EB4E0000}"/>
    <cellStyle name="Total 2 10 2 2 2_Summary" xfId="24214" xr:uid="{00000000-0005-0000-0000-0000EC4E0000}"/>
    <cellStyle name="Total 2 10 2 2 3" xfId="1438" xr:uid="{00000000-0005-0000-0000-0000ED4E0000}"/>
    <cellStyle name="Total 2 10 2 2 3 2" xfId="3574" xr:uid="{00000000-0005-0000-0000-0000EE4E0000}"/>
    <cellStyle name="Total 2 10 2 2 3 2 2" xfId="10170" xr:uid="{00000000-0005-0000-0000-0000EF4E0000}"/>
    <cellStyle name="Total 2 10 2 2 3 2 3" xfId="16789" xr:uid="{00000000-0005-0000-0000-0000F04E0000}"/>
    <cellStyle name="Total 2 10 2 2 3 2_Summary" xfId="24218" xr:uid="{00000000-0005-0000-0000-0000F14E0000}"/>
    <cellStyle name="Total 2 10 2 2 3 3" xfId="5609" xr:uid="{00000000-0005-0000-0000-0000F24E0000}"/>
    <cellStyle name="Total 2 10 2 2 3 3 2" xfId="12205" xr:uid="{00000000-0005-0000-0000-0000F34E0000}"/>
    <cellStyle name="Total 2 10 2 2 3 3 3" xfId="18824" xr:uid="{00000000-0005-0000-0000-0000F44E0000}"/>
    <cellStyle name="Total 2 10 2 2 3 3_Summary" xfId="24219" xr:uid="{00000000-0005-0000-0000-0000F54E0000}"/>
    <cellStyle name="Total 2 10 2 2 3 4" xfId="8034" xr:uid="{00000000-0005-0000-0000-0000F64E0000}"/>
    <cellStyle name="Total 2 10 2 2 3 5" xfId="14653" xr:uid="{00000000-0005-0000-0000-0000F74E0000}"/>
    <cellStyle name="Total 2 10 2 2 3_Summary" xfId="24217" xr:uid="{00000000-0005-0000-0000-0000F84E0000}"/>
    <cellStyle name="Total 2 10 2 2 4" xfId="1719" xr:uid="{00000000-0005-0000-0000-0000F94E0000}"/>
    <cellStyle name="Total 2 10 2 2 4 2" xfId="3855" xr:uid="{00000000-0005-0000-0000-0000FA4E0000}"/>
    <cellStyle name="Total 2 10 2 2 4 2 2" xfId="10451" xr:uid="{00000000-0005-0000-0000-0000FB4E0000}"/>
    <cellStyle name="Total 2 10 2 2 4 2 3" xfId="17070" xr:uid="{00000000-0005-0000-0000-0000FC4E0000}"/>
    <cellStyle name="Total 2 10 2 2 4 2_Summary" xfId="24221" xr:uid="{00000000-0005-0000-0000-0000FD4E0000}"/>
    <cellStyle name="Total 2 10 2 2 4 3" xfId="5890" xr:uid="{00000000-0005-0000-0000-0000FE4E0000}"/>
    <cellStyle name="Total 2 10 2 2 4 3 2" xfId="12486" xr:uid="{00000000-0005-0000-0000-0000FF4E0000}"/>
    <cellStyle name="Total 2 10 2 2 4 3 3" xfId="19105" xr:uid="{00000000-0005-0000-0000-0000004F0000}"/>
    <cellStyle name="Total 2 10 2 2 4 3_Summary" xfId="24222" xr:uid="{00000000-0005-0000-0000-0000014F0000}"/>
    <cellStyle name="Total 2 10 2 2 4 4" xfId="8315" xr:uid="{00000000-0005-0000-0000-0000024F0000}"/>
    <cellStyle name="Total 2 10 2 2 4 5" xfId="14934" xr:uid="{00000000-0005-0000-0000-0000034F0000}"/>
    <cellStyle name="Total 2 10 2 2 4_Summary" xfId="24220" xr:uid="{00000000-0005-0000-0000-0000044F0000}"/>
    <cellStyle name="Total 2 10 2 2 5" xfId="1998" xr:uid="{00000000-0005-0000-0000-0000054F0000}"/>
    <cellStyle name="Total 2 10 2 2 5 2" xfId="4134" xr:uid="{00000000-0005-0000-0000-0000064F0000}"/>
    <cellStyle name="Total 2 10 2 2 5 2 2" xfId="10730" xr:uid="{00000000-0005-0000-0000-0000074F0000}"/>
    <cellStyle name="Total 2 10 2 2 5 2 3" xfId="17349" xr:uid="{00000000-0005-0000-0000-0000084F0000}"/>
    <cellStyle name="Total 2 10 2 2 5 2_Summary" xfId="24224" xr:uid="{00000000-0005-0000-0000-0000094F0000}"/>
    <cellStyle name="Total 2 10 2 2 5 3" xfId="6169" xr:uid="{00000000-0005-0000-0000-00000A4F0000}"/>
    <cellStyle name="Total 2 10 2 2 5 3 2" xfId="12765" xr:uid="{00000000-0005-0000-0000-00000B4F0000}"/>
    <cellStyle name="Total 2 10 2 2 5 3 3" xfId="19384" xr:uid="{00000000-0005-0000-0000-00000C4F0000}"/>
    <cellStyle name="Total 2 10 2 2 5 3_Summary" xfId="24225" xr:uid="{00000000-0005-0000-0000-00000D4F0000}"/>
    <cellStyle name="Total 2 10 2 2 5 4" xfId="8594" xr:uid="{00000000-0005-0000-0000-00000E4F0000}"/>
    <cellStyle name="Total 2 10 2 2 5 5" xfId="15213" xr:uid="{00000000-0005-0000-0000-00000F4F0000}"/>
    <cellStyle name="Total 2 10 2 2 5_Summary" xfId="24223" xr:uid="{00000000-0005-0000-0000-0000104F0000}"/>
    <cellStyle name="Total 2 10 2 2 6" xfId="2273" xr:uid="{00000000-0005-0000-0000-0000114F0000}"/>
    <cellStyle name="Total 2 10 2 2 6 2" xfId="4409" xr:uid="{00000000-0005-0000-0000-0000124F0000}"/>
    <cellStyle name="Total 2 10 2 2 6 2 2" xfId="11005" xr:uid="{00000000-0005-0000-0000-0000134F0000}"/>
    <cellStyle name="Total 2 10 2 2 6 2 3" xfId="17624" xr:uid="{00000000-0005-0000-0000-0000144F0000}"/>
    <cellStyle name="Total 2 10 2 2 6 2_Summary" xfId="24227" xr:uid="{00000000-0005-0000-0000-0000154F0000}"/>
    <cellStyle name="Total 2 10 2 2 6 3" xfId="6444" xr:uid="{00000000-0005-0000-0000-0000164F0000}"/>
    <cellStyle name="Total 2 10 2 2 6 3 2" xfId="13040" xr:uid="{00000000-0005-0000-0000-0000174F0000}"/>
    <cellStyle name="Total 2 10 2 2 6 3 3" xfId="19659" xr:uid="{00000000-0005-0000-0000-0000184F0000}"/>
    <cellStyle name="Total 2 10 2 2 6 3_Summary" xfId="24228" xr:uid="{00000000-0005-0000-0000-0000194F0000}"/>
    <cellStyle name="Total 2 10 2 2 6 4" xfId="8869" xr:uid="{00000000-0005-0000-0000-00001A4F0000}"/>
    <cellStyle name="Total 2 10 2 2 6 5" xfId="15488" xr:uid="{00000000-0005-0000-0000-00001B4F0000}"/>
    <cellStyle name="Total 2 10 2 2 6_Summary" xfId="24226" xr:uid="{00000000-0005-0000-0000-00001C4F0000}"/>
    <cellStyle name="Total 2 10 2 2 7" xfId="2546" xr:uid="{00000000-0005-0000-0000-00001D4F0000}"/>
    <cellStyle name="Total 2 10 2 2 7 2" xfId="4682" xr:uid="{00000000-0005-0000-0000-00001E4F0000}"/>
    <cellStyle name="Total 2 10 2 2 7 2 2" xfId="11278" xr:uid="{00000000-0005-0000-0000-00001F4F0000}"/>
    <cellStyle name="Total 2 10 2 2 7 2 3" xfId="17897" xr:uid="{00000000-0005-0000-0000-0000204F0000}"/>
    <cellStyle name="Total 2 10 2 2 7 2_Summary" xfId="24230" xr:uid="{00000000-0005-0000-0000-0000214F0000}"/>
    <cellStyle name="Total 2 10 2 2 7 3" xfId="6717" xr:uid="{00000000-0005-0000-0000-0000224F0000}"/>
    <cellStyle name="Total 2 10 2 2 7 3 2" xfId="13313" xr:uid="{00000000-0005-0000-0000-0000234F0000}"/>
    <cellStyle name="Total 2 10 2 2 7 3 3" xfId="19932" xr:uid="{00000000-0005-0000-0000-0000244F0000}"/>
    <cellStyle name="Total 2 10 2 2 7 3_Summary" xfId="24231" xr:uid="{00000000-0005-0000-0000-0000254F0000}"/>
    <cellStyle name="Total 2 10 2 2 7 4" xfId="9142" xr:uid="{00000000-0005-0000-0000-0000264F0000}"/>
    <cellStyle name="Total 2 10 2 2 7 5" xfId="15761" xr:uid="{00000000-0005-0000-0000-0000274F0000}"/>
    <cellStyle name="Total 2 10 2 2 7_Summary" xfId="24229" xr:uid="{00000000-0005-0000-0000-0000284F0000}"/>
    <cellStyle name="Total 2 10 2 2 8" xfId="2992" xr:uid="{00000000-0005-0000-0000-0000294F0000}"/>
    <cellStyle name="Total 2 10 2 2 8 2" xfId="9588" xr:uid="{00000000-0005-0000-0000-00002A4F0000}"/>
    <cellStyle name="Total 2 10 2 2 8 3" xfId="16207" xr:uid="{00000000-0005-0000-0000-00002B4F0000}"/>
    <cellStyle name="Total 2 10 2 2 8_Summary" xfId="24232" xr:uid="{00000000-0005-0000-0000-00002C4F0000}"/>
    <cellStyle name="Total 2 10 2 2 9" xfId="5027" xr:uid="{00000000-0005-0000-0000-00002D4F0000}"/>
    <cellStyle name="Total 2 10 2 2 9 2" xfId="11623" xr:uid="{00000000-0005-0000-0000-00002E4F0000}"/>
    <cellStyle name="Total 2 10 2 2 9 3" xfId="18242" xr:uid="{00000000-0005-0000-0000-00002F4F0000}"/>
    <cellStyle name="Total 2 10 2 2 9_Summary" xfId="24233" xr:uid="{00000000-0005-0000-0000-0000304F0000}"/>
    <cellStyle name="Total 2 10 2 2_Summary" xfId="24212" xr:uid="{00000000-0005-0000-0000-0000314F0000}"/>
    <cellStyle name="Total 2 10 2 3" xfId="1028" xr:uid="{00000000-0005-0000-0000-0000324F0000}"/>
    <cellStyle name="Total 2 10 2 3 2" xfId="3164" xr:uid="{00000000-0005-0000-0000-0000334F0000}"/>
    <cellStyle name="Total 2 10 2 3 2 2" xfId="9760" xr:uid="{00000000-0005-0000-0000-0000344F0000}"/>
    <cellStyle name="Total 2 10 2 3 2 3" xfId="16379" xr:uid="{00000000-0005-0000-0000-0000354F0000}"/>
    <cellStyle name="Total 2 10 2 3 2_Summary" xfId="24235" xr:uid="{00000000-0005-0000-0000-0000364F0000}"/>
    <cellStyle name="Total 2 10 2 3 3" xfId="5199" xr:uid="{00000000-0005-0000-0000-0000374F0000}"/>
    <cellStyle name="Total 2 10 2 3 3 2" xfId="11795" xr:uid="{00000000-0005-0000-0000-0000384F0000}"/>
    <cellStyle name="Total 2 10 2 3 3 3" xfId="18414" xr:uid="{00000000-0005-0000-0000-0000394F0000}"/>
    <cellStyle name="Total 2 10 2 3 3_Summary" xfId="24236" xr:uid="{00000000-0005-0000-0000-00003A4F0000}"/>
    <cellStyle name="Total 2 10 2 3 4" xfId="7625" xr:uid="{00000000-0005-0000-0000-00003B4F0000}"/>
    <cellStyle name="Total 2 10 2 3 5" xfId="14243" xr:uid="{00000000-0005-0000-0000-00003C4F0000}"/>
    <cellStyle name="Total 2 10 2 3_Summary" xfId="24234" xr:uid="{00000000-0005-0000-0000-00003D4F0000}"/>
    <cellStyle name="Total 2 10 2 4" xfId="1310" xr:uid="{00000000-0005-0000-0000-00003E4F0000}"/>
    <cellStyle name="Total 2 10 2 4 2" xfId="3446" xr:uid="{00000000-0005-0000-0000-00003F4F0000}"/>
    <cellStyle name="Total 2 10 2 4 2 2" xfId="10042" xr:uid="{00000000-0005-0000-0000-0000404F0000}"/>
    <cellStyle name="Total 2 10 2 4 2 3" xfId="16661" xr:uid="{00000000-0005-0000-0000-0000414F0000}"/>
    <cellStyle name="Total 2 10 2 4 2_Summary" xfId="24238" xr:uid="{00000000-0005-0000-0000-0000424F0000}"/>
    <cellStyle name="Total 2 10 2 4 3" xfId="5481" xr:uid="{00000000-0005-0000-0000-0000434F0000}"/>
    <cellStyle name="Total 2 10 2 4 3 2" xfId="12077" xr:uid="{00000000-0005-0000-0000-0000444F0000}"/>
    <cellStyle name="Total 2 10 2 4 3 3" xfId="18696" xr:uid="{00000000-0005-0000-0000-0000454F0000}"/>
    <cellStyle name="Total 2 10 2 4 3_Summary" xfId="24239" xr:uid="{00000000-0005-0000-0000-0000464F0000}"/>
    <cellStyle name="Total 2 10 2 4 4" xfId="7906" xr:uid="{00000000-0005-0000-0000-0000474F0000}"/>
    <cellStyle name="Total 2 10 2 4 5" xfId="14525" xr:uid="{00000000-0005-0000-0000-0000484F0000}"/>
    <cellStyle name="Total 2 10 2 4_Summary" xfId="24237" xr:uid="{00000000-0005-0000-0000-0000494F0000}"/>
    <cellStyle name="Total 2 10 2 5" xfId="1591" xr:uid="{00000000-0005-0000-0000-00004A4F0000}"/>
    <cellStyle name="Total 2 10 2 5 2" xfId="3727" xr:uid="{00000000-0005-0000-0000-00004B4F0000}"/>
    <cellStyle name="Total 2 10 2 5 2 2" xfId="10323" xr:uid="{00000000-0005-0000-0000-00004C4F0000}"/>
    <cellStyle name="Total 2 10 2 5 2 3" xfId="16942" xr:uid="{00000000-0005-0000-0000-00004D4F0000}"/>
    <cellStyle name="Total 2 10 2 5 2_Summary" xfId="24241" xr:uid="{00000000-0005-0000-0000-00004E4F0000}"/>
    <cellStyle name="Total 2 10 2 5 3" xfId="5762" xr:uid="{00000000-0005-0000-0000-00004F4F0000}"/>
    <cellStyle name="Total 2 10 2 5 3 2" xfId="12358" xr:uid="{00000000-0005-0000-0000-0000504F0000}"/>
    <cellStyle name="Total 2 10 2 5 3 3" xfId="18977" xr:uid="{00000000-0005-0000-0000-0000514F0000}"/>
    <cellStyle name="Total 2 10 2 5 3_Summary" xfId="24242" xr:uid="{00000000-0005-0000-0000-0000524F0000}"/>
    <cellStyle name="Total 2 10 2 5 4" xfId="8187" xr:uid="{00000000-0005-0000-0000-0000534F0000}"/>
    <cellStyle name="Total 2 10 2 5 5" xfId="14806" xr:uid="{00000000-0005-0000-0000-0000544F0000}"/>
    <cellStyle name="Total 2 10 2 5_Summary" xfId="24240" xr:uid="{00000000-0005-0000-0000-0000554F0000}"/>
    <cellStyle name="Total 2 10 2 6" xfId="1870" xr:uid="{00000000-0005-0000-0000-0000564F0000}"/>
    <cellStyle name="Total 2 10 2 6 2" xfId="4006" xr:uid="{00000000-0005-0000-0000-0000574F0000}"/>
    <cellStyle name="Total 2 10 2 6 2 2" xfId="10602" xr:uid="{00000000-0005-0000-0000-0000584F0000}"/>
    <cellStyle name="Total 2 10 2 6 2 3" xfId="17221" xr:uid="{00000000-0005-0000-0000-0000594F0000}"/>
    <cellStyle name="Total 2 10 2 6 2_Summary" xfId="24244" xr:uid="{00000000-0005-0000-0000-00005A4F0000}"/>
    <cellStyle name="Total 2 10 2 6 3" xfId="6041" xr:uid="{00000000-0005-0000-0000-00005B4F0000}"/>
    <cellStyle name="Total 2 10 2 6 3 2" xfId="12637" xr:uid="{00000000-0005-0000-0000-00005C4F0000}"/>
    <cellStyle name="Total 2 10 2 6 3 3" xfId="19256" xr:uid="{00000000-0005-0000-0000-00005D4F0000}"/>
    <cellStyle name="Total 2 10 2 6 3_Summary" xfId="24245" xr:uid="{00000000-0005-0000-0000-00005E4F0000}"/>
    <cellStyle name="Total 2 10 2 6 4" xfId="8466" xr:uid="{00000000-0005-0000-0000-00005F4F0000}"/>
    <cellStyle name="Total 2 10 2 6 5" xfId="15085" xr:uid="{00000000-0005-0000-0000-0000604F0000}"/>
    <cellStyle name="Total 2 10 2 6_Summary" xfId="24243" xr:uid="{00000000-0005-0000-0000-0000614F0000}"/>
    <cellStyle name="Total 2 10 2 7" xfId="2145" xr:uid="{00000000-0005-0000-0000-0000624F0000}"/>
    <cellStyle name="Total 2 10 2 7 2" xfId="4281" xr:uid="{00000000-0005-0000-0000-0000634F0000}"/>
    <cellStyle name="Total 2 10 2 7 2 2" xfId="10877" xr:uid="{00000000-0005-0000-0000-0000644F0000}"/>
    <cellStyle name="Total 2 10 2 7 2 3" xfId="17496" xr:uid="{00000000-0005-0000-0000-0000654F0000}"/>
    <cellStyle name="Total 2 10 2 7 2_Summary" xfId="24247" xr:uid="{00000000-0005-0000-0000-0000664F0000}"/>
    <cellStyle name="Total 2 10 2 7 3" xfId="6316" xr:uid="{00000000-0005-0000-0000-0000674F0000}"/>
    <cellStyle name="Total 2 10 2 7 3 2" xfId="12912" xr:uid="{00000000-0005-0000-0000-0000684F0000}"/>
    <cellStyle name="Total 2 10 2 7 3 3" xfId="19531" xr:uid="{00000000-0005-0000-0000-0000694F0000}"/>
    <cellStyle name="Total 2 10 2 7 3_Summary" xfId="24248" xr:uid="{00000000-0005-0000-0000-00006A4F0000}"/>
    <cellStyle name="Total 2 10 2 7 4" xfId="8741" xr:uid="{00000000-0005-0000-0000-00006B4F0000}"/>
    <cellStyle name="Total 2 10 2 7 5" xfId="15360" xr:uid="{00000000-0005-0000-0000-00006C4F0000}"/>
    <cellStyle name="Total 2 10 2 7_Summary" xfId="24246" xr:uid="{00000000-0005-0000-0000-00006D4F0000}"/>
    <cellStyle name="Total 2 10 2 8" xfId="2418" xr:uid="{00000000-0005-0000-0000-00006E4F0000}"/>
    <cellStyle name="Total 2 10 2 8 2" xfId="4554" xr:uid="{00000000-0005-0000-0000-00006F4F0000}"/>
    <cellStyle name="Total 2 10 2 8 2 2" xfId="11150" xr:uid="{00000000-0005-0000-0000-0000704F0000}"/>
    <cellStyle name="Total 2 10 2 8 2 3" xfId="17769" xr:uid="{00000000-0005-0000-0000-0000714F0000}"/>
    <cellStyle name="Total 2 10 2 8 2_Summary" xfId="24250" xr:uid="{00000000-0005-0000-0000-0000724F0000}"/>
    <cellStyle name="Total 2 10 2 8 3" xfId="6589" xr:uid="{00000000-0005-0000-0000-0000734F0000}"/>
    <cellStyle name="Total 2 10 2 8 3 2" xfId="13185" xr:uid="{00000000-0005-0000-0000-0000744F0000}"/>
    <cellStyle name="Total 2 10 2 8 3 3" xfId="19804" xr:uid="{00000000-0005-0000-0000-0000754F0000}"/>
    <cellStyle name="Total 2 10 2 8 3_Summary" xfId="24251" xr:uid="{00000000-0005-0000-0000-0000764F0000}"/>
    <cellStyle name="Total 2 10 2 8 4" xfId="9014" xr:uid="{00000000-0005-0000-0000-0000774F0000}"/>
    <cellStyle name="Total 2 10 2 8 5" xfId="15633" xr:uid="{00000000-0005-0000-0000-0000784F0000}"/>
    <cellStyle name="Total 2 10 2 8_Summary" xfId="24249" xr:uid="{00000000-0005-0000-0000-0000794F0000}"/>
    <cellStyle name="Total 2 10 2 9" xfId="2719" xr:uid="{00000000-0005-0000-0000-00007A4F0000}"/>
    <cellStyle name="Total 2 10 2 9 2" xfId="9315" xr:uid="{00000000-0005-0000-0000-00007B4F0000}"/>
    <cellStyle name="Total 2 10 2 9 3" xfId="15934" xr:uid="{00000000-0005-0000-0000-00007C4F0000}"/>
    <cellStyle name="Total 2 10 2 9_Summary" xfId="24252" xr:uid="{00000000-0005-0000-0000-00007D4F0000}"/>
    <cellStyle name="Total 2 10 2_Summary" xfId="24209" xr:uid="{00000000-0005-0000-0000-00007E4F0000}"/>
    <cellStyle name="Total 2 10 3" xfId="247" xr:uid="{00000000-0005-0000-0000-00007F4F0000}"/>
    <cellStyle name="Total 2 10 3 10" xfId="784" xr:uid="{00000000-0005-0000-0000-0000804F0000}"/>
    <cellStyle name="Total 2 10 3 10 2" xfId="13999" xr:uid="{00000000-0005-0000-0000-0000814F0000}"/>
    <cellStyle name="Total 2 10 3 10_Summary" xfId="24254" xr:uid="{00000000-0005-0000-0000-0000824F0000}"/>
    <cellStyle name="Total 2 10 3 11" xfId="7154" xr:uid="{00000000-0005-0000-0000-0000834F0000}"/>
    <cellStyle name="Total 2 10 3 12" xfId="7060" xr:uid="{00000000-0005-0000-0000-0000844F0000}"/>
    <cellStyle name="Total 2 10 3 13" xfId="29880" xr:uid="{9F86F32C-72CF-4805-ADE0-252FA380DD94}"/>
    <cellStyle name="Total 2 10 3 14" xfId="31352" xr:uid="{4FA8C99A-FC41-4283-8DF6-3288F917C876}"/>
    <cellStyle name="Total 2 10 3 2" xfId="952" xr:uid="{00000000-0005-0000-0000-0000854F0000}"/>
    <cellStyle name="Total 2 10 3 2 2" xfId="3088" xr:uid="{00000000-0005-0000-0000-0000864F0000}"/>
    <cellStyle name="Total 2 10 3 2 2 2" xfId="9684" xr:uid="{00000000-0005-0000-0000-0000874F0000}"/>
    <cellStyle name="Total 2 10 3 2 2 3" xfId="16303" xr:uid="{00000000-0005-0000-0000-0000884F0000}"/>
    <cellStyle name="Total 2 10 3 2 2_Summary" xfId="24256" xr:uid="{00000000-0005-0000-0000-0000894F0000}"/>
    <cellStyle name="Total 2 10 3 2 3" xfId="5123" xr:uid="{00000000-0005-0000-0000-00008A4F0000}"/>
    <cellStyle name="Total 2 10 3 2 3 2" xfId="11719" xr:uid="{00000000-0005-0000-0000-00008B4F0000}"/>
    <cellStyle name="Total 2 10 3 2 3 3" xfId="18338" xr:uid="{00000000-0005-0000-0000-00008C4F0000}"/>
    <cellStyle name="Total 2 10 3 2 3_Summary" xfId="24257" xr:uid="{00000000-0005-0000-0000-00008D4F0000}"/>
    <cellStyle name="Total 2 10 3 2 4" xfId="7549" xr:uid="{00000000-0005-0000-0000-00008E4F0000}"/>
    <cellStyle name="Total 2 10 3 2 5" xfId="14167" xr:uid="{00000000-0005-0000-0000-00008F4F0000}"/>
    <cellStyle name="Total 2 10 3 2 6" xfId="30641" xr:uid="{D6EA7AE2-EBC2-4B89-A664-FAB52B8E21EB}"/>
    <cellStyle name="Total 2 10 3 2 7" xfId="32073" xr:uid="{B3A9591C-22F4-4C84-B792-62115EAEB098}"/>
    <cellStyle name="Total 2 10 3 2_Summary" xfId="24255" xr:uid="{00000000-0005-0000-0000-0000904F0000}"/>
    <cellStyle name="Total 2 10 3 3" xfId="1237" xr:uid="{00000000-0005-0000-0000-0000914F0000}"/>
    <cellStyle name="Total 2 10 3 3 2" xfId="3373" xr:uid="{00000000-0005-0000-0000-0000924F0000}"/>
    <cellStyle name="Total 2 10 3 3 2 2" xfId="9969" xr:uid="{00000000-0005-0000-0000-0000934F0000}"/>
    <cellStyle name="Total 2 10 3 3 2 3" xfId="16588" xr:uid="{00000000-0005-0000-0000-0000944F0000}"/>
    <cellStyle name="Total 2 10 3 3 2_Summary" xfId="24259" xr:uid="{00000000-0005-0000-0000-0000954F0000}"/>
    <cellStyle name="Total 2 10 3 3 3" xfId="5408" xr:uid="{00000000-0005-0000-0000-0000964F0000}"/>
    <cellStyle name="Total 2 10 3 3 3 2" xfId="12004" xr:uid="{00000000-0005-0000-0000-0000974F0000}"/>
    <cellStyle name="Total 2 10 3 3 3 3" xfId="18623" xr:uid="{00000000-0005-0000-0000-0000984F0000}"/>
    <cellStyle name="Total 2 10 3 3 3_Summary" xfId="24260" xr:uid="{00000000-0005-0000-0000-0000994F0000}"/>
    <cellStyle name="Total 2 10 3 3 4" xfId="7833" xr:uid="{00000000-0005-0000-0000-00009A4F0000}"/>
    <cellStyle name="Total 2 10 3 3 5" xfId="14452" xr:uid="{00000000-0005-0000-0000-00009B4F0000}"/>
    <cellStyle name="Total 2 10 3 3_Summary" xfId="24258" xr:uid="{00000000-0005-0000-0000-00009C4F0000}"/>
    <cellStyle name="Total 2 10 3 4" xfId="1519" xr:uid="{00000000-0005-0000-0000-00009D4F0000}"/>
    <cellStyle name="Total 2 10 3 4 2" xfId="3655" xr:uid="{00000000-0005-0000-0000-00009E4F0000}"/>
    <cellStyle name="Total 2 10 3 4 2 2" xfId="10251" xr:uid="{00000000-0005-0000-0000-00009F4F0000}"/>
    <cellStyle name="Total 2 10 3 4 2 3" xfId="16870" xr:uid="{00000000-0005-0000-0000-0000A04F0000}"/>
    <cellStyle name="Total 2 10 3 4 2_Summary" xfId="24262" xr:uid="{00000000-0005-0000-0000-0000A14F0000}"/>
    <cellStyle name="Total 2 10 3 4 3" xfId="5690" xr:uid="{00000000-0005-0000-0000-0000A24F0000}"/>
    <cellStyle name="Total 2 10 3 4 3 2" xfId="12286" xr:uid="{00000000-0005-0000-0000-0000A34F0000}"/>
    <cellStyle name="Total 2 10 3 4 3 3" xfId="18905" xr:uid="{00000000-0005-0000-0000-0000A44F0000}"/>
    <cellStyle name="Total 2 10 3 4 3_Summary" xfId="24263" xr:uid="{00000000-0005-0000-0000-0000A54F0000}"/>
    <cellStyle name="Total 2 10 3 4 4" xfId="8115" xr:uid="{00000000-0005-0000-0000-0000A64F0000}"/>
    <cellStyle name="Total 2 10 3 4 5" xfId="14734" xr:uid="{00000000-0005-0000-0000-0000A74F0000}"/>
    <cellStyle name="Total 2 10 3 4_Summary" xfId="24261" xr:uid="{00000000-0005-0000-0000-0000A84F0000}"/>
    <cellStyle name="Total 2 10 3 5" xfId="1800" xr:uid="{00000000-0005-0000-0000-0000A94F0000}"/>
    <cellStyle name="Total 2 10 3 5 2" xfId="3936" xr:uid="{00000000-0005-0000-0000-0000AA4F0000}"/>
    <cellStyle name="Total 2 10 3 5 2 2" xfId="10532" xr:uid="{00000000-0005-0000-0000-0000AB4F0000}"/>
    <cellStyle name="Total 2 10 3 5 2 3" xfId="17151" xr:uid="{00000000-0005-0000-0000-0000AC4F0000}"/>
    <cellStyle name="Total 2 10 3 5 2_Summary" xfId="24265" xr:uid="{00000000-0005-0000-0000-0000AD4F0000}"/>
    <cellStyle name="Total 2 10 3 5 3" xfId="5971" xr:uid="{00000000-0005-0000-0000-0000AE4F0000}"/>
    <cellStyle name="Total 2 10 3 5 3 2" xfId="12567" xr:uid="{00000000-0005-0000-0000-0000AF4F0000}"/>
    <cellStyle name="Total 2 10 3 5 3 3" xfId="19186" xr:uid="{00000000-0005-0000-0000-0000B04F0000}"/>
    <cellStyle name="Total 2 10 3 5 3_Summary" xfId="24266" xr:uid="{00000000-0005-0000-0000-0000B14F0000}"/>
    <cellStyle name="Total 2 10 3 5 4" xfId="8396" xr:uid="{00000000-0005-0000-0000-0000B24F0000}"/>
    <cellStyle name="Total 2 10 3 5 5" xfId="15015" xr:uid="{00000000-0005-0000-0000-0000B34F0000}"/>
    <cellStyle name="Total 2 10 3 5_Summary" xfId="24264" xr:uid="{00000000-0005-0000-0000-0000B44F0000}"/>
    <cellStyle name="Total 2 10 3 6" xfId="2079" xr:uid="{00000000-0005-0000-0000-0000B54F0000}"/>
    <cellStyle name="Total 2 10 3 6 2" xfId="4215" xr:uid="{00000000-0005-0000-0000-0000B64F0000}"/>
    <cellStyle name="Total 2 10 3 6 2 2" xfId="10811" xr:uid="{00000000-0005-0000-0000-0000B74F0000}"/>
    <cellStyle name="Total 2 10 3 6 2 3" xfId="17430" xr:uid="{00000000-0005-0000-0000-0000B84F0000}"/>
    <cellStyle name="Total 2 10 3 6 2_Summary" xfId="24268" xr:uid="{00000000-0005-0000-0000-0000B94F0000}"/>
    <cellStyle name="Total 2 10 3 6 3" xfId="6250" xr:uid="{00000000-0005-0000-0000-0000BA4F0000}"/>
    <cellStyle name="Total 2 10 3 6 3 2" xfId="12846" xr:uid="{00000000-0005-0000-0000-0000BB4F0000}"/>
    <cellStyle name="Total 2 10 3 6 3 3" xfId="19465" xr:uid="{00000000-0005-0000-0000-0000BC4F0000}"/>
    <cellStyle name="Total 2 10 3 6 3_Summary" xfId="24269" xr:uid="{00000000-0005-0000-0000-0000BD4F0000}"/>
    <cellStyle name="Total 2 10 3 6 4" xfId="8675" xr:uid="{00000000-0005-0000-0000-0000BE4F0000}"/>
    <cellStyle name="Total 2 10 3 6 5" xfId="15294" xr:uid="{00000000-0005-0000-0000-0000BF4F0000}"/>
    <cellStyle name="Total 2 10 3 6_Summary" xfId="24267" xr:uid="{00000000-0005-0000-0000-0000C04F0000}"/>
    <cellStyle name="Total 2 10 3 7" xfId="2354" xr:uid="{00000000-0005-0000-0000-0000C14F0000}"/>
    <cellStyle name="Total 2 10 3 7 2" xfId="4490" xr:uid="{00000000-0005-0000-0000-0000C24F0000}"/>
    <cellStyle name="Total 2 10 3 7 2 2" xfId="11086" xr:uid="{00000000-0005-0000-0000-0000C34F0000}"/>
    <cellStyle name="Total 2 10 3 7 2 3" xfId="17705" xr:uid="{00000000-0005-0000-0000-0000C44F0000}"/>
    <cellStyle name="Total 2 10 3 7 2_Summary" xfId="24271" xr:uid="{00000000-0005-0000-0000-0000C54F0000}"/>
    <cellStyle name="Total 2 10 3 7 3" xfId="6525" xr:uid="{00000000-0005-0000-0000-0000C64F0000}"/>
    <cellStyle name="Total 2 10 3 7 3 2" xfId="13121" xr:uid="{00000000-0005-0000-0000-0000C74F0000}"/>
    <cellStyle name="Total 2 10 3 7 3 3" xfId="19740" xr:uid="{00000000-0005-0000-0000-0000C84F0000}"/>
    <cellStyle name="Total 2 10 3 7 3_Summary" xfId="24272" xr:uid="{00000000-0005-0000-0000-0000C94F0000}"/>
    <cellStyle name="Total 2 10 3 7 4" xfId="8950" xr:uid="{00000000-0005-0000-0000-0000CA4F0000}"/>
    <cellStyle name="Total 2 10 3 7 5" xfId="15569" xr:uid="{00000000-0005-0000-0000-0000CB4F0000}"/>
    <cellStyle name="Total 2 10 3 7_Summary" xfId="24270" xr:uid="{00000000-0005-0000-0000-0000CC4F0000}"/>
    <cellStyle name="Total 2 10 3 8" xfId="2920" xr:uid="{00000000-0005-0000-0000-0000CD4F0000}"/>
    <cellStyle name="Total 2 10 3 8 2" xfId="9516" xr:uid="{00000000-0005-0000-0000-0000CE4F0000}"/>
    <cellStyle name="Total 2 10 3 8 3" xfId="16135" xr:uid="{00000000-0005-0000-0000-0000CF4F0000}"/>
    <cellStyle name="Total 2 10 3 8_Summary" xfId="24273" xr:uid="{00000000-0005-0000-0000-0000D04F0000}"/>
    <cellStyle name="Total 2 10 3 9" xfId="4955" xr:uid="{00000000-0005-0000-0000-0000D14F0000}"/>
    <cellStyle name="Total 2 10 3 9 2" xfId="11551" xr:uid="{00000000-0005-0000-0000-0000D24F0000}"/>
    <cellStyle name="Total 2 10 3 9 3" xfId="18170" xr:uid="{00000000-0005-0000-0000-0000D34F0000}"/>
    <cellStyle name="Total 2 10 3 9_Summary" xfId="24274" xr:uid="{00000000-0005-0000-0000-0000D44F0000}"/>
    <cellStyle name="Total 2 10 3_Summary" xfId="24253" xr:uid="{00000000-0005-0000-0000-0000D54F0000}"/>
    <cellStyle name="Total 2 10 4" xfId="401" xr:uid="{00000000-0005-0000-0000-0000D64F0000}"/>
    <cellStyle name="Total 2 10 4 10" xfId="738" xr:uid="{00000000-0005-0000-0000-0000D74F0000}"/>
    <cellStyle name="Total 2 10 4 10 2" xfId="13953" xr:uid="{00000000-0005-0000-0000-0000D84F0000}"/>
    <cellStyle name="Total 2 10 4 10_Summary" xfId="24276" xr:uid="{00000000-0005-0000-0000-0000D94F0000}"/>
    <cellStyle name="Total 2 10 4 11" xfId="7294" xr:uid="{00000000-0005-0000-0000-0000DA4F0000}"/>
    <cellStyle name="Total 2 10 4 12" xfId="13616" xr:uid="{00000000-0005-0000-0000-0000DB4F0000}"/>
    <cellStyle name="Total 2 10 4 13" xfId="29881" xr:uid="{5A5C8C61-20B0-42FA-87A1-D1DC76134605}"/>
    <cellStyle name="Total 2 10 4 14" xfId="31353" xr:uid="{9D912073-3728-400D-B182-37993DF65D83}"/>
    <cellStyle name="Total 2 10 4 2" xfId="1095" xr:uid="{00000000-0005-0000-0000-0000DC4F0000}"/>
    <cellStyle name="Total 2 10 4 2 2" xfId="3231" xr:uid="{00000000-0005-0000-0000-0000DD4F0000}"/>
    <cellStyle name="Total 2 10 4 2 2 2" xfId="9827" xr:uid="{00000000-0005-0000-0000-0000DE4F0000}"/>
    <cellStyle name="Total 2 10 4 2 2 3" xfId="16446" xr:uid="{00000000-0005-0000-0000-0000DF4F0000}"/>
    <cellStyle name="Total 2 10 4 2 2_Summary" xfId="24278" xr:uid="{00000000-0005-0000-0000-0000E04F0000}"/>
    <cellStyle name="Total 2 10 4 2 3" xfId="5266" xr:uid="{00000000-0005-0000-0000-0000E14F0000}"/>
    <cellStyle name="Total 2 10 4 2 3 2" xfId="11862" xr:uid="{00000000-0005-0000-0000-0000E24F0000}"/>
    <cellStyle name="Total 2 10 4 2 3 3" xfId="18481" xr:uid="{00000000-0005-0000-0000-0000E34F0000}"/>
    <cellStyle name="Total 2 10 4 2 3_Summary" xfId="24279" xr:uid="{00000000-0005-0000-0000-0000E44F0000}"/>
    <cellStyle name="Total 2 10 4 2 4" xfId="7692" xr:uid="{00000000-0005-0000-0000-0000E54F0000}"/>
    <cellStyle name="Total 2 10 4 2 5" xfId="14310" xr:uid="{00000000-0005-0000-0000-0000E64F0000}"/>
    <cellStyle name="Total 2 10 4 2 6" xfId="30642" xr:uid="{294053F5-869B-4911-9224-A52B39715812}"/>
    <cellStyle name="Total 2 10 4 2 7" xfId="32074" xr:uid="{310E286B-6AF0-40C3-96F8-A20EBB11DA4B}"/>
    <cellStyle name="Total 2 10 4 2_Summary" xfId="24277" xr:uid="{00000000-0005-0000-0000-0000E74F0000}"/>
    <cellStyle name="Total 2 10 4 3" xfId="1377" xr:uid="{00000000-0005-0000-0000-0000E84F0000}"/>
    <cellStyle name="Total 2 10 4 3 2" xfId="3513" xr:uid="{00000000-0005-0000-0000-0000E94F0000}"/>
    <cellStyle name="Total 2 10 4 3 2 2" xfId="10109" xr:uid="{00000000-0005-0000-0000-0000EA4F0000}"/>
    <cellStyle name="Total 2 10 4 3 2 3" xfId="16728" xr:uid="{00000000-0005-0000-0000-0000EB4F0000}"/>
    <cellStyle name="Total 2 10 4 3 2_Summary" xfId="24281" xr:uid="{00000000-0005-0000-0000-0000EC4F0000}"/>
    <cellStyle name="Total 2 10 4 3 3" xfId="5548" xr:uid="{00000000-0005-0000-0000-0000ED4F0000}"/>
    <cellStyle name="Total 2 10 4 3 3 2" xfId="12144" xr:uid="{00000000-0005-0000-0000-0000EE4F0000}"/>
    <cellStyle name="Total 2 10 4 3 3 3" xfId="18763" xr:uid="{00000000-0005-0000-0000-0000EF4F0000}"/>
    <cellStyle name="Total 2 10 4 3 3_Summary" xfId="24282" xr:uid="{00000000-0005-0000-0000-0000F04F0000}"/>
    <cellStyle name="Total 2 10 4 3 4" xfId="7973" xr:uid="{00000000-0005-0000-0000-0000F14F0000}"/>
    <cellStyle name="Total 2 10 4 3 5" xfId="14592" xr:uid="{00000000-0005-0000-0000-0000F24F0000}"/>
    <cellStyle name="Total 2 10 4 3_Summary" xfId="24280" xr:uid="{00000000-0005-0000-0000-0000F34F0000}"/>
    <cellStyle name="Total 2 10 4 4" xfId="1658" xr:uid="{00000000-0005-0000-0000-0000F44F0000}"/>
    <cellStyle name="Total 2 10 4 4 2" xfId="3794" xr:uid="{00000000-0005-0000-0000-0000F54F0000}"/>
    <cellStyle name="Total 2 10 4 4 2 2" xfId="10390" xr:uid="{00000000-0005-0000-0000-0000F64F0000}"/>
    <cellStyle name="Total 2 10 4 4 2 3" xfId="17009" xr:uid="{00000000-0005-0000-0000-0000F74F0000}"/>
    <cellStyle name="Total 2 10 4 4 2_Summary" xfId="24284" xr:uid="{00000000-0005-0000-0000-0000F84F0000}"/>
    <cellStyle name="Total 2 10 4 4 3" xfId="5829" xr:uid="{00000000-0005-0000-0000-0000F94F0000}"/>
    <cellStyle name="Total 2 10 4 4 3 2" xfId="12425" xr:uid="{00000000-0005-0000-0000-0000FA4F0000}"/>
    <cellStyle name="Total 2 10 4 4 3 3" xfId="19044" xr:uid="{00000000-0005-0000-0000-0000FB4F0000}"/>
    <cellStyle name="Total 2 10 4 4 3_Summary" xfId="24285" xr:uid="{00000000-0005-0000-0000-0000FC4F0000}"/>
    <cellStyle name="Total 2 10 4 4 4" xfId="8254" xr:uid="{00000000-0005-0000-0000-0000FD4F0000}"/>
    <cellStyle name="Total 2 10 4 4 5" xfId="14873" xr:uid="{00000000-0005-0000-0000-0000FE4F0000}"/>
    <cellStyle name="Total 2 10 4 4_Summary" xfId="24283" xr:uid="{00000000-0005-0000-0000-0000FF4F0000}"/>
    <cellStyle name="Total 2 10 4 5" xfId="1937" xr:uid="{00000000-0005-0000-0000-000000500000}"/>
    <cellStyle name="Total 2 10 4 5 2" xfId="4073" xr:uid="{00000000-0005-0000-0000-000001500000}"/>
    <cellStyle name="Total 2 10 4 5 2 2" xfId="10669" xr:uid="{00000000-0005-0000-0000-000002500000}"/>
    <cellStyle name="Total 2 10 4 5 2 3" xfId="17288" xr:uid="{00000000-0005-0000-0000-000003500000}"/>
    <cellStyle name="Total 2 10 4 5 2_Summary" xfId="24287" xr:uid="{00000000-0005-0000-0000-000004500000}"/>
    <cellStyle name="Total 2 10 4 5 3" xfId="6108" xr:uid="{00000000-0005-0000-0000-000005500000}"/>
    <cellStyle name="Total 2 10 4 5 3 2" xfId="12704" xr:uid="{00000000-0005-0000-0000-000006500000}"/>
    <cellStyle name="Total 2 10 4 5 3 3" xfId="19323" xr:uid="{00000000-0005-0000-0000-000007500000}"/>
    <cellStyle name="Total 2 10 4 5 3_Summary" xfId="24288" xr:uid="{00000000-0005-0000-0000-000008500000}"/>
    <cellStyle name="Total 2 10 4 5 4" xfId="8533" xr:uid="{00000000-0005-0000-0000-000009500000}"/>
    <cellStyle name="Total 2 10 4 5 5" xfId="15152" xr:uid="{00000000-0005-0000-0000-00000A500000}"/>
    <cellStyle name="Total 2 10 4 5_Summary" xfId="24286" xr:uid="{00000000-0005-0000-0000-00000B500000}"/>
    <cellStyle name="Total 2 10 4 6" xfId="2212" xr:uid="{00000000-0005-0000-0000-00000C500000}"/>
    <cellStyle name="Total 2 10 4 6 2" xfId="4348" xr:uid="{00000000-0005-0000-0000-00000D500000}"/>
    <cellStyle name="Total 2 10 4 6 2 2" xfId="10944" xr:uid="{00000000-0005-0000-0000-00000E500000}"/>
    <cellStyle name="Total 2 10 4 6 2 3" xfId="17563" xr:uid="{00000000-0005-0000-0000-00000F500000}"/>
    <cellStyle name="Total 2 10 4 6 2_Summary" xfId="24290" xr:uid="{00000000-0005-0000-0000-000010500000}"/>
    <cellStyle name="Total 2 10 4 6 3" xfId="6383" xr:uid="{00000000-0005-0000-0000-000011500000}"/>
    <cellStyle name="Total 2 10 4 6 3 2" xfId="12979" xr:uid="{00000000-0005-0000-0000-000012500000}"/>
    <cellStyle name="Total 2 10 4 6 3 3" xfId="19598" xr:uid="{00000000-0005-0000-0000-000013500000}"/>
    <cellStyle name="Total 2 10 4 6 3_Summary" xfId="24291" xr:uid="{00000000-0005-0000-0000-000014500000}"/>
    <cellStyle name="Total 2 10 4 6 4" xfId="8808" xr:uid="{00000000-0005-0000-0000-000015500000}"/>
    <cellStyle name="Total 2 10 4 6 5" xfId="15427" xr:uid="{00000000-0005-0000-0000-000016500000}"/>
    <cellStyle name="Total 2 10 4 6_Summary" xfId="24289" xr:uid="{00000000-0005-0000-0000-000017500000}"/>
    <cellStyle name="Total 2 10 4 7" xfId="2485" xr:uid="{00000000-0005-0000-0000-000018500000}"/>
    <cellStyle name="Total 2 10 4 7 2" xfId="4621" xr:uid="{00000000-0005-0000-0000-000019500000}"/>
    <cellStyle name="Total 2 10 4 7 2 2" xfId="11217" xr:uid="{00000000-0005-0000-0000-00001A500000}"/>
    <cellStyle name="Total 2 10 4 7 2 3" xfId="17836" xr:uid="{00000000-0005-0000-0000-00001B500000}"/>
    <cellStyle name="Total 2 10 4 7 2_Summary" xfId="24293" xr:uid="{00000000-0005-0000-0000-00001C500000}"/>
    <cellStyle name="Total 2 10 4 7 3" xfId="6656" xr:uid="{00000000-0005-0000-0000-00001D500000}"/>
    <cellStyle name="Total 2 10 4 7 3 2" xfId="13252" xr:uid="{00000000-0005-0000-0000-00001E500000}"/>
    <cellStyle name="Total 2 10 4 7 3 3" xfId="19871" xr:uid="{00000000-0005-0000-0000-00001F500000}"/>
    <cellStyle name="Total 2 10 4 7 3_Summary" xfId="24294" xr:uid="{00000000-0005-0000-0000-000020500000}"/>
    <cellStyle name="Total 2 10 4 7 4" xfId="9081" xr:uid="{00000000-0005-0000-0000-000021500000}"/>
    <cellStyle name="Total 2 10 4 7 5" xfId="15700" xr:uid="{00000000-0005-0000-0000-000022500000}"/>
    <cellStyle name="Total 2 10 4 7_Summary" xfId="24292" xr:uid="{00000000-0005-0000-0000-000023500000}"/>
    <cellStyle name="Total 2 10 4 8" xfId="2874" xr:uid="{00000000-0005-0000-0000-000024500000}"/>
    <cellStyle name="Total 2 10 4 8 2" xfId="9470" xr:uid="{00000000-0005-0000-0000-000025500000}"/>
    <cellStyle name="Total 2 10 4 8 3" xfId="16089" xr:uid="{00000000-0005-0000-0000-000026500000}"/>
    <cellStyle name="Total 2 10 4 8_Summary" xfId="24295" xr:uid="{00000000-0005-0000-0000-000027500000}"/>
    <cellStyle name="Total 2 10 4 9" xfId="4909" xr:uid="{00000000-0005-0000-0000-000028500000}"/>
    <cellStyle name="Total 2 10 4 9 2" xfId="11505" xr:uid="{00000000-0005-0000-0000-000029500000}"/>
    <cellStyle name="Total 2 10 4 9 3" xfId="18124" xr:uid="{00000000-0005-0000-0000-00002A500000}"/>
    <cellStyle name="Total 2 10 4 9_Summary" xfId="24296" xr:uid="{00000000-0005-0000-0000-00002B500000}"/>
    <cellStyle name="Total 2 10 4_Summary" xfId="24275" xr:uid="{00000000-0005-0000-0000-00002C500000}"/>
    <cellStyle name="Total 2 10 5" xfId="908" xr:uid="{00000000-0005-0000-0000-00002D500000}"/>
    <cellStyle name="Total 2 10 5 2" xfId="3044" xr:uid="{00000000-0005-0000-0000-00002E500000}"/>
    <cellStyle name="Total 2 10 5 2 2" xfId="9640" xr:uid="{00000000-0005-0000-0000-00002F500000}"/>
    <cellStyle name="Total 2 10 5 2 3" xfId="16259" xr:uid="{00000000-0005-0000-0000-000030500000}"/>
    <cellStyle name="Total 2 10 5 2_Summary" xfId="24298" xr:uid="{00000000-0005-0000-0000-000031500000}"/>
    <cellStyle name="Total 2 10 5 3" xfId="5079" xr:uid="{00000000-0005-0000-0000-000032500000}"/>
    <cellStyle name="Total 2 10 5 3 2" xfId="11675" xr:uid="{00000000-0005-0000-0000-000033500000}"/>
    <cellStyle name="Total 2 10 5 3 3" xfId="18294" xr:uid="{00000000-0005-0000-0000-000034500000}"/>
    <cellStyle name="Total 2 10 5 3_Summary" xfId="24299" xr:uid="{00000000-0005-0000-0000-000035500000}"/>
    <cellStyle name="Total 2 10 5 4" xfId="7505" xr:uid="{00000000-0005-0000-0000-000036500000}"/>
    <cellStyle name="Total 2 10 5 5" xfId="14123" xr:uid="{00000000-0005-0000-0000-000037500000}"/>
    <cellStyle name="Total 2 10 5 6" xfId="30639" xr:uid="{045C807B-9255-40D6-AC1D-44355C7090C2}"/>
    <cellStyle name="Total 2 10 5 7" xfId="32071" xr:uid="{27892612-CE54-49F0-83A4-F5428879B9BE}"/>
    <cellStyle name="Total 2 10 5_Summary" xfId="24297" xr:uid="{00000000-0005-0000-0000-000038500000}"/>
    <cellStyle name="Total 2 10 6" xfId="1193" xr:uid="{00000000-0005-0000-0000-000039500000}"/>
    <cellStyle name="Total 2 10 6 2" xfId="3329" xr:uid="{00000000-0005-0000-0000-00003A500000}"/>
    <cellStyle name="Total 2 10 6 2 2" xfId="9925" xr:uid="{00000000-0005-0000-0000-00003B500000}"/>
    <cellStyle name="Total 2 10 6 2 3" xfId="16544" xr:uid="{00000000-0005-0000-0000-00003C500000}"/>
    <cellStyle name="Total 2 10 6 2_Summary" xfId="24301" xr:uid="{00000000-0005-0000-0000-00003D500000}"/>
    <cellStyle name="Total 2 10 6 3" xfId="5364" xr:uid="{00000000-0005-0000-0000-00003E500000}"/>
    <cellStyle name="Total 2 10 6 3 2" xfId="11960" xr:uid="{00000000-0005-0000-0000-00003F500000}"/>
    <cellStyle name="Total 2 10 6 3 3" xfId="18579" xr:uid="{00000000-0005-0000-0000-000040500000}"/>
    <cellStyle name="Total 2 10 6 3_Summary" xfId="24302" xr:uid="{00000000-0005-0000-0000-000041500000}"/>
    <cellStyle name="Total 2 10 6 4" xfId="7789" xr:uid="{00000000-0005-0000-0000-000042500000}"/>
    <cellStyle name="Total 2 10 6 5" xfId="14408" xr:uid="{00000000-0005-0000-0000-000043500000}"/>
    <cellStyle name="Total 2 10 6_Summary" xfId="24300" xr:uid="{00000000-0005-0000-0000-000044500000}"/>
    <cellStyle name="Total 2 10 7" xfId="1475" xr:uid="{00000000-0005-0000-0000-000045500000}"/>
    <cellStyle name="Total 2 10 7 2" xfId="3611" xr:uid="{00000000-0005-0000-0000-000046500000}"/>
    <cellStyle name="Total 2 10 7 2 2" xfId="10207" xr:uid="{00000000-0005-0000-0000-000047500000}"/>
    <cellStyle name="Total 2 10 7 2 3" xfId="16826" xr:uid="{00000000-0005-0000-0000-000048500000}"/>
    <cellStyle name="Total 2 10 7 2_Summary" xfId="24304" xr:uid="{00000000-0005-0000-0000-000049500000}"/>
    <cellStyle name="Total 2 10 7 3" xfId="5646" xr:uid="{00000000-0005-0000-0000-00004A500000}"/>
    <cellStyle name="Total 2 10 7 3 2" xfId="12242" xr:uid="{00000000-0005-0000-0000-00004B500000}"/>
    <cellStyle name="Total 2 10 7 3 3" xfId="18861" xr:uid="{00000000-0005-0000-0000-00004C500000}"/>
    <cellStyle name="Total 2 10 7 3_Summary" xfId="24305" xr:uid="{00000000-0005-0000-0000-00004D500000}"/>
    <cellStyle name="Total 2 10 7 4" xfId="8071" xr:uid="{00000000-0005-0000-0000-00004E500000}"/>
    <cellStyle name="Total 2 10 7 5" xfId="14690" xr:uid="{00000000-0005-0000-0000-00004F500000}"/>
    <cellStyle name="Total 2 10 7_Summary" xfId="24303" xr:uid="{00000000-0005-0000-0000-000050500000}"/>
    <cellStyle name="Total 2 10 8" xfId="1756" xr:uid="{00000000-0005-0000-0000-000051500000}"/>
    <cellStyle name="Total 2 10 8 2" xfId="3892" xr:uid="{00000000-0005-0000-0000-000052500000}"/>
    <cellStyle name="Total 2 10 8 2 2" xfId="10488" xr:uid="{00000000-0005-0000-0000-000053500000}"/>
    <cellStyle name="Total 2 10 8 2 3" xfId="17107" xr:uid="{00000000-0005-0000-0000-000054500000}"/>
    <cellStyle name="Total 2 10 8 2_Summary" xfId="24307" xr:uid="{00000000-0005-0000-0000-000055500000}"/>
    <cellStyle name="Total 2 10 8 3" xfId="5927" xr:uid="{00000000-0005-0000-0000-000056500000}"/>
    <cellStyle name="Total 2 10 8 3 2" xfId="12523" xr:uid="{00000000-0005-0000-0000-000057500000}"/>
    <cellStyle name="Total 2 10 8 3 3" xfId="19142" xr:uid="{00000000-0005-0000-0000-000058500000}"/>
    <cellStyle name="Total 2 10 8 3_Summary" xfId="24308" xr:uid="{00000000-0005-0000-0000-000059500000}"/>
    <cellStyle name="Total 2 10 8 4" xfId="8352" xr:uid="{00000000-0005-0000-0000-00005A500000}"/>
    <cellStyle name="Total 2 10 8 5" xfId="14971" xr:uid="{00000000-0005-0000-0000-00005B500000}"/>
    <cellStyle name="Total 2 10 8_Summary" xfId="24306" xr:uid="{00000000-0005-0000-0000-00005C500000}"/>
    <cellStyle name="Total 2 10 9" xfId="2035" xr:uid="{00000000-0005-0000-0000-00005D500000}"/>
    <cellStyle name="Total 2 10 9 2" xfId="4171" xr:uid="{00000000-0005-0000-0000-00005E500000}"/>
    <cellStyle name="Total 2 10 9 2 2" xfId="10767" xr:uid="{00000000-0005-0000-0000-00005F500000}"/>
    <cellStyle name="Total 2 10 9 2 3" xfId="17386" xr:uid="{00000000-0005-0000-0000-000060500000}"/>
    <cellStyle name="Total 2 10 9 2_Summary" xfId="24310" xr:uid="{00000000-0005-0000-0000-000061500000}"/>
    <cellStyle name="Total 2 10 9 3" xfId="6206" xr:uid="{00000000-0005-0000-0000-000062500000}"/>
    <cellStyle name="Total 2 10 9 3 2" xfId="12802" xr:uid="{00000000-0005-0000-0000-000063500000}"/>
    <cellStyle name="Total 2 10 9 3 3" xfId="19421" xr:uid="{00000000-0005-0000-0000-000064500000}"/>
    <cellStyle name="Total 2 10 9 3_Summary" xfId="24311" xr:uid="{00000000-0005-0000-0000-000065500000}"/>
    <cellStyle name="Total 2 10 9 4" xfId="8631" xr:uid="{00000000-0005-0000-0000-000066500000}"/>
    <cellStyle name="Total 2 10 9 5" xfId="15250" xr:uid="{00000000-0005-0000-0000-000067500000}"/>
    <cellStyle name="Total 2 10 9_Summary" xfId="24309" xr:uid="{00000000-0005-0000-0000-000068500000}"/>
    <cellStyle name="Total 2 10_Summary" xfId="24202" xr:uid="{00000000-0005-0000-0000-000069500000}"/>
    <cellStyle name="Total 2 11" xfId="202" xr:uid="{00000000-0005-0000-0000-00006A500000}"/>
    <cellStyle name="Total 2 11 10" xfId="2311" xr:uid="{00000000-0005-0000-0000-00006B500000}"/>
    <cellStyle name="Total 2 11 10 2" xfId="4447" xr:uid="{00000000-0005-0000-0000-00006C500000}"/>
    <cellStyle name="Total 2 11 10 2 2" xfId="11043" xr:uid="{00000000-0005-0000-0000-00006D500000}"/>
    <cellStyle name="Total 2 11 10 2 3" xfId="17662" xr:uid="{00000000-0005-0000-0000-00006E500000}"/>
    <cellStyle name="Total 2 11 10 2_Summary" xfId="24314" xr:uid="{00000000-0005-0000-0000-00006F500000}"/>
    <cellStyle name="Total 2 11 10 3" xfId="6482" xr:uid="{00000000-0005-0000-0000-000070500000}"/>
    <cellStyle name="Total 2 11 10 3 2" xfId="13078" xr:uid="{00000000-0005-0000-0000-000071500000}"/>
    <cellStyle name="Total 2 11 10 3 3" xfId="19697" xr:uid="{00000000-0005-0000-0000-000072500000}"/>
    <cellStyle name="Total 2 11 10 3_Summary" xfId="24315" xr:uid="{00000000-0005-0000-0000-000073500000}"/>
    <cellStyle name="Total 2 11 10 4" xfId="8907" xr:uid="{00000000-0005-0000-0000-000074500000}"/>
    <cellStyle name="Total 2 11 10 5" xfId="15526" xr:uid="{00000000-0005-0000-0000-000075500000}"/>
    <cellStyle name="Total 2 11 10_Summary" xfId="24313" xr:uid="{00000000-0005-0000-0000-000076500000}"/>
    <cellStyle name="Total 2 11 11" xfId="2630" xr:uid="{00000000-0005-0000-0000-000077500000}"/>
    <cellStyle name="Total 2 11 11 2" xfId="9226" xr:uid="{00000000-0005-0000-0000-000078500000}"/>
    <cellStyle name="Total 2 11 11 3" xfId="15845" xr:uid="{00000000-0005-0000-0000-000079500000}"/>
    <cellStyle name="Total 2 11 11_Summary" xfId="24316" xr:uid="{00000000-0005-0000-0000-00007A500000}"/>
    <cellStyle name="Total 2 11 12" xfId="2555" xr:uid="{00000000-0005-0000-0000-00007B500000}"/>
    <cellStyle name="Total 2 11 12 2" xfId="9151" xr:uid="{00000000-0005-0000-0000-00007C500000}"/>
    <cellStyle name="Total 2 11 12 3" xfId="15770" xr:uid="{00000000-0005-0000-0000-00007D500000}"/>
    <cellStyle name="Total 2 11 12_Summary" xfId="24317" xr:uid="{00000000-0005-0000-0000-00007E500000}"/>
    <cellStyle name="Total 2 11 13" xfId="519" xr:uid="{00000000-0005-0000-0000-00007F500000}"/>
    <cellStyle name="Total 2 11 13 2" xfId="13734" xr:uid="{00000000-0005-0000-0000-000080500000}"/>
    <cellStyle name="Total 2 11 13_Summary" xfId="24318" xr:uid="{00000000-0005-0000-0000-000081500000}"/>
    <cellStyle name="Total 2 11 14" xfId="7110" xr:uid="{00000000-0005-0000-0000-000082500000}"/>
    <cellStyle name="Total 2 11 15" xfId="7161" xr:uid="{00000000-0005-0000-0000-000083500000}"/>
    <cellStyle name="Total 2 11 16" xfId="29882" xr:uid="{57C7E79B-B0A7-45DE-88B2-F97D29B9CC25}"/>
    <cellStyle name="Total 2 11 17" xfId="31354" xr:uid="{0BF88796-5EF1-496B-BCDA-C1163EAC459E}"/>
    <cellStyle name="Total 2 11 2" xfId="334" xr:uid="{00000000-0005-0000-0000-000084500000}"/>
    <cellStyle name="Total 2 11 2 10" xfId="4755" xr:uid="{00000000-0005-0000-0000-000085500000}"/>
    <cellStyle name="Total 2 11 2 10 2" xfId="11351" xr:uid="{00000000-0005-0000-0000-000086500000}"/>
    <cellStyle name="Total 2 11 2 10 3" xfId="17970" xr:uid="{00000000-0005-0000-0000-000087500000}"/>
    <cellStyle name="Total 2 11 2 10_Summary" xfId="24320" xr:uid="{00000000-0005-0000-0000-000088500000}"/>
    <cellStyle name="Total 2 11 2 11" xfId="584" xr:uid="{00000000-0005-0000-0000-000089500000}"/>
    <cellStyle name="Total 2 11 2 11 2" xfId="13799" xr:uid="{00000000-0005-0000-0000-00008A500000}"/>
    <cellStyle name="Total 2 11 2 11_Summary" xfId="24321" xr:uid="{00000000-0005-0000-0000-00008B500000}"/>
    <cellStyle name="Total 2 11 2 12" xfId="7228" xr:uid="{00000000-0005-0000-0000-00008C500000}"/>
    <cellStyle name="Total 2 11 2 13" xfId="13550" xr:uid="{00000000-0005-0000-0000-00008D500000}"/>
    <cellStyle name="Total 2 11 2 14" xfId="30643" xr:uid="{F59A9355-5797-4071-9B92-39A2E8F89C3F}"/>
    <cellStyle name="Total 2 11 2 15" xfId="32075" xr:uid="{FAC20B27-ACB8-4938-BC10-D70738BDAEA3}"/>
    <cellStyle name="Total 2 11 2 2" xfId="463" xr:uid="{00000000-0005-0000-0000-00008E500000}"/>
    <cellStyle name="Total 2 11 2 2 10" xfId="857" xr:uid="{00000000-0005-0000-0000-00008F500000}"/>
    <cellStyle name="Total 2 11 2 2 10 2" xfId="14072" xr:uid="{00000000-0005-0000-0000-000090500000}"/>
    <cellStyle name="Total 2 11 2 2 10_Summary" xfId="24323" xr:uid="{00000000-0005-0000-0000-000091500000}"/>
    <cellStyle name="Total 2 11 2 2 11" xfId="7356" xr:uid="{00000000-0005-0000-0000-000092500000}"/>
    <cellStyle name="Total 2 11 2 2 12" xfId="13678" xr:uid="{00000000-0005-0000-0000-000093500000}"/>
    <cellStyle name="Total 2 11 2 2 2" xfId="1157" xr:uid="{00000000-0005-0000-0000-000094500000}"/>
    <cellStyle name="Total 2 11 2 2 2 2" xfId="3293" xr:uid="{00000000-0005-0000-0000-000095500000}"/>
    <cellStyle name="Total 2 11 2 2 2 2 2" xfId="9889" xr:uid="{00000000-0005-0000-0000-000096500000}"/>
    <cellStyle name="Total 2 11 2 2 2 2 3" xfId="16508" xr:uid="{00000000-0005-0000-0000-000097500000}"/>
    <cellStyle name="Total 2 11 2 2 2 2_Summary" xfId="24325" xr:uid="{00000000-0005-0000-0000-000098500000}"/>
    <cellStyle name="Total 2 11 2 2 2 3" xfId="5328" xr:uid="{00000000-0005-0000-0000-000099500000}"/>
    <cellStyle name="Total 2 11 2 2 2 3 2" xfId="11924" xr:uid="{00000000-0005-0000-0000-00009A500000}"/>
    <cellStyle name="Total 2 11 2 2 2 3 3" xfId="18543" xr:uid="{00000000-0005-0000-0000-00009B500000}"/>
    <cellStyle name="Total 2 11 2 2 2 3_Summary" xfId="24326" xr:uid="{00000000-0005-0000-0000-00009C500000}"/>
    <cellStyle name="Total 2 11 2 2 2 4" xfId="7753" xr:uid="{00000000-0005-0000-0000-00009D500000}"/>
    <cellStyle name="Total 2 11 2 2 2 5" xfId="14372" xr:uid="{00000000-0005-0000-0000-00009E500000}"/>
    <cellStyle name="Total 2 11 2 2 2_Summary" xfId="24324" xr:uid="{00000000-0005-0000-0000-00009F500000}"/>
    <cellStyle name="Total 2 11 2 2 3" xfId="1439" xr:uid="{00000000-0005-0000-0000-0000A0500000}"/>
    <cellStyle name="Total 2 11 2 2 3 2" xfId="3575" xr:uid="{00000000-0005-0000-0000-0000A1500000}"/>
    <cellStyle name="Total 2 11 2 2 3 2 2" xfId="10171" xr:uid="{00000000-0005-0000-0000-0000A2500000}"/>
    <cellStyle name="Total 2 11 2 2 3 2 3" xfId="16790" xr:uid="{00000000-0005-0000-0000-0000A3500000}"/>
    <cellStyle name="Total 2 11 2 2 3 2_Summary" xfId="24328" xr:uid="{00000000-0005-0000-0000-0000A4500000}"/>
    <cellStyle name="Total 2 11 2 2 3 3" xfId="5610" xr:uid="{00000000-0005-0000-0000-0000A5500000}"/>
    <cellStyle name="Total 2 11 2 2 3 3 2" xfId="12206" xr:uid="{00000000-0005-0000-0000-0000A6500000}"/>
    <cellStyle name="Total 2 11 2 2 3 3 3" xfId="18825" xr:uid="{00000000-0005-0000-0000-0000A7500000}"/>
    <cellStyle name="Total 2 11 2 2 3 3_Summary" xfId="24329" xr:uid="{00000000-0005-0000-0000-0000A8500000}"/>
    <cellStyle name="Total 2 11 2 2 3 4" xfId="8035" xr:uid="{00000000-0005-0000-0000-0000A9500000}"/>
    <cellStyle name="Total 2 11 2 2 3 5" xfId="14654" xr:uid="{00000000-0005-0000-0000-0000AA500000}"/>
    <cellStyle name="Total 2 11 2 2 3_Summary" xfId="24327" xr:uid="{00000000-0005-0000-0000-0000AB500000}"/>
    <cellStyle name="Total 2 11 2 2 4" xfId="1720" xr:uid="{00000000-0005-0000-0000-0000AC500000}"/>
    <cellStyle name="Total 2 11 2 2 4 2" xfId="3856" xr:uid="{00000000-0005-0000-0000-0000AD500000}"/>
    <cellStyle name="Total 2 11 2 2 4 2 2" xfId="10452" xr:uid="{00000000-0005-0000-0000-0000AE500000}"/>
    <cellStyle name="Total 2 11 2 2 4 2 3" xfId="17071" xr:uid="{00000000-0005-0000-0000-0000AF500000}"/>
    <cellStyle name="Total 2 11 2 2 4 2_Summary" xfId="24331" xr:uid="{00000000-0005-0000-0000-0000B0500000}"/>
    <cellStyle name="Total 2 11 2 2 4 3" xfId="5891" xr:uid="{00000000-0005-0000-0000-0000B1500000}"/>
    <cellStyle name="Total 2 11 2 2 4 3 2" xfId="12487" xr:uid="{00000000-0005-0000-0000-0000B2500000}"/>
    <cellStyle name="Total 2 11 2 2 4 3 3" xfId="19106" xr:uid="{00000000-0005-0000-0000-0000B3500000}"/>
    <cellStyle name="Total 2 11 2 2 4 3_Summary" xfId="24332" xr:uid="{00000000-0005-0000-0000-0000B4500000}"/>
    <cellStyle name="Total 2 11 2 2 4 4" xfId="8316" xr:uid="{00000000-0005-0000-0000-0000B5500000}"/>
    <cellStyle name="Total 2 11 2 2 4 5" xfId="14935" xr:uid="{00000000-0005-0000-0000-0000B6500000}"/>
    <cellStyle name="Total 2 11 2 2 4_Summary" xfId="24330" xr:uid="{00000000-0005-0000-0000-0000B7500000}"/>
    <cellStyle name="Total 2 11 2 2 5" xfId="1999" xr:uid="{00000000-0005-0000-0000-0000B8500000}"/>
    <cellStyle name="Total 2 11 2 2 5 2" xfId="4135" xr:uid="{00000000-0005-0000-0000-0000B9500000}"/>
    <cellStyle name="Total 2 11 2 2 5 2 2" xfId="10731" xr:uid="{00000000-0005-0000-0000-0000BA500000}"/>
    <cellStyle name="Total 2 11 2 2 5 2 3" xfId="17350" xr:uid="{00000000-0005-0000-0000-0000BB500000}"/>
    <cellStyle name="Total 2 11 2 2 5 2_Summary" xfId="24334" xr:uid="{00000000-0005-0000-0000-0000BC500000}"/>
    <cellStyle name="Total 2 11 2 2 5 3" xfId="6170" xr:uid="{00000000-0005-0000-0000-0000BD500000}"/>
    <cellStyle name="Total 2 11 2 2 5 3 2" xfId="12766" xr:uid="{00000000-0005-0000-0000-0000BE500000}"/>
    <cellStyle name="Total 2 11 2 2 5 3 3" xfId="19385" xr:uid="{00000000-0005-0000-0000-0000BF500000}"/>
    <cellStyle name="Total 2 11 2 2 5 3_Summary" xfId="24335" xr:uid="{00000000-0005-0000-0000-0000C0500000}"/>
    <cellStyle name="Total 2 11 2 2 5 4" xfId="8595" xr:uid="{00000000-0005-0000-0000-0000C1500000}"/>
    <cellStyle name="Total 2 11 2 2 5 5" xfId="15214" xr:uid="{00000000-0005-0000-0000-0000C2500000}"/>
    <cellStyle name="Total 2 11 2 2 5_Summary" xfId="24333" xr:uid="{00000000-0005-0000-0000-0000C3500000}"/>
    <cellStyle name="Total 2 11 2 2 6" xfId="2274" xr:uid="{00000000-0005-0000-0000-0000C4500000}"/>
    <cellStyle name="Total 2 11 2 2 6 2" xfId="4410" xr:uid="{00000000-0005-0000-0000-0000C5500000}"/>
    <cellStyle name="Total 2 11 2 2 6 2 2" xfId="11006" xr:uid="{00000000-0005-0000-0000-0000C6500000}"/>
    <cellStyle name="Total 2 11 2 2 6 2 3" xfId="17625" xr:uid="{00000000-0005-0000-0000-0000C7500000}"/>
    <cellStyle name="Total 2 11 2 2 6 2_Summary" xfId="24337" xr:uid="{00000000-0005-0000-0000-0000C8500000}"/>
    <cellStyle name="Total 2 11 2 2 6 3" xfId="6445" xr:uid="{00000000-0005-0000-0000-0000C9500000}"/>
    <cellStyle name="Total 2 11 2 2 6 3 2" xfId="13041" xr:uid="{00000000-0005-0000-0000-0000CA500000}"/>
    <cellStyle name="Total 2 11 2 2 6 3 3" xfId="19660" xr:uid="{00000000-0005-0000-0000-0000CB500000}"/>
    <cellStyle name="Total 2 11 2 2 6 3_Summary" xfId="24338" xr:uid="{00000000-0005-0000-0000-0000CC500000}"/>
    <cellStyle name="Total 2 11 2 2 6 4" xfId="8870" xr:uid="{00000000-0005-0000-0000-0000CD500000}"/>
    <cellStyle name="Total 2 11 2 2 6 5" xfId="15489" xr:uid="{00000000-0005-0000-0000-0000CE500000}"/>
    <cellStyle name="Total 2 11 2 2 6_Summary" xfId="24336" xr:uid="{00000000-0005-0000-0000-0000CF500000}"/>
    <cellStyle name="Total 2 11 2 2 7" xfId="2547" xr:uid="{00000000-0005-0000-0000-0000D0500000}"/>
    <cellStyle name="Total 2 11 2 2 7 2" xfId="4683" xr:uid="{00000000-0005-0000-0000-0000D1500000}"/>
    <cellStyle name="Total 2 11 2 2 7 2 2" xfId="11279" xr:uid="{00000000-0005-0000-0000-0000D2500000}"/>
    <cellStyle name="Total 2 11 2 2 7 2 3" xfId="17898" xr:uid="{00000000-0005-0000-0000-0000D3500000}"/>
    <cellStyle name="Total 2 11 2 2 7 2_Summary" xfId="24340" xr:uid="{00000000-0005-0000-0000-0000D4500000}"/>
    <cellStyle name="Total 2 11 2 2 7 3" xfId="6718" xr:uid="{00000000-0005-0000-0000-0000D5500000}"/>
    <cellStyle name="Total 2 11 2 2 7 3 2" xfId="13314" xr:uid="{00000000-0005-0000-0000-0000D6500000}"/>
    <cellStyle name="Total 2 11 2 2 7 3 3" xfId="19933" xr:uid="{00000000-0005-0000-0000-0000D7500000}"/>
    <cellStyle name="Total 2 11 2 2 7 3_Summary" xfId="24341" xr:uid="{00000000-0005-0000-0000-0000D8500000}"/>
    <cellStyle name="Total 2 11 2 2 7 4" xfId="9143" xr:uid="{00000000-0005-0000-0000-0000D9500000}"/>
    <cellStyle name="Total 2 11 2 2 7 5" xfId="15762" xr:uid="{00000000-0005-0000-0000-0000DA500000}"/>
    <cellStyle name="Total 2 11 2 2 7_Summary" xfId="24339" xr:uid="{00000000-0005-0000-0000-0000DB500000}"/>
    <cellStyle name="Total 2 11 2 2 8" xfId="2993" xr:uid="{00000000-0005-0000-0000-0000DC500000}"/>
    <cellStyle name="Total 2 11 2 2 8 2" xfId="9589" xr:uid="{00000000-0005-0000-0000-0000DD500000}"/>
    <cellStyle name="Total 2 11 2 2 8 3" xfId="16208" xr:uid="{00000000-0005-0000-0000-0000DE500000}"/>
    <cellStyle name="Total 2 11 2 2 8_Summary" xfId="24342" xr:uid="{00000000-0005-0000-0000-0000DF500000}"/>
    <cellStyle name="Total 2 11 2 2 9" xfId="5028" xr:uid="{00000000-0005-0000-0000-0000E0500000}"/>
    <cellStyle name="Total 2 11 2 2 9 2" xfId="11624" xr:uid="{00000000-0005-0000-0000-0000E1500000}"/>
    <cellStyle name="Total 2 11 2 2 9 3" xfId="18243" xr:uid="{00000000-0005-0000-0000-0000E2500000}"/>
    <cellStyle name="Total 2 11 2 2 9_Summary" xfId="24343" xr:uid="{00000000-0005-0000-0000-0000E3500000}"/>
    <cellStyle name="Total 2 11 2 2_Summary" xfId="24322" xr:uid="{00000000-0005-0000-0000-0000E4500000}"/>
    <cellStyle name="Total 2 11 2 3" xfId="1029" xr:uid="{00000000-0005-0000-0000-0000E5500000}"/>
    <cellStyle name="Total 2 11 2 3 2" xfId="3165" xr:uid="{00000000-0005-0000-0000-0000E6500000}"/>
    <cellStyle name="Total 2 11 2 3 2 2" xfId="9761" xr:uid="{00000000-0005-0000-0000-0000E7500000}"/>
    <cellStyle name="Total 2 11 2 3 2 3" xfId="16380" xr:uid="{00000000-0005-0000-0000-0000E8500000}"/>
    <cellStyle name="Total 2 11 2 3 2_Summary" xfId="24345" xr:uid="{00000000-0005-0000-0000-0000E9500000}"/>
    <cellStyle name="Total 2 11 2 3 3" xfId="5200" xr:uid="{00000000-0005-0000-0000-0000EA500000}"/>
    <cellStyle name="Total 2 11 2 3 3 2" xfId="11796" xr:uid="{00000000-0005-0000-0000-0000EB500000}"/>
    <cellStyle name="Total 2 11 2 3 3 3" xfId="18415" xr:uid="{00000000-0005-0000-0000-0000EC500000}"/>
    <cellStyle name="Total 2 11 2 3 3_Summary" xfId="24346" xr:uid="{00000000-0005-0000-0000-0000ED500000}"/>
    <cellStyle name="Total 2 11 2 3 4" xfId="7626" xr:uid="{00000000-0005-0000-0000-0000EE500000}"/>
    <cellStyle name="Total 2 11 2 3 5" xfId="14244" xr:uid="{00000000-0005-0000-0000-0000EF500000}"/>
    <cellStyle name="Total 2 11 2 3_Summary" xfId="24344" xr:uid="{00000000-0005-0000-0000-0000F0500000}"/>
    <cellStyle name="Total 2 11 2 4" xfId="1311" xr:uid="{00000000-0005-0000-0000-0000F1500000}"/>
    <cellStyle name="Total 2 11 2 4 2" xfId="3447" xr:uid="{00000000-0005-0000-0000-0000F2500000}"/>
    <cellStyle name="Total 2 11 2 4 2 2" xfId="10043" xr:uid="{00000000-0005-0000-0000-0000F3500000}"/>
    <cellStyle name="Total 2 11 2 4 2 3" xfId="16662" xr:uid="{00000000-0005-0000-0000-0000F4500000}"/>
    <cellStyle name="Total 2 11 2 4 2_Summary" xfId="24348" xr:uid="{00000000-0005-0000-0000-0000F5500000}"/>
    <cellStyle name="Total 2 11 2 4 3" xfId="5482" xr:uid="{00000000-0005-0000-0000-0000F6500000}"/>
    <cellStyle name="Total 2 11 2 4 3 2" xfId="12078" xr:uid="{00000000-0005-0000-0000-0000F7500000}"/>
    <cellStyle name="Total 2 11 2 4 3 3" xfId="18697" xr:uid="{00000000-0005-0000-0000-0000F8500000}"/>
    <cellStyle name="Total 2 11 2 4 3_Summary" xfId="24349" xr:uid="{00000000-0005-0000-0000-0000F9500000}"/>
    <cellStyle name="Total 2 11 2 4 4" xfId="7907" xr:uid="{00000000-0005-0000-0000-0000FA500000}"/>
    <cellStyle name="Total 2 11 2 4 5" xfId="14526" xr:uid="{00000000-0005-0000-0000-0000FB500000}"/>
    <cellStyle name="Total 2 11 2 4_Summary" xfId="24347" xr:uid="{00000000-0005-0000-0000-0000FC500000}"/>
    <cellStyle name="Total 2 11 2 5" xfId="1592" xr:uid="{00000000-0005-0000-0000-0000FD500000}"/>
    <cellStyle name="Total 2 11 2 5 2" xfId="3728" xr:uid="{00000000-0005-0000-0000-0000FE500000}"/>
    <cellStyle name="Total 2 11 2 5 2 2" xfId="10324" xr:uid="{00000000-0005-0000-0000-0000FF500000}"/>
    <cellStyle name="Total 2 11 2 5 2 3" xfId="16943" xr:uid="{00000000-0005-0000-0000-000000510000}"/>
    <cellStyle name="Total 2 11 2 5 2_Summary" xfId="24351" xr:uid="{00000000-0005-0000-0000-000001510000}"/>
    <cellStyle name="Total 2 11 2 5 3" xfId="5763" xr:uid="{00000000-0005-0000-0000-000002510000}"/>
    <cellStyle name="Total 2 11 2 5 3 2" xfId="12359" xr:uid="{00000000-0005-0000-0000-000003510000}"/>
    <cellStyle name="Total 2 11 2 5 3 3" xfId="18978" xr:uid="{00000000-0005-0000-0000-000004510000}"/>
    <cellStyle name="Total 2 11 2 5 3_Summary" xfId="24352" xr:uid="{00000000-0005-0000-0000-000005510000}"/>
    <cellStyle name="Total 2 11 2 5 4" xfId="8188" xr:uid="{00000000-0005-0000-0000-000006510000}"/>
    <cellStyle name="Total 2 11 2 5 5" xfId="14807" xr:uid="{00000000-0005-0000-0000-000007510000}"/>
    <cellStyle name="Total 2 11 2 5_Summary" xfId="24350" xr:uid="{00000000-0005-0000-0000-000008510000}"/>
    <cellStyle name="Total 2 11 2 6" xfId="1871" xr:uid="{00000000-0005-0000-0000-000009510000}"/>
    <cellStyle name="Total 2 11 2 6 2" xfId="4007" xr:uid="{00000000-0005-0000-0000-00000A510000}"/>
    <cellStyle name="Total 2 11 2 6 2 2" xfId="10603" xr:uid="{00000000-0005-0000-0000-00000B510000}"/>
    <cellStyle name="Total 2 11 2 6 2 3" xfId="17222" xr:uid="{00000000-0005-0000-0000-00000C510000}"/>
    <cellStyle name="Total 2 11 2 6 2_Summary" xfId="24354" xr:uid="{00000000-0005-0000-0000-00000D510000}"/>
    <cellStyle name="Total 2 11 2 6 3" xfId="6042" xr:uid="{00000000-0005-0000-0000-00000E510000}"/>
    <cellStyle name="Total 2 11 2 6 3 2" xfId="12638" xr:uid="{00000000-0005-0000-0000-00000F510000}"/>
    <cellStyle name="Total 2 11 2 6 3 3" xfId="19257" xr:uid="{00000000-0005-0000-0000-000010510000}"/>
    <cellStyle name="Total 2 11 2 6 3_Summary" xfId="24355" xr:uid="{00000000-0005-0000-0000-000011510000}"/>
    <cellStyle name="Total 2 11 2 6 4" xfId="8467" xr:uid="{00000000-0005-0000-0000-000012510000}"/>
    <cellStyle name="Total 2 11 2 6 5" xfId="15086" xr:uid="{00000000-0005-0000-0000-000013510000}"/>
    <cellStyle name="Total 2 11 2 6_Summary" xfId="24353" xr:uid="{00000000-0005-0000-0000-000014510000}"/>
    <cellStyle name="Total 2 11 2 7" xfId="2146" xr:uid="{00000000-0005-0000-0000-000015510000}"/>
    <cellStyle name="Total 2 11 2 7 2" xfId="4282" xr:uid="{00000000-0005-0000-0000-000016510000}"/>
    <cellStyle name="Total 2 11 2 7 2 2" xfId="10878" xr:uid="{00000000-0005-0000-0000-000017510000}"/>
    <cellStyle name="Total 2 11 2 7 2 3" xfId="17497" xr:uid="{00000000-0005-0000-0000-000018510000}"/>
    <cellStyle name="Total 2 11 2 7 2_Summary" xfId="24357" xr:uid="{00000000-0005-0000-0000-000019510000}"/>
    <cellStyle name="Total 2 11 2 7 3" xfId="6317" xr:uid="{00000000-0005-0000-0000-00001A510000}"/>
    <cellStyle name="Total 2 11 2 7 3 2" xfId="12913" xr:uid="{00000000-0005-0000-0000-00001B510000}"/>
    <cellStyle name="Total 2 11 2 7 3 3" xfId="19532" xr:uid="{00000000-0005-0000-0000-00001C510000}"/>
    <cellStyle name="Total 2 11 2 7 3_Summary" xfId="24358" xr:uid="{00000000-0005-0000-0000-00001D510000}"/>
    <cellStyle name="Total 2 11 2 7 4" xfId="8742" xr:uid="{00000000-0005-0000-0000-00001E510000}"/>
    <cellStyle name="Total 2 11 2 7 5" xfId="15361" xr:uid="{00000000-0005-0000-0000-00001F510000}"/>
    <cellStyle name="Total 2 11 2 7_Summary" xfId="24356" xr:uid="{00000000-0005-0000-0000-000020510000}"/>
    <cellStyle name="Total 2 11 2 8" xfId="2419" xr:uid="{00000000-0005-0000-0000-000021510000}"/>
    <cellStyle name="Total 2 11 2 8 2" xfId="4555" xr:uid="{00000000-0005-0000-0000-000022510000}"/>
    <cellStyle name="Total 2 11 2 8 2 2" xfId="11151" xr:uid="{00000000-0005-0000-0000-000023510000}"/>
    <cellStyle name="Total 2 11 2 8 2 3" xfId="17770" xr:uid="{00000000-0005-0000-0000-000024510000}"/>
    <cellStyle name="Total 2 11 2 8 2_Summary" xfId="24360" xr:uid="{00000000-0005-0000-0000-000025510000}"/>
    <cellStyle name="Total 2 11 2 8 3" xfId="6590" xr:uid="{00000000-0005-0000-0000-000026510000}"/>
    <cellStyle name="Total 2 11 2 8 3 2" xfId="13186" xr:uid="{00000000-0005-0000-0000-000027510000}"/>
    <cellStyle name="Total 2 11 2 8 3 3" xfId="19805" xr:uid="{00000000-0005-0000-0000-000028510000}"/>
    <cellStyle name="Total 2 11 2 8 3_Summary" xfId="24361" xr:uid="{00000000-0005-0000-0000-000029510000}"/>
    <cellStyle name="Total 2 11 2 8 4" xfId="9015" xr:uid="{00000000-0005-0000-0000-00002A510000}"/>
    <cellStyle name="Total 2 11 2 8 5" xfId="15634" xr:uid="{00000000-0005-0000-0000-00002B510000}"/>
    <cellStyle name="Total 2 11 2 8_Summary" xfId="24359" xr:uid="{00000000-0005-0000-0000-00002C510000}"/>
    <cellStyle name="Total 2 11 2 9" xfId="2720" xr:uid="{00000000-0005-0000-0000-00002D510000}"/>
    <cellStyle name="Total 2 11 2 9 2" xfId="9316" xr:uid="{00000000-0005-0000-0000-00002E510000}"/>
    <cellStyle name="Total 2 11 2 9 3" xfId="15935" xr:uid="{00000000-0005-0000-0000-00002F510000}"/>
    <cellStyle name="Total 2 11 2 9_Summary" xfId="24362" xr:uid="{00000000-0005-0000-0000-000030510000}"/>
    <cellStyle name="Total 2 11 2_Summary" xfId="24319" xr:uid="{00000000-0005-0000-0000-000031510000}"/>
    <cellStyle name="Total 2 11 3" xfId="248" xr:uid="{00000000-0005-0000-0000-000032510000}"/>
    <cellStyle name="Total 2 11 3 10" xfId="785" xr:uid="{00000000-0005-0000-0000-000033510000}"/>
    <cellStyle name="Total 2 11 3 10 2" xfId="14000" xr:uid="{00000000-0005-0000-0000-000034510000}"/>
    <cellStyle name="Total 2 11 3 10_Summary" xfId="24364" xr:uid="{00000000-0005-0000-0000-000035510000}"/>
    <cellStyle name="Total 2 11 3 11" xfId="7155" xr:uid="{00000000-0005-0000-0000-000036510000}"/>
    <cellStyle name="Total 2 11 3 12" xfId="7006" xr:uid="{00000000-0005-0000-0000-000037510000}"/>
    <cellStyle name="Total 2 11 3 2" xfId="953" xr:uid="{00000000-0005-0000-0000-000038510000}"/>
    <cellStyle name="Total 2 11 3 2 2" xfId="3089" xr:uid="{00000000-0005-0000-0000-000039510000}"/>
    <cellStyle name="Total 2 11 3 2 2 2" xfId="9685" xr:uid="{00000000-0005-0000-0000-00003A510000}"/>
    <cellStyle name="Total 2 11 3 2 2 3" xfId="16304" xr:uid="{00000000-0005-0000-0000-00003B510000}"/>
    <cellStyle name="Total 2 11 3 2 2_Summary" xfId="24366" xr:uid="{00000000-0005-0000-0000-00003C510000}"/>
    <cellStyle name="Total 2 11 3 2 3" xfId="5124" xr:uid="{00000000-0005-0000-0000-00003D510000}"/>
    <cellStyle name="Total 2 11 3 2 3 2" xfId="11720" xr:uid="{00000000-0005-0000-0000-00003E510000}"/>
    <cellStyle name="Total 2 11 3 2 3 3" xfId="18339" xr:uid="{00000000-0005-0000-0000-00003F510000}"/>
    <cellStyle name="Total 2 11 3 2 3_Summary" xfId="24367" xr:uid="{00000000-0005-0000-0000-000040510000}"/>
    <cellStyle name="Total 2 11 3 2 4" xfId="7550" xr:uid="{00000000-0005-0000-0000-000041510000}"/>
    <cellStyle name="Total 2 11 3 2 5" xfId="14168" xr:uid="{00000000-0005-0000-0000-000042510000}"/>
    <cellStyle name="Total 2 11 3 2_Summary" xfId="24365" xr:uid="{00000000-0005-0000-0000-000043510000}"/>
    <cellStyle name="Total 2 11 3 3" xfId="1238" xr:uid="{00000000-0005-0000-0000-000044510000}"/>
    <cellStyle name="Total 2 11 3 3 2" xfId="3374" xr:uid="{00000000-0005-0000-0000-000045510000}"/>
    <cellStyle name="Total 2 11 3 3 2 2" xfId="9970" xr:uid="{00000000-0005-0000-0000-000046510000}"/>
    <cellStyle name="Total 2 11 3 3 2 3" xfId="16589" xr:uid="{00000000-0005-0000-0000-000047510000}"/>
    <cellStyle name="Total 2 11 3 3 2_Summary" xfId="24369" xr:uid="{00000000-0005-0000-0000-000048510000}"/>
    <cellStyle name="Total 2 11 3 3 3" xfId="5409" xr:uid="{00000000-0005-0000-0000-000049510000}"/>
    <cellStyle name="Total 2 11 3 3 3 2" xfId="12005" xr:uid="{00000000-0005-0000-0000-00004A510000}"/>
    <cellStyle name="Total 2 11 3 3 3 3" xfId="18624" xr:uid="{00000000-0005-0000-0000-00004B510000}"/>
    <cellStyle name="Total 2 11 3 3 3_Summary" xfId="24370" xr:uid="{00000000-0005-0000-0000-00004C510000}"/>
    <cellStyle name="Total 2 11 3 3 4" xfId="7834" xr:uid="{00000000-0005-0000-0000-00004D510000}"/>
    <cellStyle name="Total 2 11 3 3 5" xfId="14453" xr:uid="{00000000-0005-0000-0000-00004E510000}"/>
    <cellStyle name="Total 2 11 3 3_Summary" xfId="24368" xr:uid="{00000000-0005-0000-0000-00004F510000}"/>
    <cellStyle name="Total 2 11 3 4" xfId="1520" xr:uid="{00000000-0005-0000-0000-000050510000}"/>
    <cellStyle name="Total 2 11 3 4 2" xfId="3656" xr:uid="{00000000-0005-0000-0000-000051510000}"/>
    <cellStyle name="Total 2 11 3 4 2 2" xfId="10252" xr:uid="{00000000-0005-0000-0000-000052510000}"/>
    <cellStyle name="Total 2 11 3 4 2 3" xfId="16871" xr:uid="{00000000-0005-0000-0000-000053510000}"/>
    <cellStyle name="Total 2 11 3 4 2_Summary" xfId="24372" xr:uid="{00000000-0005-0000-0000-000054510000}"/>
    <cellStyle name="Total 2 11 3 4 3" xfId="5691" xr:uid="{00000000-0005-0000-0000-000055510000}"/>
    <cellStyle name="Total 2 11 3 4 3 2" xfId="12287" xr:uid="{00000000-0005-0000-0000-000056510000}"/>
    <cellStyle name="Total 2 11 3 4 3 3" xfId="18906" xr:uid="{00000000-0005-0000-0000-000057510000}"/>
    <cellStyle name="Total 2 11 3 4 3_Summary" xfId="24373" xr:uid="{00000000-0005-0000-0000-000058510000}"/>
    <cellStyle name="Total 2 11 3 4 4" xfId="8116" xr:uid="{00000000-0005-0000-0000-000059510000}"/>
    <cellStyle name="Total 2 11 3 4 5" xfId="14735" xr:uid="{00000000-0005-0000-0000-00005A510000}"/>
    <cellStyle name="Total 2 11 3 4_Summary" xfId="24371" xr:uid="{00000000-0005-0000-0000-00005B510000}"/>
    <cellStyle name="Total 2 11 3 5" xfId="1801" xr:uid="{00000000-0005-0000-0000-00005C510000}"/>
    <cellStyle name="Total 2 11 3 5 2" xfId="3937" xr:uid="{00000000-0005-0000-0000-00005D510000}"/>
    <cellStyle name="Total 2 11 3 5 2 2" xfId="10533" xr:uid="{00000000-0005-0000-0000-00005E510000}"/>
    <cellStyle name="Total 2 11 3 5 2 3" xfId="17152" xr:uid="{00000000-0005-0000-0000-00005F510000}"/>
    <cellStyle name="Total 2 11 3 5 2_Summary" xfId="24375" xr:uid="{00000000-0005-0000-0000-000060510000}"/>
    <cellStyle name="Total 2 11 3 5 3" xfId="5972" xr:uid="{00000000-0005-0000-0000-000061510000}"/>
    <cellStyle name="Total 2 11 3 5 3 2" xfId="12568" xr:uid="{00000000-0005-0000-0000-000062510000}"/>
    <cellStyle name="Total 2 11 3 5 3 3" xfId="19187" xr:uid="{00000000-0005-0000-0000-000063510000}"/>
    <cellStyle name="Total 2 11 3 5 3_Summary" xfId="24376" xr:uid="{00000000-0005-0000-0000-000064510000}"/>
    <cellStyle name="Total 2 11 3 5 4" xfId="8397" xr:uid="{00000000-0005-0000-0000-000065510000}"/>
    <cellStyle name="Total 2 11 3 5 5" xfId="15016" xr:uid="{00000000-0005-0000-0000-000066510000}"/>
    <cellStyle name="Total 2 11 3 5_Summary" xfId="24374" xr:uid="{00000000-0005-0000-0000-000067510000}"/>
    <cellStyle name="Total 2 11 3 6" xfId="2080" xr:uid="{00000000-0005-0000-0000-000068510000}"/>
    <cellStyle name="Total 2 11 3 6 2" xfId="4216" xr:uid="{00000000-0005-0000-0000-000069510000}"/>
    <cellStyle name="Total 2 11 3 6 2 2" xfId="10812" xr:uid="{00000000-0005-0000-0000-00006A510000}"/>
    <cellStyle name="Total 2 11 3 6 2 3" xfId="17431" xr:uid="{00000000-0005-0000-0000-00006B510000}"/>
    <cellStyle name="Total 2 11 3 6 2_Summary" xfId="24378" xr:uid="{00000000-0005-0000-0000-00006C510000}"/>
    <cellStyle name="Total 2 11 3 6 3" xfId="6251" xr:uid="{00000000-0005-0000-0000-00006D510000}"/>
    <cellStyle name="Total 2 11 3 6 3 2" xfId="12847" xr:uid="{00000000-0005-0000-0000-00006E510000}"/>
    <cellStyle name="Total 2 11 3 6 3 3" xfId="19466" xr:uid="{00000000-0005-0000-0000-00006F510000}"/>
    <cellStyle name="Total 2 11 3 6 3_Summary" xfId="24379" xr:uid="{00000000-0005-0000-0000-000070510000}"/>
    <cellStyle name="Total 2 11 3 6 4" xfId="8676" xr:uid="{00000000-0005-0000-0000-000071510000}"/>
    <cellStyle name="Total 2 11 3 6 5" xfId="15295" xr:uid="{00000000-0005-0000-0000-000072510000}"/>
    <cellStyle name="Total 2 11 3 6_Summary" xfId="24377" xr:uid="{00000000-0005-0000-0000-000073510000}"/>
    <cellStyle name="Total 2 11 3 7" xfId="2355" xr:uid="{00000000-0005-0000-0000-000074510000}"/>
    <cellStyle name="Total 2 11 3 7 2" xfId="4491" xr:uid="{00000000-0005-0000-0000-000075510000}"/>
    <cellStyle name="Total 2 11 3 7 2 2" xfId="11087" xr:uid="{00000000-0005-0000-0000-000076510000}"/>
    <cellStyle name="Total 2 11 3 7 2 3" xfId="17706" xr:uid="{00000000-0005-0000-0000-000077510000}"/>
    <cellStyle name="Total 2 11 3 7 2_Summary" xfId="24381" xr:uid="{00000000-0005-0000-0000-000078510000}"/>
    <cellStyle name="Total 2 11 3 7 3" xfId="6526" xr:uid="{00000000-0005-0000-0000-000079510000}"/>
    <cellStyle name="Total 2 11 3 7 3 2" xfId="13122" xr:uid="{00000000-0005-0000-0000-00007A510000}"/>
    <cellStyle name="Total 2 11 3 7 3 3" xfId="19741" xr:uid="{00000000-0005-0000-0000-00007B510000}"/>
    <cellStyle name="Total 2 11 3 7 3_Summary" xfId="24382" xr:uid="{00000000-0005-0000-0000-00007C510000}"/>
    <cellStyle name="Total 2 11 3 7 4" xfId="8951" xr:uid="{00000000-0005-0000-0000-00007D510000}"/>
    <cellStyle name="Total 2 11 3 7 5" xfId="15570" xr:uid="{00000000-0005-0000-0000-00007E510000}"/>
    <cellStyle name="Total 2 11 3 7_Summary" xfId="24380" xr:uid="{00000000-0005-0000-0000-00007F510000}"/>
    <cellStyle name="Total 2 11 3 8" xfId="2921" xr:uid="{00000000-0005-0000-0000-000080510000}"/>
    <cellStyle name="Total 2 11 3 8 2" xfId="9517" xr:uid="{00000000-0005-0000-0000-000081510000}"/>
    <cellStyle name="Total 2 11 3 8 3" xfId="16136" xr:uid="{00000000-0005-0000-0000-000082510000}"/>
    <cellStyle name="Total 2 11 3 8_Summary" xfId="24383" xr:uid="{00000000-0005-0000-0000-000083510000}"/>
    <cellStyle name="Total 2 11 3 9" xfId="4956" xr:uid="{00000000-0005-0000-0000-000084510000}"/>
    <cellStyle name="Total 2 11 3 9 2" xfId="11552" xr:uid="{00000000-0005-0000-0000-000085510000}"/>
    <cellStyle name="Total 2 11 3 9 3" xfId="18171" xr:uid="{00000000-0005-0000-0000-000086510000}"/>
    <cellStyle name="Total 2 11 3 9_Summary" xfId="24384" xr:uid="{00000000-0005-0000-0000-000087510000}"/>
    <cellStyle name="Total 2 11 3_Summary" xfId="24363" xr:uid="{00000000-0005-0000-0000-000088510000}"/>
    <cellStyle name="Total 2 11 4" xfId="402" xr:uid="{00000000-0005-0000-0000-000089510000}"/>
    <cellStyle name="Total 2 11 4 10" xfId="739" xr:uid="{00000000-0005-0000-0000-00008A510000}"/>
    <cellStyle name="Total 2 11 4 10 2" xfId="13954" xr:uid="{00000000-0005-0000-0000-00008B510000}"/>
    <cellStyle name="Total 2 11 4 10_Summary" xfId="24386" xr:uid="{00000000-0005-0000-0000-00008C510000}"/>
    <cellStyle name="Total 2 11 4 11" xfId="7295" xr:uid="{00000000-0005-0000-0000-00008D510000}"/>
    <cellStyle name="Total 2 11 4 12" xfId="13617" xr:uid="{00000000-0005-0000-0000-00008E510000}"/>
    <cellStyle name="Total 2 11 4 2" xfId="1096" xr:uid="{00000000-0005-0000-0000-00008F510000}"/>
    <cellStyle name="Total 2 11 4 2 2" xfId="3232" xr:uid="{00000000-0005-0000-0000-000090510000}"/>
    <cellStyle name="Total 2 11 4 2 2 2" xfId="9828" xr:uid="{00000000-0005-0000-0000-000091510000}"/>
    <cellStyle name="Total 2 11 4 2 2 3" xfId="16447" xr:uid="{00000000-0005-0000-0000-000092510000}"/>
    <cellStyle name="Total 2 11 4 2 2_Summary" xfId="24388" xr:uid="{00000000-0005-0000-0000-000093510000}"/>
    <cellStyle name="Total 2 11 4 2 3" xfId="5267" xr:uid="{00000000-0005-0000-0000-000094510000}"/>
    <cellStyle name="Total 2 11 4 2 3 2" xfId="11863" xr:uid="{00000000-0005-0000-0000-000095510000}"/>
    <cellStyle name="Total 2 11 4 2 3 3" xfId="18482" xr:uid="{00000000-0005-0000-0000-000096510000}"/>
    <cellStyle name="Total 2 11 4 2 3_Summary" xfId="24389" xr:uid="{00000000-0005-0000-0000-000097510000}"/>
    <cellStyle name="Total 2 11 4 2 4" xfId="7693" xr:uid="{00000000-0005-0000-0000-000098510000}"/>
    <cellStyle name="Total 2 11 4 2 5" xfId="14311" xr:uid="{00000000-0005-0000-0000-000099510000}"/>
    <cellStyle name="Total 2 11 4 2_Summary" xfId="24387" xr:uid="{00000000-0005-0000-0000-00009A510000}"/>
    <cellStyle name="Total 2 11 4 3" xfId="1378" xr:uid="{00000000-0005-0000-0000-00009B510000}"/>
    <cellStyle name="Total 2 11 4 3 2" xfId="3514" xr:uid="{00000000-0005-0000-0000-00009C510000}"/>
    <cellStyle name="Total 2 11 4 3 2 2" xfId="10110" xr:uid="{00000000-0005-0000-0000-00009D510000}"/>
    <cellStyle name="Total 2 11 4 3 2 3" xfId="16729" xr:uid="{00000000-0005-0000-0000-00009E510000}"/>
    <cellStyle name="Total 2 11 4 3 2_Summary" xfId="24391" xr:uid="{00000000-0005-0000-0000-00009F510000}"/>
    <cellStyle name="Total 2 11 4 3 3" xfId="5549" xr:uid="{00000000-0005-0000-0000-0000A0510000}"/>
    <cellStyle name="Total 2 11 4 3 3 2" xfId="12145" xr:uid="{00000000-0005-0000-0000-0000A1510000}"/>
    <cellStyle name="Total 2 11 4 3 3 3" xfId="18764" xr:uid="{00000000-0005-0000-0000-0000A2510000}"/>
    <cellStyle name="Total 2 11 4 3 3_Summary" xfId="24392" xr:uid="{00000000-0005-0000-0000-0000A3510000}"/>
    <cellStyle name="Total 2 11 4 3 4" xfId="7974" xr:uid="{00000000-0005-0000-0000-0000A4510000}"/>
    <cellStyle name="Total 2 11 4 3 5" xfId="14593" xr:uid="{00000000-0005-0000-0000-0000A5510000}"/>
    <cellStyle name="Total 2 11 4 3_Summary" xfId="24390" xr:uid="{00000000-0005-0000-0000-0000A6510000}"/>
    <cellStyle name="Total 2 11 4 4" xfId="1659" xr:uid="{00000000-0005-0000-0000-0000A7510000}"/>
    <cellStyle name="Total 2 11 4 4 2" xfId="3795" xr:uid="{00000000-0005-0000-0000-0000A8510000}"/>
    <cellStyle name="Total 2 11 4 4 2 2" xfId="10391" xr:uid="{00000000-0005-0000-0000-0000A9510000}"/>
    <cellStyle name="Total 2 11 4 4 2 3" xfId="17010" xr:uid="{00000000-0005-0000-0000-0000AA510000}"/>
    <cellStyle name="Total 2 11 4 4 2_Summary" xfId="24394" xr:uid="{00000000-0005-0000-0000-0000AB510000}"/>
    <cellStyle name="Total 2 11 4 4 3" xfId="5830" xr:uid="{00000000-0005-0000-0000-0000AC510000}"/>
    <cellStyle name="Total 2 11 4 4 3 2" xfId="12426" xr:uid="{00000000-0005-0000-0000-0000AD510000}"/>
    <cellStyle name="Total 2 11 4 4 3 3" xfId="19045" xr:uid="{00000000-0005-0000-0000-0000AE510000}"/>
    <cellStyle name="Total 2 11 4 4 3_Summary" xfId="24395" xr:uid="{00000000-0005-0000-0000-0000AF510000}"/>
    <cellStyle name="Total 2 11 4 4 4" xfId="8255" xr:uid="{00000000-0005-0000-0000-0000B0510000}"/>
    <cellStyle name="Total 2 11 4 4 5" xfId="14874" xr:uid="{00000000-0005-0000-0000-0000B1510000}"/>
    <cellStyle name="Total 2 11 4 4_Summary" xfId="24393" xr:uid="{00000000-0005-0000-0000-0000B2510000}"/>
    <cellStyle name="Total 2 11 4 5" xfId="1938" xr:uid="{00000000-0005-0000-0000-0000B3510000}"/>
    <cellStyle name="Total 2 11 4 5 2" xfId="4074" xr:uid="{00000000-0005-0000-0000-0000B4510000}"/>
    <cellStyle name="Total 2 11 4 5 2 2" xfId="10670" xr:uid="{00000000-0005-0000-0000-0000B5510000}"/>
    <cellStyle name="Total 2 11 4 5 2 3" xfId="17289" xr:uid="{00000000-0005-0000-0000-0000B6510000}"/>
    <cellStyle name="Total 2 11 4 5 2_Summary" xfId="24397" xr:uid="{00000000-0005-0000-0000-0000B7510000}"/>
    <cellStyle name="Total 2 11 4 5 3" xfId="6109" xr:uid="{00000000-0005-0000-0000-0000B8510000}"/>
    <cellStyle name="Total 2 11 4 5 3 2" xfId="12705" xr:uid="{00000000-0005-0000-0000-0000B9510000}"/>
    <cellStyle name="Total 2 11 4 5 3 3" xfId="19324" xr:uid="{00000000-0005-0000-0000-0000BA510000}"/>
    <cellStyle name="Total 2 11 4 5 3_Summary" xfId="24398" xr:uid="{00000000-0005-0000-0000-0000BB510000}"/>
    <cellStyle name="Total 2 11 4 5 4" xfId="8534" xr:uid="{00000000-0005-0000-0000-0000BC510000}"/>
    <cellStyle name="Total 2 11 4 5 5" xfId="15153" xr:uid="{00000000-0005-0000-0000-0000BD510000}"/>
    <cellStyle name="Total 2 11 4 5_Summary" xfId="24396" xr:uid="{00000000-0005-0000-0000-0000BE510000}"/>
    <cellStyle name="Total 2 11 4 6" xfId="2213" xr:uid="{00000000-0005-0000-0000-0000BF510000}"/>
    <cellStyle name="Total 2 11 4 6 2" xfId="4349" xr:uid="{00000000-0005-0000-0000-0000C0510000}"/>
    <cellStyle name="Total 2 11 4 6 2 2" xfId="10945" xr:uid="{00000000-0005-0000-0000-0000C1510000}"/>
    <cellStyle name="Total 2 11 4 6 2 3" xfId="17564" xr:uid="{00000000-0005-0000-0000-0000C2510000}"/>
    <cellStyle name="Total 2 11 4 6 2_Summary" xfId="24400" xr:uid="{00000000-0005-0000-0000-0000C3510000}"/>
    <cellStyle name="Total 2 11 4 6 3" xfId="6384" xr:uid="{00000000-0005-0000-0000-0000C4510000}"/>
    <cellStyle name="Total 2 11 4 6 3 2" xfId="12980" xr:uid="{00000000-0005-0000-0000-0000C5510000}"/>
    <cellStyle name="Total 2 11 4 6 3 3" xfId="19599" xr:uid="{00000000-0005-0000-0000-0000C6510000}"/>
    <cellStyle name="Total 2 11 4 6 3_Summary" xfId="24401" xr:uid="{00000000-0005-0000-0000-0000C7510000}"/>
    <cellStyle name="Total 2 11 4 6 4" xfId="8809" xr:uid="{00000000-0005-0000-0000-0000C8510000}"/>
    <cellStyle name="Total 2 11 4 6 5" xfId="15428" xr:uid="{00000000-0005-0000-0000-0000C9510000}"/>
    <cellStyle name="Total 2 11 4 6_Summary" xfId="24399" xr:uid="{00000000-0005-0000-0000-0000CA510000}"/>
    <cellStyle name="Total 2 11 4 7" xfId="2486" xr:uid="{00000000-0005-0000-0000-0000CB510000}"/>
    <cellStyle name="Total 2 11 4 7 2" xfId="4622" xr:uid="{00000000-0005-0000-0000-0000CC510000}"/>
    <cellStyle name="Total 2 11 4 7 2 2" xfId="11218" xr:uid="{00000000-0005-0000-0000-0000CD510000}"/>
    <cellStyle name="Total 2 11 4 7 2 3" xfId="17837" xr:uid="{00000000-0005-0000-0000-0000CE510000}"/>
    <cellStyle name="Total 2 11 4 7 2_Summary" xfId="24403" xr:uid="{00000000-0005-0000-0000-0000CF510000}"/>
    <cellStyle name="Total 2 11 4 7 3" xfId="6657" xr:uid="{00000000-0005-0000-0000-0000D0510000}"/>
    <cellStyle name="Total 2 11 4 7 3 2" xfId="13253" xr:uid="{00000000-0005-0000-0000-0000D1510000}"/>
    <cellStyle name="Total 2 11 4 7 3 3" xfId="19872" xr:uid="{00000000-0005-0000-0000-0000D2510000}"/>
    <cellStyle name="Total 2 11 4 7 3_Summary" xfId="24404" xr:uid="{00000000-0005-0000-0000-0000D3510000}"/>
    <cellStyle name="Total 2 11 4 7 4" xfId="9082" xr:uid="{00000000-0005-0000-0000-0000D4510000}"/>
    <cellStyle name="Total 2 11 4 7 5" xfId="15701" xr:uid="{00000000-0005-0000-0000-0000D5510000}"/>
    <cellStyle name="Total 2 11 4 7_Summary" xfId="24402" xr:uid="{00000000-0005-0000-0000-0000D6510000}"/>
    <cellStyle name="Total 2 11 4 8" xfId="2875" xr:uid="{00000000-0005-0000-0000-0000D7510000}"/>
    <cellStyle name="Total 2 11 4 8 2" xfId="9471" xr:uid="{00000000-0005-0000-0000-0000D8510000}"/>
    <cellStyle name="Total 2 11 4 8 3" xfId="16090" xr:uid="{00000000-0005-0000-0000-0000D9510000}"/>
    <cellStyle name="Total 2 11 4 8_Summary" xfId="24405" xr:uid="{00000000-0005-0000-0000-0000DA510000}"/>
    <cellStyle name="Total 2 11 4 9" xfId="4910" xr:uid="{00000000-0005-0000-0000-0000DB510000}"/>
    <cellStyle name="Total 2 11 4 9 2" xfId="11506" xr:uid="{00000000-0005-0000-0000-0000DC510000}"/>
    <cellStyle name="Total 2 11 4 9 3" xfId="18125" xr:uid="{00000000-0005-0000-0000-0000DD510000}"/>
    <cellStyle name="Total 2 11 4 9_Summary" xfId="24406" xr:uid="{00000000-0005-0000-0000-0000DE510000}"/>
    <cellStyle name="Total 2 11 4_Summary" xfId="24385" xr:uid="{00000000-0005-0000-0000-0000DF510000}"/>
    <cellStyle name="Total 2 11 5" xfId="909" xr:uid="{00000000-0005-0000-0000-0000E0510000}"/>
    <cellStyle name="Total 2 11 5 2" xfId="3045" xr:uid="{00000000-0005-0000-0000-0000E1510000}"/>
    <cellStyle name="Total 2 11 5 2 2" xfId="9641" xr:uid="{00000000-0005-0000-0000-0000E2510000}"/>
    <cellStyle name="Total 2 11 5 2 3" xfId="16260" xr:uid="{00000000-0005-0000-0000-0000E3510000}"/>
    <cellStyle name="Total 2 11 5 2_Summary" xfId="24408" xr:uid="{00000000-0005-0000-0000-0000E4510000}"/>
    <cellStyle name="Total 2 11 5 3" xfId="5080" xr:uid="{00000000-0005-0000-0000-0000E5510000}"/>
    <cellStyle name="Total 2 11 5 3 2" xfId="11676" xr:uid="{00000000-0005-0000-0000-0000E6510000}"/>
    <cellStyle name="Total 2 11 5 3 3" xfId="18295" xr:uid="{00000000-0005-0000-0000-0000E7510000}"/>
    <cellStyle name="Total 2 11 5 3_Summary" xfId="24409" xr:uid="{00000000-0005-0000-0000-0000E8510000}"/>
    <cellStyle name="Total 2 11 5 4" xfId="7506" xr:uid="{00000000-0005-0000-0000-0000E9510000}"/>
    <cellStyle name="Total 2 11 5 5" xfId="14124" xr:uid="{00000000-0005-0000-0000-0000EA510000}"/>
    <cellStyle name="Total 2 11 5_Summary" xfId="24407" xr:uid="{00000000-0005-0000-0000-0000EB510000}"/>
    <cellStyle name="Total 2 11 6" xfId="1194" xr:uid="{00000000-0005-0000-0000-0000EC510000}"/>
    <cellStyle name="Total 2 11 6 2" xfId="3330" xr:uid="{00000000-0005-0000-0000-0000ED510000}"/>
    <cellStyle name="Total 2 11 6 2 2" xfId="9926" xr:uid="{00000000-0005-0000-0000-0000EE510000}"/>
    <cellStyle name="Total 2 11 6 2 3" xfId="16545" xr:uid="{00000000-0005-0000-0000-0000EF510000}"/>
    <cellStyle name="Total 2 11 6 2_Summary" xfId="24411" xr:uid="{00000000-0005-0000-0000-0000F0510000}"/>
    <cellStyle name="Total 2 11 6 3" xfId="5365" xr:uid="{00000000-0005-0000-0000-0000F1510000}"/>
    <cellStyle name="Total 2 11 6 3 2" xfId="11961" xr:uid="{00000000-0005-0000-0000-0000F2510000}"/>
    <cellStyle name="Total 2 11 6 3 3" xfId="18580" xr:uid="{00000000-0005-0000-0000-0000F3510000}"/>
    <cellStyle name="Total 2 11 6 3_Summary" xfId="24412" xr:uid="{00000000-0005-0000-0000-0000F4510000}"/>
    <cellStyle name="Total 2 11 6 4" xfId="7790" xr:uid="{00000000-0005-0000-0000-0000F5510000}"/>
    <cellStyle name="Total 2 11 6 5" xfId="14409" xr:uid="{00000000-0005-0000-0000-0000F6510000}"/>
    <cellStyle name="Total 2 11 6_Summary" xfId="24410" xr:uid="{00000000-0005-0000-0000-0000F7510000}"/>
    <cellStyle name="Total 2 11 7" xfId="1476" xr:uid="{00000000-0005-0000-0000-0000F8510000}"/>
    <cellStyle name="Total 2 11 7 2" xfId="3612" xr:uid="{00000000-0005-0000-0000-0000F9510000}"/>
    <cellStyle name="Total 2 11 7 2 2" xfId="10208" xr:uid="{00000000-0005-0000-0000-0000FA510000}"/>
    <cellStyle name="Total 2 11 7 2 3" xfId="16827" xr:uid="{00000000-0005-0000-0000-0000FB510000}"/>
    <cellStyle name="Total 2 11 7 2_Summary" xfId="24414" xr:uid="{00000000-0005-0000-0000-0000FC510000}"/>
    <cellStyle name="Total 2 11 7 3" xfId="5647" xr:uid="{00000000-0005-0000-0000-0000FD510000}"/>
    <cellStyle name="Total 2 11 7 3 2" xfId="12243" xr:uid="{00000000-0005-0000-0000-0000FE510000}"/>
    <cellStyle name="Total 2 11 7 3 3" xfId="18862" xr:uid="{00000000-0005-0000-0000-0000FF510000}"/>
    <cellStyle name="Total 2 11 7 3_Summary" xfId="24415" xr:uid="{00000000-0005-0000-0000-000000520000}"/>
    <cellStyle name="Total 2 11 7 4" xfId="8072" xr:uid="{00000000-0005-0000-0000-000001520000}"/>
    <cellStyle name="Total 2 11 7 5" xfId="14691" xr:uid="{00000000-0005-0000-0000-000002520000}"/>
    <cellStyle name="Total 2 11 7_Summary" xfId="24413" xr:uid="{00000000-0005-0000-0000-000003520000}"/>
    <cellStyle name="Total 2 11 8" xfId="1757" xr:uid="{00000000-0005-0000-0000-000004520000}"/>
    <cellStyle name="Total 2 11 8 2" xfId="3893" xr:uid="{00000000-0005-0000-0000-000005520000}"/>
    <cellStyle name="Total 2 11 8 2 2" xfId="10489" xr:uid="{00000000-0005-0000-0000-000006520000}"/>
    <cellStyle name="Total 2 11 8 2 3" xfId="17108" xr:uid="{00000000-0005-0000-0000-000007520000}"/>
    <cellStyle name="Total 2 11 8 2_Summary" xfId="24417" xr:uid="{00000000-0005-0000-0000-000008520000}"/>
    <cellStyle name="Total 2 11 8 3" xfId="5928" xr:uid="{00000000-0005-0000-0000-000009520000}"/>
    <cellStyle name="Total 2 11 8 3 2" xfId="12524" xr:uid="{00000000-0005-0000-0000-00000A520000}"/>
    <cellStyle name="Total 2 11 8 3 3" xfId="19143" xr:uid="{00000000-0005-0000-0000-00000B520000}"/>
    <cellStyle name="Total 2 11 8 3_Summary" xfId="24418" xr:uid="{00000000-0005-0000-0000-00000C520000}"/>
    <cellStyle name="Total 2 11 8 4" xfId="8353" xr:uid="{00000000-0005-0000-0000-00000D520000}"/>
    <cellStyle name="Total 2 11 8 5" xfId="14972" xr:uid="{00000000-0005-0000-0000-00000E520000}"/>
    <cellStyle name="Total 2 11 8_Summary" xfId="24416" xr:uid="{00000000-0005-0000-0000-00000F520000}"/>
    <cellStyle name="Total 2 11 9" xfId="2036" xr:uid="{00000000-0005-0000-0000-000010520000}"/>
    <cellStyle name="Total 2 11 9 2" xfId="4172" xr:uid="{00000000-0005-0000-0000-000011520000}"/>
    <cellStyle name="Total 2 11 9 2 2" xfId="10768" xr:uid="{00000000-0005-0000-0000-000012520000}"/>
    <cellStyle name="Total 2 11 9 2 3" xfId="17387" xr:uid="{00000000-0005-0000-0000-000013520000}"/>
    <cellStyle name="Total 2 11 9 2_Summary" xfId="24420" xr:uid="{00000000-0005-0000-0000-000014520000}"/>
    <cellStyle name="Total 2 11 9 3" xfId="6207" xr:uid="{00000000-0005-0000-0000-000015520000}"/>
    <cellStyle name="Total 2 11 9 3 2" xfId="12803" xr:uid="{00000000-0005-0000-0000-000016520000}"/>
    <cellStyle name="Total 2 11 9 3 3" xfId="19422" xr:uid="{00000000-0005-0000-0000-000017520000}"/>
    <cellStyle name="Total 2 11 9 3_Summary" xfId="24421" xr:uid="{00000000-0005-0000-0000-000018520000}"/>
    <cellStyle name="Total 2 11 9 4" xfId="8632" xr:uid="{00000000-0005-0000-0000-000019520000}"/>
    <cellStyle name="Total 2 11 9 5" xfId="15251" xr:uid="{00000000-0005-0000-0000-00001A520000}"/>
    <cellStyle name="Total 2 11 9_Summary" xfId="24419" xr:uid="{00000000-0005-0000-0000-00001B520000}"/>
    <cellStyle name="Total 2 11_Summary" xfId="24312" xr:uid="{00000000-0005-0000-0000-00001C520000}"/>
    <cellStyle name="Total 2 12" xfId="129" xr:uid="{00000000-0005-0000-0000-00001D520000}"/>
    <cellStyle name="Total 2 12 10" xfId="2669" xr:uid="{00000000-0005-0000-0000-00001E520000}"/>
    <cellStyle name="Total 2 12 10 2" xfId="9265" xr:uid="{00000000-0005-0000-0000-00001F520000}"/>
    <cellStyle name="Total 2 12 10 3" xfId="15884" xr:uid="{00000000-0005-0000-0000-000020520000}"/>
    <cellStyle name="Total 2 12 10_Summary" xfId="24423" xr:uid="{00000000-0005-0000-0000-000021520000}"/>
    <cellStyle name="Total 2 12 11" xfId="4704" xr:uid="{00000000-0005-0000-0000-000022520000}"/>
    <cellStyle name="Total 2 12 11 2" xfId="11300" xr:uid="{00000000-0005-0000-0000-000023520000}"/>
    <cellStyle name="Total 2 12 11 3" xfId="17919" xr:uid="{00000000-0005-0000-0000-000024520000}"/>
    <cellStyle name="Total 2 12 11_Summary" xfId="24424" xr:uid="{00000000-0005-0000-0000-000025520000}"/>
    <cellStyle name="Total 2 12 12" xfId="533" xr:uid="{00000000-0005-0000-0000-000026520000}"/>
    <cellStyle name="Total 2 12 12 2" xfId="13748" xr:uid="{00000000-0005-0000-0000-000027520000}"/>
    <cellStyle name="Total 2 12 12_Summary" xfId="24425" xr:uid="{00000000-0005-0000-0000-000028520000}"/>
    <cellStyle name="Total 2 12 13" xfId="7047" xr:uid="{00000000-0005-0000-0000-000029520000}"/>
    <cellStyle name="Total 2 12 14" xfId="7005" xr:uid="{00000000-0005-0000-0000-00002A520000}"/>
    <cellStyle name="Total 2 12 15" xfId="29883" xr:uid="{1428B122-96A0-49AC-9C9A-103B7FDDEDBC}"/>
    <cellStyle name="Total 2 12 16" xfId="31355" xr:uid="{45C72E97-93DE-4E7A-A6A8-B474468CC607}"/>
    <cellStyle name="Total 2 12 2" xfId="283" xr:uid="{00000000-0005-0000-0000-00002B520000}"/>
    <cellStyle name="Total 2 12 2 10" xfId="806" xr:uid="{00000000-0005-0000-0000-00002C520000}"/>
    <cellStyle name="Total 2 12 2 10 2" xfId="14021" xr:uid="{00000000-0005-0000-0000-00002D520000}"/>
    <cellStyle name="Total 2 12 2 10_Summary" xfId="24427" xr:uid="{00000000-0005-0000-0000-00002E520000}"/>
    <cellStyle name="Total 2 12 2 11" xfId="7177" xr:uid="{00000000-0005-0000-0000-00002F520000}"/>
    <cellStyle name="Total 2 12 2 12" xfId="13499" xr:uid="{00000000-0005-0000-0000-000030520000}"/>
    <cellStyle name="Total 2 12 2 13" xfId="30644" xr:uid="{E837F46E-28FF-4362-8C1D-35D50ABEDBA3}"/>
    <cellStyle name="Total 2 12 2 14" xfId="32076" xr:uid="{1B903000-C92A-4BC0-B2E7-B580F928458E}"/>
    <cellStyle name="Total 2 12 2 2" xfId="978" xr:uid="{00000000-0005-0000-0000-000031520000}"/>
    <cellStyle name="Total 2 12 2 2 2" xfId="3114" xr:uid="{00000000-0005-0000-0000-000032520000}"/>
    <cellStyle name="Total 2 12 2 2 2 2" xfId="9710" xr:uid="{00000000-0005-0000-0000-000033520000}"/>
    <cellStyle name="Total 2 12 2 2 2 3" xfId="16329" xr:uid="{00000000-0005-0000-0000-000034520000}"/>
    <cellStyle name="Total 2 12 2 2 2_Summary" xfId="24429" xr:uid="{00000000-0005-0000-0000-000035520000}"/>
    <cellStyle name="Total 2 12 2 2 3" xfId="5149" xr:uid="{00000000-0005-0000-0000-000036520000}"/>
    <cellStyle name="Total 2 12 2 2 3 2" xfId="11745" xr:uid="{00000000-0005-0000-0000-000037520000}"/>
    <cellStyle name="Total 2 12 2 2 3 3" xfId="18364" xr:uid="{00000000-0005-0000-0000-000038520000}"/>
    <cellStyle name="Total 2 12 2 2 3_Summary" xfId="24430" xr:uid="{00000000-0005-0000-0000-000039520000}"/>
    <cellStyle name="Total 2 12 2 2 4" xfId="7575" xr:uid="{00000000-0005-0000-0000-00003A520000}"/>
    <cellStyle name="Total 2 12 2 2 5" xfId="14193" xr:uid="{00000000-0005-0000-0000-00003B520000}"/>
    <cellStyle name="Total 2 12 2 2_Summary" xfId="24428" xr:uid="{00000000-0005-0000-0000-00003C520000}"/>
    <cellStyle name="Total 2 12 2 3" xfId="1260" xr:uid="{00000000-0005-0000-0000-00003D520000}"/>
    <cellStyle name="Total 2 12 2 3 2" xfId="3396" xr:uid="{00000000-0005-0000-0000-00003E520000}"/>
    <cellStyle name="Total 2 12 2 3 2 2" xfId="9992" xr:uid="{00000000-0005-0000-0000-00003F520000}"/>
    <cellStyle name="Total 2 12 2 3 2 3" xfId="16611" xr:uid="{00000000-0005-0000-0000-000040520000}"/>
    <cellStyle name="Total 2 12 2 3 2_Summary" xfId="24432" xr:uid="{00000000-0005-0000-0000-000041520000}"/>
    <cellStyle name="Total 2 12 2 3 3" xfId="5431" xr:uid="{00000000-0005-0000-0000-000042520000}"/>
    <cellStyle name="Total 2 12 2 3 3 2" xfId="12027" xr:uid="{00000000-0005-0000-0000-000043520000}"/>
    <cellStyle name="Total 2 12 2 3 3 3" xfId="18646" xr:uid="{00000000-0005-0000-0000-000044520000}"/>
    <cellStyle name="Total 2 12 2 3 3_Summary" xfId="24433" xr:uid="{00000000-0005-0000-0000-000045520000}"/>
    <cellStyle name="Total 2 12 2 3 4" xfId="7856" xr:uid="{00000000-0005-0000-0000-000046520000}"/>
    <cellStyle name="Total 2 12 2 3 5" xfId="14475" xr:uid="{00000000-0005-0000-0000-000047520000}"/>
    <cellStyle name="Total 2 12 2 3_Summary" xfId="24431" xr:uid="{00000000-0005-0000-0000-000048520000}"/>
    <cellStyle name="Total 2 12 2 4" xfId="1541" xr:uid="{00000000-0005-0000-0000-000049520000}"/>
    <cellStyle name="Total 2 12 2 4 2" xfId="3677" xr:uid="{00000000-0005-0000-0000-00004A520000}"/>
    <cellStyle name="Total 2 12 2 4 2 2" xfId="10273" xr:uid="{00000000-0005-0000-0000-00004B520000}"/>
    <cellStyle name="Total 2 12 2 4 2 3" xfId="16892" xr:uid="{00000000-0005-0000-0000-00004C520000}"/>
    <cellStyle name="Total 2 12 2 4 2_Summary" xfId="24435" xr:uid="{00000000-0005-0000-0000-00004D520000}"/>
    <cellStyle name="Total 2 12 2 4 3" xfId="5712" xr:uid="{00000000-0005-0000-0000-00004E520000}"/>
    <cellStyle name="Total 2 12 2 4 3 2" xfId="12308" xr:uid="{00000000-0005-0000-0000-00004F520000}"/>
    <cellStyle name="Total 2 12 2 4 3 3" xfId="18927" xr:uid="{00000000-0005-0000-0000-000050520000}"/>
    <cellStyle name="Total 2 12 2 4 3_Summary" xfId="24436" xr:uid="{00000000-0005-0000-0000-000051520000}"/>
    <cellStyle name="Total 2 12 2 4 4" xfId="8137" xr:uid="{00000000-0005-0000-0000-000052520000}"/>
    <cellStyle name="Total 2 12 2 4 5" xfId="14756" xr:uid="{00000000-0005-0000-0000-000053520000}"/>
    <cellStyle name="Total 2 12 2 4_Summary" xfId="24434" xr:uid="{00000000-0005-0000-0000-000054520000}"/>
    <cellStyle name="Total 2 12 2 5" xfId="1820" xr:uid="{00000000-0005-0000-0000-000055520000}"/>
    <cellStyle name="Total 2 12 2 5 2" xfId="3956" xr:uid="{00000000-0005-0000-0000-000056520000}"/>
    <cellStyle name="Total 2 12 2 5 2 2" xfId="10552" xr:uid="{00000000-0005-0000-0000-000057520000}"/>
    <cellStyle name="Total 2 12 2 5 2 3" xfId="17171" xr:uid="{00000000-0005-0000-0000-000058520000}"/>
    <cellStyle name="Total 2 12 2 5 2_Summary" xfId="24438" xr:uid="{00000000-0005-0000-0000-000059520000}"/>
    <cellStyle name="Total 2 12 2 5 3" xfId="5991" xr:uid="{00000000-0005-0000-0000-00005A520000}"/>
    <cellStyle name="Total 2 12 2 5 3 2" xfId="12587" xr:uid="{00000000-0005-0000-0000-00005B520000}"/>
    <cellStyle name="Total 2 12 2 5 3 3" xfId="19206" xr:uid="{00000000-0005-0000-0000-00005C520000}"/>
    <cellStyle name="Total 2 12 2 5 3_Summary" xfId="24439" xr:uid="{00000000-0005-0000-0000-00005D520000}"/>
    <cellStyle name="Total 2 12 2 5 4" xfId="8416" xr:uid="{00000000-0005-0000-0000-00005E520000}"/>
    <cellStyle name="Total 2 12 2 5 5" xfId="15035" xr:uid="{00000000-0005-0000-0000-00005F520000}"/>
    <cellStyle name="Total 2 12 2 5_Summary" xfId="24437" xr:uid="{00000000-0005-0000-0000-000060520000}"/>
    <cellStyle name="Total 2 12 2 6" xfId="2095" xr:uid="{00000000-0005-0000-0000-000061520000}"/>
    <cellStyle name="Total 2 12 2 6 2" xfId="4231" xr:uid="{00000000-0005-0000-0000-000062520000}"/>
    <cellStyle name="Total 2 12 2 6 2 2" xfId="10827" xr:uid="{00000000-0005-0000-0000-000063520000}"/>
    <cellStyle name="Total 2 12 2 6 2 3" xfId="17446" xr:uid="{00000000-0005-0000-0000-000064520000}"/>
    <cellStyle name="Total 2 12 2 6 2_Summary" xfId="24441" xr:uid="{00000000-0005-0000-0000-000065520000}"/>
    <cellStyle name="Total 2 12 2 6 3" xfId="6266" xr:uid="{00000000-0005-0000-0000-000066520000}"/>
    <cellStyle name="Total 2 12 2 6 3 2" xfId="12862" xr:uid="{00000000-0005-0000-0000-000067520000}"/>
    <cellStyle name="Total 2 12 2 6 3 3" xfId="19481" xr:uid="{00000000-0005-0000-0000-000068520000}"/>
    <cellStyle name="Total 2 12 2 6 3_Summary" xfId="24442" xr:uid="{00000000-0005-0000-0000-000069520000}"/>
    <cellStyle name="Total 2 12 2 6 4" xfId="8691" xr:uid="{00000000-0005-0000-0000-00006A520000}"/>
    <cellStyle name="Total 2 12 2 6 5" xfId="15310" xr:uid="{00000000-0005-0000-0000-00006B520000}"/>
    <cellStyle name="Total 2 12 2 6_Summary" xfId="24440" xr:uid="{00000000-0005-0000-0000-00006C520000}"/>
    <cellStyle name="Total 2 12 2 7" xfId="2368" xr:uid="{00000000-0005-0000-0000-00006D520000}"/>
    <cellStyle name="Total 2 12 2 7 2" xfId="4504" xr:uid="{00000000-0005-0000-0000-00006E520000}"/>
    <cellStyle name="Total 2 12 2 7 2 2" xfId="11100" xr:uid="{00000000-0005-0000-0000-00006F520000}"/>
    <cellStyle name="Total 2 12 2 7 2 3" xfId="17719" xr:uid="{00000000-0005-0000-0000-000070520000}"/>
    <cellStyle name="Total 2 12 2 7 2_Summary" xfId="24444" xr:uid="{00000000-0005-0000-0000-000071520000}"/>
    <cellStyle name="Total 2 12 2 7 3" xfId="6539" xr:uid="{00000000-0005-0000-0000-000072520000}"/>
    <cellStyle name="Total 2 12 2 7 3 2" xfId="13135" xr:uid="{00000000-0005-0000-0000-000073520000}"/>
    <cellStyle name="Total 2 12 2 7 3 3" xfId="19754" xr:uid="{00000000-0005-0000-0000-000074520000}"/>
    <cellStyle name="Total 2 12 2 7 3_Summary" xfId="24445" xr:uid="{00000000-0005-0000-0000-000075520000}"/>
    <cellStyle name="Total 2 12 2 7 4" xfId="8964" xr:uid="{00000000-0005-0000-0000-000076520000}"/>
    <cellStyle name="Total 2 12 2 7 5" xfId="15583" xr:uid="{00000000-0005-0000-0000-000077520000}"/>
    <cellStyle name="Total 2 12 2 7_Summary" xfId="24443" xr:uid="{00000000-0005-0000-0000-000078520000}"/>
    <cellStyle name="Total 2 12 2 8" xfId="2942" xr:uid="{00000000-0005-0000-0000-000079520000}"/>
    <cellStyle name="Total 2 12 2 8 2" xfId="9538" xr:uid="{00000000-0005-0000-0000-00007A520000}"/>
    <cellStyle name="Total 2 12 2 8 3" xfId="16157" xr:uid="{00000000-0005-0000-0000-00007B520000}"/>
    <cellStyle name="Total 2 12 2 8_Summary" xfId="24446" xr:uid="{00000000-0005-0000-0000-00007C520000}"/>
    <cellStyle name="Total 2 12 2 9" xfId="4977" xr:uid="{00000000-0005-0000-0000-00007D520000}"/>
    <cellStyle name="Total 2 12 2 9 2" xfId="11573" xr:uid="{00000000-0005-0000-0000-00007E520000}"/>
    <cellStyle name="Total 2 12 2 9 3" xfId="18192" xr:uid="{00000000-0005-0000-0000-00007F520000}"/>
    <cellStyle name="Total 2 12 2 9_Summary" xfId="24447" xr:uid="{00000000-0005-0000-0000-000080520000}"/>
    <cellStyle name="Total 2 12 2_Summary" xfId="24426" xr:uid="{00000000-0005-0000-0000-000081520000}"/>
    <cellStyle name="Total 2 12 3" xfId="351" xr:uid="{00000000-0005-0000-0000-000082520000}"/>
    <cellStyle name="Total 2 12 3 10" xfId="675" xr:uid="{00000000-0005-0000-0000-000083520000}"/>
    <cellStyle name="Total 2 12 3 10 2" xfId="13890" xr:uid="{00000000-0005-0000-0000-000084520000}"/>
    <cellStyle name="Total 2 12 3 10_Summary" xfId="24449" xr:uid="{00000000-0005-0000-0000-000085520000}"/>
    <cellStyle name="Total 2 12 3 11" xfId="7244" xr:uid="{00000000-0005-0000-0000-000086520000}"/>
    <cellStyle name="Total 2 12 3 12" xfId="13566" xr:uid="{00000000-0005-0000-0000-000087520000}"/>
    <cellStyle name="Total 2 12 3 2" xfId="1045" xr:uid="{00000000-0005-0000-0000-000088520000}"/>
    <cellStyle name="Total 2 12 3 2 2" xfId="3181" xr:uid="{00000000-0005-0000-0000-000089520000}"/>
    <cellStyle name="Total 2 12 3 2 2 2" xfId="9777" xr:uid="{00000000-0005-0000-0000-00008A520000}"/>
    <cellStyle name="Total 2 12 3 2 2 3" xfId="16396" xr:uid="{00000000-0005-0000-0000-00008B520000}"/>
    <cellStyle name="Total 2 12 3 2 2_Summary" xfId="24451" xr:uid="{00000000-0005-0000-0000-00008C520000}"/>
    <cellStyle name="Total 2 12 3 2 3" xfId="5216" xr:uid="{00000000-0005-0000-0000-00008D520000}"/>
    <cellStyle name="Total 2 12 3 2 3 2" xfId="11812" xr:uid="{00000000-0005-0000-0000-00008E520000}"/>
    <cellStyle name="Total 2 12 3 2 3 3" xfId="18431" xr:uid="{00000000-0005-0000-0000-00008F520000}"/>
    <cellStyle name="Total 2 12 3 2 3_Summary" xfId="24452" xr:uid="{00000000-0005-0000-0000-000090520000}"/>
    <cellStyle name="Total 2 12 3 2 4" xfId="7642" xr:uid="{00000000-0005-0000-0000-000091520000}"/>
    <cellStyle name="Total 2 12 3 2 5" xfId="14260" xr:uid="{00000000-0005-0000-0000-000092520000}"/>
    <cellStyle name="Total 2 12 3 2_Summary" xfId="24450" xr:uid="{00000000-0005-0000-0000-000093520000}"/>
    <cellStyle name="Total 2 12 3 3" xfId="1327" xr:uid="{00000000-0005-0000-0000-000094520000}"/>
    <cellStyle name="Total 2 12 3 3 2" xfId="3463" xr:uid="{00000000-0005-0000-0000-000095520000}"/>
    <cellStyle name="Total 2 12 3 3 2 2" xfId="10059" xr:uid="{00000000-0005-0000-0000-000096520000}"/>
    <cellStyle name="Total 2 12 3 3 2 3" xfId="16678" xr:uid="{00000000-0005-0000-0000-000097520000}"/>
    <cellStyle name="Total 2 12 3 3 2_Summary" xfId="24454" xr:uid="{00000000-0005-0000-0000-000098520000}"/>
    <cellStyle name="Total 2 12 3 3 3" xfId="5498" xr:uid="{00000000-0005-0000-0000-000099520000}"/>
    <cellStyle name="Total 2 12 3 3 3 2" xfId="12094" xr:uid="{00000000-0005-0000-0000-00009A520000}"/>
    <cellStyle name="Total 2 12 3 3 3 3" xfId="18713" xr:uid="{00000000-0005-0000-0000-00009B520000}"/>
    <cellStyle name="Total 2 12 3 3 3_Summary" xfId="24455" xr:uid="{00000000-0005-0000-0000-00009C520000}"/>
    <cellStyle name="Total 2 12 3 3 4" xfId="7923" xr:uid="{00000000-0005-0000-0000-00009D520000}"/>
    <cellStyle name="Total 2 12 3 3 5" xfId="14542" xr:uid="{00000000-0005-0000-0000-00009E520000}"/>
    <cellStyle name="Total 2 12 3 3_Summary" xfId="24453" xr:uid="{00000000-0005-0000-0000-00009F520000}"/>
    <cellStyle name="Total 2 12 3 4" xfId="1608" xr:uid="{00000000-0005-0000-0000-0000A0520000}"/>
    <cellStyle name="Total 2 12 3 4 2" xfId="3744" xr:uid="{00000000-0005-0000-0000-0000A1520000}"/>
    <cellStyle name="Total 2 12 3 4 2 2" xfId="10340" xr:uid="{00000000-0005-0000-0000-0000A2520000}"/>
    <cellStyle name="Total 2 12 3 4 2 3" xfId="16959" xr:uid="{00000000-0005-0000-0000-0000A3520000}"/>
    <cellStyle name="Total 2 12 3 4 2_Summary" xfId="24457" xr:uid="{00000000-0005-0000-0000-0000A4520000}"/>
    <cellStyle name="Total 2 12 3 4 3" xfId="5779" xr:uid="{00000000-0005-0000-0000-0000A5520000}"/>
    <cellStyle name="Total 2 12 3 4 3 2" xfId="12375" xr:uid="{00000000-0005-0000-0000-0000A6520000}"/>
    <cellStyle name="Total 2 12 3 4 3 3" xfId="18994" xr:uid="{00000000-0005-0000-0000-0000A7520000}"/>
    <cellStyle name="Total 2 12 3 4 3_Summary" xfId="24458" xr:uid="{00000000-0005-0000-0000-0000A8520000}"/>
    <cellStyle name="Total 2 12 3 4 4" xfId="8204" xr:uid="{00000000-0005-0000-0000-0000A9520000}"/>
    <cellStyle name="Total 2 12 3 4 5" xfId="14823" xr:uid="{00000000-0005-0000-0000-0000AA520000}"/>
    <cellStyle name="Total 2 12 3 4_Summary" xfId="24456" xr:uid="{00000000-0005-0000-0000-0000AB520000}"/>
    <cellStyle name="Total 2 12 3 5" xfId="1887" xr:uid="{00000000-0005-0000-0000-0000AC520000}"/>
    <cellStyle name="Total 2 12 3 5 2" xfId="4023" xr:uid="{00000000-0005-0000-0000-0000AD520000}"/>
    <cellStyle name="Total 2 12 3 5 2 2" xfId="10619" xr:uid="{00000000-0005-0000-0000-0000AE520000}"/>
    <cellStyle name="Total 2 12 3 5 2 3" xfId="17238" xr:uid="{00000000-0005-0000-0000-0000AF520000}"/>
    <cellStyle name="Total 2 12 3 5 2_Summary" xfId="24460" xr:uid="{00000000-0005-0000-0000-0000B0520000}"/>
    <cellStyle name="Total 2 12 3 5 3" xfId="6058" xr:uid="{00000000-0005-0000-0000-0000B1520000}"/>
    <cellStyle name="Total 2 12 3 5 3 2" xfId="12654" xr:uid="{00000000-0005-0000-0000-0000B2520000}"/>
    <cellStyle name="Total 2 12 3 5 3 3" xfId="19273" xr:uid="{00000000-0005-0000-0000-0000B3520000}"/>
    <cellStyle name="Total 2 12 3 5 3_Summary" xfId="24461" xr:uid="{00000000-0005-0000-0000-0000B4520000}"/>
    <cellStyle name="Total 2 12 3 5 4" xfId="8483" xr:uid="{00000000-0005-0000-0000-0000B5520000}"/>
    <cellStyle name="Total 2 12 3 5 5" xfId="15102" xr:uid="{00000000-0005-0000-0000-0000B6520000}"/>
    <cellStyle name="Total 2 12 3 5_Summary" xfId="24459" xr:uid="{00000000-0005-0000-0000-0000B7520000}"/>
    <cellStyle name="Total 2 12 3 6" xfId="2162" xr:uid="{00000000-0005-0000-0000-0000B8520000}"/>
    <cellStyle name="Total 2 12 3 6 2" xfId="4298" xr:uid="{00000000-0005-0000-0000-0000B9520000}"/>
    <cellStyle name="Total 2 12 3 6 2 2" xfId="10894" xr:uid="{00000000-0005-0000-0000-0000BA520000}"/>
    <cellStyle name="Total 2 12 3 6 2 3" xfId="17513" xr:uid="{00000000-0005-0000-0000-0000BB520000}"/>
    <cellStyle name="Total 2 12 3 6 2_Summary" xfId="24463" xr:uid="{00000000-0005-0000-0000-0000BC520000}"/>
    <cellStyle name="Total 2 12 3 6 3" xfId="6333" xr:uid="{00000000-0005-0000-0000-0000BD520000}"/>
    <cellStyle name="Total 2 12 3 6 3 2" xfId="12929" xr:uid="{00000000-0005-0000-0000-0000BE520000}"/>
    <cellStyle name="Total 2 12 3 6 3 3" xfId="19548" xr:uid="{00000000-0005-0000-0000-0000BF520000}"/>
    <cellStyle name="Total 2 12 3 6 3_Summary" xfId="24464" xr:uid="{00000000-0005-0000-0000-0000C0520000}"/>
    <cellStyle name="Total 2 12 3 6 4" xfId="8758" xr:uid="{00000000-0005-0000-0000-0000C1520000}"/>
    <cellStyle name="Total 2 12 3 6 5" xfId="15377" xr:uid="{00000000-0005-0000-0000-0000C2520000}"/>
    <cellStyle name="Total 2 12 3 6_Summary" xfId="24462" xr:uid="{00000000-0005-0000-0000-0000C3520000}"/>
    <cellStyle name="Total 2 12 3 7" xfId="2435" xr:uid="{00000000-0005-0000-0000-0000C4520000}"/>
    <cellStyle name="Total 2 12 3 7 2" xfId="4571" xr:uid="{00000000-0005-0000-0000-0000C5520000}"/>
    <cellStyle name="Total 2 12 3 7 2 2" xfId="11167" xr:uid="{00000000-0005-0000-0000-0000C6520000}"/>
    <cellStyle name="Total 2 12 3 7 2 3" xfId="17786" xr:uid="{00000000-0005-0000-0000-0000C7520000}"/>
    <cellStyle name="Total 2 12 3 7 2_Summary" xfId="24466" xr:uid="{00000000-0005-0000-0000-0000C8520000}"/>
    <cellStyle name="Total 2 12 3 7 3" xfId="6606" xr:uid="{00000000-0005-0000-0000-0000C9520000}"/>
    <cellStyle name="Total 2 12 3 7 3 2" xfId="13202" xr:uid="{00000000-0005-0000-0000-0000CA520000}"/>
    <cellStyle name="Total 2 12 3 7 3 3" xfId="19821" xr:uid="{00000000-0005-0000-0000-0000CB520000}"/>
    <cellStyle name="Total 2 12 3 7 3_Summary" xfId="24467" xr:uid="{00000000-0005-0000-0000-0000CC520000}"/>
    <cellStyle name="Total 2 12 3 7 4" xfId="9031" xr:uid="{00000000-0005-0000-0000-0000CD520000}"/>
    <cellStyle name="Total 2 12 3 7 5" xfId="15650" xr:uid="{00000000-0005-0000-0000-0000CE520000}"/>
    <cellStyle name="Total 2 12 3 7_Summary" xfId="24465" xr:uid="{00000000-0005-0000-0000-0000CF520000}"/>
    <cellStyle name="Total 2 12 3 8" xfId="2811" xr:uid="{00000000-0005-0000-0000-0000D0520000}"/>
    <cellStyle name="Total 2 12 3 8 2" xfId="9407" xr:uid="{00000000-0005-0000-0000-0000D1520000}"/>
    <cellStyle name="Total 2 12 3 8 3" xfId="16026" xr:uid="{00000000-0005-0000-0000-0000D2520000}"/>
    <cellStyle name="Total 2 12 3 8_Summary" xfId="24468" xr:uid="{00000000-0005-0000-0000-0000D3520000}"/>
    <cellStyle name="Total 2 12 3 9" xfId="4846" xr:uid="{00000000-0005-0000-0000-0000D4520000}"/>
    <cellStyle name="Total 2 12 3 9 2" xfId="11442" xr:uid="{00000000-0005-0000-0000-0000D5520000}"/>
    <cellStyle name="Total 2 12 3 9 3" xfId="18061" xr:uid="{00000000-0005-0000-0000-0000D6520000}"/>
    <cellStyle name="Total 2 12 3 9_Summary" xfId="24469" xr:uid="{00000000-0005-0000-0000-0000D7520000}"/>
    <cellStyle name="Total 2 12 3_Summary" xfId="24448" xr:uid="{00000000-0005-0000-0000-0000D8520000}"/>
    <cellStyle name="Total 2 12 4" xfId="645" xr:uid="{00000000-0005-0000-0000-0000D9520000}"/>
    <cellStyle name="Total 2 12 4 2" xfId="2781" xr:uid="{00000000-0005-0000-0000-0000DA520000}"/>
    <cellStyle name="Total 2 12 4 2 2" xfId="9377" xr:uid="{00000000-0005-0000-0000-0000DB520000}"/>
    <cellStyle name="Total 2 12 4 2 3" xfId="15996" xr:uid="{00000000-0005-0000-0000-0000DC520000}"/>
    <cellStyle name="Total 2 12 4 2_Summary" xfId="24471" xr:uid="{00000000-0005-0000-0000-0000DD520000}"/>
    <cellStyle name="Total 2 12 4 3" xfId="4816" xr:uid="{00000000-0005-0000-0000-0000DE520000}"/>
    <cellStyle name="Total 2 12 4 3 2" xfId="11412" xr:uid="{00000000-0005-0000-0000-0000DF520000}"/>
    <cellStyle name="Total 2 12 4 3 3" xfId="18031" xr:uid="{00000000-0005-0000-0000-0000E0520000}"/>
    <cellStyle name="Total 2 12 4 3_Summary" xfId="24472" xr:uid="{00000000-0005-0000-0000-0000E1520000}"/>
    <cellStyle name="Total 2 12 4 4" xfId="7417" xr:uid="{00000000-0005-0000-0000-0000E2520000}"/>
    <cellStyle name="Total 2 12 4 5" xfId="13860" xr:uid="{00000000-0005-0000-0000-0000E3520000}"/>
    <cellStyle name="Total 2 12 4_Summary" xfId="24470" xr:uid="{00000000-0005-0000-0000-0000E4520000}"/>
    <cellStyle name="Total 2 12 5" xfId="627" xr:uid="{00000000-0005-0000-0000-0000E5520000}"/>
    <cellStyle name="Total 2 12 5 2" xfId="2763" xr:uid="{00000000-0005-0000-0000-0000E6520000}"/>
    <cellStyle name="Total 2 12 5 2 2" xfId="9359" xr:uid="{00000000-0005-0000-0000-0000E7520000}"/>
    <cellStyle name="Total 2 12 5 2 3" xfId="15978" xr:uid="{00000000-0005-0000-0000-0000E8520000}"/>
    <cellStyle name="Total 2 12 5 2_Summary" xfId="24474" xr:uid="{00000000-0005-0000-0000-0000E9520000}"/>
    <cellStyle name="Total 2 12 5 3" xfId="4798" xr:uid="{00000000-0005-0000-0000-0000EA520000}"/>
    <cellStyle name="Total 2 12 5 3 2" xfId="11394" xr:uid="{00000000-0005-0000-0000-0000EB520000}"/>
    <cellStyle name="Total 2 12 5 3 3" xfId="18013" xr:uid="{00000000-0005-0000-0000-0000EC520000}"/>
    <cellStyle name="Total 2 12 5 3_Summary" xfId="24475" xr:uid="{00000000-0005-0000-0000-0000ED520000}"/>
    <cellStyle name="Total 2 12 5 4" xfId="7399" xr:uid="{00000000-0005-0000-0000-0000EE520000}"/>
    <cellStyle name="Total 2 12 5 5" xfId="13842" xr:uid="{00000000-0005-0000-0000-0000EF520000}"/>
    <cellStyle name="Total 2 12 5_Summary" xfId="24473" xr:uid="{00000000-0005-0000-0000-0000F0520000}"/>
    <cellStyle name="Total 2 12 6" xfId="788" xr:uid="{00000000-0005-0000-0000-0000F1520000}"/>
    <cellStyle name="Total 2 12 6 2" xfId="2924" xr:uid="{00000000-0005-0000-0000-0000F2520000}"/>
    <cellStyle name="Total 2 12 6 2 2" xfId="9520" xr:uid="{00000000-0005-0000-0000-0000F3520000}"/>
    <cellStyle name="Total 2 12 6 2 3" xfId="16139" xr:uid="{00000000-0005-0000-0000-0000F4520000}"/>
    <cellStyle name="Total 2 12 6 2_Summary" xfId="24477" xr:uid="{00000000-0005-0000-0000-0000F5520000}"/>
    <cellStyle name="Total 2 12 6 3" xfId="4959" xr:uid="{00000000-0005-0000-0000-0000F6520000}"/>
    <cellStyle name="Total 2 12 6 3 2" xfId="11555" xr:uid="{00000000-0005-0000-0000-0000F7520000}"/>
    <cellStyle name="Total 2 12 6 3 3" xfId="18174" xr:uid="{00000000-0005-0000-0000-0000F8520000}"/>
    <cellStyle name="Total 2 12 6 3_Summary" xfId="24478" xr:uid="{00000000-0005-0000-0000-0000F9520000}"/>
    <cellStyle name="Total 2 12 6 4" xfId="7455" xr:uid="{00000000-0005-0000-0000-0000FA520000}"/>
    <cellStyle name="Total 2 12 6 5" xfId="14003" xr:uid="{00000000-0005-0000-0000-0000FB520000}"/>
    <cellStyle name="Total 2 12 6_Summary" xfId="24476" xr:uid="{00000000-0005-0000-0000-0000FC520000}"/>
    <cellStyle name="Total 2 12 7" xfId="648" xr:uid="{00000000-0005-0000-0000-0000FD520000}"/>
    <cellStyle name="Total 2 12 7 2" xfId="2784" xr:uid="{00000000-0005-0000-0000-0000FE520000}"/>
    <cellStyle name="Total 2 12 7 2 2" xfId="9380" xr:uid="{00000000-0005-0000-0000-0000FF520000}"/>
    <cellStyle name="Total 2 12 7 2 3" xfId="15999" xr:uid="{00000000-0005-0000-0000-000000530000}"/>
    <cellStyle name="Total 2 12 7 2_Summary" xfId="24480" xr:uid="{00000000-0005-0000-0000-000001530000}"/>
    <cellStyle name="Total 2 12 7 3" xfId="4819" xr:uid="{00000000-0005-0000-0000-000002530000}"/>
    <cellStyle name="Total 2 12 7 3 2" xfId="11415" xr:uid="{00000000-0005-0000-0000-000003530000}"/>
    <cellStyle name="Total 2 12 7 3 3" xfId="18034" xr:uid="{00000000-0005-0000-0000-000004530000}"/>
    <cellStyle name="Total 2 12 7 3_Summary" xfId="24481" xr:uid="{00000000-0005-0000-0000-000005530000}"/>
    <cellStyle name="Total 2 12 7 4" xfId="7420" xr:uid="{00000000-0005-0000-0000-000006530000}"/>
    <cellStyle name="Total 2 12 7 5" xfId="13863" xr:uid="{00000000-0005-0000-0000-000007530000}"/>
    <cellStyle name="Total 2 12 7_Summary" xfId="24479" xr:uid="{00000000-0005-0000-0000-000008530000}"/>
    <cellStyle name="Total 2 12 8" xfId="621" xr:uid="{00000000-0005-0000-0000-000009530000}"/>
    <cellStyle name="Total 2 12 8 2" xfId="2757" xr:uid="{00000000-0005-0000-0000-00000A530000}"/>
    <cellStyle name="Total 2 12 8 2 2" xfId="9353" xr:uid="{00000000-0005-0000-0000-00000B530000}"/>
    <cellStyle name="Total 2 12 8 2 3" xfId="15972" xr:uid="{00000000-0005-0000-0000-00000C530000}"/>
    <cellStyle name="Total 2 12 8 2_Summary" xfId="24483" xr:uid="{00000000-0005-0000-0000-00000D530000}"/>
    <cellStyle name="Total 2 12 8 3" xfId="4792" xr:uid="{00000000-0005-0000-0000-00000E530000}"/>
    <cellStyle name="Total 2 12 8 3 2" xfId="11388" xr:uid="{00000000-0005-0000-0000-00000F530000}"/>
    <cellStyle name="Total 2 12 8 3 3" xfId="18007" xr:uid="{00000000-0005-0000-0000-000010530000}"/>
    <cellStyle name="Total 2 12 8 3_Summary" xfId="24484" xr:uid="{00000000-0005-0000-0000-000011530000}"/>
    <cellStyle name="Total 2 12 8 4" xfId="7393" xr:uid="{00000000-0005-0000-0000-000012530000}"/>
    <cellStyle name="Total 2 12 8 5" xfId="13836" xr:uid="{00000000-0005-0000-0000-000013530000}"/>
    <cellStyle name="Total 2 12 8_Summary" xfId="24482" xr:uid="{00000000-0005-0000-0000-000014530000}"/>
    <cellStyle name="Total 2 12 9" xfId="665" xr:uid="{00000000-0005-0000-0000-000015530000}"/>
    <cellStyle name="Total 2 12 9 2" xfId="2801" xr:uid="{00000000-0005-0000-0000-000016530000}"/>
    <cellStyle name="Total 2 12 9 2 2" xfId="9397" xr:uid="{00000000-0005-0000-0000-000017530000}"/>
    <cellStyle name="Total 2 12 9 2 3" xfId="16016" xr:uid="{00000000-0005-0000-0000-000018530000}"/>
    <cellStyle name="Total 2 12 9 2_Summary" xfId="24486" xr:uid="{00000000-0005-0000-0000-000019530000}"/>
    <cellStyle name="Total 2 12 9 3" xfId="4836" xr:uid="{00000000-0005-0000-0000-00001A530000}"/>
    <cellStyle name="Total 2 12 9 3 2" xfId="11432" xr:uid="{00000000-0005-0000-0000-00001B530000}"/>
    <cellStyle name="Total 2 12 9 3 3" xfId="18051" xr:uid="{00000000-0005-0000-0000-00001C530000}"/>
    <cellStyle name="Total 2 12 9 3_Summary" xfId="24487" xr:uid="{00000000-0005-0000-0000-00001D530000}"/>
    <cellStyle name="Total 2 12 9 4" xfId="7435" xr:uid="{00000000-0005-0000-0000-00001E530000}"/>
    <cellStyle name="Total 2 12 9 5" xfId="13880" xr:uid="{00000000-0005-0000-0000-00001F530000}"/>
    <cellStyle name="Total 2 12 9_Summary" xfId="24485" xr:uid="{00000000-0005-0000-0000-000020530000}"/>
    <cellStyle name="Total 2 12_Summary" xfId="24422" xr:uid="{00000000-0005-0000-0000-000021530000}"/>
    <cellStyle name="Total 2 13" xfId="278" xr:uid="{00000000-0005-0000-0000-000022530000}"/>
    <cellStyle name="Total 2 13 10" xfId="4699" xr:uid="{00000000-0005-0000-0000-000023530000}"/>
    <cellStyle name="Total 2 13 10 2" xfId="11295" xr:uid="{00000000-0005-0000-0000-000024530000}"/>
    <cellStyle name="Total 2 13 10 3" xfId="17914" xr:uid="{00000000-0005-0000-0000-000025530000}"/>
    <cellStyle name="Total 2 13 10_Summary" xfId="24489" xr:uid="{00000000-0005-0000-0000-000026530000}"/>
    <cellStyle name="Total 2 13 11" xfId="528" xr:uid="{00000000-0005-0000-0000-000027530000}"/>
    <cellStyle name="Total 2 13 11 2" xfId="13743" xr:uid="{00000000-0005-0000-0000-000028530000}"/>
    <cellStyle name="Total 2 13 11_Summary" xfId="24490" xr:uid="{00000000-0005-0000-0000-000029530000}"/>
    <cellStyle name="Total 2 13 12" xfId="7172" xr:uid="{00000000-0005-0000-0000-00002A530000}"/>
    <cellStyle name="Total 2 13 13" xfId="13495" xr:uid="{00000000-0005-0000-0000-00002B530000}"/>
    <cellStyle name="Total 2 13 14" xfId="29884" xr:uid="{FC093181-EB4D-4F10-8748-16787697FB58}"/>
    <cellStyle name="Total 2 13 15" xfId="31356" xr:uid="{838145EA-FCCC-4AA2-AEC2-1E0EC73F9870}"/>
    <cellStyle name="Total 2 13 2" xfId="412" xr:uid="{00000000-0005-0000-0000-00002C530000}"/>
    <cellStyle name="Total 2 13 2 10" xfId="802" xr:uid="{00000000-0005-0000-0000-00002D530000}"/>
    <cellStyle name="Total 2 13 2 10 2" xfId="14017" xr:uid="{00000000-0005-0000-0000-00002E530000}"/>
    <cellStyle name="Total 2 13 2 10_Summary" xfId="24492" xr:uid="{00000000-0005-0000-0000-00002F530000}"/>
    <cellStyle name="Total 2 13 2 11" xfId="7305" xr:uid="{00000000-0005-0000-0000-000030530000}"/>
    <cellStyle name="Total 2 13 2 12" xfId="13627" xr:uid="{00000000-0005-0000-0000-000031530000}"/>
    <cellStyle name="Total 2 13 2 13" xfId="30645" xr:uid="{4682982A-02B8-4EB1-8FD9-1852B9915A22}"/>
    <cellStyle name="Total 2 13 2 14" xfId="32077" xr:uid="{A2017C31-6852-47BE-AED9-1094B98004E8}"/>
    <cellStyle name="Total 2 13 2 2" xfId="1106" xr:uid="{00000000-0005-0000-0000-000032530000}"/>
    <cellStyle name="Total 2 13 2 2 2" xfId="3242" xr:uid="{00000000-0005-0000-0000-000033530000}"/>
    <cellStyle name="Total 2 13 2 2 2 2" xfId="9838" xr:uid="{00000000-0005-0000-0000-000034530000}"/>
    <cellStyle name="Total 2 13 2 2 2 3" xfId="16457" xr:uid="{00000000-0005-0000-0000-000035530000}"/>
    <cellStyle name="Total 2 13 2 2 2_Summary" xfId="24494" xr:uid="{00000000-0005-0000-0000-000036530000}"/>
    <cellStyle name="Total 2 13 2 2 3" xfId="5277" xr:uid="{00000000-0005-0000-0000-000037530000}"/>
    <cellStyle name="Total 2 13 2 2 3 2" xfId="11873" xr:uid="{00000000-0005-0000-0000-000038530000}"/>
    <cellStyle name="Total 2 13 2 2 3 3" xfId="18492" xr:uid="{00000000-0005-0000-0000-000039530000}"/>
    <cellStyle name="Total 2 13 2 2 3_Summary" xfId="24495" xr:uid="{00000000-0005-0000-0000-00003A530000}"/>
    <cellStyle name="Total 2 13 2 2 4" xfId="7702" xr:uid="{00000000-0005-0000-0000-00003B530000}"/>
    <cellStyle name="Total 2 13 2 2 5" xfId="14321" xr:uid="{00000000-0005-0000-0000-00003C530000}"/>
    <cellStyle name="Total 2 13 2 2_Summary" xfId="24493" xr:uid="{00000000-0005-0000-0000-00003D530000}"/>
    <cellStyle name="Total 2 13 2 3" xfId="1388" xr:uid="{00000000-0005-0000-0000-00003E530000}"/>
    <cellStyle name="Total 2 13 2 3 2" xfId="3524" xr:uid="{00000000-0005-0000-0000-00003F530000}"/>
    <cellStyle name="Total 2 13 2 3 2 2" xfId="10120" xr:uid="{00000000-0005-0000-0000-000040530000}"/>
    <cellStyle name="Total 2 13 2 3 2 3" xfId="16739" xr:uid="{00000000-0005-0000-0000-000041530000}"/>
    <cellStyle name="Total 2 13 2 3 2_Summary" xfId="24497" xr:uid="{00000000-0005-0000-0000-000042530000}"/>
    <cellStyle name="Total 2 13 2 3 3" xfId="5559" xr:uid="{00000000-0005-0000-0000-000043530000}"/>
    <cellStyle name="Total 2 13 2 3 3 2" xfId="12155" xr:uid="{00000000-0005-0000-0000-000044530000}"/>
    <cellStyle name="Total 2 13 2 3 3 3" xfId="18774" xr:uid="{00000000-0005-0000-0000-000045530000}"/>
    <cellStyle name="Total 2 13 2 3 3_Summary" xfId="24498" xr:uid="{00000000-0005-0000-0000-000046530000}"/>
    <cellStyle name="Total 2 13 2 3 4" xfId="7984" xr:uid="{00000000-0005-0000-0000-000047530000}"/>
    <cellStyle name="Total 2 13 2 3 5" xfId="14603" xr:uid="{00000000-0005-0000-0000-000048530000}"/>
    <cellStyle name="Total 2 13 2 3_Summary" xfId="24496" xr:uid="{00000000-0005-0000-0000-000049530000}"/>
    <cellStyle name="Total 2 13 2 4" xfId="1669" xr:uid="{00000000-0005-0000-0000-00004A530000}"/>
    <cellStyle name="Total 2 13 2 4 2" xfId="3805" xr:uid="{00000000-0005-0000-0000-00004B530000}"/>
    <cellStyle name="Total 2 13 2 4 2 2" xfId="10401" xr:uid="{00000000-0005-0000-0000-00004C530000}"/>
    <cellStyle name="Total 2 13 2 4 2 3" xfId="17020" xr:uid="{00000000-0005-0000-0000-00004D530000}"/>
    <cellStyle name="Total 2 13 2 4 2_Summary" xfId="24500" xr:uid="{00000000-0005-0000-0000-00004E530000}"/>
    <cellStyle name="Total 2 13 2 4 3" xfId="5840" xr:uid="{00000000-0005-0000-0000-00004F530000}"/>
    <cellStyle name="Total 2 13 2 4 3 2" xfId="12436" xr:uid="{00000000-0005-0000-0000-000050530000}"/>
    <cellStyle name="Total 2 13 2 4 3 3" xfId="19055" xr:uid="{00000000-0005-0000-0000-000051530000}"/>
    <cellStyle name="Total 2 13 2 4 3_Summary" xfId="24501" xr:uid="{00000000-0005-0000-0000-000052530000}"/>
    <cellStyle name="Total 2 13 2 4 4" xfId="8265" xr:uid="{00000000-0005-0000-0000-000053530000}"/>
    <cellStyle name="Total 2 13 2 4 5" xfId="14884" xr:uid="{00000000-0005-0000-0000-000054530000}"/>
    <cellStyle name="Total 2 13 2 4_Summary" xfId="24499" xr:uid="{00000000-0005-0000-0000-000055530000}"/>
    <cellStyle name="Total 2 13 2 5" xfId="1948" xr:uid="{00000000-0005-0000-0000-000056530000}"/>
    <cellStyle name="Total 2 13 2 5 2" xfId="4084" xr:uid="{00000000-0005-0000-0000-000057530000}"/>
    <cellStyle name="Total 2 13 2 5 2 2" xfId="10680" xr:uid="{00000000-0005-0000-0000-000058530000}"/>
    <cellStyle name="Total 2 13 2 5 2 3" xfId="17299" xr:uid="{00000000-0005-0000-0000-000059530000}"/>
    <cellStyle name="Total 2 13 2 5 2_Summary" xfId="24503" xr:uid="{00000000-0005-0000-0000-00005A530000}"/>
    <cellStyle name="Total 2 13 2 5 3" xfId="6119" xr:uid="{00000000-0005-0000-0000-00005B530000}"/>
    <cellStyle name="Total 2 13 2 5 3 2" xfId="12715" xr:uid="{00000000-0005-0000-0000-00005C530000}"/>
    <cellStyle name="Total 2 13 2 5 3 3" xfId="19334" xr:uid="{00000000-0005-0000-0000-00005D530000}"/>
    <cellStyle name="Total 2 13 2 5 3_Summary" xfId="24504" xr:uid="{00000000-0005-0000-0000-00005E530000}"/>
    <cellStyle name="Total 2 13 2 5 4" xfId="8544" xr:uid="{00000000-0005-0000-0000-00005F530000}"/>
    <cellStyle name="Total 2 13 2 5 5" xfId="15163" xr:uid="{00000000-0005-0000-0000-000060530000}"/>
    <cellStyle name="Total 2 13 2 5_Summary" xfId="24502" xr:uid="{00000000-0005-0000-0000-000061530000}"/>
    <cellStyle name="Total 2 13 2 6" xfId="2223" xr:uid="{00000000-0005-0000-0000-000062530000}"/>
    <cellStyle name="Total 2 13 2 6 2" xfId="4359" xr:uid="{00000000-0005-0000-0000-000063530000}"/>
    <cellStyle name="Total 2 13 2 6 2 2" xfId="10955" xr:uid="{00000000-0005-0000-0000-000064530000}"/>
    <cellStyle name="Total 2 13 2 6 2 3" xfId="17574" xr:uid="{00000000-0005-0000-0000-000065530000}"/>
    <cellStyle name="Total 2 13 2 6 2_Summary" xfId="24506" xr:uid="{00000000-0005-0000-0000-000066530000}"/>
    <cellStyle name="Total 2 13 2 6 3" xfId="6394" xr:uid="{00000000-0005-0000-0000-000067530000}"/>
    <cellStyle name="Total 2 13 2 6 3 2" xfId="12990" xr:uid="{00000000-0005-0000-0000-000068530000}"/>
    <cellStyle name="Total 2 13 2 6 3 3" xfId="19609" xr:uid="{00000000-0005-0000-0000-000069530000}"/>
    <cellStyle name="Total 2 13 2 6 3_Summary" xfId="24507" xr:uid="{00000000-0005-0000-0000-00006A530000}"/>
    <cellStyle name="Total 2 13 2 6 4" xfId="8819" xr:uid="{00000000-0005-0000-0000-00006B530000}"/>
    <cellStyle name="Total 2 13 2 6 5" xfId="15438" xr:uid="{00000000-0005-0000-0000-00006C530000}"/>
    <cellStyle name="Total 2 13 2 6_Summary" xfId="24505" xr:uid="{00000000-0005-0000-0000-00006D530000}"/>
    <cellStyle name="Total 2 13 2 7" xfId="2496" xr:uid="{00000000-0005-0000-0000-00006E530000}"/>
    <cellStyle name="Total 2 13 2 7 2" xfId="4632" xr:uid="{00000000-0005-0000-0000-00006F530000}"/>
    <cellStyle name="Total 2 13 2 7 2 2" xfId="11228" xr:uid="{00000000-0005-0000-0000-000070530000}"/>
    <cellStyle name="Total 2 13 2 7 2 3" xfId="17847" xr:uid="{00000000-0005-0000-0000-000071530000}"/>
    <cellStyle name="Total 2 13 2 7 2_Summary" xfId="24509" xr:uid="{00000000-0005-0000-0000-000072530000}"/>
    <cellStyle name="Total 2 13 2 7 3" xfId="6667" xr:uid="{00000000-0005-0000-0000-000073530000}"/>
    <cellStyle name="Total 2 13 2 7 3 2" xfId="13263" xr:uid="{00000000-0005-0000-0000-000074530000}"/>
    <cellStyle name="Total 2 13 2 7 3 3" xfId="19882" xr:uid="{00000000-0005-0000-0000-000075530000}"/>
    <cellStyle name="Total 2 13 2 7 3_Summary" xfId="24510" xr:uid="{00000000-0005-0000-0000-000076530000}"/>
    <cellStyle name="Total 2 13 2 7 4" xfId="9092" xr:uid="{00000000-0005-0000-0000-000077530000}"/>
    <cellStyle name="Total 2 13 2 7 5" xfId="15711" xr:uid="{00000000-0005-0000-0000-000078530000}"/>
    <cellStyle name="Total 2 13 2 7_Summary" xfId="24508" xr:uid="{00000000-0005-0000-0000-000079530000}"/>
    <cellStyle name="Total 2 13 2 8" xfId="2938" xr:uid="{00000000-0005-0000-0000-00007A530000}"/>
    <cellStyle name="Total 2 13 2 8 2" xfId="9534" xr:uid="{00000000-0005-0000-0000-00007B530000}"/>
    <cellStyle name="Total 2 13 2 8 3" xfId="16153" xr:uid="{00000000-0005-0000-0000-00007C530000}"/>
    <cellStyle name="Total 2 13 2 8_Summary" xfId="24511" xr:uid="{00000000-0005-0000-0000-00007D530000}"/>
    <cellStyle name="Total 2 13 2 9" xfId="4973" xr:uid="{00000000-0005-0000-0000-00007E530000}"/>
    <cellStyle name="Total 2 13 2 9 2" xfId="11569" xr:uid="{00000000-0005-0000-0000-00007F530000}"/>
    <cellStyle name="Total 2 13 2 9 3" xfId="18188" xr:uid="{00000000-0005-0000-0000-000080530000}"/>
    <cellStyle name="Total 2 13 2 9_Summary" xfId="24512" xr:uid="{00000000-0005-0000-0000-000081530000}"/>
    <cellStyle name="Total 2 13 2_Summary" xfId="24491" xr:uid="{00000000-0005-0000-0000-000082530000}"/>
    <cellStyle name="Total 2 13 3" xfId="973" xr:uid="{00000000-0005-0000-0000-000083530000}"/>
    <cellStyle name="Total 2 13 3 2" xfId="3109" xr:uid="{00000000-0005-0000-0000-000084530000}"/>
    <cellStyle name="Total 2 13 3 2 2" xfId="9705" xr:uid="{00000000-0005-0000-0000-000085530000}"/>
    <cellStyle name="Total 2 13 3 2 3" xfId="16324" xr:uid="{00000000-0005-0000-0000-000086530000}"/>
    <cellStyle name="Total 2 13 3 2_Summary" xfId="24514" xr:uid="{00000000-0005-0000-0000-000087530000}"/>
    <cellStyle name="Total 2 13 3 3" xfId="5144" xr:uid="{00000000-0005-0000-0000-000088530000}"/>
    <cellStyle name="Total 2 13 3 3 2" xfId="11740" xr:uid="{00000000-0005-0000-0000-000089530000}"/>
    <cellStyle name="Total 2 13 3 3 3" xfId="18359" xr:uid="{00000000-0005-0000-0000-00008A530000}"/>
    <cellStyle name="Total 2 13 3 3_Summary" xfId="24515" xr:uid="{00000000-0005-0000-0000-00008B530000}"/>
    <cellStyle name="Total 2 13 3 4" xfId="7570" xr:uid="{00000000-0005-0000-0000-00008C530000}"/>
    <cellStyle name="Total 2 13 3 5" xfId="14188" xr:uid="{00000000-0005-0000-0000-00008D530000}"/>
    <cellStyle name="Total 2 13 3_Summary" xfId="24513" xr:uid="{00000000-0005-0000-0000-00008E530000}"/>
    <cellStyle name="Total 2 13 4" xfId="1255" xr:uid="{00000000-0005-0000-0000-00008F530000}"/>
    <cellStyle name="Total 2 13 4 2" xfId="3391" xr:uid="{00000000-0005-0000-0000-000090530000}"/>
    <cellStyle name="Total 2 13 4 2 2" xfId="9987" xr:uid="{00000000-0005-0000-0000-000091530000}"/>
    <cellStyle name="Total 2 13 4 2 3" xfId="16606" xr:uid="{00000000-0005-0000-0000-000092530000}"/>
    <cellStyle name="Total 2 13 4 2_Summary" xfId="24517" xr:uid="{00000000-0005-0000-0000-000093530000}"/>
    <cellStyle name="Total 2 13 4 3" xfId="5426" xr:uid="{00000000-0005-0000-0000-000094530000}"/>
    <cellStyle name="Total 2 13 4 3 2" xfId="12022" xr:uid="{00000000-0005-0000-0000-000095530000}"/>
    <cellStyle name="Total 2 13 4 3 3" xfId="18641" xr:uid="{00000000-0005-0000-0000-000096530000}"/>
    <cellStyle name="Total 2 13 4 3_Summary" xfId="24518" xr:uid="{00000000-0005-0000-0000-000097530000}"/>
    <cellStyle name="Total 2 13 4 4" xfId="7851" xr:uid="{00000000-0005-0000-0000-000098530000}"/>
    <cellStyle name="Total 2 13 4 5" xfId="14470" xr:uid="{00000000-0005-0000-0000-000099530000}"/>
    <cellStyle name="Total 2 13 4_Summary" xfId="24516" xr:uid="{00000000-0005-0000-0000-00009A530000}"/>
    <cellStyle name="Total 2 13 5" xfId="1536" xr:uid="{00000000-0005-0000-0000-00009B530000}"/>
    <cellStyle name="Total 2 13 5 2" xfId="3672" xr:uid="{00000000-0005-0000-0000-00009C530000}"/>
    <cellStyle name="Total 2 13 5 2 2" xfId="10268" xr:uid="{00000000-0005-0000-0000-00009D530000}"/>
    <cellStyle name="Total 2 13 5 2 3" xfId="16887" xr:uid="{00000000-0005-0000-0000-00009E530000}"/>
    <cellStyle name="Total 2 13 5 2_Summary" xfId="24520" xr:uid="{00000000-0005-0000-0000-00009F530000}"/>
    <cellStyle name="Total 2 13 5 3" xfId="5707" xr:uid="{00000000-0005-0000-0000-0000A0530000}"/>
    <cellStyle name="Total 2 13 5 3 2" xfId="12303" xr:uid="{00000000-0005-0000-0000-0000A1530000}"/>
    <cellStyle name="Total 2 13 5 3 3" xfId="18922" xr:uid="{00000000-0005-0000-0000-0000A2530000}"/>
    <cellStyle name="Total 2 13 5 3_Summary" xfId="24521" xr:uid="{00000000-0005-0000-0000-0000A3530000}"/>
    <cellStyle name="Total 2 13 5 4" xfId="8132" xr:uid="{00000000-0005-0000-0000-0000A4530000}"/>
    <cellStyle name="Total 2 13 5 5" xfId="14751" xr:uid="{00000000-0005-0000-0000-0000A5530000}"/>
    <cellStyle name="Total 2 13 5_Summary" xfId="24519" xr:uid="{00000000-0005-0000-0000-0000A6530000}"/>
    <cellStyle name="Total 2 13 6" xfId="1815" xr:uid="{00000000-0005-0000-0000-0000A7530000}"/>
    <cellStyle name="Total 2 13 6 2" xfId="3951" xr:uid="{00000000-0005-0000-0000-0000A8530000}"/>
    <cellStyle name="Total 2 13 6 2 2" xfId="10547" xr:uid="{00000000-0005-0000-0000-0000A9530000}"/>
    <cellStyle name="Total 2 13 6 2 3" xfId="17166" xr:uid="{00000000-0005-0000-0000-0000AA530000}"/>
    <cellStyle name="Total 2 13 6 2_Summary" xfId="24523" xr:uid="{00000000-0005-0000-0000-0000AB530000}"/>
    <cellStyle name="Total 2 13 6 3" xfId="5986" xr:uid="{00000000-0005-0000-0000-0000AC530000}"/>
    <cellStyle name="Total 2 13 6 3 2" xfId="12582" xr:uid="{00000000-0005-0000-0000-0000AD530000}"/>
    <cellStyle name="Total 2 13 6 3 3" xfId="19201" xr:uid="{00000000-0005-0000-0000-0000AE530000}"/>
    <cellStyle name="Total 2 13 6 3_Summary" xfId="24524" xr:uid="{00000000-0005-0000-0000-0000AF530000}"/>
    <cellStyle name="Total 2 13 6 4" xfId="8411" xr:uid="{00000000-0005-0000-0000-0000B0530000}"/>
    <cellStyle name="Total 2 13 6 5" xfId="15030" xr:uid="{00000000-0005-0000-0000-0000B1530000}"/>
    <cellStyle name="Total 2 13 6_Summary" xfId="24522" xr:uid="{00000000-0005-0000-0000-0000B2530000}"/>
    <cellStyle name="Total 2 13 7" xfId="2091" xr:uid="{00000000-0005-0000-0000-0000B3530000}"/>
    <cellStyle name="Total 2 13 7 2" xfId="4227" xr:uid="{00000000-0005-0000-0000-0000B4530000}"/>
    <cellStyle name="Total 2 13 7 2 2" xfId="10823" xr:uid="{00000000-0005-0000-0000-0000B5530000}"/>
    <cellStyle name="Total 2 13 7 2 3" xfId="17442" xr:uid="{00000000-0005-0000-0000-0000B6530000}"/>
    <cellStyle name="Total 2 13 7 2_Summary" xfId="24526" xr:uid="{00000000-0005-0000-0000-0000B7530000}"/>
    <cellStyle name="Total 2 13 7 3" xfId="6262" xr:uid="{00000000-0005-0000-0000-0000B8530000}"/>
    <cellStyle name="Total 2 13 7 3 2" xfId="12858" xr:uid="{00000000-0005-0000-0000-0000B9530000}"/>
    <cellStyle name="Total 2 13 7 3 3" xfId="19477" xr:uid="{00000000-0005-0000-0000-0000BA530000}"/>
    <cellStyle name="Total 2 13 7 3_Summary" xfId="24527" xr:uid="{00000000-0005-0000-0000-0000BB530000}"/>
    <cellStyle name="Total 2 13 7 4" xfId="8687" xr:uid="{00000000-0005-0000-0000-0000BC530000}"/>
    <cellStyle name="Total 2 13 7 5" xfId="15306" xr:uid="{00000000-0005-0000-0000-0000BD530000}"/>
    <cellStyle name="Total 2 13 7_Summary" xfId="24525" xr:uid="{00000000-0005-0000-0000-0000BE530000}"/>
    <cellStyle name="Total 2 13 8" xfId="2364" xr:uid="{00000000-0005-0000-0000-0000BF530000}"/>
    <cellStyle name="Total 2 13 8 2" xfId="4500" xr:uid="{00000000-0005-0000-0000-0000C0530000}"/>
    <cellStyle name="Total 2 13 8 2 2" xfId="11096" xr:uid="{00000000-0005-0000-0000-0000C1530000}"/>
    <cellStyle name="Total 2 13 8 2 3" xfId="17715" xr:uid="{00000000-0005-0000-0000-0000C2530000}"/>
    <cellStyle name="Total 2 13 8 2_Summary" xfId="24529" xr:uid="{00000000-0005-0000-0000-0000C3530000}"/>
    <cellStyle name="Total 2 13 8 3" xfId="6535" xr:uid="{00000000-0005-0000-0000-0000C4530000}"/>
    <cellStyle name="Total 2 13 8 3 2" xfId="13131" xr:uid="{00000000-0005-0000-0000-0000C5530000}"/>
    <cellStyle name="Total 2 13 8 3 3" xfId="19750" xr:uid="{00000000-0005-0000-0000-0000C6530000}"/>
    <cellStyle name="Total 2 13 8 3_Summary" xfId="24530" xr:uid="{00000000-0005-0000-0000-0000C7530000}"/>
    <cellStyle name="Total 2 13 8 4" xfId="8960" xr:uid="{00000000-0005-0000-0000-0000C8530000}"/>
    <cellStyle name="Total 2 13 8 5" xfId="15579" xr:uid="{00000000-0005-0000-0000-0000C9530000}"/>
    <cellStyle name="Total 2 13 8_Summary" xfId="24528" xr:uid="{00000000-0005-0000-0000-0000CA530000}"/>
    <cellStyle name="Total 2 13 9" xfId="2664" xr:uid="{00000000-0005-0000-0000-0000CB530000}"/>
    <cellStyle name="Total 2 13 9 2" xfId="9260" xr:uid="{00000000-0005-0000-0000-0000CC530000}"/>
    <cellStyle name="Total 2 13 9 3" xfId="15879" xr:uid="{00000000-0005-0000-0000-0000CD530000}"/>
    <cellStyle name="Total 2 13 9_Summary" xfId="24531" xr:uid="{00000000-0005-0000-0000-0000CE530000}"/>
    <cellStyle name="Total 2 13_Summary" xfId="24488" xr:uid="{00000000-0005-0000-0000-0000CF530000}"/>
    <cellStyle name="Total 2 14" xfId="340" xr:uid="{00000000-0005-0000-0000-0000D0530000}"/>
    <cellStyle name="Total 2 14 10" xfId="4760" xr:uid="{00000000-0005-0000-0000-0000D1530000}"/>
    <cellStyle name="Total 2 14 10 2" xfId="11356" xr:uid="{00000000-0005-0000-0000-0000D2530000}"/>
    <cellStyle name="Total 2 14 10 3" xfId="17975" xr:uid="{00000000-0005-0000-0000-0000D3530000}"/>
    <cellStyle name="Total 2 14 10_Summary" xfId="24533" xr:uid="{00000000-0005-0000-0000-0000D4530000}"/>
    <cellStyle name="Total 2 14 11" xfId="589" xr:uid="{00000000-0005-0000-0000-0000D5530000}"/>
    <cellStyle name="Total 2 14 11 2" xfId="13804" xr:uid="{00000000-0005-0000-0000-0000D6530000}"/>
    <cellStyle name="Total 2 14 11_Summary" xfId="24534" xr:uid="{00000000-0005-0000-0000-0000D7530000}"/>
    <cellStyle name="Total 2 14 12" xfId="7233" xr:uid="{00000000-0005-0000-0000-0000D8530000}"/>
    <cellStyle name="Total 2 14 13" xfId="13555" xr:uid="{00000000-0005-0000-0000-0000D9530000}"/>
    <cellStyle name="Total 2 14 14" xfId="30638" xr:uid="{8F6FB1E1-9E0C-4035-9A93-D055873B6B65}"/>
    <cellStyle name="Total 2 14 15" xfId="32070" xr:uid="{1DD2D426-FE4F-42BE-A0A8-0994D6A17DD7}"/>
    <cellStyle name="Total 2 14 2" xfId="468" xr:uid="{00000000-0005-0000-0000-0000DA530000}"/>
    <cellStyle name="Total 2 14 2 10" xfId="862" xr:uid="{00000000-0005-0000-0000-0000DB530000}"/>
    <cellStyle name="Total 2 14 2 10 2" xfId="14077" xr:uid="{00000000-0005-0000-0000-0000DC530000}"/>
    <cellStyle name="Total 2 14 2 10_Summary" xfId="24536" xr:uid="{00000000-0005-0000-0000-0000DD530000}"/>
    <cellStyle name="Total 2 14 2 11" xfId="7361" xr:uid="{00000000-0005-0000-0000-0000DE530000}"/>
    <cellStyle name="Total 2 14 2 12" xfId="13683" xr:uid="{00000000-0005-0000-0000-0000DF530000}"/>
    <cellStyle name="Total 2 14 2 2" xfId="1162" xr:uid="{00000000-0005-0000-0000-0000E0530000}"/>
    <cellStyle name="Total 2 14 2 2 2" xfId="3298" xr:uid="{00000000-0005-0000-0000-0000E1530000}"/>
    <cellStyle name="Total 2 14 2 2 2 2" xfId="9894" xr:uid="{00000000-0005-0000-0000-0000E2530000}"/>
    <cellStyle name="Total 2 14 2 2 2 3" xfId="16513" xr:uid="{00000000-0005-0000-0000-0000E3530000}"/>
    <cellStyle name="Total 2 14 2 2 2_Summary" xfId="24538" xr:uid="{00000000-0005-0000-0000-0000E4530000}"/>
    <cellStyle name="Total 2 14 2 2 3" xfId="5333" xr:uid="{00000000-0005-0000-0000-0000E5530000}"/>
    <cellStyle name="Total 2 14 2 2 3 2" xfId="11929" xr:uid="{00000000-0005-0000-0000-0000E6530000}"/>
    <cellStyle name="Total 2 14 2 2 3 3" xfId="18548" xr:uid="{00000000-0005-0000-0000-0000E7530000}"/>
    <cellStyle name="Total 2 14 2 2 3_Summary" xfId="24539" xr:uid="{00000000-0005-0000-0000-0000E8530000}"/>
    <cellStyle name="Total 2 14 2 2 4" xfId="7758" xr:uid="{00000000-0005-0000-0000-0000E9530000}"/>
    <cellStyle name="Total 2 14 2 2 5" xfId="14377" xr:uid="{00000000-0005-0000-0000-0000EA530000}"/>
    <cellStyle name="Total 2 14 2 2_Summary" xfId="24537" xr:uid="{00000000-0005-0000-0000-0000EB530000}"/>
    <cellStyle name="Total 2 14 2 3" xfId="1444" xr:uid="{00000000-0005-0000-0000-0000EC530000}"/>
    <cellStyle name="Total 2 14 2 3 2" xfId="3580" xr:uid="{00000000-0005-0000-0000-0000ED530000}"/>
    <cellStyle name="Total 2 14 2 3 2 2" xfId="10176" xr:uid="{00000000-0005-0000-0000-0000EE530000}"/>
    <cellStyle name="Total 2 14 2 3 2 3" xfId="16795" xr:uid="{00000000-0005-0000-0000-0000EF530000}"/>
    <cellStyle name="Total 2 14 2 3 2_Summary" xfId="24541" xr:uid="{00000000-0005-0000-0000-0000F0530000}"/>
    <cellStyle name="Total 2 14 2 3 3" xfId="5615" xr:uid="{00000000-0005-0000-0000-0000F1530000}"/>
    <cellStyle name="Total 2 14 2 3 3 2" xfId="12211" xr:uid="{00000000-0005-0000-0000-0000F2530000}"/>
    <cellStyle name="Total 2 14 2 3 3 3" xfId="18830" xr:uid="{00000000-0005-0000-0000-0000F3530000}"/>
    <cellStyle name="Total 2 14 2 3 3_Summary" xfId="24542" xr:uid="{00000000-0005-0000-0000-0000F4530000}"/>
    <cellStyle name="Total 2 14 2 3 4" xfId="8040" xr:uid="{00000000-0005-0000-0000-0000F5530000}"/>
    <cellStyle name="Total 2 14 2 3 5" xfId="14659" xr:uid="{00000000-0005-0000-0000-0000F6530000}"/>
    <cellStyle name="Total 2 14 2 3_Summary" xfId="24540" xr:uid="{00000000-0005-0000-0000-0000F7530000}"/>
    <cellStyle name="Total 2 14 2 4" xfId="1725" xr:uid="{00000000-0005-0000-0000-0000F8530000}"/>
    <cellStyle name="Total 2 14 2 4 2" xfId="3861" xr:uid="{00000000-0005-0000-0000-0000F9530000}"/>
    <cellStyle name="Total 2 14 2 4 2 2" xfId="10457" xr:uid="{00000000-0005-0000-0000-0000FA530000}"/>
    <cellStyle name="Total 2 14 2 4 2 3" xfId="17076" xr:uid="{00000000-0005-0000-0000-0000FB530000}"/>
    <cellStyle name="Total 2 14 2 4 2_Summary" xfId="24544" xr:uid="{00000000-0005-0000-0000-0000FC530000}"/>
    <cellStyle name="Total 2 14 2 4 3" xfId="5896" xr:uid="{00000000-0005-0000-0000-0000FD530000}"/>
    <cellStyle name="Total 2 14 2 4 3 2" xfId="12492" xr:uid="{00000000-0005-0000-0000-0000FE530000}"/>
    <cellStyle name="Total 2 14 2 4 3 3" xfId="19111" xr:uid="{00000000-0005-0000-0000-0000FF530000}"/>
    <cellStyle name="Total 2 14 2 4 3_Summary" xfId="24545" xr:uid="{00000000-0005-0000-0000-000000540000}"/>
    <cellStyle name="Total 2 14 2 4 4" xfId="8321" xr:uid="{00000000-0005-0000-0000-000001540000}"/>
    <cellStyle name="Total 2 14 2 4 5" xfId="14940" xr:uid="{00000000-0005-0000-0000-000002540000}"/>
    <cellStyle name="Total 2 14 2 4_Summary" xfId="24543" xr:uid="{00000000-0005-0000-0000-000003540000}"/>
    <cellStyle name="Total 2 14 2 5" xfId="2004" xr:uid="{00000000-0005-0000-0000-000004540000}"/>
    <cellStyle name="Total 2 14 2 5 2" xfId="4140" xr:uid="{00000000-0005-0000-0000-000005540000}"/>
    <cellStyle name="Total 2 14 2 5 2 2" xfId="10736" xr:uid="{00000000-0005-0000-0000-000006540000}"/>
    <cellStyle name="Total 2 14 2 5 2 3" xfId="17355" xr:uid="{00000000-0005-0000-0000-000007540000}"/>
    <cellStyle name="Total 2 14 2 5 2_Summary" xfId="24547" xr:uid="{00000000-0005-0000-0000-000008540000}"/>
    <cellStyle name="Total 2 14 2 5 3" xfId="6175" xr:uid="{00000000-0005-0000-0000-000009540000}"/>
    <cellStyle name="Total 2 14 2 5 3 2" xfId="12771" xr:uid="{00000000-0005-0000-0000-00000A540000}"/>
    <cellStyle name="Total 2 14 2 5 3 3" xfId="19390" xr:uid="{00000000-0005-0000-0000-00000B540000}"/>
    <cellStyle name="Total 2 14 2 5 3_Summary" xfId="24548" xr:uid="{00000000-0005-0000-0000-00000C540000}"/>
    <cellStyle name="Total 2 14 2 5 4" xfId="8600" xr:uid="{00000000-0005-0000-0000-00000D540000}"/>
    <cellStyle name="Total 2 14 2 5 5" xfId="15219" xr:uid="{00000000-0005-0000-0000-00000E540000}"/>
    <cellStyle name="Total 2 14 2 5_Summary" xfId="24546" xr:uid="{00000000-0005-0000-0000-00000F540000}"/>
    <cellStyle name="Total 2 14 2 6" xfId="2279" xr:uid="{00000000-0005-0000-0000-000010540000}"/>
    <cellStyle name="Total 2 14 2 6 2" xfId="4415" xr:uid="{00000000-0005-0000-0000-000011540000}"/>
    <cellStyle name="Total 2 14 2 6 2 2" xfId="11011" xr:uid="{00000000-0005-0000-0000-000012540000}"/>
    <cellStyle name="Total 2 14 2 6 2 3" xfId="17630" xr:uid="{00000000-0005-0000-0000-000013540000}"/>
    <cellStyle name="Total 2 14 2 6 2_Summary" xfId="24550" xr:uid="{00000000-0005-0000-0000-000014540000}"/>
    <cellStyle name="Total 2 14 2 6 3" xfId="6450" xr:uid="{00000000-0005-0000-0000-000015540000}"/>
    <cellStyle name="Total 2 14 2 6 3 2" xfId="13046" xr:uid="{00000000-0005-0000-0000-000016540000}"/>
    <cellStyle name="Total 2 14 2 6 3 3" xfId="19665" xr:uid="{00000000-0005-0000-0000-000017540000}"/>
    <cellStyle name="Total 2 14 2 6 3_Summary" xfId="24551" xr:uid="{00000000-0005-0000-0000-000018540000}"/>
    <cellStyle name="Total 2 14 2 6 4" xfId="8875" xr:uid="{00000000-0005-0000-0000-000019540000}"/>
    <cellStyle name="Total 2 14 2 6 5" xfId="15494" xr:uid="{00000000-0005-0000-0000-00001A540000}"/>
    <cellStyle name="Total 2 14 2 6_Summary" xfId="24549" xr:uid="{00000000-0005-0000-0000-00001B540000}"/>
    <cellStyle name="Total 2 14 2 7" xfId="2552" xr:uid="{00000000-0005-0000-0000-00001C540000}"/>
    <cellStyle name="Total 2 14 2 7 2" xfId="4688" xr:uid="{00000000-0005-0000-0000-00001D540000}"/>
    <cellStyle name="Total 2 14 2 7 2 2" xfId="11284" xr:uid="{00000000-0005-0000-0000-00001E540000}"/>
    <cellStyle name="Total 2 14 2 7 2 3" xfId="17903" xr:uid="{00000000-0005-0000-0000-00001F540000}"/>
    <cellStyle name="Total 2 14 2 7 2_Summary" xfId="24553" xr:uid="{00000000-0005-0000-0000-000020540000}"/>
    <cellStyle name="Total 2 14 2 7 3" xfId="6723" xr:uid="{00000000-0005-0000-0000-000021540000}"/>
    <cellStyle name="Total 2 14 2 7 3 2" xfId="13319" xr:uid="{00000000-0005-0000-0000-000022540000}"/>
    <cellStyle name="Total 2 14 2 7 3 3" xfId="19938" xr:uid="{00000000-0005-0000-0000-000023540000}"/>
    <cellStyle name="Total 2 14 2 7 3_Summary" xfId="24554" xr:uid="{00000000-0005-0000-0000-000024540000}"/>
    <cellStyle name="Total 2 14 2 7 4" xfId="9148" xr:uid="{00000000-0005-0000-0000-000025540000}"/>
    <cellStyle name="Total 2 14 2 7 5" xfId="15767" xr:uid="{00000000-0005-0000-0000-000026540000}"/>
    <cellStyle name="Total 2 14 2 7_Summary" xfId="24552" xr:uid="{00000000-0005-0000-0000-000027540000}"/>
    <cellStyle name="Total 2 14 2 8" xfId="2998" xr:uid="{00000000-0005-0000-0000-000028540000}"/>
    <cellStyle name="Total 2 14 2 8 2" xfId="9594" xr:uid="{00000000-0005-0000-0000-000029540000}"/>
    <cellStyle name="Total 2 14 2 8 3" xfId="16213" xr:uid="{00000000-0005-0000-0000-00002A540000}"/>
    <cellStyle name="Total 2 14 2 8_Summary" xfId="24555" xr:uid="{00000000-0005-0000-0000-00002B540000}"/>
    <cellStyle name="Total 2 14 2 9" xfId="5033" xr:uid="{00000000-0005-0000-0000-00002C540000}"/>
    <cellStyle name="Total 2 14 2 9 2" xfId="11629" xr:uid="{00000000-0005-0000-0000-00002D540000}"/>
    <cellStyle name="Total 2 14 2 9 3" xfId="18248" xr:uid="{00000000-0005-0000-0000-00002E540000}"/>
    <cellStyle name="Total 2 14 2 9_Summary" xfId="24556" xr:uid="{00000000-0005-0000-0000-00002F540000}"/>
    <cellStyle name="Total 2 14 2_Summary" xfId="24535" xr:uid="{00000000-0005-0000-0000-000030540000}"/>
    <cellStyle name="Total 2 14 3" xfId="1034" xr:uid="{00000000-0005-0000-0000-000031540000}"/>
    <cellStyle name="Total 2 14 3 2" xfId="3170" xr:uid="{00000000-0005-0000-0000-000032540000}"/>
    <cellStyle name="Total 2 14 3 2 2" xfId="9766" xr:uid="{00000000-0005-0000-0000-000033540000}"/>
    <cellStyle name="Total 2 14 3 2 3" xfId="16385" xr:uid="{00000000-0005-0000-0000-000034540000}"/>
    <cellStyle name="Total 2 14 3 2_Summary" xfId="24558" xr:uid="{00000000-0005-0000-0000-000035540000}"/>
    <cellStyle name="Total 2 14 3 3" xfId="5205" xr:uid="{00000000-0005-0000-0000-000036540000}"/>
    <cellStyle name="Total 2 14 3 3 2" xfId="11801" xr:uid="{00000000-0005-0000-0000-000037540000}"/>
    <cellStyle name="Total 2 14 3 3 3" xfId="18420" xr:uid="{00000000-0005-0000-0000-000038540000}"/>
    <cellStyle name="Total 2 14 3 3_Summary" xfId="24559" xr:uid="{00000000-0005-0000-0000-000039540000}"/>
    <cellStyle name="Total 2 14 3 4" xfId="7631" xr:uid="{00000000-0005-0000-0000-00003A540000}"/>
    <cellStyle name="Total 2 14 3 5" xfId="14249" xr:uid="{00000000-0005-0000-0000-00003B540000}"/>
    <cellStyle name="Total 2 14 3_Summary" xfId="24557" xr:uid="{00000000-0005-0000-0000-00003C540000}"/>
    <cellStyle name="Total 2 14 4" xfId="1316" xr:uid="{00000000-0005-0000-0000-00003D540000}"/>
    <cellStyle name="Total 2 14 4 2" xfId="3452" xr:uid="{00000000-0005-0000-0000-00003E540000}"/>
    <cellStyle name="Total 2 14 4 2 2" xfId="10048" xr:uid="{00000000-0005-0000-0000-00003F540000}"/>
    <cellStyle name="Total 2 14 4 2 3" xfId="16667" xr:uid="{00000000-0005-0000-0000-000040540000}"/>
    <cellStyle name="Total 2 14 4 2_Summary" xfId="24561" xr:uid="{00000000-0005-0000-0000-000041540000}"/>
    <cellStyle name="Total 2 14 4 3" xfId="5487" xr:uid="{00000000-0005-0000-0000-000042540000}"/>
    <cellStyle name="Total 2 14 4 3 2" xfId="12083" xr:uid="{00000000-0005-0000-0000-000043540000}"/>
    <cellStyle name="Total 2 14 4 3 3" xfId="18702" xr:uid="{00000000-0005-0000-0000-000044540000}"/>
    <cellStyle name="Total 2 14 4 3_Summary" xfId="24562" xr:uid="{00000000-0005-0000-0000-000045540000}"/>
    <cellStyle name="Total 2 14 4 4" xfId="7912" xr:uid="{00000000-0005-0000-0000-000046540000}"/>
    <cellStyle name="Total 2 14 4 5" xfId="14531" xr:uid="{00000000-0005-0000-0000-000047540000}"/>
    <cellStyle name="Total 2 14 4_Summary" xfId="24560" xr:uid="{00000000-0005-0000-0000-000048540000}"/>
    <cellStyle name="Total 2 14 5" xfId="1597" xr:uid="{00000000-0005-0000-0000-000049540000}"/>
    <cellStyle name="Total 2 14 5 2" xfId="3733" xr:uid="{00000000-0005-0000-0000-00004A540000}"/>
    <cellStyle name="Total 2 14 5 2 2" xfId="10329" xr:uid="{00000000-0005-0000-0000-00004B540000}"/>
    <cellStyle name="Total 2 14 5 2 3" xfId="16948" xr:uid="{00000000-0005-0000-0000-00004C540000}"/>
    <cellStyle name="Total 2 14 5 2_Summary" xfId="24564" xr:uid="{00000000-0005-0000-0000-00004D540000}"/>
    <cellStyle name="Total 2 14 5 3" xfId="5768" xr:uid="{00000000-0005-0000-0000-00004E540000}"/>
    <cellStyle name="Total 2 14 5 3 2" xfId="12364" xr:uid="{00000000-0005-0000-0000-00004F540000}"/>
    <cellStyle name="Total 2 14 5 3 3" xfId="18983" xr:uid="{00000000-0005-0000-0000-000050540000}"/>
    <cellStyle name="Total 2 14 5 3_Summary" xfId="24565" xr:uid="{00000000-0005-0000-0000-000051540000}"/>
    <cellStyle name="Total 2 14 5 4" xfId="8193" xr:uid="{00000000-0005-0000-0000-000052540000}"/>
    <cellStyle name="Total 2 14 5 5" xfId="14812" xr:uid="{00000000-0005-0000-0000-000053540000}"/>
    <cellStyle name="Total 2 14 5_Summary" xfId="24563" xr:uid="{00000000-0005-0000-0000-000054540000}"/>
    <cellStyle name="Total 2 14 6" xfId="1876" xr:uid="{00000000-0005-0000-0000-000055540000}"/>
    <cellStyle name="Total 2 14 6 2" xfId="4012" xr:uid="{00000000-0005-0000-0000-000056540000}"/>
    <cellStyle name="Total 2 14 6 2 2" xfId="10608" xr:uid="{00000000-0005-0000-0000-000057540000}"/>
    <cellStyle name="Total 2 14 6 2 3" xfId="17227" xr:uid="{00000000-0005-0000-0000-000058540000}"/>
    <cellStyle name="Total 2 14 6 2_Summary" xfId="24567" xr:uid="{00000000-0005-0000-0000-000059540000}"/>
    <cellStyle name="Total 2 14 6 3" xfId="6047" xr:uid="{00000000-0005-0000-0000-00005A540000}"/>
    <cellStyle name="Total 2 14 6 3 2" xfId="12643" xr:uid="{00000000-0005-0000-0000-00005B540000}"/>
    <cellStyle name="Total 2 14 6 3 3" xfId="19262" xr:uid="{00000000-0005-0000-0000-00005C540000}"/>
    <cellStyle name="Total 2 14 6 3_Summary" xfId="24568" xr:uid="{00000000-0005-0000-0000-00005D540000}"/>
    <cellStyle name="Total 2 14 6 4" xfId="8472" xr:uid="{00000000-0005-0000-0000-00005E540000}"/>
    <cellStyle name="Total 2 14 6 5" xfId="15091" xr:uid="{00000000-0005-0000-0000-00005F540000}"/>
    <cellStyle name="Total 2 14 6_Summary" xfId="24566" xr:uid="{00000000-0005-0000-0000-000060540000}"/>
    <cellStyle name="Total 2 14 7" xfId="2151" xr:uid="{00000000-0005-0000-0000-000061540000}"/>
    <cellStyle name="Total 2 14 7 2" xfId="4287" xr:uid="{00000000-0005-0000-0000-000062540000}"/>
    <cellStyle name="Total 2 14 7 2 2" xfId="10883" xr:uid="{00000000-0005-0000-0000-000063540000}"/>
    <cellStyle name="Total 2 14 7 2 3" xfId="17502" xr:uid="{00000000-0005-0000-0000-000064540000}"/>
    <cellStyle name="Total 2 14 7 2_Summary" xfId="24570" xr:uid="{00000000-0005-0000-0000-000065540000}"/>
    <cellStyle name="Total 2 14 7 3" xfId="6322" xr:uid="{00000000-0005-0000-0000-000066540000}"/>
    <cellStyle name="Total 2 14 7 3 2" xfId="12918" xr:uid="{00000000-0005-0000-0000-000067540000}"/>
    <cellStyle name="Total 2 14 7 3 3" xfId="19537" xr:uid="{00000000-0005-0000-0000-000068540000}"/>
    <cellStyle name="Total 2 14 7 3_Summary" xfId="24571" xr:uid="{00000000-0005-0000-0000-000069540000}"/>
    <cellStyle name="Total 2 14 7 4" xfId="8747" xr:uid="{00000000-0005-0000-0000-00006A540000}"/>
    <cellStyle name="Total 2 14 7 5" xfId="15366" xr:uid="{00000000-0005-0000-0000-00006B540000}"/>
    <cellStyle name="Total 2 14 7_Summary" xfId="24569" xr:uid="{00000000-0005-0000-0000-00006C540000}"/>
    <cellStyle name="Total 2 14 8" xfId="2424" xr:uid="{00000000-0005-0000-0000-00006D540000}"/>
    <cellStyle name="Total 2 14 8 2" xfId="4560" xr:uid="{00000000-0005-0000-0000-00006E540000}"/>
    <cellStyle name="Total 2 14 8 2 2" xfId="11156" xr:uid="{00000000-0005-0000-0000-00006F540000}"/>
    <cellStyle name="Total 2 14 8 2 3" xfId="17775" xr:uid="{00000000-0005-0000-0000-000070540000}"/>
    <cellStyle name="Total 2 14 8 2_Summary" xfId="24573" xr:uid="{00000000-0005-0000-0000-000071540000}"/>
    <cellStyle name="Total 2 14 8 3" xfId="6595" xr:uid="{00000000-0005-0000-0000-000072540000}"/>
    <cellStyle name="Total 2 14 8 3 2" xfId="13191" xr:uid="{00000000-0005-0000-0000-000073540000}"/>
    <cellStyle name="Total 2 14 8 3 3" xfId="19810" xr:uid="{00000000-0005-0000-0000-000074540000}"/>
    <cellStyle name="Total 2 14 8 3_Summary" xfId="24574" xr:uid="{00000000-0005-0000-0000-000075540000}"/>
    <cellStyle name="Total 2 14 8 4" xfId="9020" xr:uid="{00000000-0005-0000-0000-000076540000}"/>
    <cellStyle name="Total 2 14 8 5" xfId="15639" xr:uid="{00000000-0005-0000-0000-000077540000}"/>
    <cellStyle name="Total 2 14 8_Summary" xfId="24572" xr:uid="{00000000-0005-0000-0000-000078540000}"/>
    <cellStyle name="Total 2 14 9" xfId="2725" xr:uid="{00000000-0005-0000-0000-000079540000}"/>
    <cellStyle name="Total 2 14 9 2" xfId="9321" xr:uid="{00000000-0005-0000-0000-00007A540000}"/>
    <cellStyle name="Total 2 14 9 3" xfId="15940" xr:uid="{00000000-0005-0000-0000-00007B540000}"/>
    <cellStyle name="Total 2 14 9_Summary" xfId="24575" xr:uid="{00000000-0005-0000-0000-00007C540000}"/>
    <cellStyle name="Total 2 14_Summary" xfId="24532" xr:uid="{00000000-0005-0000-0000-00007D540000}"/>
    <cellStyle name="Total 2 15" xfId="269" xr:uid="{00000000-0005-0000-0000-00007E540000}"/>
    <cellStyle name="Total 2 15 10" xfId="4690" xr:uid="{00000000-0005-0000-0000-00007F540000}"/>
    <cellStyle name="Total 2 15 10 2" xfId="11286" xr:uid="{00000000-0005-0000-0000-000080540000}"/>
    <cellStyle name="Total 2 15 10 3" xfId="17905" xr:uid="{00000000-0005-0000-0000-000081540000}"/>
    <cellStyle name="Total 2 15 10_Summary" xfId="24577" xr:uid="{00000000-0005-0000-0000-000082540000}"/>
    <cellStyle name="Total 2 15 11" xfId="520" xr:uid="{00000000-0005-0000-0000-000083540000}"/>
    <cellStyle name="Total 2 15 11 2" xfId="13735" xr:uid="{00000000-0005-0000-0000-000084540000}"/>
    <cellStyle name="Total 2 15 11_Summary" xfId="24578" xr:uid="{00000000-0005-0000-0000-000085540000}"/>
    <cellStyle name="Total 2 15 12" xfId="7164" xr:uid="{00000000-0005-0000-0000-000086540000}"/>
    <cellStyle name="Total 2 15 13" xfId="13487" xr:uid="{00000000-0005-0000-0000-000087540000}"/>
    <cellStyle name="Total 2 15 2" xfId="404" xr:uid="{00000000-0005-0000-0000-000088540000}"/>
    <cellStyle name="Total 2 15 2 10" xfId="793" xr:uid="{00000000-0005-0000-0000-000089540000}"/>
    <cellStyle name="Total 2 15 2 10 2" xfId="14008" xr:uid="{00000000-0005-0000-0000-00008A540000}"/>
    <cellStyle name="Total 2 15 2 10_Summary" xfId="24580" xr:uid="{00000000-0005-0000-0000-00008B540000}"/>
    <cellStyle name="Total 2 15 2 11" xfId="7297" xr:uid="{00000000-0005-0000-0000-00008C540000}"/>
    <cellStyle name="Total 2 15 2 12" xfId="13619" xr:uid="{00000000-0005-0000-0000-00008D540000}"/>
    <cellStyle name="Total 2 15 2 2" xfId="1098" xr:uid="{00000000-0005-0000-0000-00008E540000}"/>
    <cellStyle name="Total 2 15 2 2 2" xfId="3234" xr:uid="{00000000-0005-0000-0000-00008F540000}"/>
    <cellStyle name="Total 2 15 2 2 2 2" xfId="9830" xr:uid="{00000000-0005-0000-0000-000090540000}"/>
    <cellStyle name="Total 2 15 2 2 2 3" xfId="16449" xr:uid="{00000000-0005-0000-0000-000091540000}"/>
    <cellStyle name="Total 2 15 2 2 2_Summary" xfId="24582" xr:uid="{00000000-0005-0000-0000-000092540000}"/>
    <cellStyle name="Total 2 15 2 2 3" xfId="5269" xr:uid="{00000000-0005-0000-0000-000093540000}"/>
    <cellStyle name="Total 2 15 2 2 3 2" xfId="11865" xr:uid="{00000000-0005-0000-0000-000094540000}"/>
    <cellStyle name="Total 2 15 2 2 3 3" xfId="18484" xr:uid="{00000000-0005-0000-0000-000095540000}"/>
    <cellStyle name="Total 2 15 2 2 3_Summary" xfId="24583" xr:uid="{00000000-0005-0000-0000-000096540000}"/>
    <cellStyle name="Total 2 15 2 2 4" xfId="7694" xr:uid="{00000000-0005-0000-0000-000097540000}"/>
    <cellStyle name="Total 2 15 2 2 5" xfId="14313" xr:uid="{00000000-0005-0000-0000-000098540000}"/>
    <cellStyle name="Total 2 15 2 2_Summary" xfId="24581" xr:uid="{00000000-0005-0000-0000-000099540000}"/>
    <cellStyle name="Total 2 15 2 3" xfId="1380" xr:uid="{00000000-0005-0000-0000-00009A540000}"/>
    <cellStyle name="Total 2 15 2 3 2" xfId="3516" xr:uid="{00000000-0005-0000-0000-00009B540000}"/>
    <cellStyle name="Total 2 15 2 3 2 2" xfId="10112" xr:uid="{00000000-0005-0000-0000-00009C540000}"/>
    <cellStyle name="Total 2 15 2 3 2 3" xfId="16731" xr:uid="{00000000-0005-0000-0000-00009D540000}"/>
    <cellStyle name="Total 2 15 2 3 2_Summary" xfId="24585" xr:uid="{00000000-0005-0000-0000-00009E540000}"/>
    <cellStyle name="Total 2 15 2 3 3" xfId="5551" xr:uid="{00000000-0005-0000-0000-00009F540000}"/>
    <cellStyle name="Total 2 15 2 3 3 2" xfId="12147" xr:uid="{00000000-0005-0000-0000-0000A0540000}"/>
    <cellStyle name="Total 2 15 2 3 3 3" xfId="18766" xr:uid="{00000000-0005-0000-0000-0000A1540000}"/>
    <cellStyle name="Total 2 15 2 3 3_Summary" xfId="24586" xr:uid="{00000000-0005-0000-0000-0000A2540000}"/>
    <cellStyle name="Total 2 15 2 3 4" xfId="7976" xr:uid="{00000000-0005-0000-0000-0000A3540000}"/>
    <cellStyle name="Total 2 15 2 3 5" xfId="14595" xr:uid="{00000000-0005-0000-0000-0000A4540000}"/>
    <cellStyle name="Total 2 15 2 3_Summary" xfId="24584" xr:uid="{00000000-0005-0000-0000-0000A5540000}"/>
    <cellStyle name="Total 2 15 2 4" xfId="1661" xr:uid="{00000000-0005-0000-0000-0000A6540000}"/>
    <cellStyle name="Total 2 15 2 4 2" xfId="3797" xr:uid="{00000000-0005-0000-0000-0000A7540000}"/>
    <cellStyle name="Total 2 15 2 4 2 2" xfId="10393" xr:uid="{00000000-0005-0000-0000-0000A8540000}"/>
    <cellStyle name="Total 2 15 2 4 2 3" xfId="17012" xr:uid="{00000000-0005-0000-0000-0000A9540000}"/>
    <cellStyle name="Total 2 15 2 4 2_Summary" xfId="24588" xr:uid="{00000000-0005-0000-0000-0000AA540000}"/>
    <cellStyle name="Total 2 15 2 4 3" xfId="5832" xr:uid="{00000000-0005-0000-0000-0000AB540000}"/>
    <cellStyle name="Total 2 15 2 4 3 2" xfId="12428" xr:uid="{00000000-0005-0000-0000-0000AC540000}"/>
    <cellStyle name="Total 2 15 2 4 3 3" xfId="19047" xr:uid="{00000000-0005-0000-0000-0000AD540000}"/>
    <cellStyle name="Total 2 15 2 4 3_Summary" xfId="24589" xr:uid="{00000000-0005-0000-0000-0000AE540000}"/>
    <cellStyle name="Total 2 15 2 4 4" xfId="8257" xr:uid="{00000000-0005-0000-0000-0000AF540000}"/>
    <cellStyle name="Total 2 15 2 4 5" xfId="14876" xr:uid="{00000000-0005-0000-0000-0000B0540000}"/>
    <cellStyle name="Total 2 15 2 4_Summary" xfId="24587" xr:uid="{00000000-0005-0000-0000-0000B1540000}"/>
    <cellStyle name="Total 2 15 2 5" xfId="1940" xr:uid="{00000000-0005-0000-0000-0000B2540000}"/>
    <cellStyle name="Total 2 15 2 5 2" xfId="4076" xr:uid="{00000000-0005-0000-0000-0000B3540000}"/>
    <cellStyle name="Total 2 15 2 5 2 2" xfId="10672" xr:uid="{00000000-0005-0000-0000-0000B4540000}"/>
    <cellStyle name="Total 2 15 2 5 2 3" xfId="17291" xr:uid="{00000000-0005-0000-0000-0000B5540000}"/>
    <cellStyle name="Total 2 15 2 5 2_Summary" xfId="24591" xr:uid="{00000000-0005-0000-0000-0000B6540000}"/>
    <cellStyle name="Total 2 15 2 5 3" xfId="6111" xr:uid="{00000000-0005-0000-0000-0000B7540000}"/>
    <cellStyle name="Total 2 15 2 5 3 2" xfId="12707" xr:uid="{00000000-0005-0000-0000-0000B8540000}"/>
    <cellStyle name="Total 2 15 2 5 3 3" xfId="19326" xr:uid="{00000000-0005-0000-0000-0000B9540000}"/>
    <cellStyle name="Total 2 15 2 5 3_Summary" xfId="24592" xr:uid="{00000000-0005-0000-0000-0000BA540000}"/>
    <cellStyle name="Total 2 15 2 5 4" xfId="8536" xr:uid="{00000000-0005-0000-0000-0000BB540000}"/>
    <cellStyle name="Total 2 15 2 5 5" xfId="15155" xr:uid="{00000000-0005-0000-0000-0000BC540000}"/>
    <cellStyle name="Total 2 15 2 5_Summary" xfId="24590" xr:uid="{00000000-0005-0000-0000-0000BD540000}"/>
    <cellStyle name="Total 2 15 2 6" xfId="2215" xr:uid="{00000000-0005-0000-0000-0000BE540000}"/>
    <cellStyle name="Total 2 15 2 6 2" xfId="4351" xr:uid="{00000000-0005-0000-0000-0000BF540000}"/>
    <cellStyle name="Total 2 15 2 6 2 2" xfId="10947" xr:uid="{00000000-0005-0000-0000-0000C0540000}"/>
    <cellStyle name="Total 2 15 2 6 2 3" xfId="17566" xr:uid="{00000000-0005-0000-0000-0000C1540000}"/>
    <cellStyle name="Total 2 15 2 6 2_Summary" xfId="24594" xr:uid="{00000000-0005-0000-0000-0000C2540000}"/>
    <cellStyle name="Total 2 15 2 6 3" xfId="6386" xr:uid="{00000000-0005-0000-0000-0000C3540000}"/>
    <cellStyle name="Total 2 15 2 6 3 2" xfId="12982" xr:uid="{00000000-0005-0000-0000-0000C4540000}"/>
    <cellStyle name="Total 2 15 2 6 3 3" xfId="19601" xr:uid="{00000000-0005-0000-0000-0000C5540000}"/>
    <cellStyle name="Total 2 15 2 6 3_Summary" xfId="24595" xr:uid="{00000000-0005-0000-0000-0000C6540000}"/>
    <cellStyle name="Total 2 15 2 6 4" xfId="8811" xr:uid="{00000000-0005-0000-0000-0000C7540000}"/>
    <cellStyle name="Total 2 15 2 6 5" xfId="15430" xr:uid="{00000000-0005-0000-0000-0000C8540000}"/>
    <cellStyle name="Total 2 15 2 6_Summary" xfId="24593" xr:uid="{00000000-0005-0000-0000-0000C9540000}"/>
    <cellStyle name="Total 2 15 2 7" xfId="2488" xr:uid="{00000000-0005-0000-0000-0000CA540000}"/>
    <cellStyle name="Total 2 15 2 7 2" xfId="4624" xr:uid="{00000000-0005-0000-0000-0000CB540000}"/>
    <cellStyle name="Total 2 15 2 7 2 2" xfId="11220" xr:uid="{00000000-0005-0000-0000-0000CC540000}"/>
    <cellStyle name="Total 2 15 2 7 2 3" xfId="17839" xr:uid="{00000000-0005-0000-0000-0000CD540000}"/>
    <cellStyle name="Total 2 15 2 7 2_Summary" xfId="24597" xr:uid="{00000000-0005-0000-0000-0000CE540000}"/>
    <cellStyle name="Total 2 15 2 7 3" xfId="6659" xr:uid="{00000000-0005-0000-0000-0000CF540000}"/>
    <cellStyle name="Total 2 15 2 7 3 2" xfId="13255" xr:uid="{00000000-0005-0000-0000-0000D0540000}"/>
    <cellStyle name="Total 2 15 2 7 3 3" xfId="19874" xr:uid="{00000000-0005-0000-0000-0000D1540000}"/>
    <cellStyle name="Total 2 15 2 7 3_Summary" xfId="24598" xr:uid="{00000000-0005-0000-0000-0000D2540000}"/>
    <cellStyle name="Total 2 15 2 7 4" xfId="9084" xr:uid="{00000000-0005-0000-0000-0000D3540000}"/>
    <cellStyle name="Total 2 15 2 7 5" xfId="15703" xr:uid="{00000000-0005-0000-0000-0000D4540000}"/>
    <cellStyle name="Total 2 15 2 7_Summary" xfId="24596" xr:uid="{00000000-0005-0000-0000-0000D5540000}"/>
    <cellStyle name="Total 2 15 2 8" xfId="2929" xr:uid="{00000000-0005-0000-0000-0000D6540000}"/>
    <cellStyle name="Total 2 15 2 8 2" xfId="9525" xr:uid="{00000000-0005-0000-0000-0000D7540000}"/>
    <cellStyle name="Total 2 15 2 8 3" xfId="16144" xr:uid="{00000000-0005-0000-0000-0000D8540000}"/>
    <cellStyle name="Total 2 15 2 8_Summary" xfId="24599" xr:uid="{00000000-0005-0000-0000-0000D9540000}"/>
    <cellStyle name="Total 2 15 2 9" xfId="4964" xr:uid="{00000000-0005-0000-0000-0000DA540000}"/>
    <cellStyle name="Total 2 15 2 9 2" xfId="11560" xr:uid="{00000000-0005-0000-0000-0000DB540000}"/>
    <cellStyle name="Total 2 15 2 9 3" xfId="18179" xr:uid="{00000000-0005-0000-0000-0000DC540000}"/>
    <cellStyle name="Total 2 15 2 9_Summary" xfId="24600" xr:uid="{00000000-0005-0000-0000-0000DD540000}"/>
    <cellStyle name="Total 2 15 2_Summary" xfId="24579" xr:uid="{00000000-0005-0000-0000-0000DE540000}"/>
    <cellStyle name="Total 2 15 3" xfId="965" xr:uid="{00000000-0005-0000-0000-0000DF540000}"/>
    <cellStyle name="Total 2 15 3 2" xfId="3101" xr:uid="{00000000-0005-0000-0000-0000E0540000}"/>
    <cellStyle name="Total 2 15 3 2 2" xfId="9697" xr:uid="{00000000-0005-0000-0000-0000E1540000}"/>
    <cellStyle name="Total 2 15 3 2 3" xfId="16316" xr:uid="{00000000-0005-0000-0000-0000E2540000}"/>
    <cellStyle name="Total 2 15 3 2_Summary" xfId="24602" xr:uid="{00000000-0005-0000-0000-0000E3540000}"/>
    <cellStyle name="Total 2 15 3 3" xfId="5136" xr:uid="{00000000-0005-0000-0000-0000E4540000}"/>
    <cellStyle name="Total 2 15 3 3 2" xfId="11732" xr:uid="{00000000-0005-0000-0000-0000E5540000}"/>
    <cellStyle name="Total 2 15 3 3 3" xfId="18351" xr:uid="{00000000-0005-0000-0000-0000E6540000}"/>
    <cellStyle name="Total 2 15 3 3_Summary" xfId="24603" xr:uid="{00000000-0005-0000-0000-0000E7540000}"/>
    <cellStyle name="Total 2 15 3 4" xfId="7562" xr:uid="{00000000-0005-0000-0000-0000E8540000}"/>
    <cellStyle name="Total 2 15 3 5" xfId="14180" xr:uid="{00000000-0005-0000-0000-0000E9540000}"/>
    <cellStyle name="Total 2 15 3_Summary" xfId="24601" xr:uid="{00000000-0005-0000-0000-0000EA540000}"/>
    <cellStyle name="Total 2 15 4" xfId="1247" xr:uid="{00000000-0005-0000-0000-0000EB540000}"/>
    <cellStyle name="Total 2 15 4 2" xfId="3383" xr:uid="{00000000-0005-0000-0000-0000EC540000}"/>
    <cellStyle name="Total 2 15 4 2 2" xfId="9979" xr:uid="{00000000-0005-0000-0000-0000ED540000}"/>
    <cellStyle name="Total 2 15 4 2 3" xfId="16598" xr:uid="{00000000-0005-0000-0000-0000EE540000}"/>
    <cellStyle name="Total 2 15 4 2_Summary" xfId="24605" xr:uid="{00000000-0005-0000-0000-0000EF540000}"/>
    <cellStyle name="Total 2 15 4 3" xfId="5418" xr:uid="{00000000-0005-0000-0000-0000F0540000}"/>
    <cellStyle name="Total 2 15 4 3 2" xfId="12014" xr:uid="{00000000-0005-0000-0000-0000F1540000}"/>
    <cellStyle name="Total 2 15 4 3 3" xfId="18633" xr:uid="{00000000-0005-0000-0000-0000F2540000}"/>
    <cellStyle name="Total 2 15 4 3_Summary" xfId="24606" xr:uid="{00000000-0005-0000-0000-0000F3540000}"/>
    <cellStyle name="Total 2 15 4 4" xfId="7843" xr:uid="{00000000-0005-0000-0000-0000F4540000}"/>
    <cellStyle name="Total 2 15 4 5" xfId="14462" xr:uid="{00000000-0005-0000-0000-0000F5540000}"/>
    <cellStyle name="Total 2 15 4_Summary" xfId="24604" xr:uid="{00000000-0005-0000-0000-0000F6540000}"/>
    <cellStyle name="Total 2 15 5" xfId="1528" xr:uid="{00000000-0005-0000-0000-0000F7540000}"/>
    <cellStyle name="Total 2 15 5 2" xfId="3664" xr:uid="{00000000-0005-0000-0000-0000F8540000}"/>
    <cellStyle name="Total 2 15 5 2 2" xfId="10260" xr:uid="{00000000-0005-0000-0000-0000F9540000}"/>
    <cellStyle name="Total 2 15 5 2 3" xfId="16879" xr:uid="{00000000-0005-0000-0000-0000FA540000}"/>
    <cellStyle name="Total 2 15 5 2_Summary" xfId="24608" xr:uid="{00000000-0005-0000-0000-0000FB540000}"/>
    <cellStyle name="Total 2 15 5 3" xfId="5699" xr:uid="{00000000-0005-0000-0000-0000FC540000}"/>
    <cellStyle name="Total 2 15 5 3 2" xfId="12295" xr:uid="{00000000-0005-0000-0000-0000FD540000}"/>
    <cellStyle name="Total 2 15 5 3 3" xfId="18914" xr:uid="{00000000-0005-0000-0000-0000FE540000}"/>
    <cellStyle name="Total 2 15 5 3_Summary" xfId="24609" xr:uid="{00000000-0005-0000-0000-0000FF540000}"/>
    <cellStyle name="Total 2 15 5 4" xfId="8124" xr:uid="{00000000-0005-0000-0000-000000550000}"/>
    <cellStyle name="Total 2 15 5 5" xfId="14743" xr:uid="{00000000-0005-0000-0000-000001550000}"/>
    <cellStyle name="Total 2 15 5_Summary" xfId="24607" xr:uid="{00000000-0005-0000-0000-000002550000}"/>
    <cellStyle name="Total 2 15 6" xfId="1807" xr:uid="{00000000-0005-0000-0000-000003550000}"/>
    <cellStyle name="Total 2 15 6 2" xfId="3943" xr:uid="{00000000-0005-0000-0000-000004550000}"/>
    <cellStyle name="Total 2 15 6 2 2" xfId="10539" xr:uid="{00000000-0005-0000-0000-000005550000}"/>
    <cellStyle name="Total 2 15 6 2 3" xfId="17158" xr:uid="{00000000-0005-0000-0000-000006550000}"/>
    <cellStyle name="Total 2 15 6 2_Summary" xfId="24611" xr:uid="{00000000-0005-0000-0000-000007550000}"/>
    <cellStyle name="Total 2 15 6 3" xfId="5978" xr:uid="{00000000-0005-0000-0000-000008550000}"/>
    <cellStyle name="Total 2 15 6 3 2" xfId="12574" xr:uid="{00000000-0005-0000-0000-000009550000}"/>
    <cellStyle name="Total 2 15 6 3 3" xfId="19193" xr:uid="{00000000-0005-0000-0000-00000A550000}"/>
    <cellStyle name="Total 2 15 6 3_Summary" xfId="24612" xr:uid="{00000000-0005-0000-0000-00000B550000}"/>
    <cellStyle name="Total 2 15 6 4" xfId="8403" xr:uid="{00000000-0005-0000-0000-00000C550000}"/>
    <cellStyle name="Total 2 15 6 5" xfId="15022" xr:uid="{00000000-0005-0000-0000-00000D550000}"/>
    <cellStyle name="Total 2 15 6_Summary" xfId="24610" xr:uid="{00000000-0005-0000-0000-00000E550000}"/>
    <cellStyle name="Total 2 15 7" xfId="2083" xr:uid="{00000000-0005-0000-0000-00000F550000}"/>
    <cellStyle name="Total 2 15 7 2" xfId="4219" xr:uid="{00000000-0005-0000-0000-000010550000}"/>
    <cellStyle name="Total 2 15 7 2 2" xfId="10815" xr:uid="{00000000-0005-0000-0000-000011550000}"/>
    <cellStyle name="Total 2 15 7 2 3" xfId="17434" xr:uid="{00000000-0005-0000-0000-000012550000}"/>
    <cellStyle name="Total 2 15 7 2_Summary" xfId="24614" xr:uid="{00000000-0005-0000-0000-000013550000}"/>
    <cellStyle name="Total 2 15 7 3" xfId="6254" xr:uid="{00000000-0005-0000-0000-000014550000}"/>
    <cellStyle name="Total 2 15 7 3 2" xfId="12850" xr:uid="{00000000-0005-0000-0000-000015550000}"/>
    <cellStyle name="Total 2 15 7 3 3" xfId="19469" xr:uid="{00000000-0005-0000-0000-000016550000}"/>
    <cellStyle name="Total 2 15 7 3_Summary" xfId="24615" xr:uid="{00000000-0005-0000-0000-000017550000}"/>
    <cellStyle name="Total 2 15 7 4" xfId="8679" xr:uid="{00000000-0005-0000-0000-000018550000}"/>
    <cellStyle name="Total 2 15 7 5" xfId="15298" xr:uid="{00000000-0005-0000-0000-000019550000}"/>
    <cellStyle name="Total 2 15 7_Summary" xfId="24613" xr:uid="{00000000-0005-0000-0000-00001A550000}"/>
    <cellStyle name="Total 2 15 8" xfId="2356" xr:uid="{00000000-0005-0000-0000-00001B550000}"/>
    <cellStyle name="Total 2 15 8 2" xfId="4492" xr:uid="{00000000-0005-0000-0000-00001C550000}"/>
    <cellStyle name="Total 2 15 8 2 2" xfId="11088" xr:uid="{00000000-0005-0000-0000-00001D550000}"/>
    <cellStyle name="Total 2 15 8 2 3" xfId="17707" xr:uid="{00000000-0005-0000-0000-00001E550000}"/>
    <cellStyle name="Total 2 15 8 2_Summary" xfId="24617" xr:uid="{00000000-0005-0000-0000-00001F550000}"/>
    <cellStyle name="Total 2 15 8 3" xfId="6527" xr:uid="{00000000-0005-0000-0000-000020550000}"/>
    <cellStyle name="Total 2 15 8 3 2" xfId="13123" xr:uid="{00000000-0005-0000-0000-000021550000}"/>
    <cellStyle name="Total 2 15 8 3 3" xfId="19742" xr:uid="{00000000-0005-0000-0000-000022550000}"/>
    <cellStyle name="Total 2 15 8 3_Summary" xfId="24618" xr:uid="{00000000-0005-0000-0000-000023550000}"/>
    <cellStyle name="Total 2 15 8 4" xfId="8952" xr:uid="{00000000-0005-0000-0000-000024550000}"/>
    <cellStyle name="Total 2 15 8 5" xfId="15571" xr:uid="{00000000-0005-0000-0000-000025550000}"/>
    <cellStyle name="Total 2 15 8_Summary" xfId="24616" xr:uid="{00000000-0005-0000-0000-000026550000}"/>
    <cellStyle name="Total 2 15 9" xfId="2656" xr:uid="{00000000-0005-0000-0000-000027550000}"/>
    <cellStyle name="Total 2 15 9 2" xfId="9252" xr:uid="{00000000-0005-0000-0000-000028550000}"/>
    <cellStyle name="Total 2 15 9 3" xfId="15871" xr:uid="{00000000-0005-0000-0000-000029550000}"/>
    <cellStyle name="Total 2 15 9_Summary" xfId="24619" xr:uid="{00000000-0005-0000-0000-00002A550000}"/>
    <cellStyle name="Total 2 15_Summary" xfId="24576" xr:uid="{00000000-0005-0000-0000-00002B550000}"/>
    <cellStyle name="Total 2 16" xfId="207" xr:uid="{00000000-0005-0000-0000-00002C550000}"/>
    <cellStyle name="Total 2 16 10" xfId="744" xr:uid="{00000000-0005-0000-0000-00002D550000}"/>
    <cellStyle name="Total 2 16 10 2" xfId="13959" xr:uid="{00000000-0005-0000-0000-00002E550000}"/>
    <cellStyle name="Total 2 16 10_Summary" xfId="24621" xr:uid="{00000000-0005-0000-0000-00002F550000}"/>
    <cellStyle name="Total 2 16 11" xfId="7114" xr:uid="{00000000-0005-0000-0000-000030550000}"/>
    <cellStyle name="Total 2 16 12" xfId="6995" xr:uid="{00000000-0005-0000-0000-000031550000}"/>
    <cellStyle name="Total 2 16 2" xfId="912" xr:uid="{00000000-0005-0000-0000-000032550000}"/>
    <cellStyle name="Total 2 16 2 2" xfId="3048" xr:uid="{00000000-0005-0000-0000-000033550000}"/>
    <cellStyle name="Total 2 16 2 2 2" xfId="9644" xr:uid="{00000000-0005-0000-0000-000034550000}"/>
    <cellStyle name="Total 2 16 2 2 3" xfId="16263" xr:uid="{00000000-0005-0000-0000-000035550000}"/>
    <cellStyle name="Total 2 16 2 2_Summary" xfId="24623" xr:uid="{00000000-0005-0000-0000-000036550000}"/>
    <cellStyle name="Total 2 16 2 3" xfId="5083" xr:uid="{00000000-0005-0000-0000-000037550000}"/>
    <cellStyle name="Total 2 16 2 3 2" xfId="11679" xr:uid="{00000000-0005-0000-0000-000038550000}"/>
    <cellStyle name="Total 2 16 2 3 3" xfId="18298" xr:uid="{00000000-0005-0000-0000-000039550000}"/>
    <cellStyle name="Total 2 16 2 3_Summary" xfId="24624" xr:uid="{00000000-0005-0000-0000-00003A550000}"/>
    <cellStyle name="Total 2 16 2 4" xfId="7509" xr:uid="{00000000-0005-0000-0000-00003B550000}"/>
    <cellStyle name="Total 2 16 2 5" xfId="14127" xr:uid="{00000000-0005-0000-0000-00003C550000}"/>
    <cellStyle name="Total 2 16 2_Summary" xfId="24622" xr:uid="{00000000-0005-0000-0000-00003D550000}"/>
    <cellStyle name="Total 2 16 3" xfId="1197" xr:uid="{00000000-0005-0000-0000-00003E550000}"/>
    <cellStyle name="Total 2 16 3 2" xfId="3333" xr:uid="{00000000-0005-0000-0000-00003F550000}"/>
    <cellStyle name="Total 2 16 3 2 2" xfId="9929" xr:uid="{00000000-0005-0000-0000-000040550000}"/>
    <cellStyle name="Total 2 16 3 2 3" xfId="16548" xr:uid="{00000000-0005-0000-0000-000041550000}"/>
    <cellStyle name="Total 2 16 3 2_Summary" xfId="24626" xr:uid="{00000000-0005-0000-0000-000042550000}"/>
    <cellStyle name="Total 2 16 3 3" xfId="5368" xr:uid="{00000000-0005-0000-0000-000043550000}"/>
    <cellStyle name="Total 2 16 3 3 2" xfId="11964" xr:uid="{00000000-0005-0000-0000-000044550000}"/>
    <cellStyle name="Total 2 16 3 3 3" xfId="18583" xr:uid="{00000000-0005-0000-0000-000045550000}"/>
    <cellStyle name="Total 2 16 3 3_Summary" xfId="24627" xr:uid="{00000000-0005-0000-0000-000046550000}"/>
    <cellStyle name="Total 2 16 3 4" xfId="7793" xr:uid="{00000000-0005-0000-0000-000047550000}"/>
    <cellStyle name="Total 2 16 3 5" xfId="14412" xr:uid="{00000000-0005-0000-0000-000048550000}"/>
    <cellStyle name="Total 2 16 3_Summary" xfId="24625" xr:uid="{00000000-0005-0000-0000-000049550000}"/>
    <cellStyle name="Total 2 16 4" xfId="1479" xr:uid="{00000000-0005-0000-0000-00004A550000}"/>
    <cellStyle name="Total 2 16 4 2" xfId="3615" xr:uid="{00000000-0005-0000-0000-00004B550000}"/>
    <cellStyle name="Total 2 16 4 2 2" xfId="10211" xr:uid="{00000000-0005-0000-0000-00004C550000}"/>
    <cellStyle name="Total 2 16 4 2 3" xfId="16830" xr:uid="{00000000-0005-0000-0000-00004D550000}"/>
    <cellStyle name="Total 2 16 4 2_Summary" xfId="24629" xr:uid="{00000000-0005-0000-0000-00004E550000}"/>
    <cellStyle name="Total 2 16 4 3" xfId="5650" xr:uid="{00000000-0005-0000-0000-00004F550000}"/>
    <cellStyle name="Total 2 16 4 3 2" xfId="12246" xr:uid="{00000000-0005-0000-0000-000050550000}"/>
    <cellStyle name="Total 2 16 4 3 3" xfId="18865" xr:uid="{00000000-0005-0000-0000-000051550000}"/>
    <cellStyle name="Total 2 16 4 3_Summary" xfId="24630" xr:uid="{00000000-0005-0000-0000-000052550000}"/>
    <cellStyle name="Total 2 16 4 4" xfId="8075" xr:uid="{00000000-0005-0000-0000-000053550000}"/>
    <cellStyle name="Total 2 16 4 5" xfId="14694" xr:uid="{00000000-0005-0000-0000-000054550000}"/>
    <cellStyle name="Total 2 16 4_Summary" xfId="24628" xr:uid="{00000000-0005-0000-0000-000055550000}"/>
    <cellStyle name="Total 2 16 5" xfId="1760" xr:uid="{00000000-0005-0000-0000-000056550000}"/>
    <cellStyle name="Total 2 16 5 2" xfId="3896" xr:uid="{00000000-0005-0000-0000-000057550000}"/>
    <cellStyle name="Total 2 16 5 2 2" xfId="10492" xr:uid="{00000000-0005-0000-0000-000058550000}"/>
    <cellStyle name="Total 2 16 5 2 3" xfId="17111" xr:uid="{00000000-0005-0000-0000-000059550000}"/>
    <cellStyle name="Total 2 16 5 2_Summary" xfId="24632" xr:uid="{00000000-0005-0000-0000-00005A550000}"/>
    <cellStyle name="Total 2 16 5 3" xfId="5931" xr:uid="{00000000-0005-0000-0000-00005B550000}"/>
    <cellStyle name="Total 2 16 5 3 2" xfId="12527" xr:uid="{00000000-0005-0000-0000-00005C550000}"/>
    <cellStyle name="Total 2 16 5 3 3" xfId="19146" xr:uid="{00000000-0005-0000-0000-00005D550000}"/>
    <cellStyle name="Total 2 16 5 3_Summary" xfId="24633" xr:uid="{00000000-0005-0000-0000-00005E550000}"/>
    <cellStyle name="Total 2 16 5 4" xfId="8356" xr:uid="{00000000-0005-0000-0000-00005F550000}"/>
    <cellStyle name="Total 2 16 5 5" xfId="14975" xr:uid="{00000000-0005-0000-0000-000060550000}"/>
    <cellStyle name="Total 2 16 5_Summary" xfId="24631" xr:uid="{00000000-0005-0000-0000-000061550000}"/>
    <cellStyle name="Total 2 16 6" xfId="2039" xr:uid="{00000000-0005-0000-0000-000062550000}"/>
    <cellStyle name="Total 2 16 6 2" xfId="4175" xr:uid="{00000000-0005-0000-0000-000063550000}"/>
    <cellStyle name="Total 2 16 6 2 2" xfId="10771" xr:uid="{00000000-0005-0000-0000-000064550000}"/>
    <cellStyle name="Total 2 16 6 2 3" xfId="17390" xr:uid="{00000000-0005-0000-0000-000065550000}"/>
    <cellStyle name="Total 2 16 6 2_Summary" xfId="24635" xr:uid="{00000000-0005-0000-0000-000066550000}"/>
    <cellStyle name="Total 2 16 6 3" xfId="6210" xr:uid="{00000000-0005-0000-0000-000067550000}"/>
    <cellStyle name="Total 2 16 6 3 2" xfId="12806" xr:uid="{00000000-0005-0000-0000-000068550000}"/>
    <cellStyle name="Total 2 16 6 3 3" xfId="19425" xr:uid="{00000000-0005-0000-0000-000069550000}"/>
    <cellStyle name="Total 2 16 6 3_Summary" xfId="24636" xr:uid="{00000000-0005-0000-0000-00006A550000}"/>
    <cellStyle name="Total 2 16 6 4" xfId="8635" xr:uid="{00000000-0005-0000-0000-00006B550000}"/>
    <cellStyle name="Total 2 16 6 5" xfId="15254" xr:uid="{00000000-0005-0000-0000-00006C550000}"/>
    <cellStyle name="Total 2 16 6_Summary" xfId="24634" xr:uid="{00000000-0005-0000-0000-00006D550000}"/>
    <cellStyle name="Total 2 16 7" xfId="2314" xr:uid="{00000000-0005-0000-0000-00006E550000}"/>
    <cellStyle name="Total 2 16 7 2" xfId="4450" xr:uid="{00000000-0005-0000-0000-00006F550000}"/>
    <cellStyle name="Total 2 16 7 2 2" xfId="11046" xr:uid="{00000000-0005-0000-0000-000070550000}"/>
    <cellStyle name="Total 2 16 7 2 3" xfId="17665" xr:uid="{00000000-0005-0000-0000-000071550000}"/>
    <cellStyle name="Total 2 16 7 2_Summary" xfId="24638" xr:uid="{00000000-0005-0000-0000-000072550000}"/>
    <cellStyle name="Total 2 16 7 3" xfId="6485" xr:uid="{00000000-0005-0000-0000-000073550000}"/>
    <cellStyle name="Total 2 16 7 3 2" xfId="13081" xr:uid="{00000000-0005-0000-0000-000074550000}"/>
    <cellStyle name="Total 2 16 7 3 3" xfId="19700" xr:uid="{00000000-0005-0000-0000-000075550000}"/>
    <cellStyle name="Total 2 16 7 3_Summary" xfId="24639" xr:uid="{00000000-0005-0000-0000-000076550000}"/>
    <cellStyle name="Total 2 16 7 4" xfId="8910" xr:uid="{00000000-0005-0000-0000-000077550000}"/>
    <cellStyle name="Total 2 16 7 5" xfId="15529" xr:uid="{00000000-0005-0000-0000-000078550000}"/>
    <cellStyle name="Total 2 16 7_Summary" xfId="24637" xr:uid="{00000000-0005-0000-0000-000079550000}"/>
    <cellStyle name="Total 2 16 8" xfId="2880" xr:uid="{00000000-0005-0000-0000-00007A550000}"/>
    <cellStyle name="Total 2 16 8 2" xfId="9476" xr:uid="{00000000-0005-0000-0000-00007B550000}"/>
    <cellStyle name="Total 2 16 8 3" xfId="16095" xr:uid="{00000000-0005-0000-0000-00007C550000}"/>
    <cellStyle name="Total 2 16 8_Summary" xfId="24640" xr:uid="{00000000-0005-0000-0000-00007D550000}"/>
    <cellStyle name="Total 2 16 9" xfId="4915" xr:uid="{00000000-0005-0000-0000-00007E550000}"/>
    <cellStyle name="Total 2 16 9 2" xfId="11511" xr:uid="{00000000-0005-0000-0000-00007F550000}"/>
    <cellStyle name="Total 2 16 9 3" xfId="18130" xr:uid="{00000000-0005-0000-0000-000080550000}"/>
    <cellStyle name="Total 2 16 9_Summary" xfId="24641" xr:uid="{00000000-0005-0000-0000-000081550000}"/>
    <cellStyle name="Total 2 16_Summary" xfId="24620" xr:uid="{00000000-0005-0000-0000-000082550000}"/>
    <cellStyle name="Total 2 17" xfId="346" xr:uid="{00000000-0005-0000-0000-000083550000}"/>
    <cellStyle name="Total 2 17 10" xfId="669" xr:uid="{00000000-0005-0000-0000-000084550000}"/>
    <cellStyle name="Total 2 17 10 2" xfId="13884" xr:uid="{00000000-0005-0000-0000-000085550000}"/>
    <cellStyle name="Total 2 17 10_Summary" xfId="24643" xr:uid="{00000000-0005-0000-0000-000086550000}"/>
    <cellStyle name="Total 2 17 11" xfId="7239" xr:uid="{00000000-0005-0000-0000-000087550000}"/>
    <cellStyle name="Total 2 17 12" xfId="13561" xr:uid="{00000000-0005-0000-0000-000088550000}"/>
    <cellStyle name="Total 2 17 2" xfId="1040" xr:uid="{00000000-0005-0000-0000-000089550000}"/>
    <cellStyle name="Total 2 17 2 2" xfId="3176" xr:uid="{00000000-0005-0000-0000-00008A550000}"/>
    <cellStyle name="Total 2 17 2 2 2" xfId="9772" xr:uid="{00000000-0005-0000-0000-00008B550000}"/>
    <cellStyle name="Total 2 17 2 2 3" xfId="16391" xr:uid="{00000000-0005-0000-0000-00008C550000}"/>
    <cellStyle name="Total 2 17 2 2_Summary" xfId="24645" xr:uid="{00000000-0005-0000-0000-00008D550000}"/>
    <cellStyle name="Total 2 17 2 3" xfId="5211" xr:uid="{00000000-0005-0000-0000-00008E550000}"/>
    <cellStyle name="Total 2 17 2 3 2" xfId="11807" xr:uid="{00000000-0005-0000-0000-00008F550000}"/>
    <cellStyle name="Total 2 17 2 3 3" xfId="18426" xr:uid="{00000000-0005-0000-0000-000090550000}"/>
    <cellStyle name="Total 2 17 2 3_Summary" xfId="24646" xr:uid="{00000000-0005-0000-0000-000091550000}"/>
    <cellStyle name="Total 2 17 2 4" xfId="7637" xr:uid="{00000000-0005-0000-0000-000092550000}"/>
    <cellStyle name="Total 2 17 2 5" xfId="14255" xr:uid="{00000000-0005-0000-0000-000093550000}"/>
    <cellStyle name="Total 2 17 2_Summary" xfId="24644" xr:uid="{00000000-0005-0000-0000-000094550000}"/>
    <cellStyle name="Total 2 17 3" xfId="1322" xr:uid="{00000000-0005-0000-0000-000095550000}"/>
    <cellStyle name="Total 2 17 3 2" xfId="3458" xr:uid="{00000000-0005-0000-0000-000096550000}"/>
    <cellStyle name="Total 2 17 3 2 2" xfId="10054" xr:uid="{00000000-0005-0000-0000-000097550000}"/>
    <cellStyle name="Total 2 17 3 2 3" xfId="16673" xr:uid="{00000000-0005-0000-0000-000098550000}"/>
    <cellStyle name="Total 2 17 3 2_Summary" xfId="24648" xr:uid="{00000000-0005-0000-0000-000099550000}"/>
    <cellStyle name="Total 2 17 3 3" xfId="5493" xr:uid="{00000000-0005-0000-0000-00009A550000}"/>
    <cellStyle name="Total 2 17 3 3 2" xfId="12089" xr:uid="{00000000-0005-0000-0000-00009B550000}"/>
    <cellStyle name="Total 2 17 3 3 3" xfId="18708" xr:uid="{00000000-0005-0000-0000-00009C550000}"/>
    <cellStyle name="Total 2 17 3 3_Summary" xfId="24649" xr:uid="{00000000-0005-0000-0000-00009D550000}"/>
    <cellStyle name="Total 2 17 3 4" xfId="7918" xr:uid="{00000000-0005-0000-0000-00009E550000}"/>
    <cellStyle name="Total 2 17 3 5" xfId="14537" xr:uid="{00000000-0005-0000-0000-00009F550000}"/>
    <cellStyle name="Total 2 17 3_Summary" xfId="24647" xr:uid="{00000000-0005-0000-0000-0000A0550000}"/>
    <cellStyle name="Total 2 17 4" xfId="1603" xr:uid="{00000000-0005-0000-0000-0000A1550000}"/>
    <cellStyle name="Total 2 17 4 2" xfId="3739" xr:uid="{00000000-0005-0000-0000-0000A2550000}"/>
    <cellStyle name="Total 2 17 4 2 2" xfId="10335" xr:uid="{00000000-0005-0000-0000-0000A3550000}"/>
    <cellStyle name="Total 2 17 4 2 3" xfId="16954" xr:uid="{00000000-0005-0000-0000-0000A4550000}"/>
    <cellStyle name="Total 2 17 4 2_Summary" xfId="24651" xr:uid="{00000000-0005-0000-0000-0000A5550000}"/>
    <cellStyle name="Total 2 17 4 3" xfId="5774" xr:uid="{00000000-0005-0000-0000-0000A6550000}"/>
    <cellStyle name="Total 2 17 4 3 2" xfId="12370" xr:uid="{00000000-0005-0000-0000-0000A7550000}"/>
    <cellStyle name="Total 2 17 4 3 3" xfId="18989" xr:uid="{00000000-0005-0000-0000-0000A8550000}"/>
    <cellStyle name="Total 2 17 4 3_Summary" xfId="24652" xr:uid="{00000000-0005-0000-0000-0000A9550000}"/>
    <cellStyle name="Total 2 17 4 4" xfId="8199" xr:uid="{00000000-0005-0000-0000-0000AA550000}"/>
    <cellStyle name="Total 2 17 4 5" xfId="14818" xr:uid="{00000000-0005-0000-0000-0000AB550000}"/>
    <cellStyle name="Total 2 17 4_Summary" xfId="24650" xr:uid="{00000000-0005-0000-0000-0000AC550000}"/>
    <cellStyle name="Total 2 17 5" xfId="1882" xr:uid="{00000000-0005-0000-0000-0000AD550000}"/>
    <cellStyle name="Total 2 17 5 2" xfId="4018" xr:uid="{00000000-0005-0000-0000-0000AE550000}"/>
    <cellStyle name="Total 2 17 5 2 2" xfId="10614" xr:uid="{00000000-0005-0000-0000-0000AF550000}"/>
    <cellStyle name="Total 2 17 5 2 3" xfId="17233" xr:uid="{00000000-0005-0000-0000-0000B0550000}"/>
    <cellStyle name="Total 2 17 5 2_Summary" xfId="24654" xr:uid="{00000000-0005-0000-0000-0000B1550000}"/>
    <cellStyle name="Total 2 17 5 3" xfId="6053" xr:uid="{00000000-0005-0000-0000-0000B2550000}"/>
    <cellStyle name="Total 2 17 5 3 2" xfId="12649" xr:uid="{00000000-0005-0000-0000-0000B3550000}"/>
    <cellStyle name="Total 2 17 5 3 3" xfId="19268" xr:uid="{00000000-0005-0000-0000-0000B4550000}"/>
    <cellStyle name="Total 2 17 5 3_Summary" xfId="24655" xr:uid="{00000000-0005-0000-0000-0000B5550000}"/>
    <cellStyle name="Total 2 17 5 4" xfId="8478" xr:uid="{00000000-0005-0000-0000-0000B6550000}"/>
    <cellStyle name="Total 2 17 5 5" xfId="15097" xr:uid="{00000000-0005-0000-0000-0000B7550000}"/>
    <cellStyle name="Total 2 17 5_Summary" xfId="24653" xr:uid="{00000000-0005-0000-0000-0000B8550000}"/>
    <cellStyle name="Total 2 17 6" xfId="2157" xr:uid="{00000000-0005-0000-0000-0000B9550000}"/>
    <cellStyle name="Total 2 17 6 2" xfId="4293" xr:uid="{00000000-0005-0000-0000-0000BA550000}"/>
    <cellStyle name="Total 2 17 6 2 2" xfId="10889" xr:uid="{00000000-0005-0000-0000-0000BB550000}"/>
    <cellStyle name="Total 2 17 6 2 3" xfId="17508" xr:uid="{00000000-0005-0000-0000-0000BC550000}"/>
    <cellStyle name="Total 2 17 6 2_Summary" xfId="24657" xr:uid="{00000000-0005-0000-0000-0000BD550000}"/>
    <cellStyle name="Total 2 17 6 3" xfId="6328" xr:uid="{00000000-0005-0000-0000-0000BE550000}"/>
    <cellStyle name="Total 2 17 6 3 2" xfId="12924" xr:uid="{00000000-0005-0000-0000-0000BF550000}"/>
    <cellStyle name="Total 2 17 6 3 3" xfId="19543" xr:uid="{00000000-0005-0000-0000-0000C0550000}"/>
    <cellStyle name="Total 2 17 6 3_Summary" xfId="24658" xr:uid="{00000000-0005-0000-0000-0000C1550000}"/>
    <cellStyle name="Total 2 17 6 4" xfId="8753" xr:uid="{00000000-0005-0000-0000-0000C2550000}"/>
    <cellStyle name="Total 2 17 6 5" xfId="15372" xr:uid="{00000000-0005-0000-0000-0000C3550000}"/>
    <cellStyle name="Total 2 17 6_Summary" xfId="24656" xr:uid="{00000000-0005-0000-0000-0000C4550000}"/>
    <cellStyle name="Total 2 17 7" xfId="2430" xr:uid="{00000000-0005-0000-0000-0000C5550000}"/>
    <cellStyle name="Total 2 17 7 2" xfId="4566" xr:uid="{00000000-0005-0000-0000-0000C6550000}"/>
    <cellStyle name="Total 2 17 7 2 2" xfId="11162" xr:uid="{00000000-0005-0000-0000-0000C7550000}"/>
    <cellStyle name="Total 2 17 7 2 3" xfId="17781" xr:uid="{00000000-0005-0000-0000-0000C8550000}"/>
    <cellStyle name="Total 2 17 7 2_Summary" xfId="24660" xr:uid="{00000000-0005-0000-0000-0000C9550000}"/>
    <cellStyle name="Total 2 17 7 3" xfId="6601" xr:uid="{00000000-0005-0000-0000-0000CA550000}"/>
    <cellStyle name="Total 2 17 7 3 2" xfId="13197" xr:uid="{00000000-0005-0000-0000-0000CB550000}"/>
    <cellStyle name="Total 2 17 7 3 3" xfId="19816" xr:uid="{00000000-0005-0000-0000-0000CC550000}"/>
    <cellStyle name="Total 2 17 7 3_Summary" xfId="24661" xr:uid="{00000000-0005-0000-0000-0000CD550000}"/>
    <cellStyle name="Total 2 17 7 4" xfId="9026" xr:uid="{00000000-0005-0000-0000-0000CE550000}"/>
    <cellStyle name="Total 2 17 7 5" xfId="15645" xr:uid="{00000000-0005-0000-0000-0000CF550000}"/>
    <cellStyle name="Total 2 17 7_Summary" xfId="24659" xr:uid="{00000000-0005-0000-0000-0000D0550000}"/>
    <cellStyle name="Total 2 17 8" xfId="2805" xr:uid="{00000000-0005-0000-0000-0000D1550000}"/>
    <cellStyle name="Total 2 17 8 2" xfId="9401" xr:uid="{00000000-0005-0000-0000-0000D2550000}"/>
    <cellStyle name="Total 2 17 8 3" xfId="16020" xr:uid="{00000000-0005-0000-0000-0000D3550000}"/>
    <cellStyle name="Total 2 17 8_Summary" xfId="24662" xr:uid="{00000000-0005-0000-0000-0000D4550000}"/>
    <cellStyle name="Total 2 17 9" xfId="4840" xr:uid="{00000000-0005-0000-0000-0000D5550000}"/>
    <cellStyle name="Total 2 17 9 2" xfId="11436" xr:uid="{00000000-0005-0000-0000-0000D6550000}"/>
    <cellStyle name="Total 2 17 9 3" xfId="18055" xr:uid="{00000000-0005-0000-0000-0000D7550000}"/>
    <cellStyle name="Total 2 17 9_Summary" xfId="24663" xr:uid="{00000000-0005-0000-0000-0000D8550000}"/>
    <cellStyle name="Total 2 17_Summary" xfId="24642" xr:uid="{00000000-0005-0000-0000-0000D9550000}"/>
    <cellStyle name="Total 2 18" xfId="6744" xr:uid="{00000000-0005-0000-0000-0000DA550000}"/>
    <cellStyle name="Total 2 18 2" xfId="13340" xr:uid="{00000000-0005-0000-0000-0000DB550000}"/>
    <cellStyle name="Total 2 18 3" xfId="19959" xr:uid="{00000000-0005-0000-0000-0000DC550000}"/>
    <cellStyle name="Total 2 18_Summary" xfId="24664" xr:uid="{00000000-0005-0000-0000-0000DD550000}"/>
    <cellStyle name="Total 2 19" xfId="6747" xr:uid="{00000000-0005-0000-0000-0000DE550000}"/>
    <cellStyle name="Total 2 19 2" xfId="13343" xr:uid="{00000000-0005-0000-0000-0000DF550000}"/>
    <cellStyle name="Total 2 19 3" xfId="19962" xr:uid="{00000000-0005-0000-0000-0000E0550000}"/>
    <cellStyle name="Total 2 19_Summary" xfId="24665" xr:uid="{00000000-0005-0000-0000-0000E1550000}"/>
    <cellStyle name="Total 2 2" xfId="179" xr:uid="{00000000-0005-0000-0000-0000E2550000}"/>
    <cellStyle name="Total 2 2 10" xfId="2288" xr:uid="{00000000-0005-0000-0000-0000E3550000}"/>
    <cellStyle name="Total 2 2 10 2" xfId="4424" xr:uid="{00000000-0005-0000-0000-0000E4550000}"/>
    <cellStyle name="Total 2 2 10 2 2" xfId="11020" xr:uid="{00000000-0005-0000-0000-0000E5550000}"/>
    <cellStyle name="Total 2 2 10 2 3" xfId="17639" xr:uid="{00000000-0005-0000-0000-0000E6550000}"/>
    <cellStyle name="Total 2 2 10 2_Summary" xfId="24668" xr:uid="{00000000-0005-0000-0000-0000E7550000}"/>
    <cellStyle name="Total 2 2 10 3" xfId="6459" xr:uid="{00000000-0005-0000-0000-0000E8550000}"/>
    <cellStyle name="Total 2 2 10 3 2" xfId="13055" xr:uid="{00000000-0005-0000-0000-0000E9550000}"/>
    <cellStyle name="Total 2 2 10 3 3" xfId="19674" xr:uid="{00000000-0005-0000-0000-0000EA550000}"/>
    <cellStyle name="Total 2 2 10 3_Summary" xfId="24669" xr:uid="{00000000-0005-0000-0000-0000EB550000}"/>
    <cellStyle name="Total 2 2 10 4" xfId="8884" xr:uid="{00000000-0005-0000-0000-0000EC550000}"/>
    <cellStyle name="Total 2 2 10 5" xfId="15503" xr:uid="{00000000-0005-0000-0000-0000ED550000}"/>
    <cellStyle name="Total 2 2 10_Summary" xfId="24667" xr:uid="{00000000-0005-0000-0000-0000EE550000}"/>
    <cellStyle name="Total 2 2 11" xfId="2607" xr:uid="{00000000-0005-0000-0000-0000EF550000}"/>
    <cellStyle name="Total 2 2 11 2" xfId="9203" xr:uid="{00000000-0005-0000-0000-0000F0550000}"/>
    <cellStyle name="Total 2 2 11 3" xfId="15822" xr:uid="{00000000-0005-0000-0000-0000F1550000}"/>
    <cellStyle name="Total 2 2 11_Summary" xfId="24670" xr:uid="{00000000-0005-0000-0000-0000F2550000}"/>
    <cellStyle name="Total 2 2 12" xfId="2565" xr:uid="{00000000-0005-0000-0000-0000F3550000}"/>
    <cellStyle name="Total 2 2 12 2" xfId="9161" xr:uid="{00000000-0005-0000-0000-0000F4550000}"/>
    <cellStyle name="Total 2 2 12 3" xfId="15780" xr:uid="{00000000-0005-0000-0000-0000F5550000}"/>
    <cellStyle name="Total 2 2 12_Summary" xfId="24671" xr:uid="{00000000-0005-0000-0000-0000F6550000}"/>
    <cellStyle name="Total 2 2 13" xfId="496" xr:uid="{00000000-0005-0000-0000-0000F7550000}"/>
    <cellStyle name="Total 2 2 13 2" xfId="13711" xr:uid="{00000000-0005-0000-0000-0000F8550000}"/>
    <cellStyle name="Total 2 2 13_Summary" xfId="24672" xr:uid="{00000000-0005-0000-0000-0000F9550000}"/>
    <cellStyle name="Total 2 2 14" xfId="7087" xr:uid="{00000000-0005-0000-0000-0000FA550000}"/>
    <cellStyle name="Total 2 2 15" xfId="13410" xr:uid="{00000000-0005-0000-0000-0000FB550000}"/>
    <cellStyle name="Total 2 2 16" xfId="25666" xr:uid="{00000000-0005-0000-0000-000055030000}"/>
    <cellStyle name="Total 2 2 17" xfId="25689" xr:uid="{00000000-0005-0000-0000-000055030000}"/>
    <cellStyle name="Total 2 2 18" xfId="25601" xr:uid="{00000000-0005-0000-0000-000055030000}"/>
    <cellStyle name="Total 2 2 19" xfId="25701" xr:uid="{00000000-0005-0000-0000-000055030000}"/>
    <cellStyle name="Total 2 2 2" xfId="311" xr:uid="{00000000-0005-0000-0000-0000FC550000}"/>
    <cellStyle name="Total 2 2 2 10" xfId="4732" xr:uid="{00000000-0005-0000-0000-0000FD550000}"/>
    <cellStyle name="Total 2 2 2 10 2" xfId="11328" xr:uid="{00000000-0005-0000-0000-0000FE550000}"/>
    <cellStyle name="Total 2 2 2 10 3" xfId="17947" xr:uid="{00000000-0005-0000-0000-0000FF550000}"/>
    <cellStyle name="Total 2 2 2 10_Summary" xfId="24674" xr:uid="{00000000-0005-0000-0000-000000560000}"/>
    <cellStyle name="Total 2 2 2 11" xfId="561" xr:uid="{00000000-0005-0000-0000-000001560000}"/>
    <cellStyle name="Total 2 2 2 11 2" xfId="13776" xr:uid="{00000000-0005-0000-0000-000002560000}"/>
    <cellStyle name="Total 2 2 2 11_Summary" xfId="24675" xr:uid="{00000000-0005-0000-0000-000003560000}"/>
    <cellStyle name="Total 2 2 2 12" xfId="7205" xr:uid="{00000000-0005-0000-0000-000004560000}"/>
    <cellStyle name="Total 2 2 2 13" xfId="13527" xr:uid="{00000000-0005-0000-0000-000005560000}"/>
    <cellStyle name="Total 2 2 2 14" xfId="26206" xr:uid="{A8119ED3-A096-4FDC-A6A4-CE515058D68C}"/>
    <cellStyle name="Total 2 2 2 15" xfId="26667" xr:uid="{279C3AE7-C08F-4DC2-A8DE-7C220D6B5284}"/>
    <cellStyle name="Total 2 2 2 16" xfId="26274" xr:uid="{552899B7-DA68-48AB-913C-57AEC95B24F2}"/>
    <cellStyle name="Total 2 2 2 17" xfId="25860" xr:uid="{9F368B2A-BE5A-4186-908D-C54A16BD1C9C}"/>
    <cellStyle name="Total 2 2 2 18" xfId="26643" xr:uid="{58EB7278-CF7C-403C-BDF4-3CD5190ADAE5}"/>
    <cellStyle name="Total 2 2 2 19" xfId="29886" xr:uid="{BBAE6919-64D8-49C2-AFA5-3863C7E3CA25}"/>
    <cellStyle name="Total 2 2 2 2" xfId="440" xr:uid="{00000000-0005-0000-0000-000006560000}"/>
    <cellStyle name="Total 2 2 2 2 10" xfId="834" xr:uid="{00000000-0005-0000-0000-000007560000}"/>
    <cellStyle name="Total 2 2 2 2 10 2" xfId="14049" xr:uid="{00000000-0005-0000-0000-000008560000}"/>
    <cellStyle name="Total 2 2 2 2 10_Summary" xfId="24677" xr:uid="{00000000-0005-0000-0000-000009560000}"/>
    <cellStyle name="Total 2 2 2 2 11" xfId="7333" xr:uid="{00000000-0005-0000-0000-00000A560000}"/>
    <cellStyle name="Total 2 2 2 2 12" xfId="13655" xr:uid="{00000000-0005-0000-0000-00000B560000}"/>
    <cellStyle name="Total 2 2 2 2 13" xfId="30647" xr:uid="{0C6F3ACC-3346-457C-96CD-91F2553CEF1A}"/>
    <cellStyle name="Total 2 2 2 2 14" xfId="32079" xr:uid="{6726F47D-7FB8-4768-9EFA-F0E5ABA7A8B7}"/>
    <cellStyle name="Total 2 2 2 2 2" xfId="1134" xr:uid="{00000000-0005-0000-0000-00000C560000}"/>
    <cellStyle name="Total 2 2 2 2 2 2" xfId="3270" xr:uid="{00000000-0005-0000-0000-00000D560000}"/>
    <cellStyle name="Total 2 2 2 2 2 2 2" xfId="9866" xr:uid="{00000000-0005-0000-0000-00000E560000}"/>
    <cellStyle name="Total 2 2 2 2 2 2 3" xfId="16485" xr:uid="{00000000-0005-0000-0000-00000F560000}"/>
    <cellStyle name="Total 2 2 2 2 2 2_Summary" xfId="24679" xr:uid="{00000000-0005-0000-0000-000010560000}"/>
    <cellStyle name="Total 2 2 2 2 2 3" xfId="5305" xr:uid="{00000000-0005-0000-0000-000011560000}"/>
    <cellStyle name="Total 2 2 2 2 2 3 2" xfId="11901" xr:uid="{00000000-0005-0000-0000-000012560000}"/>
    <cellStyle name="Total 2 2 2 2 2 3 3" xfId="18520" xr:uid="{00000000-0005-0000-0000-000013560000}"/>
    <cellStyle name="Total 2 2 2 2 2 3_Summary" xfId="24680" xr:uid="{00000000-0005-0000-0000-000014560000}"/>
    <cellStyle name="Total 2 2 2 2 2 4" xfId="7730" xr:uid="{00000000-0005-0000-0000-000015560000}"/>
    <cellStyle name="Total 2 2 2 2 2 5" xfId="14349" xr:uid="{00000000-0005-0000-0000-000016560000}"/>
    <cellStyle name="Total 2 2 2 2 2_Summary" xfId="24678" xr:uid="{00000000-0005-0000-0000-000017560000}"/>
    <cellStyle name="Total 2 2 2 2 3" xfId="1416" xr:uid="{00000000-0005-0000-0000-000018560000}"/>
    <cellStyle name="Total 2 2 2 2 3 2" xfId="3552" xr:uid="{00000000-0005-0000-0000-000019560000}"/>
    <cellStyle name="Total 2 2 2 2 3 2 2" xfId="10148" xr:uid="{00000000-0005-0000-0000-00001A560000}"/>
    <cellStyle name="Total 2 2 2 2 3 2 3" xfId="16767" xr:uid="{00000000-0005-0000-0000-00001B560000}"/>
    <cellStyle name="Total 2 2 2 2 3 2_Summary" xfId="24682" xr:uid="{00000000-0005-0000-0000-00001C560000}"/>
    <cellStyle name="Total 2 2 2 2 3 3" xfId="5587" xr:uid="{00000000-0005-0000-0000-00001D560000}"/>
    <cellStyle name="Total 2 2 2 2 3 3 2" xfId="12183" xr:uid="{00000000-0005-0000-0000-00001E560000}"/>
    <cellStyle name="Total 2 2 2 2 3 3 3" xfId="18802" xr:uid="{00000000-0005-0000-0000-00001F560000}"/>
    <cellStyle name="Total 2 2 2 2 3 3_Summary" xfId="24683" xr:uid="{00000000-0005-0000-0000-000020560000}"/>
    <cellStyle name="Total 2 2 2 2 3 4" xfId="8012" xr:uid="{00000000-0005-0000-0000-000021560000}"/>
    <cellStyle name="Total 2 2 2 2 3 5" xfId="14631" xr:uid="{00000000-0005-0000-0000-000022560000}"/>
    <cellStyle name="Total 2 2 2 2 3_Summary" xfId="24681" xr:uid="{00000000-0005-0000-0000-000023560000}"/>
    <cellStyle name="Total 2 2 2 2 4" xfId="1697" xr:uid="{00000000-0005-0000-0000-000024560000}"/>
    <cellStyle name="Total 2 2 2 2 4 2" xfId="3833" xr:uid="{00000000-0005-0000-0000-000025560000}"/>
    <cellStyle name="Total 2 2 2 2 4 2 2" xfId="10429" xr:uid="{00000000-0005-0000-0000-000026560000}"/>
    <cellStyle name="Total 2 2 2 2 4 2 3" xfId="17048" xr:uid="{00000000-0005-0000-0000-000027560000}"/>
    <cellStyle name="Total 2 2 2 2 4 2_Summary" xfId="24685" xr:uid="{00000000-0005-0000-0000-000028560000}"/>
    <cellStyle name="Total 2 2 2 2 4 3" xfId="5868" xr:uid="{00000000-0005-0000-0000-000029560000}"/>
    <cellStyle name="Total 2 2 2 2 4 3 2" xfId="12464" xr:uid="{00000000-0005-0000-0000-00002A560000}"/>
    <cellStyle name="Total 2 2 2 2 4 3 3" xfId="19083" xr:uid="{00000000-0005-0000-0000-00002B560000}"/>
    <cellStyle name="Total 2 2 2 2 4 3_Summary" xfId="24686" xr:uid="{00000000-0005-0000-0000-00002C560000}"/>
    <cellStyle name="Total 2 2 2 2 4 4" xfId="8293" xr:uid="{00000000-0005-0000-0000-00002D560000}"/>
    <cellStyle name="Total 2 2 2 2 4 5" xfId="14912" xr:uid="{00000000-0005-0000-0000-00002E560000}"/>
    <cellStyle name="Total 2 2 2 2 4_Summary" xfId="24684" xr:uid="{00000000-0005-0000-0000-00002F560000}"/>
    <cellStyle name="Total 2 2 2 2 5" xfId="1976" xr:uid="{00000000-0005-0000-0000-000030560000}"/>
    <cellStyle name="Total 2 2 2 2 5 2" xfId="4112" xr:uid="{00000000-0005-0000-0000-000031560000}"/>
    <cellStyle name="Total 2 2 2 2 5 2 2" xfId="10708" xr:uid="{00000000-0005-0000-0000-000032560000}"/>
    <cellStyle name="Total 2 2 2 2 5 2 3" xfId="17327" xr:uid="{00000000-0005-0000-0000-000033560000}"/>
    <cellStyle name="Total 2 2 2 2 5 2_Summary" xfId="24688" xr:uid="{00000000-0005-0000-0000-000034560000}"/>
    <cellStyle name="Total 2 2 2 2 5 3" xfId="6147" xr:uid="{00000000-0005-0000-0000-000035560000}"/>
    <cellStyle name="Total 2 2 2 2 5 3 2" xfId="12743" xr:uid="{00000000-0005-0000-0000-000036560000}"/>
    <cellStyle name="Total 2 2 2 2 5 3 3" xfId="19362" xr:uid="{00000000-0005-0000-0000-000037560000}"/>
    <cellStyle name="Total 2 2 2 2 5 3_Summary" xfId="24689" xr:uid="{00000000-0005-0000-0000-000038560000}"/>
    <cellStyle name="Total 2 2 2 2 5 4" xfId="8572" xr:uid="{00000000-0005-0000-0000-000039560000}"/>
    <cellStyle name="Total 2 2 2 2 5 5" xfId="15191" xr:uid="{00000000-0005-0000-0000-00003A560000}"/>
    <cellStyle name="Total 2 2 2 2 5_Summary" xfId="24687" xr:uid="{00000000-0005-0000-0000-00003B560000}"/>
    <cellStyle name="Total 2 2 2 2 6" xfId="2251" xr:uid="{00000000-0005-0000-0000-00003C560000}"/>
    <cellStyle name="Total 2 2 2 2 6 2" xfId="4387" xr:uid="{00000000-0005-0000-0000-00003D560000}"/>
    <cellStyle name="Total 2 2 2 2 6 2 2" xfId="10983" xr:uid="{00000000-0005-0000-0000-00003E560000}"/>
    <cellStyle name="Total 2 2 2 2 6 2 3" xfId="17602" xr:uid="{00000000-0005-0000-0000-00003F560000}"/>
    <cellStyle name="Total 2 2 2 2 6 2_Summary" xfId="24691" xr:uid="{00000000-0005-0000-0000-000040560000}"/>
    <cellStyle name="Total 2 2 2 2 6 3" xfId="6422" xr:uid="{00000000-0005-0000-0000-000041560000}"/>
    <cellStyle name="Total 2 2 2 2 6 3 2" xfId="13018" xr:uid="{00000000-0005-0000-0000-000042560000}"/>
    <cellStyle name="Total 2 2 2 2 6 3 3" xfId="19637" xr:uid="{00000000-0005-0000-0000-000043560000}"/>
    <cellStyle name="Total 2 2 2 2 6 3_Summary" xfId="24692" xr:uid="{00000000-0005-0000-0000-000044560000}"/>
    <cellStyle name="Total 2 2 2 2 6 4" xfId="8847" xr:uid="{00000000-0005-0000-0000-000045560000}"/>
    <cellStyle name="Total 2 2 2 2 6 5" xfId="15466" xr:uid="{00000000-0005-0000-0000-000046560000}"/>
    <cellStyle name="Total 2 2 2 2 6_Summary" xfId="24690" xr:uid="{00000000-0005-0000-0000-000047560000}"/>
    <cellStyle name="Total 2 2 2 2 7" xfId="2524" xr:uid="{00000000-0005-0000-0000-000048560000}"/>
    <cellStyle name="Total 2 2 2 2 7 2" xfId="4660" xr:uid="{00000000-0005-0000-0000-000049560000}"/>
    <cellStyle name="Total 2 2 2 2 7 2 2" xfId="11256" xr:uid="{00000000-0005-0000-0000-00004A560000}"/>
    <cellStyle name="Total 2 2 2 2 7 2 3" xfId="17875" xr:uid="{00000000-0005-0000-0000-00004B560000}"/>
    <cellStyle name="Total 2 2 2 2 7 2_Summary" xfId="24694" xr:uid="{00000000-0005-0000-0000-00004C560000}"/>
    <cellStyle name="Total 2 2 2 2 7 3" xfId="6695" xr:uid="{00000000-0005-0000-0000-00004D560000}"/>
    <cellStyle name="Total 2 2 2 2 7 3 2" xfId="13291" xr:uid="{00000000-0005-0000-0000-00004E560000}"/>
    <cellStyle name="Total 2 2 2 2 7 3 3" xfId="19910" xr:uid="{00000000-0005-0000-0000-00004F560000}"/>
    <cellStyle name="Total 2 2 2 2 7 3_Summary" xfId="24695" xr:uid="{00000000-0005-0000-0000-000050560000}"/>
    <cellStyle name="Total 2 2 2 2 7 4" xfId="9120" xr:uid="{00000000-0005-0000-0000-000051560000}"/>
    <cellStyle name="Total 2 2 2 2 7 5" xfId="15739" xr:uid="{00000000-0005-0000-0000-000052560000}"/>
    <cellStyle name="Total 2 2 2 2 7_Summary" xfId="24693" xr:uid="{00000000-0005-0000-0000-000053560000}"/>
    <cellStyle name="Total 2 2 2 2 8" xfId="2970" xr:uid="{00000000-0005-0000-0000-000054560000}"/>
    <cellStyle name="Total 2 2 2 2 8 2" xfId="9566" xr:uid="{00000000-0005-0000-0000-000055560000}"/>
    <cellStyle name="Total 2 2 2 2 8 3" xfId="16185" xr:uid="{00000000-0005-0000-0000-000056560000}"/>
    <cellStyle name="Total 2 2 2 2 8_Summary" xfId="24696" xr:uid="{00000000-0005-0000-0000-000057560000}"/>
    <cellStyle name="Total 2 2 2 2 9" xfId="5005" xr:uid="{00000000-0005-0000-0000-000058560000}"/>
    <cellStyle name="Total 2 2 2 2 9 2" xfId="11601" xr:uid="{00000000-0005-0000-0000-000059560000}"/>
    <cellStyle name="Total 2 2 2 2 9 3" xfId="18220" xr:uid="{00000000-0005-0000-0000-00005A560000}"/>
    <cellStyle name="Total 2 2 2 2 9_Summary" xfId="24697" xr:uid="{00000000-0005-0000-0000-00005B560000}"/>
    <cellStyle name="Total 2 2 2 2_Summary" xfId="24676" xr:uid="{00000000-0005-0000-0000-00005C560000}"/>
    <cellStyle name="Total 2 2 2 20" xfId="31358" xr:uid="{1943CD5F-0E04-4378-BB42-4301FD25553F}"/>
    <cellStyle name="Total 2 2 2 3" xfId="1006" xr:uid="{00000000-0005-0000-0000-00005D560000}"/>
    <cellStyle name="Total 2 2 2 3 2" xfId="3142" xr:uid="{00000000-0005-0000-0000-00005E560000}"/>
    <cellStyle name="Total 2 2 2 3 2 2" xfId="9738" xr:uid="{00000000-0005-0000-0000-00005F560000}"/>
    <cellStyle name="Total 2 2 2 3 2 3" xfId="16357" xr:uid="{00000000-0005-0000-0000-000060560000}"/>
    <cellStyle name="Total 2 2 2 3 2_Summary" xfId="24699" xr:uid="{00000000-0005-0000-0000-000061560000}"/>
    <cellStyle name="Total 2 2 2 3 3" xfId="5177" xr:uid="{00000000-0005-0000-0000-000062560000}"/>
    <cellStyle name="Total 2 2 2 3 3 2" xfId="11773" xr:uid="{00000000-0005-0000-0000-000063560000}"/>
    <cellStyle name="Total 2 2 2 3 3 3" xfId="18392" xr:uid="{00000000-0005-0000-0000-000064560000}"/>
    <cellStyle name="Total 2 2 2 3 3_Summary" xfId="24700" xr:uid="{00000000-0005-0000-0000-000065560000}"/>
    <cellStyle name="Total 2 2 2 3 4" xfId="7603" xr:uid="{00000000-0005-0000-0000-000066560000}"/>
    <cellStyle name="Total 2 2 2 3 5" xfId="14221" xr:uid="{00000000-0005-0000-0000-000067560000}"/>
    <cellStyle name="Total 2 2 2 3_Summary" xfId="24698" xr:uid="{00000000-0005-0000-0000-000068560000}"/>
    <cellStyle name="Total 2 2 2 4" xfId="1288" xr:uid="{00000000-0005-0000-0000-000069560000}"/>
    <cellStyle name="Total 2 2 2 4 2" xfId="3424" xr:uid="{00000000-0005-0000-0000-00006A560000}"/>
    <cellStyle name="Total 2 2 2 4 2 2" xfId="10020" xr:uid="{00000000-0005-0000-0000-00006B560000}"/>
    <cellStyle name="Total 2 2 2 4 2 3" xfId="16639" xr:uid="{00000000-0005-0000-0000-00006C560000}"/>
    <cellStyle name="Total 2 2 2 4 2_Summary" xfId="24702" xr:uid="{00000000-0005-0000-0000-00006D560000}"/>
    <cellStyle name="Total 2 2 2 4 3" xfId="5459" xr:uid="{00000000-0005-0000-0000-00006E560000}"/>
    <cellStyle name="Total 2 2 2 4 3 2" xfId="12055" xr:uid="{00000000-0005-0000-0000-00006F560000}"/>
    <cellStyle name="Total 2 2 2 4 3 3" xfId="18674" xr:uid="{00000000-0005-0000-0000-000070560000}"/>
    <cellStyle name="Total 2 2 2 4 3_Summary" xfId="24703" xr:uid="{00000000-0005-0000-0000-000071560000}"/>
    <cellStyle name="Total 2 2 2 4 4" xfId="7884" xr:uid="{00000000-0005-0000-0000-000072560000}"/>
    <cellStyle name="Total 2 2 2 4 5" xfId="14503" xr:uid="{00000000-0005-0000-0000-000073560000}"/>
    <cellStyle name="Total 2 2 2 4_Summary" xfId="24701" xr:uid="{00000000-0005-0000-0000-000074560000}"/>
    <cellStyle name="Total 2 2 2 5" xfId="1569" xr:uid="{00000000-0005-0000-0000-000075560000}"/>
    <cellStyle name="Total 2 2 2 5 2" xfId="3705" xr:uid="{00000000-0005-0000-0000-000076560000}"/>
    <cellStyle name="Total 2 2 2 5 2 2" xfId="10301" xr:uid="{00000000-0005-0000-0000-000077560000}"/>
    <cellStyle name="Total 2 2 2 5 2 3" xfId="16920" xr:uid="{00000000-0005-0000-0000-000078560000}"/>
    <cellStyle name="Total 2 2 2 5 2_Summary" xfId="24705" xr:uid="{00000000-0005-0000-0000-000079560000}"/>
    <cellStyle name="Total 2 2 2 5 3" xfId="5740" xr:uid="{00000000-0005-0000-0000-00007A560000}"/>
    <cellStyle name="Total 2 2 2 5 3 2" xfId="12336" xr:uid="{00000000-0005-0000-0000-00007B560000}"/>
    <cellStyle name="Total 2 2 2 5 3 3" xfId="18955" xr:uid="{00000000-0005-0000-0000-00007C560000}"/>
    <cellStyle name="Total 2 2 2 5 3_Summary" xfId="24706" xr:uid="{00000000-0005-0000-0000-00007D560000}"/>
    <cellStyle name="Total 2 2 2 5 4" xfId="8165" xr:uid="{00000000-0005-0000-0000-00007E560000}"/>
    <cellStyle name="Total 2 2 2 5 5" xfId="14784" xr:uid="{00000000-0005-0000-0000-00007F560000}"/>
    <cellStyle name="Total 2 2 2 5_Summary" xfId="24704" xr:uid="{00000000-0005-0000-0000-000080560000}"/>
    <cellStyle name="Total 2 2 2 6" xfId="1848" xr:uid="{00000000-0005-0000-0000-000081560000}"/>
    <cellStyle name="Total 2 2 2 6 2" xfId="3984" xr:uid="{00000000-0005-0000-0000-000082560000}"/>
    <cellStyle name="Total 2 2 2 6 2 2" xfId="10580" xr:uid="{00000000-0005-0000-0000-000083560000}"/>
    <cellStyle name="Total 2 2 2 6 2 3" xfId="17199" xr:uid="{00000000-0005-0000-0000-000084560000}"/>
    <cellStyle name="Total 2 2 2 6 2_Summary" xfId="24708" xr:uid="{00000000-0005-0000-0000-000085560000}"/>
    <cellStyle name="Total 2 2 2 6 3" xfId="6019" xr:uid="{00000000-0005-0000-0000-000086560000}"/>
    <cellStyle name="Total 2 2 2 6 3 2" xfId="12615" xr:uid="{00000000-0005-0000-0000-000087560000}"/>
    <cellStyle name="Total 2 2 2 6 3 3" xfId="19234" xr:uid="{00000000-0005-0000-0000-000088560000}"/>
    <cellStyle name="Total 2 2 2 6 3_Summary" xfId="24709" xr:uid="{00000000-0005-0000-0000-000089560000}"/>
    <cellStyle name="Total 2 2 2 6 4" xfId="8444" xr:uid="{00000000-0005-0000-0000-00008A560000}"/>
    <cellStyle name="Total 2 2 2 6 5" xfId="15063" xr:uid="{00000000-0005-0000-0000-00008B560000}"/>
    <cellStyle name="Total 2 2 2 6_Summary" xfId="24707" xr:uid="{00000000-0005-0000-0000-00008C560000}"/>
    <cellStyle name="Total 2 2 2 7" xfId="2123" xr:uid="{00000000-0005-0000-0000-00008D560000}"/>
    <cellStyle name="Total 2 2 2 7 2" xfId="4259" xr:uid="{00000000-0005-0000-0000-00008E560000}"/>
    <cellStyle name="Total 2 2 2 7 2 2" xfId="10855" xr:uid="{00000000-0005-0000-0000-00008F560000}"/>
    <cellStyle name="Total 2 2 2 7 2 3" xfId="17474" xr:uid="{00000000-0005-0000-0000-000090560000}"/>
    <cellStyle name="Total 2 2 2 7 2_Summary" xfId="24711" xr:uid="{00000000-0005-0000-0000-000091560000}"/>
    <cellStyle name="Total 2 2 2 7 3" xfId="6294" xr:uid="{00000000-0005-0000-0000-000092560000}"/>
    <cellStyle name="Total 2 2 2 7 3 2" xfId="12890" xr:uid="{00000000-0005-0000-0000-000093560000}"/>
    <cellStyle name="Total 2 2 2 7 3 3" xfId="19509" xr:uid="{00000000-0005-0000-0000-000094560000}"/>
    <cellStyle name="Total 2 2 2 7 3_Summary" xfId="24712" xr:uid="{00000000-0005-0000-0000-000095560000}"/>
    <cellStyle name="Total 2 2 2 7 4" xfId="8719" xr:uid="{00000000-0005-0000-0000-000096560000}"/>
    <cellStyle name="Total 2 2 2 7 5" xfId="15338" xr:uid="{00000000-0005-0000-0000-000097560000}"/>
    <cellStyle name="Total 2 2 2 7_Summary" xfId="24710" xr:uid="{00000000-0005-0000-0000-000098560000}"/>
    <cellStyle name="Total 2 2 2 8" xfId="2396" xr:uid="{00000000-0005-0000-0000-000099560000}"/>
    <cellStyle name="Total 2 2 2 8 2" xfId="4532" xr:uid="{00000000-0005-0000-0000-00009A560000}"/>
    <cellStyle name="Total 2 2 2 8 2 2" xfId="11128" xr:uid="{00000000-0005-0000-0000-00009B560000}"/>
    <cellStyle name="Total 2 2 2 8 2 3" xfId="17747" xr:uid="{00000000-0005-0000-0000-00009C560000}"/>
    <cellStyle name="Total 2 2 2 8 2_Summary" xfId="24714" xr:uid="{00000000-0005-0000-0000-00009D560000}"/>
    <cellStyle name="Total 2 2 2 8 3" xfId="6567" xr:uid="{00000000-0005-0000-0000-00009E560000}"/>
    <cellStyle name="Total 2 2 2 8 3 2" xfId="13163" xr:uid="{00000000-0005-0000-0000-00009F560000}"/>
    <cellStyle name="Total 2 2 2 8 3 3" xfId="19782" xr:uid="{00000000-0005-0000-0000-0000A0560000}"/>
    <cellStyle name="Total 2 2 2 8 3_Summary" xfId="24715" xr:uid="{00000000-0005-0000-0000-0000A1560000}"/>
    <cellStyle name="Total 2 2 2 8 4" xfId="8992" xr:uid="{00000000-0005-0000-0000-0000A2560000}"/>
    <cellStyle name="Total 2 2 2 8 5" xfId="15611" xr:uid="{00000000-0005-0000-0000-0000A3560000}"/>
    <cellStyle name="Total 2 2 2 8_Summary" xfId="24713" xr:uid="{00000000-0005-0000-0000-0000A4560000}"/>
    <cellStyle name="Total 2 2 2 9" xfId="2697" xr:uid="{00000000-0005-0000-0000-0000A5560000}"/>
    <cellStyle name="Total 2 2 2 9 2" xfId="9293" xr:uid="{00000000-0005-0000-0000-0000A6560000}"/>
    <cellStyle name="Total 2 2 2 9 3" xfId="15912" xr:uid="{00000000-0005-0000-0000-0000A7560000}"/>
    <cellStyle name="Total 2 2 2 9_Summary" xfId="24716" xr:uid="{00000000-0005-0000-0000-0000A8560000}"/>
    <cellStyle name="Total 2 2 2_Summary" xfId="24673" xr:uid="{00000000-0005-0000-0000-0000A9560000}"/>
    <cellStyle name="Total 2 2 20" xfId="25707" xr:uid="{00000000-0005-0000-0000-000055030000}"/>
    <cellStyle name="Total 2 2 21" xfId="25879" xr:uid="{CC0F312F-483B-4768-B540-B6D97E081AA7}"/>
    <cellStyle name="Total 2 2 22" xfId="25822" xr:uid="{148CC9F2-0F97-4803-9B6B-515598E62E97}"/>
    <cellStyle name="Total 2 2 23" xfId="25853" xr:uid="{90FD03B5-7AAB-4854-94E2-3A13A2648652}"/>
    <cellStyle name="Total 2 2 24" xfId="27014" xr:uid="{8498FF58-7954-4596-8DC5-DE02BE1ACCEF}"/>
    <cellStyle name="Total 2 2 25" xfId="26671" xr:uid="{34CAEA90-9393-4C6D-B7A8-ABD83CD168AF}"/>
    <cellStyle name="Total 2 2 26" xfId="29885" xr:uid="{53E17F7C-F276-4051-ACF0-B68FB9529CB6}"/>
    <cellStyle name="Total 2 2 27" xfId="31357" xr:uid="{B7C05743-DCEC-4ADA-B71D-188F69224E76}"/>
    <cellStyle name="Total 2 2 3" xfId="225" xr:uid="{00000000-0005-0000-0000-0000AA560000}"/>
    <cellStyle name="Total 2 2 3 10" xfId="762" xr:uid="{00000000-0005-0000-0000-0000AB560000}"/>
    <cellStyle name="Total 2 2 3 10 2" xfId="13977" xr:uid="{00000000-0005-0000-0000-0000AC560000}"/>
    <cellStyle name="Total 2 2 3 10_Summary" xfId="24718" xr:uid="{00000000-0005-0000-0000-0000AD560000}"/>
    <cellStyle name="Total 2 2 3 11" xfId="7132" xr:uid="{00000000-0005-0000-0000-0000AE560000}"/>
    <cellStyle name="Total 2 2 3 12" xfId="6994" xr:uid="{00000000-0005-0000-0000-0000AF560000}"/>
    <cellStyle name="Total 2 2 3 13" xfId="26281" xr:uid="{FA3B31E6-5457-454B-A675-EDB73E2B9530}"/>
    <cellStyle name="Total 2 2 3 14" xfId="26697" xr:uid="{820EBA04-D699-4487-B95B-3ADA8A0CCCFE}"/>
    <cellStyle name="Total 2 2 3 15" xfId="26944" xr:uid="{4DA9579F-3A84-4796-9694-70FB7EC15DBA}"/>
    <cellStyle name="Total 2 2 3 16" xfId="26567" xr:uid="{BEF91E74-08C5-45B6-8578-42C2D3417D46}"/>
    <cellStyle name="Total 2 2 3 17" xfId="26658" xr:uid="{F25973D7-26FB-4ABA-8C23-7783FAF9FF77}"/>
    <cellStyle name="Total 2 2 3 18" xfId="29887" xr:uid="{F53303B6-A3AF-4038-83D9-30C4ADB2AEF5}"/>
    <cellStyle name="Total 2 2 3 19" xfId="31359" xr:uid="{9D4DE0D2-F240-4CAA-AD04-442D92B29191}"/>
    <cellStyle name="Total 2 2 3 2" xfId="930" xr:uid="{00000000-0005-0000-0000-0000B0560000}"/>
    <cellStyle name="Total 2 2 3 2 2" xfId="3066" xr:uid="{00000000-0005-0000-0000-0000B1560000}"/>
    <cellStyle name="Total 2 2 3 2 2 2" xfId="9662" xr:uid="{00000000-0005-0000-0000-0000B2560000}"/>
    <cellStyle name="Total 2 2 3 2 2 3" xfId="16281" xr:uid="{00000000-0005-0000-0000-0000B3560000}"/>
    <cellStyle name="Total 2 2 3 2 2 4" xfId="26513" xr:uid="{A2A7496F-2792-492B-B8F8-5ECA99075873}"/>
    <cellStyle name="Total 2 2 3 2 2 5" xfId="26896" xr:uid="{B3793B5B-0A31-4D76-94E6-BB8073DD2E19}"/>
    <cellStyle name="Total 2 2 3 2 2_Summary" xfId="24720" xr:uid="{00000000-0005-0000-0000-0000B4560000}"/>
    <cellStyle name="Total 2 2 3 2 3" xfId="5101" xr:uid="{00000000-0005-0000-0000-0000B5560000}"/>
    <cellStyle name="Total 2 2 3 2 3 2" xfId="11697" xr:uid="{00000000-0005-0000-0000-0000B6560000}"/>
    <cellStyle name="Total 2 2 3 2 3 3" xfId="18316" xr:uid="{00000000-0005-0000-0000-0000B7560000}"/>
    <cellStyle name="Total 2 2 3 2 3_Summary" xfId="24721" xr:uid="{00000000-0005-0000-0000-0000B8560000}"/>
    <cellStyle name="Total 2 2 3 2 4" xfId="7527" xr:uid="{00000000-0005-0000-0000-0000B9560000}"/>
    <cellStyle name="Total 2 2 3 2 5" xfId="14145" xr:uid="{00000000-0005-0000-0000-0000BA560000}"/>
    <cellStyle name="Total 2 2 3 2 6" xfId="26426" xr:uid="{515FBAFE-45D8-4D3C-91D8-33B27FB0A367}"/>
    <cellStyle name="Total 2 2 3 2 7" xfId="26824" xr:uid="{D550D1BA-81AE-4FAC-B7D2-681B905E1AF5}"/>
    <cellStyle name="Total 2 2 3 2 8" xfId="30648" xr:uid="{A4127300-61BD-47B7-B5D2-B6C2D3F34D40}"/>
    <cellStyle name="Total 2 2 3 2 9" xfId="32080" xr:uid="{19A107A6-BDB7-42F9-8DC1-05C90C370E04}"/>
    <cellStyle name="Total 2 2 3 2_Summary" xfId="24719" xr:uid="{00000000-0005-0000-0000-0000BB560000}"/>
    <cellStyle name="Total 2 2 3 3" xfId="1215" xr:uid="{00000000-0005-0000-0000-0000BC560000}"/>
    <cellStyle name="Total 2 2 3 3 2" xfId="3351" xr:uid="{00000000-0005-0000-0000-0000BD560000}"/>
    <cellStyle name="Total 2 2 3 3 2 2" xfId="9947" xr:uid="{00000000-0005-0000-0000-0000BE560000}"/>
    <cellStyle name="Total 2 2 3 3 2 3" xfId="16566" xr:uid="{00000000-0005-0000-0000-0000BF560000}"/>
    <cellStyle name="Total 2 2 3 3 2_Summary" xfId="24723" xr:uid="{00000000-0005-0000-0000-0000C0560000}"/>
    <cellStyle name="Total 2 2 3 3 3" xfId="5386" xr:uid="{00000000-0005-0000-0000-0000C1560000}"/>
    <cellStyle name="Total 2 2 3 3 3 2" xfId="11982" xr:uid="{00000000-0005-0000-0000-0000C2560000}"/>
    <cellStyle name="Total 2 2 3 3 3 3" xfId="18601" xr:uid="{00000000-0005-0000-0000-0000C3560000}"/>
    <cellStyle name="Total 2 2 3 3 3_Summary" xfId="24724" xr:uid="{00000000-0005-0000-0000-0000C4560000}"/>
    <cellStyle name="Total 2 2 3 3 4" xfId="7811" xr:uid="{00000000-0005-0000-0000-0000C5560000}"/>
    <cellStyle name="Total 2 2 3 3 5" xfId="14430" xr:uid="{00000000-0005-0000-0000-0000C6560000}"/>
    <cellStyle name="Total 2 2 3 3_Summary" xfId="24722" xr:uid="{00000000-0005-0000-0000-0000C7560000}"/>
    <cellStyle name="Total 2 2 3 4" xfId="1497" xr:uid="{00000000-0005-0000-0000-0000C8560000}"/>
    <cellStyle name="Total 2 2 3 4 2" xfId="3633" xr:uid="{00000000-0005-0000-0000-0000C9560000}"/>
    <cellStyle name="Total 2 2 3 4 2 2" xfId="10229" xr:uid="{00000000-0005-0000-0000-0000CA560000}"/>
    <cellStyle name="Total 2 2 3 4 2 3" xfId="16848" xr:uid="{00000000-0005-0000-0000-0000CB560000}"/>
    <cellStyle name="Total 2 2 3 4 2_Summary" xfId="24726" xr:uid="{00000000-0005-0000-0000-0000CC560000}"/>
    <cellStyle name="Total 2 2 3 4 3" xfId="5668" xr:uid="{00000000-0005-0000-0000-0000CD560000}"/>
    <cellStyle name="Total 2 2 3 4 3 2" xfId="12264" xr:uid="{00000000-0005-0000-0000-0000CE560000}"/>
    <cellStyle name="Total 2 2 3 4 3 3" xfId="18883" xr:uid="{00000000-0005-0000-0000-0000CF560000}"/>
    <cellStyle name="Total 2 2 3 4 3_Summary" xfId="24727" xr:uid="{00000000-0005-0000-0000-0000D0560000}"/>
    <cellStyle name="Total 2 2 3 4 4" xfId="8093" xr:uid="{00000000-0005-0000-0000-0000D1560000}"/>
    <cellStyle name="Total 2 2 3 4 5" xfId="14712" xr:uid="{00000000-0005-0000-0000-0000D2560000}"/>
    <cellStyle name="Total 2 2 3 4_Summary" xfId="24725" xr:uid="{00000000-0005-0000-0000-0000D3560000}"/>
    <cellStyle name="Total 2 2 3 5" xfId="1778" xr:uid="{00000000-0005-0000-0000-0000D4560000}"/>
    <cellStyle name="Total 2 2 3 5 2" xfId="3914" xr:uid="{00000000-0005-0000-0000-0000D5560000}"/>
    <cellStyle name="Total 2 2 3 5 2 2" xfId="10510" xr:uid="{00000000-0005-0000-0000-0000D6560000}"/>
    <cellStyle name="Total 2 2 3 5 2 3" xfId="17129" xr:uid="{00000000-0005-0000-0000-0000D7560000}"/>
    <cellStyle name="Total 2 2 3 5 2_Summary" xfId="24729" xr:uid="{00000000-0005-0000-0000-0000D8560000}"/>
    <cellStyle name="Total 2 2 3 5 3" xfId="5949" xr:uid="{00000000-0005-0000-0000-0000D9560000}"/>
    <cellStyle name="Total 2 2 3 5 3 2" xfId="12545" xr:uid="{00000000-0005-0000-0000-0000DA560000}"/>
    <cellStyle name="Total 2 2 3 5 3 3" xfId="19164" xr:uid="{00000000-0005-0000-0000-0000DB560000}"/>
    <cellStyle name="Total 2 2 3 5 3_Summary" xfId="24730" xr:uid="{00000000-0005-0000-0000-0000DC560000}"/>
    <cellStyle name="Total 2 2 3 5 4" xfId="8374" xr:uid="{00000000-0005-0000-0000-0000DD560000}"/>
    <cellStyle name="Total 2 2 3 5 5" xfId="14993" xr:uid="{00000000-0005-0000-0000-0000DE560000}"/>
    <cellStyle name="Total 2 2 3 5_Summary" xfId="24728" xr:uid="{00000000-0005-0000-0000-0000DF560000}"/>
    <cellStyle name="Total 2 2 3 6" xfId="2057" xr:uid="{00000000-0005-0000-0000-0000E0560000}"/>
    <cellStyle name="Total 2 2 3 6 2" xfId="4193" xr:uid="{00000000-0005-0000-0000-0000E1560000}"/>
    <cellStyle name="Total 2 2 3 6 2 2" xfId="10789" xr:uid="{00000000-0005-0000-0000-0000E2560000}"/>
    <cellStyle name="Total 2 2 3 6 2 3" xfId="17408" xr:uid="{00000000-0005-0000-0000-0000E3560000}"/>
    <cellStyle name="Total 2 2 3 6 2_Summary" xfId="24732" xr:uid="{00000000-0005-0000-0000-0000E4560000}"/>
    <cellStyle name="Total 2 2 3 6 3" xfId="6228" xr:uid="{00000000-0005-0000-0000-0000E5560000}"/>
    <cellStyle name="Total 2 2 3 6 3 2" xfId="12824" xr:uid="{00000000-0005-0000-0000-0000E6560000}"/>
    <cellStyle name="Total 2 2 3 6 3 3" xfId="19443" xr:uid="{00000000-0005-0000-0000-0000E7560000}"/>
    <cellStyle name="Total 2 2 3 6 3_Summary" xfId="24733" xr:uid="{00000000-0005-0000-0000-0000E8560000}"/>
    <cellStyle name="Total 2 2 3 6 4" xfId="8653" xr:uid="{00000000-0005-0000-0000-0000E9560000}"/>
    <cellStyle name="Total 2 2 3 6 5" xfId="15272" xr:uid="{00000000-0005-0000-0000-0000EA560000}"/>
    <cellStyle name="Total 2 2 3 6_Summary" xfId="24731" xr:uid="{00000000-0005-0000-0000-0000EB560000}"/>
    <cellStyle name="Total 2 2 3 7" xfId="2332" xr:uid="{00000000-0005-0000-0000-0000EC560000}"/>
    <cellStyle name="Total 2 2 3 7 2" xfId="4468" xr:uid="{00000000-0005-0000-0000-0000ED560000}"/>
    <cellStyle name="Total 2 2 3 7 2 2" xfId="11064" xr:uid="{00000000-0005-0000-0000-0000EE560000}"/>
    <cellStyle name="Total 2 2 3 7 2 3" xfId="17683" xr:uid="{00000000-0005-0000-0000-0000EF560000}"/>
    <cellStyle name="Total 2 2 3 7 2_Summary" xfId="24735" xr:uid="{00000000-0005-0000-0000-0000F0560000}"/>
    <cellStyle name="Total 2 2 3 7 3" xfId="6503" xr:uid="{00000000-0005-0000-0000-0000F1560000}"/>
    <cellStyle name="Total 2 2 3 7 3 2" xfId="13099" xr:uid="{00000000-0005-0000-0000-0000F2560000}"/>
    <cellStyle name="Total 2 2 3 7 3 3" xfId="19718" xr:uid="{00000000-0005-0000-0000-0000F3560000}"/>
    <cellStyle name="Total 2 2 3 7 3_Summary" xfId="24736" xr:uid="{00000000-0005-0000-0000-0000F4560000}"/>
    <cellStyle name="Total 2 2 3 7 4" xfId="8928" xr:uid="{00000000-0005-0000-0000-0000F5560000}"/>
    <cellStyle name="Total 2 2 3 7 5" xfId="15547" xr:uid="{00000000-0005-0000-0000-0000F6560000}"/>
    <cellStyle name="Total 2 2 3 7_Summary" xfId="24734" xr:uid="{00000000-0005-0000-0000-0000F7560000}"/>
    <cellStyle name="Total 2 2 3 8" xfId="2898" xr:uid="{00000000-0005-0000-0000-0000F8560000}"/>
    <cellStyle name="Total 2 2 3 8 2" xfId="9494" xr:uid="{00000000-0005-0000-0000-0000F9560000}"/>
    <cellStyle name="Total 2 2 3 8 3" xfId="16113" xr:uid="{00000000-0005-0000-0000-0000FA560000}"/>
    <cellStyle name="Total 2 2 3 8_Summary" xfId="24737" xr:uid="{00000000-0005-0000-0000-0000FB560000}"/>
    <cellStyle name="Total 2 2 3 9" xfId="4933" xr:uid="{00000000-0005-0000-0000-0000FC560000}"/>
    <cellStyle name="Total 2 2 3 9 2" xfId="11529" xr:uid="{00000000-0005-0000-0000-0000FD560000}"/>
    <cellStyle name="Total 2 2 3 9 3" xfId="18148" xr:uid="{00000000-0005-0000-0000-0000FE560000}"/>
    <cellStyle name="Total 2 2 3 9_Summary" xfId="24738" xr:uid="{00000000-0005-0000-0000-0000FF560000}"/>
    <cellStyle name="Total 2 2 3_Summary" xfId="24717" xr:uid="{00000000-0005-0000-0000-000000570000}"/>
    <cellStyle name="Total 2 2 4" xfId="379" xr:uid="{00000000-0005-0000-0000-000001570000}"/>
    <cellStyle name="Total 2 2 4 10" xfId="716" xr:uid="{00000000-0005-0000-0000-000002570000}"/>
    <cellStyle name="Total 2 2 4 10 2" xfId="13931" xr:uid="{00000000-0005-0000-0000-000003570000}"/>
    <cellStyle name="Total 2 2 4 10_Summary" xfId="24740" xr:uid="{00000000-0005-0000-0000-000004570000}"/>
    <cellStyle name="Total 2 2 4 11" xfId="7272" xr:uid="{00000000-0005-0000-0000-000005570000}"/>
    <cellStyle name="Total 2 2 4 12" xfId="13594" xr:uid="{00000000-0005-0000-0000-000006570000}"/>
    <cellStyle name="Total 2 2 4 13" xfId="26371" xr:uid="{7FB36BC4-067E-4249-87A0-02BD7007A11D}"/>
    <cellStyle name="Total 2 2 4 14" xfId="26772" xr:uid="{D3E0128A-70FE-498C-9414-07A76DB28002}"/>
    <cellStyle name="Total 2 2 4 15" xfId="26981" xr:uid="{C1FD49D9-FD6D-4740-9020-DDA7DDDF4E3D}"/>
    <cellStyle name="Total 2 2 4 16" xfId="26664" xr:uid="{5E1E26FF-E0AF-492C-8366-DE54D7A857D9}"/>
    <cellStyle name="Total 2 2 4 17" xfId="26644" xr:uid="{5D2D3E55-BAEE-4A68-9DCA-BB78A56E2E27}"/>
    <cellStyle name="Total 2 2 4 18" xfId="29888" xr:uid="{E9D4751C-1F23-4796-A7A0-B129B6442A4E}"/>
    <cellStyle name="Total 2 2 4 19" xfId="31360" xr:uid="{FFEE2D85-ACB8-4909-BF73-3A9786D1FF32}"/>
    <cellStyle name="Total 2 2 4 2" xfId="1073" xr:uid="{00000000-0005-0000-0000-000007570000}"/>
    <cellStyle name="Total 2 2 4 2 10" xfId="27073" xr:uid="{9EE15242-8010-4863-AA36-641EB23569AA}"/>
    <cellStyle name="Total 2 2 4 2 11" xfId="30649" xr:uid="{BC78DFC1-8C50-4A72-8CB1-A87C625D3F91}"/>
    <cellStyle name="Total 2 2 4 2 12" xfId="32081" xr:uid="{7713B409-557E-4516-AFB1-66B5D25A05C5}"/>
    <cellStyle name="Total 2 2 4 2 2" xfId="3209" xr:uid="{00000000-0005-0000-0000-000008570000}"/>
    <cellStyle name="Total 2 2 4 2 2 2" xfId="9805" xr:uid="{00000000-0005-0000-0000-000009570000}"/>
    <cellStyle name="Total 2 2 4 2 2 3" xfId="16424" xr:uid="{00000000-0005-0000-0000-00000A570000}"/>
    <cellStyle name="Total 2 2 4 2 2_Summary" xfId="24742" xr:uid="{00000000-0005-0000-0000-00000B570000}"/>
    <cellStyle name="Total 2 2 4 2 3" xfId="5244" xr:uid="{00000000-0005-0000-0000-00000C570000}"/>
    <cellStyle name="Total 2 2 4 2 3 2" xfId="11840" xr:uid="{00000000-0005-0000-0000-00000D570000}"/>
    <cellStyle name="Total 2 2 4 2 3 3" xfId="18459" xr:uid="{00000000-0005-0000-0000-00000E570000}"/>
    <cellStyle name="Total 2 2 4 2 3_Summary" xfId="24743" xr:uid="{00000000-0005-0000-0000-00000F570000}"/>
    <cellStyle name="Total 2 2 4 2 4" xfId="7670" xr:uid="{00000000-0005-0000-0000-000010570000}"/>
    <cellStyle name="Total 2 2 4 2 5" xfId="14288" xr:uid="{00000000-0005-0000-0000-000011570000}"/>
    <cellStyle name="Total 2 2 4 2 6" xfId="26491" xr:uid="{9E264FE0-AE6C-4A49-8267-9E47D6093D3F}"/>
    <cellStyle name="Total 2 2 4 2 7" xfId="26874" xr:uid="{01DF2E84-6DAF-4353-A652-E355FBD05395}"/>
    <cellStyle name="Total 2 2 4 2 8" xfId="27025" xr:uid="{38276C21-42AF-41BC-A4C7-B18906EDED19}"/>
    <cellStyle name="Total 2 2 4 2 9" xfId="27053" xr:uid="{573CAC7F-8384-455D-94A8-6042E4498F05}"/>
    <cellStyle name="Total 2 2 4 2_Summary" xfId="24741" xr:uid="{00000000-0005-0000-0000-000012570000}"/>
    <cellStyle name="Total 2 2 4 3" xfId="1355" xr:uid="{00000000-0005-0000-0000-000013570000}"/>
    <cellStyle name="Total 2 2 4 3 2" xfId="3491" xr:uid="{00000000-0005-0000-0000-000014570000}"/>
    <cellStyle name="Total 2 2 4 3 2 2" xfId="10087" xr:uid="{00000000-0005-0000-0000-000015570000}"/>
    <cellStyle name="Total 2 2 4 3 2 3" xfId="16706" xr:uid="{00000000-0005-0000-0000-000016570000}"/>
    <cellStyle name="Total 2 2 4 3 2_Summary" xfId="24745" xr:uid="{00000000-0005-0000-0000-000017570000}"/>
    <cellStyle name="Total 2 2 4 3 3" xfId="5526" xr:uid="{00000000-0005-0000-0000-000018570000}"/>
    <cellStyle name="Total 2 2 4 3 3 2" xfId="12122" xr:uid="{00000000-0005-0000-0000-000019570000}"/>
    <cellStyle name="Total 2 2 4 3 3 3" xfId="18741" xr:uid="{00000000-0005-0000-0000-00001A570000}"/>
    <cellStyle name="Total 2 2 4 3 3_Summary" xfId="24746" xr:uid="{00000000-0005-0000-0000-00001B570000}"/>
    <cellStyle name="Total 2 2 4 3 4" xfId="7951" xr:uid="{00000000-0005-0000-0000-00001C570000}"/>
    <cellStyle name="Total 2 2 4 3 5" xfId="14570" xr:uid="{00000000-0005-0000-0000-00001D570000}"/>
    <cellStyle name="Total 2 2 4 3_Summary" xfId="24744" xr:uid="{00000000-0005-0000-0000-00001E570000}"/>
    <cellStyle name="Total 2 2 4 4" xfId="1636" xr:uid="{00000000-0005-0000-0000-00001F570000}"/>
    <cellStyle name="Total 2 2 4 4 2" xfId="3772" xr:uid="{00000000-0005-0000-0000-000020570000}"/>
    <cellStyle name="Total 2 2 4 4 2 2" xfId="10368" xr:uid="{00000000-0005-0000-0000-000021570000}"/>
    <cellStyle name="Total 2 2 4 4 2 3" xfId="16987" xr:uid="{00000000-0005-0000-0000-000022570000}"/>
    <cellStyle name="Total 2 2 4 4 2_Summary" xfId="24748" xr:uid="{00000000-0005-0000-0000-000023570000}"/>
    <cellStyle name="Total 2 2 4 4 3" xfId="5807" xr:uid="{00000000-0005-0000-0000-000024570000}"/>
    <cellStyle name="Total 2 2 4 4 3 2" xfId="12403" xr:uid="{00000000-0005-0000-0000-000025570000}"/>
    <cellStyle name="Total 2 2 4 4 3 3" xfId="19022" xr:uid="{00000000-0005-0000-0000-000026570000}"/>
    <cellStyle name="Total 2 2 4 4 3_Summary" xfId="24749" xr:uid="{00000000-0005-0000-0000-000027570000}"/>
    <cellStyle name="Total 2 2 4 4 4" xfId="8232" xr:uid="{00000000-0005-0000-0000-000028570000}"/>
    <cellStyle name="Total 2 2 4 4 5" xfId="14851" xr:uid="{00000000-0005-0000-0000-000029570000}"/>
    <cellStyle name="Total 2 2 4 4_Summary" xfId="24747" xr:uid="{00000000-0005-0000-0000-00002A570000}"/>
    <cellStyle name="Total 2 2 4 5" xfId="1915" xr:uid="{00000000-0005-0000-0000-00002B570000}"/>
    <cellStyle name="Total 2 2 4 5 2" xfId="4051" xr:uid="{00000000-0005-0000-0000-00002C570000}"/>
    <cellStyle name="Total 2 2 4 5 2 2" xfId="10647" xr:uid="{00000000-0005-0000-0000-00002D570000}"/>
    <cellStyle name="Total 2 2 4 5 2 3" xfId="17266" xr:uid="{00000000-0005-0000-0000-00002E570000}"/>
    <cellStyle name="Total 2 2 4 5 2_Summary" xfId="24751" xr:uid="{00000000-0005-0000-0000-00002F570000}"/>
    <cellStyle name="Total 2 2 4 5 3" xfId="6086" xr:uid="{00000000-0005-0000-0000-000030570000}"/>
    <cellStyle name="Total 2 2 4 5 3 2" xfId="12682" xr:uid="{00000000-0005-0000-0000-000031570000}"/>
    <cellStyle name="Total 2 2 4 5 3 3" xfId="19301" xr:uid="{00000000-0005-0000-0000-000032570000}"/>
    <cellStyle name="Total 2 2 4 5 3_Summary" xfId="24752" xr:uid="{00000000-0005-0000-0000-000033570000}"/>
    <cellStyle name="Total 2 2 4 5 4" xfId="8511" xr:uid="{00000000-0005-0000-0000-000034570000}"/>
    <cellStyle name="Total 2 2 4 5 5" xfId="15130" xr:uid="{00000000-0005-0000-0000-000035570000}"/>
    <cellStyle name="Total 2 2 4 5_Summary" xfId="24750" xr:uid="{00000000-0005-0000-0000-000036570000}"/>
    <cellStyle name="Total 2 2 4 6" xfId="2190" xr:uid="{00000000-0005-0000-0000-000037570000}"/>
    <cellStyle name="Total 2 2 4 6 2" xfId="4326" xr:uid="{00000000-0005-0000-0000-000038570000}"/>
    <cellStyle name="Total 2 2 4 6 2 2" xfId="10922" xr:uid="{00000000-0005-0000-0000-000039570000}"/>
    <cellStyle name="Total 2 2 4 6 2 3" xfId="17541" xr:uid="{00000000-0005-0000-0000-00003A570000}"/>
    <cellStyle name="Total 2 2 4 6 2_Summary" xfId="24754" xr:uid="{00000000-0005-0000-0000-00003B570000}"/>
    <cellStyle name="Total 2 2 4 6 3" xfId="6361" xr:uid="{00000000-0005-0000-0000-00003C570000}"/>
    <cellStyle name="Total 2 2 4 6 3 2" xfId="12957" xr:uid="{00000000-0005-0000-0000-00003D570000}"/>
    <cellStyle name="Total 2 2 4 6 3 3" xfId="19576" xr:uid="{00000000-0005-0000-0000-00003E570000}"/>
    <cellStyle name="Total 2 2 4 6 3_Summary" xfId="24755" xr:uid="{00000000-0005-0000-0000-00003F570000}"/>
    <cellStyle name="Total 2 2 4 6 4" xfId="8786" xr:uid="{00000000-0005-0000-0000-000040570000}"/>
    <cellStyle name="Total 2 2 4 6 5" xfId="15405" xr:uid="{00000000-0005-0000-0000-000041570000}"/>
    <cellStyle name="Total 2 2 4 6_Summary" xfId="24753" xr:uid="{00000000-0005-0000-0000-000042570000}"/>
    <cellStyle name="Total 2 2 4 7" xfId="2463" xr:uid="{00000000-0005-0000-0000-000043570000}"/>
    <cellStyle name="Total 2 2 4 7 2" xfId="4599" xr:uid="{00000000-0005-0000-0000-000044570000}"/>
    <cellStyle name="Total 2 2 4 7 2 2" xfId="11195" xr:uid="{00000000-0005-0000-0000-000045570000}"/>
    <cellStyle name="Total 2 2 4 7 2 3" xfId="17814" xr:uid="{00000000-0005-0000-0000-000046570000}"/>
    <cellStyle name="Total 2 2 4 7 2_Summary" xfId="24757" xr:uid="{00000000-0005-0000-0000-000047570000}"/>
    <cellStyle name="Total 2 2 4 7 3" xfId="6634" xr:uid="{00000000-0005-0000-0000-000048570000}"/>
    <cellStyle name="Total 2 2 4 7 3 2" xfId="13230" xr:uid="{00000000-0005-0000-0000-000049570000}"/>
    <cellStyle name="Total 2 2 4 7 3 3" xfId="19849" xr:uid="{00000000-0005-0000-0000-00004A570000}"/>
    <cellStyle name="Total 2 2 4 7 3_Summary" xfId="24758" xr:uid="{00000000-0005-0000-0000-00004B570000}"/>
    <cellStyle name="Total 2 2 4 7 4" xfId="9059" xr:uid="{00000000-0005-0000-0000-00004C570000}"/>
    <cellStyle name="Total 2 2 4 7 5" xfId="15678" xr:uid="{00000000-0005-0000-0000-00004D570000}"/>
    <cellStyle name="Total 2 2 4 7_Summary" xfId="24756" xr:uid="{00000000-0005-0000-0000-00004E570000}"/>
    <cellStyle name="Total 2 2 4 8" xfId="2852" xr:uid="{00000000-0005-0000-0000-00004F570000}"/>
    <cellStyle name="Total 2 2 4 8 2" xfId="9448" xr:uid="{00000000-0005-0000-0000-000050570000}"/>
    <cellStyle name="Total 2 2 4 8 3" xfId="16067" xr:uid="{00000000-0005-0000-0000-000051570000}"/>
    <cellStyle name="Total 2 2 4 8_Summary" xfId="24759" xr:uid="{00000000-0005-0000-0000-000052570000}"/>
    <cellStyle name="Total 2 2 4 9" xfId="4887" xr:uid="{00000000-0005-0000-0000-000053570000}"/>
    <cellStyle name="Total 2 2 4 9 2" xfId="11483" xr:uid="{00000000-0005-0000-0000-000054570000}"/>
    <cellStyle name="Total 2 2 4 9 3" xfId="18102" xr:uid="{00000000-0005-0000-0000-000055570000}"/>
    <cellStyle name="Total 2 2 4 9_Summary" xfId="24760" xr:uid="{00000000-0005-0000-0000-000056570000}"/>
    <cellStyle name="Total 2 2 4_Summary" xfId="24739" xr:uid="{00000000-0005-0000-0000-000057570000}"/>
    <cellStyle name="Total 2 2 5" xfId="886" xr:uid="{00000000-0005-0000-0000-000058570000}"/>
    <cellStyle name="Total 2 2 5 2" xfId="3022" xr:uid="{00000000-0005-0000-0000-000059570000}"/>
    <cellStyle name="Total 2 2 5 2 2" xfId="9618" xr:uid="{00000000-0005-0000-0000-00005A570000}"/>
    <cellStyle name="Total 2 2 5 2 3" xfId="16237" xr:uid="{00000000-0005-0000-0000-00005B570000}"/>
    <cellStyle name="Total 2 2 5 2_Summary" xfId="24762" xr:uid="{00000000-0005-0000-0000-00005C570000}"/>
    <cellStyle name="Total 2 2 5 3" xfId="5057" xr:uid="{00000000-0005-0000-0000-00005D570000}"/>
    <cellStyle name="Total 2 2 5 3 2" xfId="11653" xr:uid="{00000000-0005-0000-0000-00005E570000}"/>
    <cellStyle name="Total 2 2 5 3 3" xfId="18272" xr:uid="{00000000-0005-0000-0000-00005F570000}"/>
    <cellStyle name="Total 2 2 5 3_Summary" xfId="24763" xr:uid="{00000000-0005-0000-0000-000060570000}"/>
    <cellStyle name="Total 2 2 5 4" xfId="7483" xr:uid="{00000000-0005-0000-0000-000061570000}"/>
    <cellStyle name="Total 2 2 5 5" xfId="14101" xr:uid="{00000000-0005-0000-0000-000062570000}"/>
    <cellStyle name="Total 2 2 5 6" xfId="30646" xr:uid="{66A51B71-D0AA-44D1-BBB2-188A4FF31381}"/>
    <cellStyle name="Total 2 2 5 7" xfId="32078" xr:uid="{91B3F0E0-A6D8-4397-86B4-6A0BB4C2CD4A}"/>
    <cellStyle name="Total 2 2 5_Summary" xfId="24761" xr:uid="{00000000-0005-0000-0000-000063570000}"/>
    <cellStyle name="Total 2 2 6" xfId="1171" xr:uid="{00000000-0005-0000-0000-000064570000}"/>
    <cellStyle name="Total 2 2 6 2" xfId="3307" xr:uid="{00000000-0005-0000-0000-000065570000}"/>
    <cellStyle name="Total 2 2 6 2 2" xfId="9903" xr:uid="{00000000-0005-0000-0000-000066570000}"/>
    <cellStyle name="Total 2 2 6 2 3" xfId="16522" xr:uid="{00000000-0005-0000-0000-000067570000}"/>
    <cellStyle name="Total 2 2 6 2_Summary" xfId="24765" xr:uid="{00000000-0005-0000-0000-000068570000}"/>
    <cellStyle name="Total 2 2 6 3" xfId="5342" xr:uid="{00000000-0005-0000-0000-000069570000}"/>
    <cellStyle name="Total 2 2 6 3 2" xfId="11938" xr:uid="{00000000-0005-0000-0000-00006A570000}"/>
    <cellStyle name="Total 2 2 6 3 3" xfId="18557" xr:uid="{00000000-0005-0000-0000-00006B570000}"/>
    <cellStyle name="Total 2 2 6 3_Summary" xfId="24766" xr:uid="{00000000-0005-0000-0000-00006C570000}"/>
    <cellStyle name="Total 2 2 6 4" xfId="7767" xr:uid="{00000000-0005-0000-0000-00006D570000}"/>
    <cellStyle name="Total 2 2 6 5" xfId="14386" xr:uid="{00000000-0005-0000-0000-00006E570000}"/>
    <cellStyle name="Total 2 2 6_Summary" xfId="24764" xr:uid="{00000000-0005-0000-0000-00006F570000}"/>
    <cellStyle name="Total 2 2 7" xfId="1453" xr:uid="{00000000-0005-0000-0000-000070570000}"/>
    <cellStyle name="Total 2 2 7 2" xfId="3589" xr:uid="{00000000-0005-0000-0000-000071570000}"/>
    <cellStyle name="Total 2 2 7 2 2" xfId="10185" xr:uid="{00000000-0005-0000-0000-000072570000}"/>
    <cellStyle name="Total 2 2 7 2 3" xfId="16804" xr:uid="{00000000-0005-0000-0000-000073570000}"/>
    <cellStyle name="Total 2 2 7 2_Summary" xfId="24768" xr:uid="{00000000-0005-0000-0000-000074570000}"/>
    <cellStyle name="Total 2 2 7 3" xfId="5624" xr:uid="{00000000-0005-0000-0000-000075570000}"/>
    <cellStyle name="Total 2 2 7 3 2" xfId="12220" xr:uid="{00000000-0005-0000-0000-000076570000}"/>
    <cellStyle name="Total 2 2 7 3 3" xfId="18839" xr:uid="{00000000-0005-0000-0000-000077570000}"/>
    <cellStyle name="Total 2 2 7 3_Summary" xfId="24769" xr:uid="{00000000-0005-0000-0000-000078570000}"/>
    <cellStyle name="Total 2 2 7 4" xfId="8049" xr:uid="{00000000-0005-0000-0000-000079570000}"/>
    <cellStyle name="Total 2 2 7 5" xfId="14668" xr:uid="{00000000-0005-0000-0000-00007A570000}"/>
    <cellStyle name="Total 2 2 7_Summary" xfId="24767" xr:uid="{00000000-0005-0000-0000-00007B570000}"/>
    <cellStyle name="Total 2 2 8" xfId="1734" xr:uid="{00000000-0005-0000-0000-00007C570000}"/>
    <cellStyle name="Total 2 2 8 2" xfId="3870" xr:uid="{00000000-0005-0000-0000-00007D570000}"/>
    <cellStyle name="Total 2 2 8 2 2" xfId="10466" xr:uid="{00000000-0005-0000-0000-00007E570000}"/>
    <cellStyle name="Total 2 2 8 2 3" xfId="17085" xr:uid="{00000000-0005-0000-0000-00007F570000}"/>
    <cellStyle name="Total 2 2 8 2_Summary" xfId="24771" xr:uid="{00000000-0005-0000-0000-000080570000}"/>
    <cellStyle name="Total 2 2 8 3" xfId="5905" xr:uid="{00000000-0005-0000-0000-000081570000}"/>
    <cellStyle name="Total 2 2 8 3 2" xfId="12501" xr:uid="{00000000-0005-0000-0000-000082570000}"/>
    <cellStyle name="Total 2 2 8 3 3" xfId="19120" xr:uid="{00000000-0005-0000-0000-000083570000}"/>
    <cellStyle name="Total 2 2 8 3_Summary" xfId="24772" xr:uid="{00000000-0005-0000-0000-000084570000}"/>
    <cellStyle name="Total 2 2 8 4" xfId="8330" xr:uid="{00000000-0005-0000-0000-000085570000}"/>
    <cellStyle name="Total 2 2 8 5" xfId="14949" xr:uid="{00000000-0005-0000-0000-000086570000}"/>
    <cellStyle name="Total 2 2 8_Summary" xfId="24770" xr:uid="{00000000-0005-0000-0000-000087570000}"/>
    <cellStyle name="Total 2 2 9" xfId="2013" xr:uid="{00000000-0005-0000-0000-000088570000}"/>
    <cellStyle name="Total 2 2 9 2" xfId="4149" xr:uid="{00000000-0005-0000-0000-000089570000}"/>
    <cellStyle name="Total 2 2 9 2 2" xfId="10745" xr:uid="{00000000-0005-0000-0000-00008A570000}"/>
    <cellStyle name="Total 2 2 9 2 3" xfId="17364" xr:uid="{00000000-0005-0000-0000-00008B570000}"/>
    <cellStyle name="Total 2 2 9 2_Summary" xfId="24774" xr:uid="{00000000-0005-0000-0000-00008C570000}"/>
    <cellStyle name="Total 2 2 9 3" xfId="6184" xr:uid="{00000000-0005-0000-0000-00008D570000}"/>
    <cellStyle name="Total 2 2 9 3 2" xfId="12780" xr:uid="{00000000-0005-0000-0000-00008E570000}"/>
    <cellStyle name="Total 2 2 9 3 3" xfId="19399" xr:uid="{00000000-0005-0000-0000-00008F570000}"/>
    <cellStyle name="Total 2 2 9 3_Summary" xfId="24775" xr:uid="{00000000-0005-0000-0000-000090570000}"/>
    <cellStyle name="Total 2 2 9 4" xfId="8609" xr:uid="{00000000-0005-0000-0000-000091570000}"/>
    <cellStyle name="Total 2 2 9 5" xfId="15228" xr:uid="{00000000-0005-0000-0000-000092570000}"/>
    <cellStyle name="Total 2 2 9_Summary" xfId="24773" xr:uid="{00000000-0005-0000-0000-000093570000}"/>
    <cellStyle name="Total 2 2_Summary" xfId="24666" xr:uid="{00000000-0005-0000-0000-000094570000}"/>
    <cellStyle name="Total 2 20" xfId="6750" xr:uid="{00000000-0005-0000-0000-000095570000}"/>
    <cellStyle name="Total 2 20 2" xfId="13346" xr:uid="{00000000-0005-0000-0000-000096570000}"/>
    <cellStyle name="Total 2 20 3" xfId="19965" xr:uid="{00000000-0005-0000-0000-000097570000}"/>
    <cellStyle name="Total 2 20_Summary" xfId="24776" xr:uid="{00000000-0005-0000-0000-000098570000}"/>
    <cellStyle name="Total 2 21" xfId="6753" xr:uid="{00000000-0005-0000-0000-000099570000}"/>
    <cellStyle name="Total 2 21 2" xfId="13349" xr:uid="{00000000-0005-0000-0000-00009A570000}"/>
    <cellStyle name="Total 2 21 3" xfId="19968" xr:uid="{00000000-0005-0000-0000-00009B570000}"/>
    <cellStyle name="Total 2 21_Summary" xfId="24777" xr:uid="{00000000-0005-0000-0000-00009C570000}"/>
    <cellStyle name="Total 2 22" xfId="6755" xr:uid="{00000000-0005-0000-0000-00009D570000}"/>
    <cellStyle name="Total 2 22 2" xfId="13351" xr:uid="{00000000-0005-0000-0000-00009E570000}"/>
    <cellStyle name="Total 2 22 3" xfId="19970" xr:uid="{00000000-0005-0000-0000-00009F570000}"/>
    <cellStyle name="Total 2 22_Summary" xfId="24778" xr:uid="{00000000-0005-0000-0000-0000A0570000}"/>
    <cellStyle name="Total 2 23" xfId="6757" xr:uid="{00000000-0005-0000-0000-0000A1570000}"/>
    <cellStyle name="Total 2 23 2" xfId="13353" xr:uid="{00000000-0005-0000-0000-0000A2570000}"/>
    <cellStyle name="Total 2 23 3" xfId="19972" xr:uid="{00000000-0005-0000-0000-0000A3570000}"/>
    <cellStyle name="Total 2 23_Summary" xfId="24779" xr:uid="{00000000-0005-0000-0000-0000A4570000}"/>
    <cellStyle name="Total 2 24" xfId="6759" xr:uid="{00000000-0005-0000-0000-0000A5570000}"/>
    <cellStyle name="Total 2 24 2" xfId="13355" xr:uid="{00000000-0005-0000-0000-0000A6570000}"/>
    <cellStyle name="Total 2 24 3" xfId="19974" xr:uid="{00000000-0005-0000-0000-0000A7570000}"/>
    <cellStyle name="Total 2 24_Summary" xfId="24780" xr:uid="{00000000-0005-0000-0000-0000A8570000}"/>
    <cellStyle name="Total 2 25" xfId="6761" xr:uid="{00000000-0005-0000-0000-0000A9570000}"/>
    <cellStyle name="Total 2 25 2" xfId="13357" xr:uid="{00000000-0005-0000-0000-0000AA570000}"/>
    <cellStyle name="Total 2 25 3" xfId="19976" xr:uid="{00000000-0005-0000-0000-0000AB570000}"/>
    <cellStyle name="Total 2 25_Summary" xfId="24781" xr:uid="{00000000-0005-0000-0000-0000AC570000}"/>
    <cellStyle name="Total 2 26" xfId="6770" xr:uid="{00000000-0005-0000-0000-0000AD570000}"/>
    <cellStyle name="Total 2 26 2" xfId="13366" xr:uid="{00000000-0005-0000-0000-0000AE570000}"/>
    <cellStyle name="Total 2 26 3" xfId="19985" xr:uid="{00000000-0005-0000-0000-0000AF570000}"/>
    <cellStyle name="Total 2 26_Summary" xfId="24782" xr:uid="{00000000-0005-0000-0000-0000B0570000}"/>
    <cellStyle name="Total 2 27" xfId="6793" xr:uid="{00000000-0005-0000-0000-0000B1570000}"/>
    <cellStyle name="Total 2 27 2" xfId="13389" xr:uid="{00000000-0005-0000-0000-0000B2570000}"/>
    <cellStyle name="Total 2 27 3" xfId="20008" xr:uid="{00000000-0005-0000-0000-0000B3570000}"/>
    <cellStyle name="Total 2 27_Summary" xfId="24783" xr:uid="{00000000-0005-0000-0000-0000B4570000}"/>
    <cellStyle name="Total 2 28" xfId="6796" xr:uid="{00000000-0005-0000-0000-0000B5570000}"/>
    <cellStyle name="Total 2 28 2" xfId="13392" xr:uid="{00000000-0005-0000-0000-0000B6570000}"/>
    <cellStyle name="Total 2 28 3" xfId="20011" xr:uid="{00000000-0005-0000-0000-0000B7570000}"/>
    <cellStyle name="Total 2 28_Summary" xfId="24784" xr:uid="{00000000-0005-0000-0000-0000B8570000}"/>
    <cellStyle name="Total 2 29" xfId="6798" xr:uid="{00000000-0005-0000-0000-0000B9570000}"/>
    <cellStyle name="Total 2 29 2" xfId="13394" xr:uid="{00000000-0005-0000-0000-0000BA570000}"/>
    <cellStyle name="Total 2 29 3" xfId="20013" xr:uid="{00000000-0005-0000-0000-0000BB570000}"/>
    <cellStyle name="Total 2 29_Summary" xfId="24785" xr:uid="{00000000-0005-0000-0000-0000BC570000}"/>
    <cellStyle name="Total 2 3" xfId="183" xr:uid="{00000000-0005-0000-0000-0000BD570000}"/>
    <cellStyle name="Total 2 3 10" xfId="2292" xr:uid="{00000000-0005-0000-0000-0000BE570000}"/>
    <cellStyle name="Total 2 3 10 2" xfId="4428" xr:uid="{00000000-0005-0000-0000-0000BF570000}"/>
    <cellStyle name="Total 2 3 10 2 2" xfId="11024" xr:uid="{00000000-0005-0000-0000-0000C0570000}"/>
    <cellStyle name="Total 2 3 10 2 3" xfId="17643" xr:uid="{00000000-0005-0000-0000-0000C1570000}"/>
    <cellStyle name="Total 2 3 10 2_Summary" xfId="24788" xr:uid="{00000000-0005-0000-0000-0000C2570000}"/>
    <cellStyle name="Total 2 3 10 3" xfId="6463" xr:uid="{00000000-0005-0000-0000-0000C3570000}"/>
    <cellStyle name="Total 2 3 10 3 2" xfId="13059" xr:uid="{00000000-0005-0000-0000-0000C4570000}"/>
    <cellStyle name="Total 2 3 10 3 3" xfId="19678" xr:uid="{00000000-0005-0000-0000-0000C5570000}"/>
    <cellStyle name="Total 2 3 10 3_Summary" xfId="24789" xr:uid="{00000000-0005-0000-0000-0000C6570000}"/>
    <cellStyle name="Total 2 3 10 4" xfId="8888" xr:uid="{00000000-0005-0000-0000-0000C7570000}"/>
    <cellStyle name="Total 2 3 10 5" xfId="15507" xr:uid="{00000000-0005-0000-0000-0000C8570000}"/>
    <cellStyle name="Total 2 3 10_Summary" xfId="24787" xr:uid="{00000000-0005-0000-0000-0000C9570000}"/>
    <cellStyle name="Total 2 3 11" xfId="2611" xr:uid="{00000000-0005-0000-0000-0000CA570000}"/>
    <cellStyle name="Total 2 3 11 2" xfId="9207" xr:uid="{00000000-0005-0000-0000-0000CB570000}"/>
    <cellStyle name="Total 2 3 11 3" xfId="15826" xr:uid="{00000000-0005-0000-0000-0000CC570000}"/>
    <cellStyle name="Total 2 3 11_Summary" xfId="24790" xr:uid="{00000000-0005-0000-0000-0000CD570000}"/>
    <cellStyle name="Total 2 3 12" xfId="2654" xr:uid="{00000000-0005-0000-0000-0000CE570000}"/>
    <cellStyle name="Total 2 3 12 2" xfId="9250" xr:uid="{00000000-0005-0000-0000-0000CF570000}"/>
    <cellStyle name="Total 2 3 12 3" xfId="15869" xr:uid="{00000000-0005-0000-0000-0000D0570000}"/>
    <cellStyle name="Total 2 3 12_Summary" xfId="24791" xr:uid="{00000000-0005-0000-0000-0000D1570000}"/>
    <cellStyle name="Total 2 3 13" xfId="500" xr:uid="{00000000-0005-0000-0000-0000D2570000}"/>
    <cellStyle name="Total 2 3 13 2" xfId="13715" xr:uid="{00000000-0005-0000-0000-0000D3570000}"/>
    <cellStyle name="Total 2 3 13_Summary" xfId="24792" xr:uid="{00000000-0005-0000-0000-0000D4570000}"/>
    <cellStyle name="Total 2 3 14" xfId="7091" xr:uid="{00000000-0005-0000-0000-0000D5570000}"/>
    <cellStyle name="Total 2 3 15" xfId="6981" xr:uid="{00000000-0005-0000-0000-0000D6570000}"/>
    <cellStyle name="Total 2 3 16" xfId="26155" xr:uid="{CDB85F69-C8BB-44BE-9395-BC618D86359A}"/>
    <cellStyle name="Total 2 3 17" xfId="26657" xr:uid="{D299132B-BE01-4D97-B468-CBBF9980CB60}"/>
    <cellStyle name="Total 2 3 18" xfId="25819" xr:uid="{5C6CB15C-F7B4-490E-9C91-E37EB3E02D42}"/>
    <cellStyle name="Total 2 3 19" xfId="26628" xr:uid="{246C04EE-8F2E-4733-9E37-CF5D8C04A566}"/>
    <cellStyle name="Total 2 3 2" xfId="315" xr:uid="{00000000-0005-0000-0000-0000D7570000}"/>
    <cellStyle name="Total 2 3 2 10" xfId="4736" xr:uid="{00000000-0005-0000-0000-0000D8570000}"/>
    <cellStyle name="Total 2 3 2 10 2" xfId="11332" xr:uid="{00000000-0005-0000-0000-0000D9570000}"/>
    <cellStyle name="Total 2 3 2 10 3" xfId="17951" xr:uid="{00000000-0005-0000-0000-0000DA570000}"/>
    <cellStyle name="Total 2 3 2 10_Summary" xfId="24794" xr:uid="{00000000-0005-0000-0000-0000DB570000}"/>
    <cellStyle name="Total 2 3 2 11" xfId="565" xr:uid="{00000000-0005-0000-0000-0000DC570000}"/>
    <cellStyle name="Total 2 3 2 11 2" xfId="13780" xr:uid="{00000000-0005-0000-0000-0000DD570000}"/>
    <cellStyle name="Total 2 3 2 11_Summary" xfId="24795" xr:uid="{00000000-0005-0000-0000-0000DE570000}"/>
    <cellStyle name="Total 2 3 2 12" xfId="7209" xr:uid="{00000000-0005-0000-0000-0000DF570000}"/>
    <cellStyle name="Total 2 3 2 13" xfId="13531" xr:uid="{00000000-0005-0000-0000-0000E0570000}"/>
    <cellStyle name="Total 2 3 2 14" xfId="26312" xr:uid="{57281A66-DEFA-4C41-836F-218EE8934B53}"/>
    <cellStyle name="Total 2 3 2 15" xfId="26727" xr:uid="{2721AC6A-3510-4DD5-AD0A-96F747ED8B73}"/>
    <cellStyle name="Total 2 3 2 16" xfId="26957" xr:uid="{763E3F04-F01F-4781-AFB9-E990F342326A}"/>
    <cellStyle name="Total 2 3 2 17" xfId="26572" xr:uid="{8A642181-7014-4045-945C-973BD6754FCF}"/>
    <cellStyle name="Total 2 3 2 18" xfId="26675" xr:uid="{C2E37252-8196-48FE-A60A-A9B9D0D6B87C}"/>
    <cellStyle name="Total 2 3 2 19" xfId="29890" xr:uid="{913B85C0-4C8F-48D1-9B4E-EF97B5DF52AF}"/>
    <cellStyle name="Total 2 3 2 2" xfId="444" xr:uid="{00000000-0005-0000-0000-0000E1570000}"/>
    <cellStyle name="Total 2 3 2 2 10" xfId="838" xr:uid="{00000000-0005-0000-0000-0000E2570000}"/>
    <cellStyle name="Total 2 3 2 2 10 2" xfId="14053" xr:uid="{00000000-0005-0000-0000-0000E3570000}"/>
    <cellStyle name="Total 2 3 2 2 10_Summary" xfId="24797" xr:uid="{00000000-0005-0000-0000-0000E4570000}"/>
    <cellStyle name="Total 2 3 2 2 11" xfId="7337" xr:uid="{00000000-0005-0000-0000-0000E5570000}"/>
    <cellStyle name="Total 2 3 2 2 12" xfId="13659" xr:uid="{00000000-0005-0000-0000-0000E6570000}"/>
    <cellStyle name="Total 2 3 2 2 13" xfId="26457" xr:uid="{061D2CC3-ED95-426A-A2FF-6F112DC2A881}"/>
    <cellStyle name="Total 2 3 2 2 14" xfId="26851" xr:uid="{34D7B026-BA8E-40AA-A6C1-0E1FBF4F72B8}"/>
    <cellStyle name="Total 2 3 2 2 15" xfId="27016" xr:uid="{B10D0E3E-1284-4085-9E50-3963D9A2AA64}"/>
    <cellStyle name="Total 2 3 2 2 16" xfId="25856" xr:uid="{D43653E9-187D-41B2-A457-4957A86C253C}"/>
    <cellStyle name="Total 2 3 2 2 17" xfId="26670" xr:uid="{0B176760-DF95-428F-90FB-471AAECC536E}"/>
    <cellStyle name="Total 2 3 2 2 18" xfId="30651" xr:uid="{C2B7D961-B1B9-496F-B098-850ADA7B670E}"/>
    <cellStyle name="Total 2 3 2 2 19" xfId="32083" xr:uid="{8CAD869F-8297-4273-A367-CA93222EC418}"/>
    <cellStyle name="Total 2 3 2 2 2" xfId="1138" xr:uid="{00000000-0005-0000-0000-0000E7570000}"/>
    <cellStyle name="Total 2 3 2 2 2 10" xfId="27083" xr:uid="{1A1CCD36-6733-4895-A229-4562E1730ED0}"/>
    <cellStyle name="Total 2 3 2 2 2 2" xfId="3274" xr:uid="{00000000-0005-0000-0000-0000E8570000}"/>
    <cellStyle name="Total 2 3 2 2 2 2 2" xfId="9870" xr:uid="{00000000-0005-0000-0000-0000E9570000}"/>
    <cellStyle name="Total 2 3 2 2 2 2 3" xfId="16489" xr:uid="{00000000-0005-0000-0000-0000EA570000}"/>
    <cellStyle name="Total 2 3 2 2 2 2_Summary" xfId="24799" xr:uid="{00000000-0005-0000-0000-0000EB570000}"/>
    <cellStyle name="Total 2 3 2 2 2 3" xfId="5309" xr:uid="{00000000-0005-0000-0000-0000EC570000}"/>
    <cellStyle name="Total 2 3 2 2 2 3 2" xfId="11905" xr:uid="{00000000-0005-0000-0000-0000ED570000}"/>
    <cellStyle name="Total 2 3 2 2 2 3 3" xfId="18524" xr:uid="{00000000-0005-0000-0000-0000EE570000}"/>
    <cellStyle name="Total 2 3 2 2 2 3_Summary" xfId="24800" xr:uid="{00000000-0005-0000-0000-0000EF570000}"/>
    <cellStyle name="Total 2 3 2 2 2 4" xfId="7734" xr:uid="{00000000-0005-0000-0000-0000F0570000}"/>
    <cellStyle name="Total 2 3 2 2 2 5" xfId="14353" xr:uid="{00000000-0005-0000-0000-0000F1570000}"/>
    <cellStyle name="Total 2 3 2 2 2 6" xfId="26527" xr:uid="{89C09B14-4890-4CA9-9147-9C177187C516}"/>
    <cellStyle name="Total 2 3 2 2 2 7" xfId="26910" xr:uid="{EB41A720-6AB7-4448-A4E2-C46B0E4697CB}"/>
    <cellStyle name="Total 2 3 2 2 2 8" xfId="27040" xr:uid="{81C83D3D-23C8-4D82-9537-CC97917493BB}"/>
    <cellStyle name="Total 2 3 2 2 2 9" xfId="27064" xr:uid="{CDA598E8-B220-4B50-8BBF-FCDFF4DC1037}"/>
    <cellStyle name="Total 2 3 2 2 2_Summary" xfId="24798" xr:uid="{00000000-0005-0000-0000-0000F2570000}"/>
    <cellStyle name="Total 2 3 2 2 3" xfId="1420" xr:uid="{00000000-0005-0000-0000-0000F3570000}"/>
    <cellStyle name="Total 2 3 2 2 3 2" xfId="3556" xr:uid="{00000000-0005-0000-0000-0000F4570000}"/>
    <cellStyle name="Total 2 3 2 2 3 2 2" xfId="10152" xr:uid="{00000000-0005-0000-0000-0000F5570000}"/>
    <cellStyle name="Total 2 3 2 2 3 2 3" xfId="16771" xr:uid="{00000000-0005-0000-0000-0000F6570000}"/>
    <cellStyle name="Total 2 3 2 2 3 2_Summary" xfId="24802" xr:uid="{00000000-0005-0000-0000-0000F7570000}"/>
    <cellStyle name="Total 2 3 2 2 3 3" xfId="5591" xr:uid="{00000000-0005-0000-0000-0000F8570000}"/>
    <cellStyle name="Total 2 3 2 2 3 3 2" xfId="12187" xr:uid="{00000000-0005-0000-0000-0000F9570000}"/>
    <cellStyle name="Total 2 3 2 2 3 3 3" xfId="18806" xr:uid="{00000000-0005-0000-0000-0000FA570000}"/>
    <cellStyle name="Total 2 3 2 2 3 3_Summary" xfId="24803" xr:uid="{00000000-0005-0000-0000-0000FB570000}"/>
    <cellStyle name="Total 2 3 2 2 3 4" xfId="8016" xr:uid="{00000000-0005-0000-0000-0000FC570000}"/>
    <cellStyle name="Total 2 3 2 2 3 5" xfId="14635" xr:uid="{00000000-0005-0000-0000-0000FD570000}"/>
    <cellStyle name="Total 2 3 2 2 3_Summary" xfId="24801" xr:uid="{00000000-0005-0000-0000-0000FE570000}"/>
    <cellStyle name="Total 2 3 2 2 4" xfId="1701" xr:uid="{00000000-0005-0000-0000-0000FF570000}"/>
    <cellStyle name="Total 2 3 2 2 4 2" xfId="3837" xr:uid="{00000000-0005-0000-0000-000000580000}"/>
    <cellStyle name="Total 2 3 2 2 4 2 2" xfId="10433" xr:uid="{00000000-0005-0000-0000-000001580000}"/>
    <cellStyle name="Total 2 3 2 2 4 2 3" xfId="17052" xr:uid="{00000000-0005-0000-0000-000002580000}"/>
    <cellStyle name="Total 2 3 2 2 4 2_Summary" xfId="24805" xr:uid="{00000000-0005-0000-0000-000003580000}"/>
    <cellStyle name="Total 2 3 2 2 4 3" xfId="5872" xr:uid="{00000000-0005-0000-0000-000004580000}"/>
    <cellStyle name="Total 2 3 2 2 4 3 2" xfId="12468" xr:uid="{00000000-0005-0000-0000-000005580000}"/>
    <cellStyle name="Total 2 3 2 2 4 3 3" xfId="19087" xr:uid="{00000000-0005-0000-0000-000006580000}"/>
    <cellStyle name="Total 2 3 2 2 4 3_Summary" xfId="24806" xr:uid="{00000000-0005-0000-0000-000007580000}"/>
    <cellStyle name="Total 2 3 2 2 4 4" xfId="8297" xr:uid="{00000000-0005-0000-0000-000008580000}"/>
    <cellStyle name="Total 2 3 2 2 4 5" xfId="14916" xr:uid="{00000000-0005-0000-0000-000009580000}"/>
    <cellStyle name="Total 2 3 2 2 4_Summary" xfId="24804" xr:uid="{00000000-0005-0000-0000-00000A580000}"/>
    <cellStyle name="Total 2 3 2 2 5" xfId="1980" xr:uid="{00000000-0005-0000-0000-00000B580000}"/>
    <cellStyle name="Total 2 3 2 2 5 2" xfId="4116" xr:uid="{00000000-0005-0000-0000-00000C580000}"/>
    <cellStyle name="Total 2 3 2 2 5 2 2" xfId="10712" xr:uid="{00000000-0005-0000-0000-00000D580000}"/>
    <cellStyle name="Total 2 3 2 2 5 2 3" xfId="17331" xr:uid="{00000000-0005-0000-0000-00000E580000}"/>
    <cellStyle name="Total 2 3 2 2 5 2_Summary" xfId="24808" xr:uid="{00000000-0005-0000-0000-00000F580000}"/>
    <cellStyle name="Total 2 3 2 2 5 3" xfId="6151" xr:uid="{00000000-0005-0000-0000-000010580000}"/>
    <cellStyle name="Total 2 3 2 2 5 3 2" xfId="12747" xr:uid="{00000000-0005-0000-0000-000011580000}"/>
    <cellStyle name="Total 2 3 2 2 5 3 3" xfId="19366" xr:uid="{00000000-0005-0000-0000-000012580000}"/>
    <cellStyle name="Total 2 3 2 2 5 3_Summary" xfId="24809" xr:uid="{00000000-0005-0000-0000-000013580000}"/>
    <cellStyle name="Total 2 3 2 2 5 4" xfId="8576" xr:uid="{00000000-0005-0000-0000-000014580000}"/>
    <cellStyle name="Total 2 3 2 2 5 5" xfId="15195" xr:uid="{00000000-0005-0000-0000-000015580000}"/>
    <cellStyle name="Total 2 3 2 2 5_Summary" xfId="24807" xr:uid="{00000000-0005-0000-0000-000016580000}"/>
    <cellStyle name="Total 2 3 2 2 6" xfId="2255" xr:uid="{00000000-0005-0000-0000-000017580000}"/>
    <cellStyle name="Total 2 3 2 2 6 2" xfId="4391" xr:uid="{00000000-0005-0000-0000-000018580000}"/>
    <cellStyle name="Total 2 3 2 2 6 2 2" xfId="10987" xr:uid="{00000000-0005-0000-0000-000019580000}"/>
    <cellStyle name="Total 2 3 2 2 6 2 3" xfId="17606" xr:uid="{00000000-0005-0000-0000-00001A580000}"/>
    <cellStyle name="Total 2 3 2 2 6 2_Summary" xfId="24811" xr:uid="{00000000-0005-0000-0000-00001B580000}"/>
    <cellStyle name="Total 2 3 2 2 6 3" xfId="6426" xr:uid="{00000000-0005-0000-0000-00001C580000}"/>
    <cellStyle name="Total 2 3 2 2 6 3 2" xfId="13022" xr:uid="{00000000-0005-0000-0000-00001D580000}"/>
    <cellStyle name="Total 2 3 2 2 6 3 3" xfId="19641" xr:uid="{00000000-0005-0000-0000-00001E580000}"/>
    <cellStyle name="Total 2 3 2 2 6 3_Summary" xfId="24812" xr:uid="{00000000-0005-0000-0000-00001F580000}"/>
    <cellStyle name="Total 2 3 2 2 6 4" xfId="8851" xr:uid="{00000000-0005-0000-0000-000020580000}"/>
    <cellStyle name="Total 2 3 2 2 6 5" xfId="15470" xr:uid="{00000000-0005-0000-0000-000021580000}"/>
    <cellStyle name="Total 2 3 2 2 6_Summary" xfId="24810" xr:uid="{00000000-0005-0000-0000-000022580000}"/>
    <cellStyle name="Total 2 3 2 2 7" xfId="2528" xr:uid="{00000000-0005-0000-0000-000023580000}"/>
    <cellStyle name="Total 2 3 2 2 7 2" xfId="4664" xr:uid="{00000000-0005-0000-0000-000024580000}"/>
    <cellStyle name="Total 2 3 2 2 7 2 2" xfId="11260" xr:uid="{00000000-0005-0000-0000-000025580000}"/>
    <cellStyle name="Total 2 3 2 2 7 2 3" xfId="17879" xr:uid="{00000000-0005-0000-0000-000026580000}"/>
    <cellStyle name="Total 2 3 2 2 7 2_Summary" xfId="24814" xr:uid="{00000000-0005-0000-0000-000027580000}"/>
    <cellStyle name="Total 2 3 2 2 7 3" xfId="6699" xr:uid="{00000000-0005-0000-0000-000028580000}"/>
    <cellStyle name="Total 2 3 2 2 7 3 2" xfId="13295" xr:uid="{00000000-0005-0000-0000-000029580000}"/>
    <cellStyle name="Total 2 3 2 2 7 3 3" xfId="19914" xr:uid="{00000000-0005-0000-0000-00002A580000}"/>
    <cellStyle name="Total 2 3 2 2 7 3_Summary" xfId="24815" xr:uid="{00000000-0005-0000-0000-00002B580000}"/>
    <cellStyle name="Total 2 3 2 2 7 4" xfId="9124" xr:uid="{00000000-0005-0000-0000-00002C580000}"/>
    <cellStyle name="Total 2 3 2 2 7 5" xfId="15743" xr:uid="{00000000-0005-0000-0000-00002D580000}"/>
    <cellStyle name="Total 2 3 2 2 7_Summary" xfId="24813" xr:uid="{00000000-0005-0000-0000-00002E580000}"/>
    <cellStyle name="Total 2 3 2 2 8" xfId="2974" xr:uid="{00000000-0005-0000-0000-00002F580000}"/>
    <cellStyle name="Total 2 3 2 2 8 2" xfId="9570" xr:uid="{00000000-0005-0000-0000-000030580000}"/>
    <cellStyle name="Total 2 3 2 2 8 3" xfId="16189" xr:uid="{00000000-0005-0000-0000-000031580000}"/>
    <cellStyle name="Total 2 3 2 2 8_Summary" xfId="24816" xr:uid="{00000000-0005-0000-0000-000032580000}"/>
    <cellStyle name="Total 2 3 2 2 9" xfId="5009" xr:uid="{00000000-0005-0000-0000-000033580000}"/>
    <cellStyle name="Total 2 3 2 2 9 2" xfId="11605" xr:uid="{00000000-0005-0000-0000-000034580000}"/>
    <cellStyle name="Total 2 3 2 2 9 3" xfId="18224" xr:uid="{00000000-0005-0000-0000-000035580000}"/>
    <cellStyle name="Total 2 3 2 2 9_Summary" xfId="24817" xr:uid="{00000000-0005-0000-0000-000036580000}"/>
    <cellStyle name="Total 2 3 2 2_Summary" xfId="24796" xr:uid="{00000000-0005-0000-0000-000037580000}"/>
    <cellStyle name="Total 2 3 2 20" xfId="31362" xr:uid="{FE3D470B-B3CF-453F-9E7B-783A1B802F87}"/>
    <cellStyle name="Total 2 3 2 3" xfId="1010" xr:uid="{00000000-0005-0000-0000-000038580000}"/>
    <cellStyle name="Total 2 3 2 3 2" xfId="3146" xr:uid="{00000000-0005-0000-0000-000039580000}"/>
    <cellStyle name="Total 2 3 2 3 2 2" xfId="9742" xr:uid="{00000000-0005-0000-0000-00003A580000}"/>
    <cellStyle name="Total 2 3 2 3 2 3" xfId="16361" xr:uid="{00000000-0005-0000-0000-00003B580000}"/>
    <cellStyle name="Total 2 3 2 3 2_Summary" xfId="24819" xr:uid="{00000000-0005-0000-0000-00003C580000}"/>
    <cellStyle name="Total 2 3 2 3 3" xfId="5181" xr:uid="{00000000-0005-0000-0000-00003D580000}"/>
    <cellStyle name="Total 2 3 2 3 3 2" xfId="11777" xr:uid="{00000000-0005-0000-0000-00003E580000}"/>
    <cellStyle name="Total 2 3 2 3 3 3" xfId="18396" xr:uid="{00000000-0005-0000-0000-00003F580000}"/>
    <cellStyle name="Total 2 3 2 3 3_Summary" xfId="24820" xr:uid="{00000000-0005-0000-0000-000040580000}"/>
    <cellStyle name="Total 2 3 2 3 4" xfId="7607" xr:uid="{00000000-0005-0000-0000-000041580000}"/>
    <cellStyle name="Total 2 3 2 3 5" xfId="14225" xr:uid="{00000000-0005-0000-0000-000042580000}"/>
    <cellStyle name="Total 2 3 2 3_Summary" xfId="24818" xr:uid="{00000000-0005-0000-0000-000043580000}"/>
    <cellStyle name="Total 2 3 2 4" xfId="1292" xr:uid="{00000000-0005-0000-0000-000044580000}"/>
    <cellStyle name="Total 2 3 2 4 2" xfId="3428" xr:uid="{00000000-0005-0000-0000-000045580000}"/>
    <cellStyle name="Total 2 3 2 4 2 2" xfId="10024" xr:uid="{00000000-0005-0000-0000-000046580000}"/>
    <cellStyle name="Total 2 3 2 4 2 3" xfId="16643" xr:uid="{00000000-0005-0000-0000-000047580000}"/>
    <cellStyle name="Total 2 3 2 4 2_Summary" xfId="24822" xr:uid="{00000000-0005-0000-0000-000048580000}"/>
    <cellStyle name="Total 2 3 2 4 3" xfId="5463" xr:uid="{00000000-0005-0000-0000-000049580000}"/>
    <cellStyle name="Total 2 3 2 4 3 2" xfId="12059" xr:uid="{00000000-0005-0000-0000-00004A580000}"/>
    <cellStyle name="Total 2 3 2 4 3 3" xfId="18678" xr:uid="{00000000-0005-0000-0000-00004B580000}"/>
    <cellStyle name="Total 2 3 2 4 3_Summary" xfId="24823" xr:uid="{00000000-0005-0000-0000-00004C580000}"/>
    <cellStyle name="Total 2 3 2 4 4" xfId="7888" xr:uid="{00000000-0005-0000-0000-00004D580000}"/>
    <cellStyle name="Total 2 3 2 4 5" xfId="14507" xr:uid="{00000000-0005-0000-0000-00004E580000}"/>
    <cellStyle name="Total 2 3 2 4_Summary" xfId="24821" xr:uid="{00000000-0005-0000-0000-00004F580000}"/>
    <cellStyle name="Total 2 3 2 5" xfId="1573" xr:uid="{00000000-0005-0000-0000-000050580000}"/>
    <cellStyle name="Total 2 3 2 5 2" xfId="3709" xr:uid="{00000000-0005-0000-0000-000051580000}"/>
    <cellStyle name="Total 2 3 2 5 2 2" xfId="10305" xr:uid="{00000000-0005-0000-0000-000052580000}"/>
    <cellStyle name="Total 2 3 2 5 2 3" xfId="16924" xr:uid="{00000000-0005-0000-0000-000053580000}"/>
    <cellStyle name="Total 2 3 2 5 2_Summary" xfId="24825" xr:uid="{00000000-0005-0000-0000-000054580000}"/>
    <cellStyle name="Total 2 3 2 5 3" xfId="5744" xr:uid="{00000000-0005-0000-0000-000055580000}"/>
    <cellStyle name="Total 2 3 2 5 3 2" xfId="12340" xr:uid="{00000000-0005-0000-0000-000056580000}"/>
    <cellStyle name="Total 2 3 2 5 3 3" xfId="18959" xr:uid="{00000000-0005-0000-0000-000057580000}"/>
    <cellStyle name="Total 2 3 2 5 3_Summary" xfId="24826" xr:uid="{00000000-0005-0000-0000-000058580000}"/>
    <cellStyle name="Total 2 3 2 5 4" xfId="8169" xr:uid="{00000000-0005-0000-0000-000059580000}"/>
    <cellStyle name="Total 2 3 2 5 5" xfId="14788" xr:uid="{00000000-0005-0000-0000-00005A580000}"/>
    <cellStyle name="Total 2 3 2 5_Summary" xfId="24824" xr:uid="{00000000-0005-0000-0000-00005B580000}"/>
    <cellStyle name="Total 2 3 2 6" xfId="1852" xr:uid="{00000000-0005-0000-0000-00005C580000}"/>
    <cellStyle name="Total 2 3 2 6 2" xfId="3988" xr:uid="{00000000-0005-0000-0000-00005D580000}"/>
    <cellStyle name="Total 2 3 2 6 2 2" xfId="10584" xr:uid="{00000000-0005-0000-0000-00005E580000}"/>
    <cellStyle name="Total 2 3 2 6 2 3" xfId="17203" xr:uid="{00000000-0005-0000-0000-00005F580000}"/>
    <cellStyle name="Total 2 3 2 6 2_Summary" xfId="24828" xr:uid="{00000000-0005-0000-0000-000060580000}"/>
    <cellStyle name="Total 2 3 2 6 3" xfId="6023" xr:uid="{00000000-0005-0000-0000-000061580000}"/>
    <cellStyle name="Total 2 3 2 6 3 2" xfId="12619" xr:uid="{00000000-0005-0000-0000-000062580000}"/>
    <cellStyle name="Total 2 3 2 6 3 3" xfId="19238" xr:uid="{00000000-0005-0000-0000-000063580000}"/>
    <cellStyle name="Total 2 3 2 6 3_Summary" xfId="24829" xr:uid="{00000000-0005-0000-0000-000064580000}"/>
    <cellStyle name="Total 2 3 2 6 4" xfId="8448" xr:uid="{00000000-0005-0000-0000-000065580000}"/>
    <cellStyle name="Total 2 3 2 6 5" xfId="15067" xr:uid="{00000000-0005-0000-0000-000066580000}"/>
    <cellStyle name="Total 2 3 2 6_Summary" xfId="24827" xr:uid="{00000000-0005-0000-0000-000067580000}"/>
    <cellStyle name="Total 2 3 2 7" xfId="2127" xr:uid="{00000000-0005-0000-0000-000068580000}"/>
    <cellStyle name="Total 2 3 2 7 2" xfId="4263" xr:uid="{00000000-0005-0000-0000-000069580000}"/>
    <cellStyle name="Total 2 3 2 7 2 2" xfId="10859" xr:uid="{00000000-0005-0000-0000-00006A580000}"/>
    <cellStyle name="Total 2 3 2 7 2 3" xfId="17478" xr:uid="{00000000-0005-0000-0000-00006B580000}"/>
    <cellStyle name="Total 2 3 2 7 2_Summary" xfId="24831" xr:uid="{00000000-0005-0000-0000-00006C580000}"/>
    <cellStyle name="Total 2 3 2 7 3" xfId="6298" xr:uid="{00000000-0005-0000-0000-00006D580000}"/>
    <cellStyle name="Total 2 3 2 7 3 2" xfId="12894" xr:uid="{00000000-0005-0000-0000-00006E580000}"/>
    <cellStyle name="Total 2 3 2 7 3 3" xfId="19513" xr:uid="{00000000-0005-0000-0000-00006F580000}"/>
    <cellStyle name="Total 2 3 2 7 3_Summary" xfId="24832" xr:uid="{00000000-0005-0000-0000-000070580000}"/>
    <cellStyle name="Total 2 3 2 7 4" xfId="8723" xr:uid="{00000000-0005-0000-0000-000071580000}"/>
    <cellStyle name="Total 2 3 2 7 5" xfId="15342" xr:uid="{00000000-0005-0000-0000-000072580000}"/>
    <cellStyle name="Total 2 3 2 7_Summary" xfId="24830" xr:uid="{00000000-0005-0000-0000-000073580000}"/>
    <cellStyle name="Total 2 3 2 8" xfId="2400" xr:uid="{00000000-0005-0000-0000-000074580000}"/>
    <cellStyle name="Total 2 3 2 8 2" xfId="4536" xr:uid="{00000000-0005-0000-0000-000075580000}"/>
    <cellStyle name="Total 2 3 2 8 2 2" xfId="11132" xr:uid="{00000000-0005-0000-0000-000076580000}"/>
    <cellStyle name="Total 2 3 2 8 2 3" xfId="17751" xr:uid="{00000000-0005-0000-0000-000077580000}"/>
    <cellStyle name="Total 2 3 2 8 2_Summary" xfId="24834" xr:uid="{00000000-0005-0000-0000-000078580000}"/>
    <cellStyle name="Total 2 3 2 8 3" xfId="6571" xr:uid="{00000000-0005-0000-0000-000079580000}"/>
    <cellStyle name="Total 2 3 2 8 3 2" xfId="13167" xr:uid="{00000000-0005-0000-0000-00007A580000}"/>
    <cellStyle name="Total 2 3 2 8 3 3" xfId="19786" xr:uid="{00000000-0005-0000-0000-00007B580000}"/>
    <cellStyle name="Total 2 3 2 8 3_Summary" xfId="24835" xr:uid="{00000000-0005-0000-0000-00007C580000}"/>
    <cellStyle name="Total 2 3 2 8 4" xfId="8996" xr:uid="{00000000-0005-0000-0000-00007D580000}"/>
    <cellStyle name="Total 2 3 2 8 5" xfId="15615" xr:uid="{00000000-0005-0000-0000-00007E580000}"/>
    <cellStyle name="Total 2 3 2 8_Summary" xfId="24833" xr:uid="{00000000-0005-0000-0000-00007F580000}"/>
    <cellStyle name="Total 2 3 2 9" xfId="2701" xr:uid="{00000000-0005-0000-0000-000080580000}"/>
    <cellStyle name="Total 2 3 2 9 2" xfId="9297" xr:uid="{00000000-0005-0000-0000-000081580000}"/>
    <cellStyle name="Total 2 3 2 9 3" xfId="15916" xr:uid="{00000000-0005-0000-0000-000082580000}"/>
    <cellStyle name="Total 2 3 2 9_Summary" xfId="24836" xr:uid="{00000000-0005-0000-0000-000083580000}"/>
    <cellStyle name="Total 2 3 2_Summary" xfId="24793" xr:uid="{00000000-0005-0000-0000-000084580000}"/>
    <cellStyle name="Total 2 3 20" xfId="25817" xr:uid="{FDFCF887-1FD3-47C9-9050-E61F3FBFCD00}"/>
    <cellStyle name="Total 2 3 21" xfId="29889" xr:uid="{5FF34829-21B8-48D1-A2AA-12769D9D7C76}"/>
    <cellStyle name="Total 2 3 22" xfId="31361" xr:uid="{66664F99-8F2E-4427-9054-980D6E5C8BC0}"/>
    <cellStyle name="Total 2 3 3" xfId="229" xr:uid="{00000000-0005-0000-0000-000085580000}"/>
    <cellStyle name="Total 2 3 3 10" xfId="766" xr:uid="{00000000-0005-0000-0000-000086580000}"/>
    <cellStyle name="Total 2 3 3 10 2" xfId="13981" xr:uid="{00000000-0005-0000-0000-000087580000}"/>
    <cellStyle name="Total 2 3 3 10_Summary" xfId="24838" xr:uid="{00000000-0005-0000-0000-000088580000}"/>
    <cellStyle name="Total 2 3 3 11" xfId="7136" xr:uid="{00000000-0005-0000-0000-000089580000}"/>
    <cellStyle name="Total 2 3 3 12" xfId="7068" xr:uid="{00000000-0005-0000-0000-00008A580000}"/>
    <cellStyle name="Total 2 3 3 13" xfId="26416" xr:uid="{ABE2CAFE-786C-4B05-9E3E-2BD10E5570A6}"/>
    <cellStyle name="Total 2 3 3 14" xfId="26814" xr:uid="{07DC0D9B-2109-4201-AD2A-263C7C138EC1}"/>
    <cellStyle name="Total 2 3 3 15" xfId="26996" xr:uid="{4556E79E-0ED0-4F56-A787-9CE9AD959F48}"/>
    <cellStyle name="Total 2 3 3 16" xfId="26680" xr:uid="{73293A78-79A7-4D70-B4D0-B6A65A43C94F}"/>
    <cellStyle name="Total 2 3 3 17" xfId="27012" xr:uid="{48740C30-4050-4FC3-AEEA-81564E04DD0E}"/>
    <cellStyle name="Total 2 3 3 18" xfId="29891" xr:uid="{E18EF182-BD8D-41FC-A91A-FA517050C7F9}"/>
    <cellStyle name="Total 2 3 3 19" xfId="31363" xr:uid="{808315DF-61AD-405E-A457-070E62823ACF}"/>
    <cellStyle name="Total 2 3 3 2" xfId="934" xr:uid="{00000000-0005-0000-0000-00008B580000}"/>
    <cellStyle name="Total 2 3 3 2 10" xfId="27077" xr:uid="{64C52769-5C19-40A1-BEDF-0AC167B93706}"/>
    <cellStyle name="Total 2 3 3 2 11" xfId="30652" xr:uid="{525BA968-CC0B-41D4-9146-82DD1676DF81}"/>
    <cellStyle name="Total 2 3 3 2 12" xfId="32084" xr:uid="{0287655E-D044-432E-AA58-C1BB3A95008D}"/>
    <cellStyle name="Total 2 3 3 2 2" xfId="3070" xr:uid="{00000000-0005-0000-0000-00008C580000}"/>
    <cellStyle name="Total 2 3 3 2 2 2" xfId="9666" xr:uid="{00000000-0005-0000-0000-00008D580000}"/>
    <cellStyle name="Total 2 3 3 2 2 3" xfId="16285" xr:uid="{00000000-0005-0000-0000-00008E580000}"/>
    <cellStyle name="Total 2 3 3 2 2_Summary" xfId="24840" xr:uid="{00000000-0005-0000-0000-00008F580000}"/>
    <cellStyle name="Total 2 3 3 2 3" xfId="5105" xr:uid="{00000000-0005-0000-0000-000090580000}"/>
    <cellStyle name="Total 2 3 3 2 3 2" xfId="11701" xr:uid="{00000000-0005-0000-0000-000091580000}"/>
    <cellStyle name="Total 2 3 3 2 3 3" xfId="18320" xr:uid="{00000000-0005-0000-0000-000092580000}"/>
    <cellStyle name="Total 2 3 3 2 3_Summary" xfId="24841" xr:uid="{00000000-0005-0000-0000-000093580000}"/>
    <cellStyle name="Total 2 3 3 2 4" xfId="7531" xr:uid="{00000000-0005-0000-0000-000094580000}"/>
    <cellStyle name="Total 2 3 3 2 5" xfId="14149" xr:uid="{00000000-0005-0000-0000-000095580000}"/>
    <cellStyle name="Total 2 3 3 2 6" xfId="26510" xr:uid="{38CCF0C4-D2BE-4B3A-8D7C-406C5668392B}"/>
    <cellStyle name="Total 2 3 3 2 7" xfId="26893" xr:uid="{2307AC22-DF2E-4B6A-9B75-7059FCE1A518}"/>
    <cellStyle name="Total 2 3 3 2 8" xfId="27031" xr:uid="{D60D4090-4E85-4B58-91D3-2521D4CB6226}"/>
    <cellStyle name="Total 2 3 3 2 9" xfId="27057" xr:uid="{28AB6E86-43F4-4179-801A-5862FF74266E}"/>
    <cellStyle name="Total 2 3 3 2_Summary" xfId="24839" xr:uid="{00000000-0005-0000-0000-000096580000}"/>
    <cellStyle name="Total 2 3 3 3" xfId="1219" xr:uid="{00000000-0005-0000-0000-000097580000}"/>
    <cellStyle name="Total 2 3 3 3 2" xfId="3355" xr:uid="{00000000-0005-0000-0000-000098580000}"/>
    <cellStyle name="Total 2 3 3 3 2 2" xfId="9951" xr:uid="{00000000-0005-0000-0000-000099580000}"/>
    <cellStyle name="Total 2 3 3 3 2 3" xfId="16570" xr:uid="{00000000-0005-0000-0000-00009A580000}"/>
    <cellStyle name="Total 2 3 3 3 2_Summary" xfId="24843" xr:uid="{00000000-0005-0000-0000-00009B580000}"/>
    <cellStyle name="Total 2 3 3 3 3" xfId="5390" xr:uid="{00000000-0005-0000-0000-00009C580000}"/>
    <cellStyle name="Total 2 3 3 3 3 2" xfId="11986" xr:uid="{00000000-0005-0000-0000-00009D580000}"/>
    <cellStyle name="Total 2 3 3 3 3 3" xfId="18605" xr:uid="{00000000-0005-0000-0000-00009E580000}"/>
    <cellStyle name="Total 2 3 3 3 3_Summary" xfId="24844" xr:uid="{00000000-0005-0000-0000-00009F580000}"/>
    <cellStyle name="Total 2 3 3 3 4" xfId="7815" xr:uid="{00000000-0005-0000-0000-0000A0580000}"/>
    <cellStyle name="Total 2 3 3 3 5" xfId="14434" xr:uid="{00000000-0005-0000-0000-0000A1580000}"/>
    <cellStyle name="Total 2 3 3 3_Summary" xfId="24842" xr:uid="{00000000-0005-0000-0000-0000A2580000}"/>
    <cellStyle name="Total 2 3 3 4" xfId="1501" xr:uid="{00000000-0005-0000-0000-0000A3580000}"/>
    <cellStyle name="Total 2 3 3 4 2" xfId="3637" xr:uid="{00000000-0005-0000-0000-0000A4580000}"/>
    <cellStyle name="Total 2 3 3 4 2 2" xfId="10233" xr:uid="{00000000-0005-0000-0000-0000A5580000}"/>
    <cellStyle name="Total 2 3 3 4 2 3" xfId="16852" xr:uid="{00000000-0005-0000-0000-0000A6580000}"/>
    <cellStyle name="Total 2 3 3 4 2_Summary" xfId="24846" xr:uid="{00000000-0005-0000-0000-0000A7580000}"/>
    <cellStyle name="Total 2 3 3 4 3" xfId="5672" xr:uid="{00000000-0005-0000-0000-0000A8580000}"/>
    <cellStyle name="Total 2 3 3 4 3 2" xfId="12268" xr:uid="{00000000-0005-0000-0000-0000A9580000}"/>
    <cellStyle name="Total 2 3 3 4 3 3" xfId="18887" xr:uid="{00000000-0005-0000-0000-0000AA580000}"/>
    <cellStyle name="Total 2 3 3 4 3_Summary" xfId="24847" xr:uid="{00000000-0005-0000-0000-0000AB580000}"/>
    <cellStyle name="Total 2 3 3 4 4" xfId="8097" xr:uid="{00000000-0005-0000-0000-0000AC580000}"/>
    <cellStyle name="Total 2 3 3 4 5" xfId="14716" xr:uid="{00000000-0005-0000-0000-0000AD580000}"/>
    <cellStyle name="Total 2 3 3 4_Summary" xfId="24845" xr:uid="{00000000-0005-0000-0000-0000AE580000}"/>
    <cellStyle name="Total 2 3 3 5" xfId="1782" xr:uid="{00000000-0005-0000-0000-0000AF580000}"/>
    <cellStyle name="Total 2 3 3 5 2" xfId="3918" xr:uid="{00000000-0005-0000-0000-0000B0580000}"/>
    <cellStyle name="Total 2 3 3 5 2 2" xfId="10514" xr:uid="{00000000-0005-0000-0000-0000B1580000}"/>
    <cellStyle name="Total 2 3 3 5 2 3" xfId="17133" xr:uid="{00000000-0005-0000-0000-0000B2580000}"/>
    <cellStyle name="Total 2 3 3 5 2_Summary" xfId="24849" xr:uid="{00000000-0005-0000-0000-0000B3580000}"/>
    <cellStyle name="Total 2 3 3 5 3" xfId="5953" xr:uid="{00000000-0005-0000-0000-0000B4580000}"/>
    <cellStyle name="Total 2 3 3 5 3 2" xfId="12549" xr:uid="{00000000-0005-0000-0000-0000B5580000}"/>
    <cellStyle name="Total 2 3 3 5 3 3" xfId="19168" xr:uid="{00000000-0005-0000-0000-0000B6580000}"/>
    <cellStyle name="Total 2 3 3 5 3_Summary" xfId="24850" xr:uid="{00000000-0005-0000-0000-0000B7580000}"/>
    <cellStyle name="Total 2 3 3 5 4" xfId="8378" xr:uid="{00000000-0005-0000-0000-0000B8580000}"/>
    <cellStyle name="Total 2 3 3 5 5" xfId="14997" xr:uid="{00000000-0005-0000-0000-0000B9580000}"/>
    <cellStyle name="Total 2 3 3 5_Summary" xfId="24848" xr:uid="{00000000-0005-0000-0000-0000BA580000}"/>
    <cellStyle name="Total 2 3 3 6" xfId="2061" xr:uid="{00000000-0005-0000-0000-0000BB580000}"/>
    <cellStyle name="Total 2 3 3 6 2" xfId="4197" xr:uid="{00000000-0005-0000-0000-0000BC580000}"/>
    <cellStyle name="Total 2 3 3 6 2 2" xfId="10793" xr:uid="{00000000-0005-0000-0000-0000BD580000}"/>
    <cellStyle name="Total 2 3 3 6 2 3" xfId="17412" xr:uid="{00000000-0005-0000-0000-0000BE580000}"/>
    <cellStyle name="Total 2 3 3 6 2_Summary" xfId="24852" xr:uid="{00000000-0005-0000-0000-0000BF580000}"/>
    <cellStyle name="Total 2 3 3 6 3" xfId="6232" xr:uid="{00000000-0005-0000-0000-0000C0580000}"/>
    <cellStyle name="Total 2 3 3 6 3 2" xfId="12828" xr:uid="{00000000-0005-0000-0000-0000C1580000}"/>
    <cellStyle name="Total 2 3 3 6 3 3" xfId="19447" xr:uid="{00000000-0005-0000-0000-0000C2580000}"/>
    <cellStyle name="Total 2 3 3 6 3_Summary" xfId="24853" xr:uid="{00000000-0005-0000-0000-0000C3580000}"/>
    <cellStyle name="Total 2 3 3 6 4" xfId="8657" xr:uid="{00000000-0005-0000-0000-0000C4580000}"/>
    <cellStyle name="Total 2 3 3 6 5" xfId="15276" xr:uid="{00000000-0005-0000-0000-0000C5580000}"/>
    <cellStyle name="Total 2 3 3 6_Summary" xfId="24851" xr:uid="{00000000-0005-0000-0000-0000C6580000}"/>
    <cellStyle name="Total 2 3 3 7" xfId="2336" xr:uid="{00000000-0005-0000-0000-0000C7580000}"/>
    <cellStyle name="Total 2 3 3 7 2" xfId="4472" xr:uid="{00000000-0005-0000-0000-0000C8580000}"/>
    <cellStyle name="Total 2 3 3 7 2 2" xfId="11068" xr:uid="{00000000-0005-0000-0000-0000C9580000}"/>
    <cellStyle name="Total 2 3 3 7 2 3" xfId="17687" xr:uid="{00000000-0005-0000-0000-0000CA580000}"/>
    <cellStyle name="Total 2 3 3 7 2_Summary" xfId="24855" xr:uid="{00000000-0005-0000-0000-0000CB580000}"/>
    <cellStyle name="Total 2 3 3 7 3" xfId="6507" xr:uid="{00000000-0005-0000-0000-0000CC580000}"/>
    <cellStyle name="Total 2 3 3 7 3 2" xfId="13103" xr:uid="{00000000-0005-0000-0000-0000CD580000}"/>
    <cellStyle name="Total 2 3 3 7 3 3" xfId="19722" xr:uid="{00000000-0005-0000-0000-0000CE580000}"/>
    <cellStyle name="Total 2 3 3 7 3_Summary" xfId="24856" xr:uid="{00000000-0005-0000-0000-0000CF580000}"/>
    <cellStyle name="Total 2 3 3 7 4" xfId="8932" xr:uid="{00000000-0005-0000-0000-0000D0580000}"/>
    <cellStyle name="Total 2 3 3 7 5" xfId="15551" xr:uid="{00000000-0005-0000-0000-0000D1580000}"/>
    <cellStyle name="Total 2 3 3 7_Summary" xfId="24854" xr:uid="{00000000-0005-0000-0000-0000D2580000}"/>
    <cellStyle name="Total 2 3 3 8" xfId="2902" xr:uid="{00000000-0005-0000-0000-0000D3580000}"/>
    <cellStyle name="Total 2 3 3 8 2" xfId="9498" xr:uid="{00000000-0005-0000-0000-0000D4580000}"/>
    <cellStyle name="Total 2 3 3 8 3" xfId="16117" xr:uid="{00000000-0005-0000-0000-0000D5580000}"/>
    <cellStyle name="Total 2 3 3 8_Summary" xfId="24857" xr:uid="{00000000-0005-0000-0000-0000D6580000}"/>
    <cellStyle name="Total 2 3 3 9" xfId="4937" xr:uid="{00000000-0005-0000-0000-0000D7580000}"/>
    <cellStyle name="Total 2 3 3 9 2" xfId="11533" xr:uid="{00000000-0005-0000-0000-0000D8580000}"/>
    <cellStyle name="Total 2 3 3 9 3" xfId="18152" xr:uid="{00000000-0005-0000-0000-0000D9580000}"/>
    <cellStyle name="Total 2 3 3 9_Summary" xfId="24858" xr:uid="{00000000-0005-0000-0000-0000DA580000}"/>
    <cellStyle name="Total 2 3 3_Summary" xfId="24837" xr:uid="{00000000-0005-0000-0000-0000DB580000}"/>
    <cellStyle name="Total 2 3 4" xfId="383" xr:uid="{00000000-0005-0000-0000-0000DC580000}"/>
    <cellStyle name="Total 2 3 4 10" xfId="720" xr:uid="{00000000-0005-0000-0000-0000DD580000}"/>
    <cellStyle name="Total 2 3 4 10 2" xfId="13935" xr:uid="{00000000-0005-0000-0000-0000DE580000}"/>
    <cellStyle name="Total 2 3 4 10_Summary" xfId="24860" xr:uid="{00000000-0005-0000-0000-0000DF580000}"/>
    <cellStyle name="Total 2 3 4 11" xfId="7276" xr:uid="{00000000-0005-0000-0000-0000E0580000}"/>
    <cellStyle name="Total 2 3 4 12" xfId="13598" xr:uid="{00000000-0005-0000-0000-0000E1580000}"/>
    <cellStyle name="Total 2 3 4 13" xfId="29892" xr:uid="{4695FB6F-8BB3-4222-858B-21E90F94D27A}"/>
    <cellStyle name="Total 2 3 4 14" xfId="31364" xr:uid="{03086534-62EF-482B-A462-57A2C5E7E31C}"/>
    <cellStyle name="Total 2 3 4 2" xfId="1077" xr:uid="{00000000-0005-0000-0000-0000E2580000}"/>
    <cellStyle name="Total 2 3 4 2 2" xfId="3213" xr:uid="{00000000-0005-0000-0000-0000E3580000}"/>
    <cellStyle name="Total 2 3 4 2 2 2" xfId="9809" xr:uid="{00000000-0005-0000-0000-0000E4580000}"/>
    <cellStyle name="Total 2 3 4 2 2 3" xfId="16428" xr:uid="{00000000-0005-0000-0000-0000E5580000}"/>
    <cellStyle name="Total 2 3 4 2 2_Summary" xfId="24862" xr:uid="{00000000-0005-0000-0000-0000E6580000}"/>
    <cellStyle name="Total 2 3 4 2 3" xfId="5248" xr:uid="{00000000-0005-0000-0000-0000E7580000}"/>
    <cellStyle name="Total 2 3 4 2 3 2" xfId="11844" xr:uid="{00000000-0005-0000-0000-0000E8580000}"/>
    <cellStyle name="Total 2 3 4 2 3 3" xfId="18463" xr:uid="{00000000-0005-0000-0000-0000E9580000}"/>
    <cellStyle name="Total 2 3 4 2 3_Summary" xfId="24863" xr:uid="{00000000-0005-0000-0000-0000EA580000}"/>
    <cellStyle name="Total 2 3 4 2 4" xfId="7674" xr:uid="{00000000-0005-0000-0000-0000EB580000}"/>
    <cellStyle name="Total 2 3 4 2 5" xfId="14292" xr:uid="{00000000-0005-0000-0000-0000EC580000}"/>
    <cellStyle name="Total 2 3 4 2 6" xfId="30653" xr:uid="{3E8496A9-2265-4932-BA12-D6BA3CA579E3}"/>
    <cellStyle name="Total 2 3 4 2 7" xfId="32085" xr:uid="{5F8EDE11-1915-4486-8FDB-57B64F2FC845}"/>
    <cellStyle name="Total 2 3 4 2_Summary" xfId="24861" xr:uid="{00000000-0005-0000-0000-0000ED580000}"/>
    <cellStyle name="Total 2 3 4 3" xfId="1359" xr:uid="{00000000-0005-0000-0000-0000EE580000}"/>
    <cellStyle name="Total 2 3 4 3 2" xfId="3495" xr:uid="{00000000-0005-0000-0000-0000EF580000}"/>
    <cellStyle name="Total 2 3 4 3 2 2" xfId="10091" xr:uid="{00000000-0005-0000-0000-0000F0580000}"/>
    <cellStyle name="Total 2 3 4 3 2 3" xfId="16710" xr:uid="{00000000-0005-0000-0000-0000F1580000}"/>
    <cellStyle name="Total 2 3 4 3 2_Summary" xfId="24865" xr:uid="{00000000-0005-0000-0000-0000F2580000}"/>
    <cellStyle name="Total 2 3 4 3 3" xfId="5530" xr:uid="{00000000-0005-0000-0000-0000F3580000}"/>
    <cellStyle name="Total 2 3 4 3 3 2" xfId="12126" xr:uid="{00000000-0005-0000-0000-0000F4580000}"/>
    <cellStyle name="Total 2 3 4 3 3 3" xfId="18745" xr:uid="{00000000-0005-0000-0000-0000F5580000}"/>
    <cellStyle name="Total 2 3 4 3 3_Summary" xfId="24866" xr:uid="{00000000-0005-0000-0000-0000F6580000}"/>
    <cellStyle name="Total 2 3 4 3 4" xfId="7955" xr:uid="{00000000-0005-0000-0000-0000F7580000}"/>
    <cellStyle name="Total 2 3 4 3 5" xfId="14574" xr:uid="{00000000-0005-0000-0000-0000F8580000}"/>
    <cellStyle name="Total 2 3 4 3_Summary" xfId="24864" xr:uid="{00000000-0005-0000-0000-0000F9580000}"/>
    <cellStyle name="Total 2 3 4 4" xfId="1640" xr:uid="{00000000-0005-0000-0000-0000FA580000}"/>
    <cellStyle name="Total 2 3 4 4 2" xfId="3776" xr:uid="{00000000-0005-0000-0000-0000FB580000}"/>
    <cellStyle name="Total 2 3 4 4 2 2" xfId="10372" xr:uid="{00000000-0005-0000-0000-0000FC580000}"/>
    <cellStyle name="Total 2 3 4 4 2 3" xfId="16991" xr:uid="{00000000-0005-0000-0000-0000FD580000}"/>
    <cellStyle name="Total 2 3 4 4 2_Summary" xfId="24868" xr:uid="{00000000-0005-0000-0000-0000FE580000}"/>
    <cellStyle name="Total 2 3 4 4 3" xfId="5811" xr:uid="{00000000-0005-0000-0000-0000FF580000}"/>
    <cellStyle name="Total 2 3 4 4 3 2" xfId="12407" xr:uid="{00000000-0005-0000-0000-000000590000}"/>
    <cellStyle name="Total 2 3 4 4 3 3" xfId="19026" xr:uid="{00000000-0005-0000-0000-000001590000}"/>
    <cellStyle name="Total 2 3 4 4 3_Summary" xfId="24869" xr:uid="{00000000-0005-0000-0000-000002590000}"/>
    <cellStyle name="Total 2 3 4 4 4" xfId="8236" xr:uid="{00000000-0005-0000-0000-000003590000}"/>
    <cellStyle name="Total 2 3 4 4 5" xfId="14855" xr:uid="{00000000-0005-0000-0000-000004590000}"/>
    <cellStyle name="Total 2 3 4 4_Summary" xfId="24867" xr:uid="{00000000-0005-0000-0000-000005590000}"/>
    <cellStyle name="Total 2 3 4 5" xfId="1919" xr:uid="{00000000-0005-0000-0000-000006590000}"/>
    <cellStyle name="Total 2 3 4 5 2" xfId="4055" xr:uid="{00000000-0005-0000-0000-000007590000}"/>
    <cellStyle name="Total 2 3 4 5 2 2" xfId="10651" xr:uid="{00000000-0005-0000-0000-000008590000}"/>
    <cellStyle name="Total 2 3 4 5 2 3" xfId="17270" xr:uid="{00000000-0005-0000-0000-000009590000}"/>
    <cellStyle name="Total 2 3 4 5 2_Summary" xfId="24871" xr:uid="{00000000-0005-0000-0000-00000A590000}"/>
    <cellStyle name="Total 2 3 4 5 3" xfId="6090" xr:uid="{00000000-0005-0000-0000-00000B590000}"/>
    <cellStyle name="Total 2 3 4 5 3 2" xfId="12686" xr:uid="{00000000-0005-0000-0000-00000C590000}"/>
    <cellStyle name="Total 2 3 4 5 3 3" xfId="19305" xr:uid="{00000000-0005-0000-0000-00000D590000}"/>
    <cellStyle name="Total 2 3 4 5 3_Summary" xfId="24872" xr:uid="{00000000-0005-0000-0000-00000E590000}"/>
    <cellStyle name="Total 2 3 4 5 4" xfId="8515" xr:uid="{00000000-0005-0000-0000-00000F590000}"/>
    <cellStyle name="Total 2 3 4 5 5" xfId="15134" xr:uid="{00000000-0005-0000-0000-000010590000}"/>
    <cellStyle name="Total 2 3 4 5_Summary" xfId="24870" xr:uid="{00000000-0005-0000-0000-000011590000}"/>
    <cellStyle name="Total 2 3 4 6" xfId="2194" xr:uid="{00000000-0005-0000-0000-000012590000}"/>
    <cellStyle name="Total 2 3 4 6 2" xfId="4330" xr:uid="{00000000-0005-0000-0000-000013590000}"/>
    <cellStyle name="Total 2 3 4 6 2 2" xfId="10926" xr:uid="{00000000-0005-0000-0000-000014590000}"/>
    <cellStyle name="Total 2 3 4 6 2 3" xfId="17545" xr:uid="{00000000-0005-0000-0000-000015590000}"/>
    <cellStyle name="Total 2 3 4 6 2_Summary" xfId="24874" xr:uid="{00000000-0005-0000-0000-000016590000}"/>
    <cellStyle name="Total 2 3 4 6 3" xfId="6365" xr:uid="{00000000-0005-0000-0000-000017590000}"/>
    <cellStyle name="Total 2 3 4 6 3 2" xfId="12961" xr:uid="{00000000-0005-0000-0000-000018590000}"/>
    <cellStyle name="Total 2 3 4 6 3 3" xfId="19580" xr:uid="{00000000-0005-0000-0000-000019590000}"/>
    <cellStyle name="Total 2 3 4 6 3_Summary" xfId="24875" xr:uid="{00000000-0005-0000-0000-00001A590000}"/>
    <cellStyle name="Total 2 3 4 6 4" xfId="8790" xr:uid="{00000000-0005-0000-0000-00001B590000}"/>
    <cellStyle name="Total 2 3 4 6 5" xfId="15409" xr:uid="{00000000-0005-0000-0000-00001C590000}"/>
    <cellStyle name="Total 2 3 4 6_Summary" xfId="24873" xr:uid="{00000000-0005-0000-0000-00001D590000}"/>
    <cellStyle name="Total 2 3 4 7" xfId="2467" xr:uid="{00000000-0005-0000-0000-00001E590000}"/>
    <cellStyle name="Total 2 3 4 7 2" xfId="4603" xr:uid="{00000000-0005-0000-0000-00001F590000}"/>
    <cellStyle name="Total 2 3 4 7 2 2" xfId="11199" xr:uid="{00000000-0005-0000-0000-000020590000}"/>
    <cellStyle name="Total 2 3 4 7 2 3" xfId="17818" xr:uid="{00000000-0005-0000-0000-000021590000}"/>
    <cellStyle name="Total 2 3 4 7 2_Summary" xfId="24877" xr:uid="{00000000-0005-0000-0000-000022590000}"/>
    <cellStyle name="Total 2 3 4 7 3" xfId="6638" xr:uid="{00000000-0005-0000-0000-000023590000}"/>
    <cellStyle name="Total 2 3 4 7 3 2" xfId="13234" xr:uid="{00000000-0005-0000-0000-000024590000}"/>
    <cellStyle name="Total 2 3 4 7 3 3" xfId="19853" xr:uid="{00000000-0005-0000-0000-000025590000}"/>
    <cellStyle name="Total 2 3 4 7 3_Summary" xfId="24878" xr:uid="{00000000-0005-0000-0000-000026590000}"/>
    <cellStyle name="Total 2 3 4 7 4" xfId="9063" xr:uid="{00000000-0005-0000-0000-000027590000}"/>
    <cellStyle name="Total 2 3 4 7 5" xfId="15682" xr:uid="{00000000-0005-0000-0000-000028590000}"/>
    <cellStyle name="Total 2 3 4 7_Summary" xfId="24876" xr:uid="{00000000-0005-0000-0000-000029590000}"/>
    <cellStyle name="Total 2 3 4 8" xfId="2856" xr:uid="{00000000-0005-0000-0000-00002A590000}"/>
    <cellStyle name="Total 2 3 4 8 2" xfId="9452" xr:uid="{00000000-0005-0000-0000-00002B590000}"/>
    <cellStyle name="Total 2 3 4 8 3" xfId="16071" xr:uid="{00000000-0005-0000-0000-00002C590000}"/>
    <cellStyle name="Total 2 3 4 8_Summary" xfId="24879" xr:uid="{00000000-0005-0000-0000-00002D590000}"/>
    <cellStyle name="Total 2 3 4 9" xfId="4891" xr:uid="{00000000-0005-0000-0000-00002E590000}"/>
    <cellStyle name="Total 2 3 4 9 2" xfId="11487" xr:uid="{00000000-0005-0000-0000-00002F590000}"/>
    <cellStyle name="Total 2 3 4 9 3" xfId="18106" xr:uid="{00000000-0005-0000-0000-000030590000}"/>
    <cellStyle name="Total 2 3 4 9_Summary" xfId="24880" xr:uid="{00000000-0005-0000-0000-000031590000}"/>
    <cellStyle name="Total 2 3 4_Summary" xfId="24859" xr:uid="{00000000-0005-0000-0000-000032590000}"/>
    <cellStyle name="Total 2 3 5" xfId="890" xr:uid="{00000000-0005-0000-0000-000033590000}"/>
    <cellStyle name="Total 2 3 5 2" xfId="3026" xr:uid="{00000000-0005-0000-0000-000034590000}"/>
    <cellStyle name="Total 2 3 5 2 2" xfId="9622" xr:uid="{00000000-0005-0000-0000-000035590000}"/>
    <cellStyle name="Total 2 3 5 2 3" xfId="16241" xr:uid="{00000000-0005-0000-0000-000036590000}"/>
    <cellStyle name="Total 2 3 5 2_Summary" xfId="24882" xr:uid="{00000000-0005-0000-0000-000037590000}"/>
    <cellStyle name="Total 2 3 5 3" xfId="5061" xr:uid="{00000000-0005-0000-0000-000038590000}"/>
    <cellStyle name="Total 2 3 5 3 2" xfId="11657" xr:uid="{00000000-0005-0000-0000-000039590000}"/>
    <cellStyle name="Total 2 3 5 3 3" xfId="18276" xr:uid="{00000000-0005-0000-0000-00003A590000}"/>
    <cellStyle name="Total 2 3 5 3_Summary" xfId="24883" xr:uid="{00000000-0005-0000-0000-00003B590000}"/>
    <cellStyle name="Total 2 3 5 4" xfId="7487" xr:uid="{00000000-0005-0000-0000-00003C590000}"/>
    <cellStyle name="Total 2 3 5 5" xfId="14105" xr:uid="{00000000-0005-0000-0000-00003D590000}"/>
    <cellStyle name="Total 2 3 5 6" xfId="30650" xr:uid="{A0A424AE-95EB-4C33-A10B-C04BA7EACB0C}"/>
    <cellStyle name="Total 2 3 5 7" xfId="32082" xr:uid="{4060BE0C-56F9-4F1C-AB07-EDD92EE1C4A7}"/>
    <cellStyle name="Total 2 3 5_Summary" xfId="24881" xr:uid="{00000000-0005-0000-0000-00003E590000}"/>
    <cellStyle name="Total 2 3 6" xfId="1175" xr:uid="{00000000-0005-0000-0000-00003F590000}"/>
    <cellStyle name="Total 2 3 6 2" xfId="3311" xr:uid="{00000000-0005-0000-0000-000040590000}"/>
    <cellStyle name="Total 2 3 6 2 2" xfId="9907" xr:uid="{00000000-0005-0000-0000-000041590000}"/>
    <cellStyle name="Total 2 3 6 2 3" xfId="16526" xr:uid="{00000000-0005-0000-0000-000042590000}"/>
    <cellStyle name="Total 2 3 6 2_Summary" xfId="24885" xr:uid="{00000000-0005-0000-0000-000043590000}"/>
    <cellStyle name="Total 2 3 6 3" xfId="5346" xr:uid="{00000000-0005-0000-0000-000044590000}"/>
    <cellStyle name="Total 2 3 6 3 2" xfId="11942" xr:uid="{00000000-0005-0000-0000-000045590000}"/>
    <cellStyle name="Total 2 3 6 3 3" xfId="18561" xr:uid="{00000000-0005-0000-0000-000046590000}"/>
    <cellStyle name="Total 2 3 6 3_Summary" xfId="24886" xr:uid="{00000000-0005-0000-0000-000047590000}"/>
    <cellStyle name="Total 2 3 6 4" xfId="7771" xr:uid="{00000000-0005-0000-0000-000048590000}"/>
    <cellStyle name="Total 2 3 6 5" xfId="14390" xr:uid="{00000000-0005-0000-0000-000049590000}"/>
    <cellStyle name="Total 2 3 6_Summary" xfId="24884" xr:uid="{00000000-0005-0000-0000-00004A590000}"/>
    <cellStyle name="Total 2 3 7" xfId="1457" xr:uid="{00000000-0005-0000-0000-00004B590000}"/>
    <cellStyle name="Total 2 3 7 2" xfId="3593" xr:uid="{00000000-0005-0000-0000-00004C590000}"/>
    <cellStyle name="Total 2 3 7 2 2" xfId="10189" xr:uid="{00000000-0005-0000-0000-00004D590000}"/>
    <cellStyle name="Total 2 3 7 2 3" xfId="16808" xr:uid="{00000000-0005-0000-0000-00004E590000}"/>
    <cellStyle name="Total 2 3 7 2_Summary" xfId="24888" xr:uid="{00000000-0005-0000-0000-00004F590000}"/>
    <cellStyle name="Total 2 3 7 3" xfId="5628" xr:uid="{00000000-0005-0000-0000-000050590000}"/>
    <cellStyle name="Total 2 3 7 3 2" xfId="12224" xr:uid="{00000000-0005-0000-0000-000051590000}"/>
    <cellStyle name="Total 2 3 7 3 3" xfId="18843" xr:uid="{00000000-0005-0000-0000-000052590000}"/>
    <cellStyle name="Total 2 3 7 3_Summary" xfId="24889" xr:uid="{00000000-0005-0000-0000-000053590000}"/>
    <cellStyle name="Total 2 3 7 4" xfId="8053" xr:uid="{00000000-0005-0000-0000-000054590000}"/>
    <cellStyle name="Total 2 3 7 5" xfId="14672" xr:uid="{00000000-0005-0000-0000-000055590000}"/>
    <cellStyle name="Total 2 3 7_Summary" xfId="24887" xr:uid="{00000000-0005-0000-0000-000056590000}"/>
    <cellStyle name="Total 2 3 8" xfId="1738" xr:uid="{00000000-0005-0000-0000-000057590000}"/>
    <cellStyle name="Total 2 3 8 2" xfId="3874" xr:uid="{00000000-0005-0000-0000-000058590000}"/>
    <cellStyle name="Total 2 3 8 2 2" xfId="10470" xr:uid="{00000000-0005-0000-0000-000059590000}"/>
    <cellStyle name="Total 2 3 8 2 3" xfId="17089" xr:uid="{00000000-0005-0000-0000-00005A590000}"/>
    <cellStyle name="Total 2 3 8 2_Summary" xfId="24891" xr:uid="{00000000-0005-0000-0000-00005B590000}"/>
    <cellStyle name="Total 2 3 8 3" xfId="5909" xr:uid="{00000000-0005-0000-0000-00005C590000}"/>
    <cellStyle name="Total 2 3 8 3 2" xfId="12505" xr:uid="{00000000-0005-0000-0000-00005D590000}"/>
    <cellStyle name="Total 2 3 8 3 3" xfId="19124" xr:uid="{00000000-0005-0000-0000-00005E590000}"/>
    <cellStyle name="Total 2 3 8 3_Summary" xfId="24892" xr:uid="{00000000-0005-0000-0000-00005F590000}"/>
    <cellStyle name="Total 2 3 8 4" xfId="8334" xr:uid="{00000000-0005-0000-0000-000060590000}"/>
    <cellStyle name="Total 2 3 8 5" xfId="14953" xr:uid="{00000000-0005-0000-0000-000061590000}"/>
    <cellStyle name="Total 2 3 8_Summary" xfId="24890" xr:uid="{00000000-0005-0000-0000-000062590000}"/>
    <cellStyle name="Total 2 3 9" xfId="2017" xr:uid="{00000000-0005-0000-0000-000063590000}"/>
    <cellStyle name="Total 2 3 9 2" xfId="4153" xr:uid="{00000000-0005-0000-0000-000064590000}"/>
    <cellStyle name="Total 2 3 9 2 2" xfId="10749" xr:uid="{00000000-0005-0000-0000-000065590000}"/>
    <cellStyle name="Total 2 3 9 2 3" xfId="17368" xr:uid="{00000000-0005-0000-0000-000066590000}"/>
    <cellStyle name="Total 2 3 9 2_Summary" xfId="24894" xr:uid="{00000000-0005-0000-0000-000067590000}"/>
    <cellStyle name="Total 2 3 9 3" xfId="6188" xr:uid="{00000000-0005-0000-0000-000068590000}"/>
    <cellStyle name="Total 2 3 9 3 2" xfId="12784" xr:uid="{00000000-0005-0000-0000-000069590000}"/>
    <cellStyle name="Total 2 3 9 3 3" xfId="19403" xr:uid="{00000000-0005-0000-0000-00006A590000}"/>
    <cellStyle name="Total 2 3 9 3_Summary" xfId="24895" xr:uid="{00000000-0005-0000-0000-00006B590000}"/>
    <cellStyle name="Total 2 3 9 4" xfId="8613" xr:uid="{00000000-0005-0000-0000-00006C590000}"/>
    <cellStyle name="Total 2 3 9 5" xfId="15232" xr:uid="{00000000-0005-0000-0000-00006D590000}"/>
    <cellStyle name="Total 2 3 9_Summary" xfId="24893" xr:uid="{00000000-0005-0000-0000-00006E590000}"/>
    <cellStyle name="Total 2 3_Summary" xfId="24786" xr:uid="{00000000-0005-0000-0000-00006F590000}"/>
    <cellStyle name="Total 2 30" xfId="6801" xr:uid="{00000000-0005-0000-0000-000070590000}"/>
    <cellStyle name="Total 2 30 2" xfId="13397" xr:uid="{00000000-0005-0000-0000-000071590000}"/>
    <cellStyle name="Total 2 30 3" xfId="20016" xr:uid="{00000000-0005-0000-0000-000072590000}"/>
    <cellStyle name="Total 2 30_Summary" xfId="24896" xr:uid="{00000000-0005-0000-0000-000073590000}"/>
    <cellStyle name="Total 2 31" xfId="6765" xr:uid="{00000000-0005-0000-0000-000074590000}"/>
    <cellStyle name="Total 2 31 2" xfId="13361" xr:uid="{00000000-0005-0000-0000-000075590000}"/>
    <cellStyle name="Total 2 31 3" xfId="19980" xr:uid="{00000000-0005-0000-0000-000076590000}"/>
    <cellStyle name="Total 2 31_Summary" xfId="24897" xr:uid="{00000000-0005-0000-0000-000077590000}"/>
    <cellStyle name="Total 2 32" xfId="6805" xr:uid="{00000000-0005-0000-0000-000078590000}"/>
    <cellStyle name="Total 2 32 2" xfId="13401" xr:uid="{00000000-0005-0000-0000-000079590000}"/>
    <cellStyle name="Total 2 32 3" xfId="20019" xr:uid="{00000000-0005-0000-0000-00007A590000}"/>
    <cellStyle name="Total 2 32_Summary" xfId="24898" xr:uid="{00000000-0005-0000-0000-00007B590000}"/>
    <cellStyle name="Total 2 33" xfId="6806" xr:uid="{00000000-0005-0000-0000-00007C590000}"/>
    <cellStyle name="Total 2 33 2" xfId="13402" xr:uid="{00000000-0005-0000-0000-00007D590000}"/>
    <cellStyle name="Total 2 33 3" xfId="20020" xr:uid="{00000000-0005-0000-0000-00007E590000}"/>
    <cellStyle name="Total 2 33_Summary" xfId="24899" xr:uid="{00000000-0005-0000-0000-00007F590000}"/>
    <cellStyle name="Total 2 34" xfId="6807" xr:uid="{00000000-0005-0000-0000-000080590000}"/>
    <cellStyle name="Total 2 34 2" xfId="13403" xr:uid="{00000000-0005-0000-0000-000081590000}"/>
    <cellStyle name="Total 2 34 3" xfId="20021" xr:uid="{00000000-0005-0000-0000-000082590000}"/>
    <cellStyle name="Total 2 34_Summary" xfId="24900" xr:uid="{00000000-0005-0000-0000-000083590000}"/>
    <cellStyle name="Total 2 35" xfId="6928" xr:uid="{00000000-0005-0000-0000-000084590000}"/>
    <cellStyle name="Total 2 35 2" xfId="13448" xr:uid="{00000000-0005-0000-0000-000085590000}"/>
    <cellStyle name="Total 2 35 3" xfId="20055" xr:uid="{00000000-0005-0000-0000-000086590000}"/>
    <cellStyle name="Total 2 35_Summary" xfId="24901" xr:uid="{00000000-0005-0000-0000-000087590000}"/>
    <cellStyle name="Total 2 36" xfId="6930" xr:uid="{00000000-0005-0000-0000-000088590000}"/>
    <cellStyle name="Total 2 36 2" xfId="13450" xr:uid="{00000000-0005-0000-0000-000089590000}"/>
    <cellStyle name="Total 2 36 3" xfId="20057" xr:uid="{00000000-0005-0000-0000-00008A590000}"/>
    <cellStyle name="Total 2 36_Summary" xfId="24902" xr:uid="{00000000-0005-0000-0000-00008B590000}"/>
    <cellStyle name="Total 2 37" xfId="6934" xr:uid="{00000000-0005-0000-0000-00008C590000}"/>
    <cellStyle name="Total 2 37 2" xfId="13454" xr:uid="{00000000-0005-0000-0000-00008D590000}"/>
    <cellStyle name="Total 2 37 3" xfId="20061" xr:uid="{00000000-0005-0000-0000-00008E590000}"/>
    <cellStyle name="Total 2 37_Summary" xfId="24903" xr:uid="{00000000-0005-0000-0000-00008F590000}"/>
    <cellStyle name="Total 2 38" xfId="6939" xr:uid="{00000000-0005-0000-0000-000090590000}"/>
    <cellStyle name="Total 2 38 2" xfId="13459" xr:uid="{00000000-0005-0000-0000-000091590000}"/>
    <cellStyle name="Total 2 38 3" xfId="20066" xr:uid="{00000000-0005-0000-0000-000092590000}"/>
    <cellStyle name="Total 2 38_Summary" xfId="24904" xr:uid="{00000000-0005-0000-0000-000093590000}"/>
    <cellStyle name="Total 2 39" xfId="6910" xr:uid="{00000000-0005-0000-0000-000094590000}"/>
    <cellStyle name="Total 2 39 2" xfId="13430" xr:uid="{00000000-0005-0000-0000-000095590000}"/>
    <cellStyle name="Total 2 39 3" xfId="20037" xr:uid="{00000000-0005-0000-0000-000096590000}"/>
    <cellStyle name="Total 2 39_Summary" xfId="24905" xr:uid="{00000000-0005-0000-0000-000097590000}"/>
    <cellStyle name="Total 2 4" xfId="187" xr:uid="{00000000-0005-0000-0000-000098590000}"/>
    <cellStyle name="Total 2 4 10" xfId="2296" xr:uid="{00000000-0005-0000-0000-000099590000}"/>
    <cellStyle name="Total 2 4 10 2" xfId="4432" xr:uid="{00000000-0005-0000-0000-00009A590000}"/>
    <cellStyle name="Total 2 4 10 2 2" xfId="11028" xr:uid="{00000000-0005-0000-0000-00009B590000}"/>
    <cellStyle name="Total 2 4 10 2 3" xfId="17647" xr:uid="{00000000-0005-0000-0000-00009C590000}"/>
    <cellStyle name="Total 2 4 10 2_Summary" xfId="24908" xr:uid="{00000000-0005-0000-0000-00009D590000}"/>
    <cellStyle name="Total 2 4 10 3" xfId="6467" xr:uid="{00000000-0005-0000-0000-00009E590000}"/>
    <cellStyle name="Total 2 4 10 3 2" xfId="13063" xr:uid="{00000000-0005-0000-0000-00009F590000}"/>
    <cellStyle name="Total 2 4 10 3 3" xfId="19682" xr:uid="{00000000-0005-0000-0000-0000A0590000}"/>
    <cellStyle name="Total 2 4 10 3_Summary" xfId="24909" xr:uid="{00000000-0005-0000-0000-0000A1590000}"/>
    <cellStyle name="Total 2 4 10 4" xfId="8892" xr:uid="{00000000-0005-0000-0000-0000A2590000}"/>
    <cellStyle name="Total 2 4 10 5" xfId="15511" xr:uid="{00000000-0005-0000-0000-0000A3590000}"/>
    <cellStyle name="Total 2 4 10_Summary" xfId="24907" xr:uid="{00000000-0005-0000-0000-0000A4590000}"/>
    <cellStyle name="Total 2 4 11" xfId="2615" xr:uid="{00000000-0005-0000-0000-0000A5590000}"/>
    <cellStyle name="Total 2 4 11 2" xfId="9211" xr:uid="{00000000-0005-0000-0000-0000A6590000}"/>
    <cellStyle name="Total 2 4 11 3" xfId="15830" xr:uid="{00000000-0005-0000-0000-0000A7590000}"/>
    <cellStyle name="Total 2 4 11_Summary" xfId="24910" xr:uid="{00000000-0005-0000-0000-0000A8590000}"/>
    <cellStyle name="Total 2 4 12" xfId="2652" xr:uid="{00000000-0005-0000-0000-0000A9590000}"/>
    <cellStyle name="Total 2 4 12 2" xfId="9248" xr:uid="{00000000-0005-0000-0000-0000AA590000}"/>
    <cellStyle name="Total 2 4 12 3" xfId="15867" xr:uid="{00000000-0005-0000-0000-0000AB590000}"/>
    <cellStyle name="Total 2 4 12_Summary" xfId="24911" xr:uid="{00000000-0005-0000-0000-0000AC590000}"/>
    <cellStyle name="Total 2 4 13" xfId="504" xr:uid="{00000000-0005-0000-0000-0000AD590000}"/>
    <cellStyle name="Total 2 4 13 2" xfId="13719" xr:uid="{00000000-0005-0000-0000-0000AE590000}"/>
    <cellStyle name="Total 2 4 13_Summary" xfId="24912" xr:uid="{00000000-0005-0000-0000-0000AF590000}"/>
    <cellStyle name="Total 2 4 14" xfId="7095" xr:uid="{00000000-0005-0000-0000-0000B0590000}"/>
    <cellStyle name="Total 2 4 15" xfId="7027" xr:uid="{00000000-0005-0000-0000-0000B1590000}"/>
    <cellStyle name="Total 2 4 16" xfId="26085" xr:uid="{C42988E1-3469-4251-B52F-9CFB56FCD37B}"/>
    <cellStyle name="Total 2 4 17" xfId="26639" xr:uid="{50CBD26E-D526-4291-9130-6E326A82FDD2}"/>
    <cellStyle name="Total 2 4 18" xfId="26246" xr:uid="{70211BF3-44DE-47E2-9159-C9D4E5EDF7AF}"/>
    <cellStyle name="Total 2 4 19" xfId="26004" xr:uid="{E882F97C-D586-400E-9786-AEEF16B3FA0F}"/>
    <cellStyle name="Total 2 4 2" xfId="319" xr:uid="{00000000-0005-0000-0000-0000B2590000}"/>
    <cellStyle name="Total 2 4 2 10" xfId="4740" xr:uid="{00000000-0005-0000-0000-0000B3590000}"/>
    <cellStyle name="Total 2 4 2 10 2" xfId="11336" xr:uid="{00000000-0005-0000-0000-0000B4590000}"/>
    <cellStyle name="Total 2 4 2 10 3" xfId="17955" xr:uid="{00000000-0005-0000-0000-0000B5590000}"/>
    <cellStyle name="Total 2 4 2 10_Summary" xfId="24914" xr:uid="{00000000-0005-0000-0000-0000B6590000}"/>
    <cellStyle name="Total 2 4 2 11" xfId="569" xr:uid="{00000000-0005-0000-0000-0000B7590000}"/>
    <cellStyle name="Total 2 4 2 11 2" xfId="13784" xr:uid="{00000000-0005-0000-0000-0000B8590000}"/>
    <cellStyle name="Total 2 4 2 11_Summary" xfId="24915" xr:uid="{00000000-0005-0000-0000-0000B9590000}"/>
    <cellStyle name="Total 2 4 2 12" xfId="7213" xr:uid="{00000000-0005-0000-0000-0000BA590000}"/>
    <cellStyle name="Total 2 4 2 13" xfId="13535" xr:uid="{00000000-0005-0000-0000-0000BB590000}"/>
    <cellStyle name="Total 2 4 2 14" xfId="26293" xr:uid="{891A5A64-9117-427D-997E-ADD2F6B04129}"/>
    <cellStyle name="Total 2 4 2 15" xfId="26709" xr:uid="{FC2133F7-08BB-4761-881B-EC27C80BFD8A}"/>
    <cellStyle name="Total 2 4 2 16" xfId="26953" xr:uid="{C020F0AC-6651-4ABD-BA8D-F63C7ADE07F5}"/>
    <cellStyle name="Total 2 4 2 17" xfId="26973" xr:uid="{7177A064-239D-410F-9090-D0822FA7C818}"/>
    <cellStyle name="Total 2 4 2 18" xfId="26622" xr:uid="{845DDEA1-E6B3-44DE-A9F1-4EEA903D03EA}"/>
    <cellStyle name="Total 2 4 2 19" xfId="29894" xr:uid="{5548C97B-B244-4E30-B407-CAE78509C417}"/>
    <cellStyle name="Total 2 4 2 2" xfId="448" xr:uid="{00000000-0005-0000-0000-0000BC590000}"/>
    <cellStyle name="Total 2 4 2 2 10" xfId="842" xr:uid="{00000000-0005-0000-0000-0000BD590000}"/>
    <cellStyle name="Total 2 4 2 2 10 2" xfId="14057" xr:uid="{00000000-0005-0000-0000-0000BE590000}"/>
    <cellStyle name="Total 2 4 2 2 10_Summary" xfId="24917" xr:uid="{00000000-0005-0000-0000-0000BF590000}"/>
    <cellStyle name="Total 2 4 2 2 11" xfId="7341" xr:uid="{00000000-0005-0000-0000-0000C0590000}"/>
    <cellStyle name="Total 2 4 2 2 12" xfId="13663" xr:uid="{00000000-0005-0000-0000-0000C1590000}"/>
    <cellStyle name="Total 2 4 2 2 13" xfId="26438" xr:uid="{0B5990C8-86A4-4535-88F6-BA3F27AE5708}"/>
    <cellStyle name="Total 2 4 2 2 14" xfId="26835" xr:uid="{65D71B46-52B6-4455-B384-86C6E57B657B}"/>
    <cellStyle name="Total 2 4 2 2 15" xfId="27007" xr:uid="{7F1A6FDD-18DC-4BD6-AF09-C7912FA6880E}"/>
    <cellStyle name="Total 2 4 2 2 16" xfId="26810" xr:uid="{0F0C7FCA-2B7B-4CA9-876D-CB8D21F9B15C}"/>
    <cellStyle name="Total 2 4 2 2 17" xfId="26689" xr:uid="{77298408-5DE5-4090-8BDD-0954310FF4AC}"/>
    <cellStyle name="Total 2 4 2 2 18" xfId="30655" xr:uid="{4D6BA0DD-3237-46FB-955C-363781906621}"/>
    <cellStyle name="Total 2 4 2 2 19" xfId="32087" xr:uid="{80BF6F79-F256-41C8-B03B-F4139486100C}"/>
    <cellStyle name="Total 2 4 2 2 2" xfId="1142" xr:uid="{00000000-0005-0000-0000-0000C2590000}"/>
    <cellStyle name="Total 2 4 2 2 2 10" xfId="27082" xr:uid="{90E22446-B88D-4726-9ED8-C5ED5DDCB38B}"/>
    <cellStyle name="Total 2 4 2 2 2 2" xfId="3278" xr:uid="{00000000-0005-0000-0000-0000C3590000}"/>
    <cellStyle name="Total 2 4 2 2 2 2 2" xfId="9874" xr:uid="{00000000-0005-0000-0000-0000C4590000}"/>
    <cellStyle name="Total 2 4 2 2 2 2 3" xfId="16493" xr:uid="{00000000-0005-0000-0000-0000C5590000}"/>
    <cellStyle name="Total 2 4 2 2 2 2_Summary" xfId="24919" xr:uid="{00000000-0005-0000-0000-0000C6590000}"/>
    <cellStyle name="Total 2 4 2 2 2 3" xfId="5313" xr:uid="{00000000-0005-0000-0000-0000C7590000}"/>
    <cellStyle name="Total 2 4 2 2 2 3 2" xfId="11909" xr:uid="{00000000-0005-0000-0000-0000C8590000}"/>
    <cellStyle name="Total 2 4 2 2 2 3 3" xfId="18528" xr:uid="{00000000-0005-0000-0000-0000C9590000}"/>
    <cellStyle name="Total 2 4 2 2 2 3_Summary" xfId="24920" xr:uid="{00000000-0005-0000-0000-0000CA590000}"/>
    <cellStyle name="Total 2 4 2 2 2 4" xfId="7738" xr:uid="{00000000-0005-0000-0000-0000CB590000}"/>
    <cellStyle name="Total 2 4 2 2 2 5" xfId="14357" xr:uid="{00000000-0005-0000-0000-0000CC590000}"/>
    <cellStyle name="Total 2 4 2 2 2 6" xfId="26520" xr:uid="{E19C6F00-97DF-4479-9B62-66080318E1A3}"/>
    <cellStyle name="Total 2 4 2 2 2 7" xfId="26903" xr:uid="{1B231F0C-EB05-405A-AD77-658A280D1859}"/>
    <cellStyle name="Total 2 4 2 2 2 8" xfId="27037" xr:uid="{61971A66-00C4-488A-8374-BA56623AD40E}"/>
    <cellStyle name="Total 2 4 2 2 2 9" xfId="27062" xr:uid="{B4C42A0D-C818-4045-BC31-487D4BBDBDBE}"/>
    <cellStyle name="Total 2 4 2 2 2_Summary" xfId="24918" xr:uid="{00000000-0005-0000-0000-0000CD590000}"/>
    <cellStyle name="Total 2 4 2 2 3" xfId="1424" xr:uid="{00000000-0005-0000-0000-0000CE590000}"/>
    <cellStyle name="Total 2 4 2 2 3 2" xfId="3560" xr:uid="{00000000-0005-0000-0000-0000CF590000}"/>
    <cellStyle name="Total 2 4 2 2 3 2 2" xfId="10156" xr:uid="{00000000-0005-0000-0000-0000D0590000}"/>
    <cellStyle name="Total 2 4 2 2 3 2 3" xfId="16775" xr:uid="{00000000-0005-0000-0000-0000D1590000}"/>
    <cellStyle name="Total 2 4 2 2 3 2_Summary" xfId="24922" xr:uid="{00000000-0005-0000-0000-0000D2590000}"/>
    <cellStyle name="Total 2 4 2 2 3 3" xfId="5595" xr:uid="{00000000-0005-0000-0000-0000D3590000}"/>
    <cellStyle name="Total 2 4 2 2 3 3 2" xfId="12191" xr:uid="{00000000-0005-0000-0000-0000D4590000}"/>
    <cellStyle name="Total 2 4 2 2 3 3 3" xfId="18810" xr:uid="{00000000-0005-0000-0000-0000D5590000}"/>
    <cellStyle name="Total 2 4 2 2 3 3_Summary" xfId="24923" xr:uid="{00000000-0005-0000-0000-0000D6590000}"/>
    <cellStyle name="Total 2 4 2 2 3 4" xfId="8020" xr:uid="{00000000-0005-0000-0000-0000D7590000}"/>
    <cellStyle name="Total 2 4 2 2 3 5" xfId="14639" xr:uid="{00000000-0005-0000-0000-0000D8590000}"/>
    <cellStyle name="Total 2 4 2 2 3_Summary" xfId="24921" xr:uid="{00000000-0005-0000-0000-0000D9590000}"/>
    <cellStyle name="Total 2 4 2 2 4" xfId="1705" xr:uid="{00000000-0005-0000-0000-0000DA590000}"/>
    <cellStyle name="Total 2 4 2 2 4 2" xfId="3841" xr:uid="{00000000-0005-0000-0000-0000DB590000}"/>
    <cellStyle name="Total 2 4 2 2 4 2 2" xfId="10437" xr:uid="{00000000-0005-0000-0000-0000DC590000}"/>
    <cellStyle name="Total 2 4 2 2 4 2 3" xfId="17056" xr:uid="{00000000-0005-0000-0000-0000DD590000}"/>
    <cellStyle name="Total 2 4 2 2 4 2_Summary" xfId="24925" xr:uid="{00000000-0005-0000-0000-0000DE590000}"/>
    <cellStyle name="Total 2 4 2 2 4 3" xfId="5876" xr:uid="{00000000-0005-0000-0000-0000DF590000}"/>
    <cellStyle name="Total 2 4 2 2 4 3 2" xfId="12472" xr:uid="{00000000-0005-0000-0000-0000E0590000}"/>
    <cellStyle name="Total 2 4 2 2 4 3 3" xfId="19091" xr:uid="{00000000-0005-0000-0000-0000E1590000}"/>
    <cellStyle name="Total 2 4 2 2 4 3_Summary" xfId="24926" xr:uid="{00000000-0005-0000-0000-0000E2590000}"/>
    <cellStyle name="Total 2 4 2 2 4 4" xfId="8301" xr:uid="{00000000-0005-0000-0000-0000E3590000}"/>
    <cellStyle name="Total 2 4 2 2 4 5" xfId="14920" xr:uid="{00000000-0005-0000-0000-0000E4590000}"/>
    <cellStyle name="Total 2 4 2 2 4_Summary" xfId="24924" xr:uid="{00000000-0005-0000-0000-0000E5590000}"/>
    <cellStyle name="Total 2 4 2 2 5" xfId="1984" xr:uid="{00000000-0005-0000-0000-0000E6590000}"/>
    <cellStyle name="Total 2 4 2 2 5 2" xfId="4120" xr:uid="{00000000-0005-0000-0000-0000E7590000}"/>
    <cellStyle name="Total 2 4 2 2 5 2 2" xfId="10716" xr:uid="{00000000-0005-0000-0000-0000E8590000}"/>
    <cellStyle name="Total 2 4 2 2 5 2 3" xfId="17335" xr:uid="{00000000-0005-0000-0000-0000E9590000}"/>
    <cellStyle name="Total 2 4 2 2 5 2_Summary" xfId="24928" xr:uid="{00000000-0005-0000-0000-0000EA590000}"/>
    <cellStyle name="Total 2 4 2 2 5 3" xfId="6155" xr:uid="{00000000-0005-0000-0000-0000EB590000}"/>
    <cellStyle name="Total 2 4 2 2 5 3 2" xfId="12751" xr:uid="{00000000-0005-0000-0000-0000EC590000}"/>
    <cellStyle name="Total 2 4 2 2 5 3 3" xfId="19370" xr:uid="{00000000-0005-0000-0000-0000ED590000}"/>
    <cellStyle name="Total 2 4 2 2 5 3_Summary" xfId="24929" xr:uid="{00000000-0005-0000-0000-0000EE590000}"/>
    <cellStyle name="Total 2 4 2 2 5 4" xfId="8580" xr:uid="{00000000-0005-0000-0000-0000EF590000}"/>
    <cellStyle name="Total 2 4 2 2 5 5" xfId="15199" xr:uid="{00000000-0005-0000-0000-0000F0590000}"/>
    <cellStyle name="Total 2 4 2 2 5_Summary" xfId="24927" xr:uid="{00000000-0005-0000-0000-0000F1590000}"/>
    <cellStyle name="Total 2 4 2 2 6" xfId="2259" xr:uid="{00000000-0005-0000-0000-0000F2590000}"/>
    <cellStyle name="Total 2 4 2 2 6 2" xfId="4395" xr:uid="{00000000-0005-0000-0000-0000F3590000}"/>
    <cellStyle name="Total 2 4 2 2 6 2 2" xfId="10991" xr:uid="{00000000-0005-0000-0000-0000F4590000}"/>
    <cellStyle name="Total 2 4 2 2 6 2 3" xfId="17610" xr:uid="{00000000-0005-0000-0000-0000F5590000}"/>
    <cellStyle name="Total 2 4 2 2 6 2_Summary" xfId="24931" xr:uid="{00000000-0005-0000-0000-0000F6590000}"/>
    <cellStyle name="Total 2 4 2 2 6 3" xfId="6430" xr:uid="{00000000-0005-0000-0000-0000F7590000}"/>
    <cellStyle name="Total 2 4 2 2 6 3 2" xfId="13026" xr:uid="{00000000-0005-0000-0000-0000F8590000}"/>
    <cellStyle name="Total 2 4 2 2 6 3 3" xfId="19645" xr:uid="{00000000-0005-0000-0000-0000F9590000}"/>
    <cellStyle name="Total 2 4 2 2 6 3_Summary" xfId="24932" xr:uid="{00000000-0005-0000-0000-0000FA590000}"/>
    <cellStyle name="Total 2 4 2 2 6 4" xfId="8855" xr:uid="{00000000-0005-0000-0000-0000FB590000}"/>
    <cellStyle name="Total 2 4 2 2 6 5" xfId="15474" xr:uid="{00000000-0005-0000-0000-0000FC590000}"/>
    <cellStyle name="Total 2 4 2 2 6_Summary" xfId="24930" xr:uid="{00000000-0005-0000-0000-0000FD590000}"/>
    <cellStyle name="Total 2 4 2 2 7" xfId="2532" xr:uid="{00000000-0005-0000-0000-0000FE590000}"/>
    <cellStyle name="Total 2 4 2 2 7 2" xfId="4668" xr:uid="{00000000-0005-0000-0000-0000FF590000}"/>
    <cellStyle name="Total 2 4 2 2 7 2 2" xfId="11264" xr:uid="{00000000-0005-0000-0000-0000005A0000}"/>
    <cellStyle name="Total 2 4 2 2 7 2 3" xfId="17883" xr:uid="{00000000-0005-0000-0000-0000015A0000}"/>
    <cellStyle name="Total 2 4 2 2 7 2_Summary" xfId="24934" xr:uid="{00000000-0005-0000-0000-0000025A0000}"/>
    <cellStyle name="Total 2 4 2 2 7 3" xfId="6703" xr:uid="{00000000-0005-0000-0000-0000035A0000}"/>
    <cellStyle name="Total 2 4 2 2 7 3 2" xfId="13299" xr:uid="{00000000-0005-0000-0000-0000045A0000}"/>
    <cellStyle name="Total 2 4 2 2 7 3 3" xfId="19918" xr:uid="{00000000-0005-0000-0000-0000055A0000}"/>
    <cellStyle name="Total 2 4 2 2 7 3_Summary" xfId="24935" xr:uid="{00000000-0005-0000-0000-0000065A0000}"/>
    <cellStyle name="Total 2 4 2 2 7 4" xfId="9128" xr:uid="{00000000-0005-0000-0000-0000075A0000}"/>
    <cellStyle name="Total 2 4 2 2 7 5" xfId="15747" xr:uid="{00000000-0005-0000-0000-0000085A0000}"/>
    <cellStyle name="Total 2 4 2 2 7_Summary" xfId="24933" xr:uid="{00000000-0005-0000-0000-0000095A0000}"/>
    <cellStyle name="Total 2 4 2 2 8" xfId="2978" xr:uid="{00000000-0005-0000-0000-00000A5A0000}"/>
    <cellStyle name="Total 2 4 2 2 8 2" xfId="9574" xr:uid="{00000000-0005-0000-0000-00000B5A0000}"/>
    <cellStyle name="Total 2 4 2 2 8 3" xfId="16193" xr:uid="{00000000-0005-0000-0000-00000C5A0000}"/>
    <cellStyle name="Total 2 4 2 2 8_Summary" xfId="24936" xr:uid="{00000000-0005-0000-0000-00000D5A0000}"/>
    <cellStyle name="Total 2 4 2 2 9" xfId="5013" xr:uid="{00000000-0005-0000-0000-00000E5A0000}"/>
    <cellStyle name="Total 2 4 2 2 9 2" xfId="11609" xr:uid="{00000000-0005-0000-0000-00000F5A0000}"/>
    <cellStyle name="Total 2 4 2 2 9 3" xfId="18228" xr:uid="{00000000-0005-0000-0000-0000105A0000}"/>
    <cellStyle name="Total 2 4 2 2 9_Summary" xfId="24937" xr:uid="{00000000-0005-0000-0000-0000115A0000}"/>
    <cellStyle name="Total 2 4 2 2_Summary" xfId="24916" xr:uid="{00000000-0005-0000-0000-0000125A0000}"/>
    <cellStyle name="Total 2 4 2 20" xfId="31366" xr:uid="{7DC8AA6D-7797-4467-8418-8661A0970284}"/>
    <cellStyle name="Total 2 4 2 3" xfId="1014" xr:uid="{00000000-0005-0000-0000-0000135A0000}"/>
    <cellStyle name="Total 2 4 2 3 2" xfId="3150" xr:uid="{00000000-0005-0000-0000-0000145A0000}"/>
    <cellStyle name="Total 2 4 2 3 2 2" xfId="9746" xr:uid="{00000000-0005-0000-0000-0000155A0000}"/>
    <cellStyle name="Total 2 4 2 3 2 3" xfId="16365" xr:uid="{00000000-0005-0000-0000-0000165A0000}"/>
    <cellStyle name="Total 2 4 2 3 2_Summary" xfId="24939" xr:uid="{00000000-0005-0000-0000-0000175A0000}"/>
    <cellStyle name="Total 2 4 2 3 3" xfId="5185" xr:uid="{00000000-0005-0000-0000-0000185A0000}"/>
    <cellStyle name="Total 2 4 2 3 3 2" xfId="11781" xr:uid="{00000000-0005-0000-0000-0000195A0000}"/>
    <cellStyle name="Total 2 4 2 3 3 3" xfId="18400" xr:uid="{00000000-0005-0000-0000-00001A5A0000}"/>
    <cellStyle name="Total 2 4 2 3 3_Summary" xfId="24940" xr:uid="{00000000-0005-0000-0000-00001B5A0000}"/>
    <cellStyle name="Total 2 4 2 3 4" xfId="7611" xr:uid="{00000000-0005-0000-0000-00001C5A0000}"/>
    <cellStyle name="Total 2 4 2 3 5" xfId="14229" xr:uid="{00000000-0005-0000-0000-00001D5A0000}"/>
    <cellStyle name="Total 2 4 2 3_Summary" xfId="24938" xr:uid="{00000000-0005-0000-0000-00001E5A0000}"/>
    <cellStyle name="Total 2 4 2 4" xfId="1296" xr:uid="{00000000-0005-0000-0000-00001F5A0000}"/>
    <cellStyle name="Total 2 4 2 4 2" xfId="3432" xr:uid="{00000000-0005-0000-0000-0000205A0000}"/>
    <cellStyle name="Total 2 4 2 4 2 2" xfId="10028" xr:uid="{00000000-0005-0000-0000-0000215A0000}"/>
    <cellStyle name="Total 2 4 2 4 2 3" xfId="16647" xr:uid="{00000000-0005-0000-0000-0000225A0000}"/>
    <cellStyle name="Total 2 4 2 4 2_Summary" xfId="24942" xr:uid="{00000000-0005-0000-0000-0000235A0000}"/>
    <cellStyle name="Total 2 4 2 4 3" xfId="5467" xr:uid="{00000000-0005-0000-0000-0000245A0000}"/>
    <cellStyle name="Total 2 4 2 4 3 2" xfId="12063" xr:uid="{00000000-0005-0000-0000-0000255A0000}"/>
    <cellStyle name="Total 2 4 2 4 3 3" xfId="18682" xr:uid="{00000000-0005-0000-0000-0000265A0000}"/>
    <cellStyle name="Total 2 4 2 4 3_Summary" xfId="24943" xr:uid="{00000000-0005-0000-0000-0000275A0000}"/>
    <cellStyle name="Total 2 4 2 4 4" xfId="7892" xr:uid="{00000000-0005-0000-0000-0000285A0000}"/>
    <cellStyle name="Total 2 4 2 4 5" xfId="14511" xr:uid="{00000000-0005-0000-0000-0000295A0000}"/>
    <cellStyle name="Total 2 4 2 4_Summary" xfId="24941" xr:uid="{00000000-0005-0000-0000-00002A5A0000}"/>
    <cellStyle name="Total 2 4 2 5" xfId="1577" xr:uid="{00000000-0005-0000-0000-00002B5A0000}"/>
    <cellStyle name="Total 2 4 2 5 2" xfId="3713" xr:uid="{00000000-0005-0000-0000-00002C5A0000}"/>
    <cellStyle name="Total 2 4 2 5 2 2" xfId="10309" xr:uid="{00000000-0005-0000-0000-00002D5A0000}"/>
    <cellStyle name="Total 2 4 2 5 2 3" xfId="16928" xr:uid="{00000000-0005-0000-0000-00002E5A0000}"/>
    <cellStyle name="Total 2 4 2 5 2_Summary" xfId="24945" xr:uid="{00000000-0005-0000-0000-00002F5A0000}"/>
    <cellStyle name="Total 2 4 2 5 3" xfId="5748" xr:uid="{00000000-0005-0000-0000-0000305A0000}"/>
    <cellStyle name="Total 2 4 2 5 3 2" xfId="12344" xr:uid="{00000000-0005-0000-0000-0000315A0000}"/>
    <cellStyle name="Total 2 4 2 5 3 3" xfId="18963" xr:uid="{00000000-0005-0000-0000-0000325A0000}"/>
    <cellStyle name="Total 2 4 2 5 3_Summary" xfId="24946" xr:uid="{00000000-0005-0000-0000-0000335A0000}"/>
    <cellStyle name="Total 2 4 2 5 4" xfId="8173" xr:uid="{00000000-0005-0000-0000-0000345A0000}"/>
    <cellStyle name="Total 2 4 2 5 5" xfId="14792" xr:uid="{00000000-0005-0000-0000-0000355A0000}"/>
    <cellStyle name="Total 2 4 2 5_Summary" xfId="24944" xr:uid="{00000000-0005-0000-0000-0000365A0000}"/>
    <cellStyle name="Total 2 4 2 6" xfId="1856" xr:uid="{00000000-0005-0000-0000-0000375A0000}"/>
    <cellStyle name="Total 2 4 2 6 2" xfId="3992" xr:uid="{00000000-0005-0000-0000-0000385A0000}"/>
    <cellStyle name="Total 2 4 2 6 2 2" xfId="10588" xr:uid="{00000000-0005-0000-0000-0000395A0000}"/>
    <cellStyle name="Total 2 4 2 6 2 3" xfId="17207" xr:uid="{00000000-0005-0000-0000-00003A5A0000}"/>
    <cellStyle name="Total 2 4 2 6 2_Summary" xfId="24948" xr:uid="{00000000-0005-0000-0000-00003B5A0000}"/>
    <cellStyle name="Total 2 4 2 6 3" xfId="6027" xr:uid="{00000000-0005-0000-0000-00003C5A0000}"/>
    <cellStyle name="Total 2 4 2 6 3 2" xfId="12623" xr:uid="{00000000-0005-0000-0000-00003D5A0000}"/>
    <cellStyle name="Total 2 4 2 6 3 3" xfId="19242" xr:uid="{00000000-0005-0000-0000-00003E5A0000}"/>
    <cellStyle name="Total 2 4 2 6 3_Summary" xfId="24949" xr:uid="{00000000-0005-0000-0000-00003F5A0000}"/>
    <cellStyle name="Total 2 4 2 6 4" xfId="8452" xr:uid="{00000000-0005-0000-0000-0000405A0000}"/>
    <cellStyle name="Total 2 4 2 6 5" xfId="15071" xr:uid="{00000000-0005-0000-0000-0000415A0000}"/>
    <cellStyle name="Total 2 4 2 6_Summary" xfId="24947" xr:uid="{00000000-0005-0000-0000-0000425A0000}"/>
    <cellStyle name="Total 2 4 2 7" xfId="2131" xr:uid="{00000000-0005-0000-0000-0000435A0000}"/>
    <cellStyle name="Total 2 4 2 7 2" xfId="4267" xr:uid="{00000000-0005-0000-0000-0000445A0000}"/>
    <cellStyle name="Total 2 4 2 7 2 2" xfId="10863" xr:uid="{00000000-0005-0000-0000-0000455A0000}"/>
    <cellStyle name="Total 2 4 2 7 2 3" xfId="17482" xr:uid="{00000000-0005-0000-0000-0000465A0000}"/>
    <cellStyle name="Total 2 4 2 7 2_Summary" xfId="24951" xr:uid="{00000000-0005-0000-0000-0000475A0000}"/>
    <cellStyle name="Total 2 4 2 7 3" xfId="6302" xr:uid="{00000000-0005-0000-0000-0000485A0000}"/>
    <cellStyle name="Total 2 4 2 7 3 2" xfId="12898" xr:uid="{00000000-0005-0000-0000-0000495A0000}"/>
    <cellStyle name="Total 2 4 2 7 3 3" xfId="19517" xr:uid="{00000000-0005-0000-0000-00004A5A0000}"/>
    <cellStyle name="Total 2 4 2 7 3_Summary" xfId="24952" xr:uid="{00000000-0005-0000-0000-00004B5A0000}"/>
    <cellStyle name="Total 2 4 2 7 4" xfId="8727" xr:uid="{00000000-0005-0000-0000-00004C5A0000}"/>
    <cellStyle name="Total 2 4 2 7 5" xfId="15346" xr:uid="{00000000-0005-0000-0000-00004D5A0000}"/>
    <cellStyle name="Total 2 4 2 7_Summary" xfId="24950" xr:uid="{00000000-0005-0000-0000-00004E5A0000}"/>
    <cellStyle name="Total 2 4 2 8" xfId="2404" xr:uid="{00000000-0005-0000-0000-00004F5A0000}"/>
    <cellStyle name="Total 2 4 2 8 2" xfId="4540" xr:uid="{00000000-0005-0000-0000-0000505A0000}"/>
    <cellStyle name="Total 2 4 2 8 2 2" xfId="11136" xr:uid="{00000000-0005-0000-0000-0000515A0000}"/>
    <cellStyle name="Total 2 4 2 8 2 3" xfId="17755" xr:uid="{00000000-0005-0000-0000-0000525A0000}"/>
    <cellStyle name="Total 2 4 2 8 2_Summary" xfId="24954" xr:uid="{00000000-0005-0000-0000-0000535A0000}"/>
    <cellStyle name="Total 2 4 2 8 3" xfId="6575" xr:uid="{00000000-0005-0000-0000-0000545A0000}"/>
    <cellStyle name="Total 2 4 2 8 3 2" xfId="13171" xr:uid="{00000000-0005-0000-0000-0000555A0000}"/>
    <cellStyle name="Total 2 4 2 8 3 3" xfId="19790" xr:uid="{00000000-0005-0000-0000-0000565A0000}"/>
    <cellStyle name="Total 2 4 2 8 3_Summary" xfId="24955" xr:uid="{00000000-0005-0000-0000-0000575A0000}"/>
    <cellStyle name="Total 2 4 2 8 4" xfId="9000" xr:uid="{00000000-0005-0000-0000-0000585A0000}"/>
    <cellStyle name="Total 2 4 2 8 5" xfId="15619" xr:uid="{00000000-0005-0000-0000-0000595A0000}"/>
    <cellStyle name="Total 2 4 2 8_Summary" xfId="24953" xr:uid="{00000000-0005-0000-0000-00005A5A0000}"/>
    <cellStyle name="Total 2 4 2 9" xfId="2705" xr:uid="{00000000-0005-0000-0000-00005B5A0000}"/>
    <cellStyle name="Total 2 4 2 9 2" xfId="9301" xr:uid="{00000000-0005-0000-0000-00005C5A0000}"/>
    <cellStyle name="Total 2 4 2 9 3" xfId="15920" xr:uid="{00000000-0005-0000-0000-00005D5A0000}"/>
    <cellStyle name="Total 2 4 2 9_Summary" xfId="24956" xr:uid="{00000000-0005-0000-0000-00005E5A0000}"/>
    <cellStyle name="Total 2 4 2_Summary" xfId="24913" xr:uid="{00000000-0005-0000-0000-00005F5A0000}"/>
    <cellStyle name="Total 2 4 20" xfId="26623" xr:uid="{EA8006F2-281D-4141-B3F3-E5FD8BAF6E4D}"/>
    <cellStyle name="Total 2 4 21" xfId="29893" xr:uid="{18E7962A-A968-403F-BAD3-91F84B27B3CB}"/>
    <cellStyle name="Total 2 4 22" xfId="31365" xr:uid="{E650554C-AC0D-4EAE-A4F6-F2250E579B6A}"/>
    <cellStyle name="Total 2 4 3" xfId="233" xr:uid="{00000000-0005-0000-0000-0000605A0000}"/>
    <cellStyle name="Total 2 4 3 10" xfId="770" xr:uid="{00000000-0005-0000-0000-0000615A0000}"/>
    <cellStyle name="Total 2 4 3 10 2" xfId="13985" xr:uid="{00000000-0005-0000-0000-0000625A0000}"/>
    <cellStyle name="Total 2 4 3 10_Summary" xfId="24958" xr:uid="{00000000-0005-0000-0000-0000635A0000}"/>
    <cellStyle name="Total 2 4 3 11" xfId="7140" xr:uid="{00000000-0005-0000-0000-0000645A0000}"/>
    <cellStyle name="Total 2 4 3 12" xfId="7011" xr:uid="{00000000-0005-0000-0000-0000655A0000}"/>
    <cellStyle name="Total 2 4 3 13" xfId="26409" xr:uid="{79F5B6DE-79FE-446B-9D6A-92BB649E793A}"/>
    <cellStyle name="Total 2 4 3 14" xfId="26807" xr:uid="{E3B556C2-3A50-4E7E-8EB2-2B9BA5A93408}"/>
    <cellStyle name="Total 2 4 3 15" xfId="26991" xr:uid="{40CE03D3-FA44-4DFE-8FE2-C499385E7019}"/>
    <cellStyle name="Total 2 4 3 16" xfId="26758" xr:uid="{6C3ED0A3-8C83-4BFA-97D3-78B489C49446}"/>
    <cellStyle name="Total 2 4 3 17" xfId="26571" xr:uid="{933CF308-74B5-4A2A-86C9-D2354CF7A3ED}"/>
    <cellStyle name="Total 2 4 3 18" xfId="29895" xr:uid="{DA0318EF-C281-4573-AB4F-EC0B45913A28}"/>
    <cellStyle name="Total 2 4 3 19" xfId="31367" xr:uid="{E1987F80-0BDC-4108-8761-F204AB782E2C}"/>
    <cellStyle name="Total 2 4 3 2" xfId="938" xr:uid="{00000000-0005-0000-0000-0000665A0000}"/>
    <cellStyle name="Total 2 4 3 2 10" xfId="27075" xr:uid="{A2BDCED5-695D-4E7E-8620-682DB96D5ACB}"/>
    <cellStyle name="Total 2 4 3 2 11" xfId="30656" xr:uid="{6C6A3716-424C-4DAF-BB5C-484A2BDC29B5}"/>
    <cellStyle name="Total 2 4 3 2 12" xfId="32088" xr:uid="{746DA2D5-3319-441B-9E3C-B4EE8ADF1CA6}"/>
    <cellStyle name="Total 2 4 3 2 2" xfId="3074" xr:uid="{00000000-0005-0000-0000-0000675A0000}"/>
    <cellStyle name="Total 2 4 3 2 2 2" xfId="9670" xr:uid="{00000000-0005-0000-0000-0000685A0000}"/>
    <cellStyle name="Total 2 4 3 2 2 3" xfId="16289" xr:uid="{00000000-0005-0000-0000-0000695A0000}"/>
    <cellStyle name="Total 2 4 3 2 2_Summary" xfId="24960" xr:uid="{00000000-0005-0000-0000-00006A5A0000}"/>
    <cellStyle name="Total 2 4 3 2 3" xfId="5109" xr:uid="{00000000-0005-0000-0000-00006B5A0000}"/>
    <cellStyle name="Total 2 4 3 2 3 2" xfId="11705" xr:uid="{00000000-0005-0000-0000-00006C5A0000}"/>
    <cellStyle name="Total 2 4 3 2 3 3" xfId="18324" xr:uid="{00000000-0005-0000-0000-00006D5A0000}"/>
    <cellStyle name="Total 2 4 3 2 3_Summary" xfId="24961" xr:uid="{00000000-0005-0000-0000-00006E5A0000}"/>
    <cellStyle name="Total 2 4 3 2 4" xfId="7535" xr:uid="{00000000-0005-0000-0000-00006F5A0000}"/>
    <cellStyle name="Total 2 4 3 2 5" xfId="14153" xr:uid="{00000000-0005-0000-0000-0000705A0000}"/>
    <cellStyle name="Total 2 4 3 2 6" xfId="26506" xr:uid="{1116BA0C-BC5A-4421-AE15-2EA140788385}"/>
    <cellStyle name="Total 2 4 3 2 7" xfId="26889" xr:uid="{2A46906B-524E-4A86-ABDA-75BC6DA5AF31}"/>
    <cellStyle name="Total 2 4 3 2 8" xfId="27029" xr:uid="{BE686CDD-2203-4C7D-B63D-D4E0CC08BED9}"/>
    <cellStyle name="Total 2 4 3 2 9" xfId="27055" xr:uid="{0781C75C-F232-4361-9DAC-4AB64275A376}"/>
    <cellStyle name="Total 2 4 3 2_Summary" xfId="24959" xr:uid="{00000000-0005-0000-0000-0000715A0000}"/>
    <cellStyle name="Total 2 4 3 3" xfId="1223" xr:uid="{00000000-0005-0000-0000-0000725A0000}"/>
    <cellStyle name="Total 2 4 3 3 2" xfId="3359" xr:uid="{00000000-0005-0000-0000-0000735A0000}"/>
    <cellStyle name="Total 2 4 3 3 2 2" xfId="9955" xr:uid="{00000000-0005-0000-0000-0000745A0000}"/>
    <cellStyle name="Total 2 4 3 3 2 3" xfId="16574" xr:uid="{00000000-0005-0000-0000-0000755A0000}"/>
    <cellStyle name="Total 2 4 3 3 2_Summary" xfId="24963" xr:uid="{00000000-0005-0000-0000-0000765A0000}"/>
    <cellStyle name="Total 2 4 3 3 3" xfId="5394" xr:uid="{00000000-0005-0000-0000-0000775A0000}"/>
    <cellStyle name="Total 2 4 3 3 3 2" xfId="11990" xr:uid="{00000000-0005-0000-0000-0000785A0000}"/>
    <cellStyle name="Total 2 4 3 3 3 3" xfId="18609" xr:uid="{00000000-0005-0000-0000-0000795A0000}"/>
    <cellStyle name="Total 2 4 3 3 3_Summary" xfId="24964" xr:uid="{00000000-0005-0000-0000-00007A5A0000}"/>
    <cellStyle name="Total 2 4 3 3 4" xfId="7819" xr:uid="{00000000-0005-0000-0000-00007B5A0000}"/>
    <cellStyle name="Total 2 4 3 3 5" xfId="14438" xr:uid="{00000000-0005-0000-0000-00007C5A0000}"/>
    <cellStyle name="Total 2 4 3 3_Summary" xfId="24962" xr:uid="{00000000-0005-0000-0000-00007D5A0000}"/>
    <cellStyle name="Total 2 4 3 4" xfId="1505" xr:uid="{00000000-0005-0000-0000-00007E5A0000}"/>
    <cellStyle name="Total 2 4 3 4 2" xfId="3641" xr:uid="{00000000-0005-0000-0000-00007F5A0000}"/>
    <cellStyle name="Total 2 4 3 4 2 2" xfId="10237" xr:uid="{00000000-0005-0000-0000-0000805A0000}"/>
    <cellStyle name="Total 2 4 3 4 2 3" xfId="16856" xr:uid="{00000000-0005-0000-0000-0000815A0000}"/>
    <cellStyle name="Total 2 4 3 4 2_Summary" xfId="24966" xr:uid="{00000000-0005-0000-0000-0000825A0000}"/>
    <cellStyle name="Total 2 4 3 4 3" xfId="5676" xr:uid="{00000000-0005-0000-0000-0000835A0000}"/>
    <cellStyle name="Total 2 4 3 4 3 2" xfId="12272" xr:uid="{00000000-0005-0000-0000-0000845A0000}"/>
    <cellStyle name="Total 2 4 3 4 3 3" xfId="18891" xr:uid="{00000000-0005-0000-0000-0000855A0000}"/>
    <cellStyle name="Total 2 4 3 4 3_Summary" xfId="24967" xr:uid="{00000000-0005-0000-0000-0000865A0000}"/>
    <cellStyle name="Total 2 4 3 4 4" xfId="8101" xr:uid="{00000000-0005-0000-0000-0000875A0000}"/>
    <cellStyle name="Total 2 4 3 4 5" xfId="14720" xr:uid="{00000000-0005-0000-0000-0000885A0000}"/>
    <cellStyle name="Total 2 4 3 4_Summary" xfId="24965" xr:uid="{00000000-0005-0000-0000-0000895A0000}"/>
    <cellStyle name="Total 2 4 3 5" xfId="1786" xr:uid="{00000000-0005-0000-0000-00008A5A0000}"/>
    <cellStyle name="Total 2 4 3 5 2" xfId="3922" xr:uid="{00000000-0005-0000-0000-00008B5A0000}"/>
    <cellStyle name="Total 2 4 3 5 2 2" xfId="10518" xr:uid="{00000000-0005-0000-0000-00008C5A0000}"/>
    <cellStyle name="Total 2 4 3 5 2 3" xfId="17137" xr:uid="{00000000-0005-0000-0000-00008D5A0000}"/>
    <cellStyle name="Total 2 4 3 5 2_Summary" xfId="24969" xr:uid="{00000000-0005-0000-0000-00008E5A0000}"/>
    <cellStyle name="Total 2 4 3 5 3" xfId="5957" xr:uid="{00000000-0005-0000-0000-00008F5A0000}"/>
    <cellStyle name="Total 2 4 3 5 3 2" xfId="12553" xr:uid="{00000000-0005-0000-0000-0000905A0000}"/>
    <cellStyle name="Total 2 4 3 5 3 3" xfId="19172" xr:uid="{00000000-0005-0000-0000-0000915A0000}"/>
    <cellStyle name="Total 2 4 3 5 3_Summary" xfId="24970" xr:uid="{00000000-0005-0000-0000-0000925A0000}"/>
    <cellStyle name="Total 2 4 3 5 4" xfId="8382" xr:uid="{00000000-0005-0000-0000-0000935A0000}"/>
    <cellStyle name="Total 2 4 3 5 5" xfId="15001" xr:uid="{00000000-0005-0000-0000-0000945A0000}"/>
    <cellStyle name="Total 2 4 3 5_Summary" xfId="24968" xr:uid="{00000000-0005-0000-0000-0000955A0000}"/>
    <cellStyle name="Total 2 4 3 6" xfId="2065" xr:uid="{00000000-0005-0000-0000-0000965A0000}"/>
    <cellStyle name="Total 2 4 3 6 2" xfId="4201" xr:uid="{00000000-0005-0000-0000-0000975A0000}"/>
    <cellStyle name="Total 2 4 3 6 2 2" xfId="10797" xr:uid="{00000000-0005-0000-0000-0000985A0000}"/>
    <cellStyle name="Total 2 4 3 6 2 3" xfId="17416" xr:uid="{00000000-0005-0000-0000-0000995A0000}"/>
    <cellStyle name="Total 2 4 3 6 2_Summary" xfId="24972" xr:uid="{00000000-0005-0000-0000-00009A5A0000}"/>
    <cellStyle name="Total 2 4 3 6 3" xfId="6236" xr:uid="{00000000-0005-0000-0000-00009B5A0000}"/>
    <cellStyle name="Total 2 4 3 6 3 2" xfId="12832" xr:uid="{00000000-0005-0000-0000-00009C5A0000}"/>
    <cellStyle name="Total 2 4 3 6 3 3" xfId="19451" xr:uid="{00000000-0005-0000-0000-00009D5A0000}"/>
    <cellStyle name="Total 2 4 3 6 3_Summary" xfId="24973" xr:uid="{00000000-0005-0000-0000-00009E5A0000}"/>
    <cellStyle name="Total 2 4 3 6 4" xfId="8661" xr:uid="{00000000-0005-0000-0000-00009F5A0000}"/>
    <cellStyle name="Total 2 4 3 6 5" xfId="15280" xr:uid="{00000000-0005-0000-0000-0000A05A0000}"/>
    <cellStyle name="Total 2 4 3 6_Summary" xfId="24971" xr:uid="{00000000-0005-0000-0000-0000A15A0000}"/>
    <cellStyle name="Total 2 4 3 7" xfId="2340" xr:uid="{00000000-0005-0000-0000-0000A25A0000}"/>
    <cellStyle name="Total 2 4 3 7 2" xfId="4476" xr:uid="{00000000-0005-0000-0000-0000A35A0000}"/>
    <cellStyle name="Total 2 4 3 7 2 2" xfId="11072" xr:uid="{00000000-0005-0000-0000-0000A45A0000}"/>
    <cellStyle name="Total 2 4 3 7 2 3" xfId="17691" xr:uid="{00000000-0005-0000-0000-0000A55A0000}"/>
    <cellStyle name="Total 2 4 3 7 2_Summary" xfId="24975" xr:uid="{00000000-0005-0000-0000-0000A65A0000}"/>
    <cellStyle name="Total 2 4 3 7 3" xfId="6511" xr:uid="{00000000-0005-0000-0000-0000A75A0000}"/>
    <cellStyle name="Total 2 4 3 7 3 2" xfId="13107" xr:uid="{00000000-0005-0000-0000-0000A85A0000}"/>
    <cellStyle name="Total 2 4 3 7 3 3" xfId="19726" xr:uid="{00000000-0005-0000-0000-0000A95A0000}"/>
    <cellStyle name="Total 2 4 3 7 3_Summary" xfId="24976" xr:uid="{00000000-0005-0000-0000-0000AA5A0000}"/>
    <cellStyle name="Total 2 4 3 7 4" xfId="8936" xr:uid="{00000000-0005-0000-0000-0000AB5A0000}"/>
    <cellStyle name="Total 2 4 3 7 5" xfId="15555" xr:uid="{00000000-0005-0000-0000-0000AC5A0000}"/>
    <cellStyle name="Total 2 4 3 7_Summary" xfId="24974" xr:uid="{00000000-0005-0000-0000-0000AD5A0000}"/>
    <cellStyle name="Total 2 4 3 8" xfId="2906" xr:uid="{00000000-0005-0000-0000-0000AE5A0000}"/>
    <cellStyle name="Total 2 4 3 8 2" xfId="9502" xr:uid="{00000000-0005-0000-0000-0000AF5A0000}"/>
    <cellStyle name="Total 2 4 3 8 3" xfId="16121" xr:uid="{00000000-0005-0000-0000-0000B05A0000}"/>
    <cellStyle name="Total 2 4 3 8_Summary" xfId="24977" xr:uid="{00000000-0005-0000-0000-0000B15A0000}"/>
    <cellStyle name="Total 2 4 3 9" xfId="4941" xr:uid="{00000000-0005-0000-0000-0000B25A0000}"/>
    <cellStyle name="Total 2 4 3 9 2" xfId="11537" xr:uid="{00000000-0005-0000-0000-0000B35A0000}"/>
    <cellStyle name="Total 2 4 3 9 3" xfId="18156" xr:uid="{00000000-0005-0000-0000-0000B45A0000}"/>
    <cellStyle name="Total 2 4 3 9_Summary" xfId="24978" xr:uid="{00000000-0005-0000-0000-0000B55A0000}"/>
    <cellStyle name="Total 2 4 3_Summary" xfId="24957" xr:uid="{00000000-0005-0000-0000-0000B65A0000}"/>
    <cellStyle name="Total 2 4 4" xfId="387" xr:uid="{00000000-0005-0000-0000-0000B75A0000}"/>
    <cellStyle name="Total 2 4 4 10" xfId="724" xr:uid="{00000000-0005-0000-0000-0000B85A0000}"/>
    <cellStyle name="Total 2 4 4 10 2" xfId="13939" xr:uid="{00000000-0005-0000-0000-0000B95A0000}"/>
    <cellStyle name="Total 2 4 4 10_Summary" xfId="24980" xr:uid="{00000000-0005-0000-0000-0000BA5A0000}"/>
    <cellStyle name="Total 2 4 4 11" xfId="7280" xr:uid="{00000000-0005-0000-0000-0000BB5A0000}"/>
    <cellStyle name="Total 2 4 4 12" xfId="13602" xr:uid="{00000000-0005-0000-0000-0000BC5A0000}"/>
    <cellStyle name="Total 2 4 4 13" xfId="29896" xr:uid="{8926FE9A-4337-4495-B851-14816FCBF4A1}"/>
    <cellStyle name="Total 2 4 4 14" xfId="31368" xr:uid="{50C6CF50-B365-4049-A690-D3F7A6DEDAEE}"/>
    <cellStyle name="Total 2 4 4 2" xfId="1081" xr:uid="{00000000-0005-0000-0000-0000BD5A0000}"/>
    <cellStyle name="Total 2 4 4 2 2" xfId="3217" xr:uid="{00000000-0005-0000-0000-0000BE5A0000}"/>
    <cellStyle name="Total 2 4 4 2 2 2" xfId="9813" xr:uid="{00000000-0005-0000-0000-0000BF5A0000}"/>
    <cellStyle name="Total 2 4 4 2 2 3" xfId="16432" xr:uid="{00000000-0005-0000-0000-0000C05A0000}"/>
    <cellStyle name="Total 2 4 4 2 2_Summary" xfId="24982" xr:uid="{00000000-0005-0000-0000-0000C15A0000}"/>
    <cellStyle name="Total 2 4 4 2 3" xfId="5252" xr:uid="{00000000-0005-0000-0000-0000C25A0000}"/>
    <cellStyle name="Total 2 4 4 2 3 2" xfId="11848" xr:uid="{00000000-0005-0000-0000-0000C35A0000}"/>
    <cellStyle name="Total 2 4 4 2 3 3" xfId="18467" xr:uid="{00000000-0005-0000-0000-0000C45A0000}"/>
    <cellStyle name="Total 2 4 4 2 3_Summary" xfId="24983" xr:uid="{00000000-0005-0000-0000-0000C55A0000}"/>
    <cellStyle name="Total 2 4 4 2 4" xfId="7678" xr:uid="{00000000-0005-0000-0000-0000C65A0000}"/>
    <cellStyle name="Total 2 4 4 2 5" xfId="14296" xr:uid="{00000000-0005-0000-0000-0000C75A0000}"/>
    <cellStyle name="Total 2 4 4 2 6" xfId="30657" xr:uid="{81FE1BFA-BC1F-4615-B2EA-3C73783ACAEE}"/>
    <cellStyle name="Total 2 4 4 2 7" xfId="32089" xr:uid="{A9ACD454-1A52-4408-A1A5-13F2C00CED49}"/>
    <cellStyle name="Total 2 4 4 2_Summary" xfId="24981" xr:uid="{00000000-0005-0000-0000-0000C85A0000}"/>
    <cellStyle name="Total 2 4 4 3" xfId="1363" xr:uid="{00000000-0005-0000-0000-0000C95A0000}"/>
    <cellStyle name="Total 2 4 4 3 2" xfId="3499" xr:uid="{00000000-0005-0000-0000-0000CA5A0000}"/>
    <cellStyle name="Total 2 4 4 3 2 2" xfId="10095" xr:uid="{00000000-0005-0000-0000-0000CB5A0000}"/>
    <cellStyle name="Total 2 4 4 3 2 3" xfId="16714" xr:uid="{00000000-0005-0000-0000-0000CC5A0000}"/>
    <cellStyle name="Total 2 4 4 3 2_Summary" xfId="24985" xr:uid="{00000000-0005-0000-0000-0000CD5A0000}"/>
    <cellStyle name="Total 2 4 4 3 3" xfId="5534" xr:uid="{00000000-0005-0000-0000-0000CE5A0000}"/>
    <cellStyle name="Total 2 4 4 3 3 2" xfId="12130" xr:uid="{00000000-0005-0000-0000-0000CF5A0000}"/>
    <cellStyle name="Total 2 4 4 3 3 3" xfId="18749" xr:uid="{00000000-0005-0000-0000-0000D05A0000}"/>
    <cellStyle name="Total 2 4 4 3 3_Summary" xfId="24986" xr:uid="{00000000-0005-0000-0000-0000D15A0000}"/>
    <cellStyle name="Total 2 4 4 3 4" xfId="7959" xr:uid="{00000000-0005-0000-0000-0000D25A0000}"/>
    <cellStyle name="Total 2 4 4 3 5" xfId="14578" xr:uid="{00000000-0005-0000-0000-0000D35A0000}"/>
    <cellStyle name="Total 2 4 4 3_Summary" xfId="24984" xr:uid="{00000000-0005-0000-0000-0000D45A0000}"/>
    <cellStyle name="Total 2 4 4 4" xfId="1644" xr:uid="{00000000-0005-0000-0000-0000D55A0000}"/>
    <cellStyle name="Total 2 4 4 4 2" xfId="3780" xr:uid="{00000000-0005-0000-0000-0000D65A0000}"/>
    <cellStyle name="Total 2 4 4 4 2 2" xfId="10376" xr:uid="{00000000-0005-0000-0000-0000D75A0000}"/>
    <cellStyle name="Total 2 4 4 4 2 3" xfId="16995" xr:uid="{00000000-0005-0000-0000-0000D85A0000}"/>
    <cellStyle name="Total 2 4 4 4 2_Summary" xfId="24988" xr:uid="{00000000-0005-0000-0000-0000D95A0000}"/>
    <cellStyle name="Total 2 4 4 4 3" xfId="5815" xr:uid="{00000000-0005-0000-0000-0000DA5A0000}"/>
    <cellStyle name="Total 2 4 4 4 3 2" xfId="12411" xr:uid="{00000000-0005-0000-0000-0000DB5A0000}"/>
    <cellStyle name="Total 2 4 4 4 3 3" xfId="19030" xr:uid="{00000000-0005-0000-0000-0000DC5A0000}"/>
    <cellStyle name="Total 2 4 4 4 3_Summary" xfId="24989" xr:uid="{00000000-0005-0000-0000-0000DD5A0000}"/>
    <cellStyle name="Total 2 4 4 4 4" xfId="8240" xr:uid="{00000000-0005-0000-0000-0000DE5A0000}"/>
    <cellStyle name="Total 2 4 4 4 5" xfId="14859" xr:uid="{00000000-0005-0000-0000-0000DF5A0000}"/>
    <cellStyle name="Total 2 4 4 4_Summary" xfId="24987" xr:uid="{00000000-0005-0000-0000-0000E05A0000}"/>
    <cellStyle name="Total 2 4 4 5" xfId="1923" xr:uid="{00000000-0005-0000-0000-0000E15A0000}"/>
    <cellStyle name="Total 2 4 4 5 2" xfId="4059" xr:uid="{00000000-0005-0000-0000-0000E25A0000}"/>
    <cellStyle name="Total 2 4 4 5 2 2" xfId="10655" xr:uid="{00000000-0005-0000-0000-0000E35A0000}"/>
    <cellStyle name="Total 2 4 4 5 2 3" xfId="17274" xr:uid="{00000000-0005-0000-0000-0000E45A0000}"/>
    <cellStyle name="Total 2 4 4 5 2_Summary" xfId="24991" xr:uid="{00000000-0005-0000-0000-0000E55A0000}"/>
    <cellStyle name="Total 2 4 4 5 3" xfId="6094" xr:uid="{00000000-0005-0000-0000-0000E65A0000}"/>
    <cellStyle name="Total 2 4 4 5 3 2" xfId="12690" xr:uid="{00000000-0005-0000-0000-0000E75A0000}"/>
    <cellStyle name="Total 2 4 4 5 3 3" xfId="19309" xr:uid="{00000000-0005-0000-0000-0000E85A0000}"/>
    <cellStyle name="Total 2 4 4 5 3_Summary" xfId="24992" xr:uid="{00000000-0005-0000-0000-0000E95A0000}"/>
    <cellStyle name="Total 2 4 4 5 4" xfId="8519" xr:uid="{00000000-0005-0000-0000-0000EA5A0000}"/>
    <cellStyle name="Total 2 4 4 5 5" xfId="15138" xr:uid="{00000000-0005-0000-0000-0000EB5A0000}"/>
    <cellStyle name="Total 2 4 4 5_Summary" xfId="24990" xr:uid="{00000000-0005-0000-0000-0000EC5A0000}"/>
    <cellStyle name="Total 2 4 4 6" xfId="2198" xr:uid="{00000000-0005-0000-0000-0000ED5A0000}"/>
    <cellStyle name="Total 2 4 4 6 2" xfId="4334" xr:uid="{00000000-0005-0000-0000-0000EE5A0000}"/>
    <cellStyle name="Total 2 4 4 6 2 2" xfId="10930" xr:uid="{00000000-0005-0000-0000-0000EF5A0000}"/>
    <cellStyle name="Total 2 4 4 6 2 3" xfId="17549" xr:uid="{00000000-0005-0000-0000-0000F05A0000}"/>
    <cellStyle name="Total 2 4 4 6 2_Summary" xfId="24994" xr:uid="{00000000-0005-0000-0000-0000F15A0000}"/>
    <cellStyle name="Total 2 4 4 6 3" xfId="6369" xr:uid="{00000000-0005-0000-0000-0000F25A0000}"/>
    <cellStyle name="Total 2 4 4 6 3 2" xfId="12965" xr:uid="{00000000-0005-0000-0000-0000F35A0000}"/>
    <cellStyle name="Total 2 4 4 6 3 3" xfId="19584" xr:uid="{00000000-0005-0000-0000-0000F45A0000}"/>
    <cellStyle name="Total 2 4 4 6 3_Summary" xfId="24995" xr:uid="{00000000-0005-0000-0000-0000F55A0000}"/>
    <cellStyle name="Total 2 4 4 6 4" xfId="8794" xr:uid="{00000000-0005-0000-0000-0000F65A0000}"/>
    <cellStyle name="Total 2 4 4 6 5" xfId="15413" xr:uid="{00000000-0005-0000-0000-0000F75A0000}"/>
    <cellStyle name="Total 2 4 4 6_Summary" xfId="24993" xr:uid="{00000000-0005-0000-0000-0000F85A0000}"/>
    <cellStyle name="Total 2 4 4 7" xfId="2471" xr:uid="{00000000-0005-0000-0000-0000F95A0000}"/>
    <cellStyle name="Total 2 4 4 7 2" xfId="4607" xr:uid="{00000000-0005-0000-0000-0000FA5A0000}"/>
    <cellStyle name="Total 2 4 4 7 2 2" xfId="11203" xr:uid="{00000000-0005-0000-0000-0000FB5A0000}"/>
    <cellStyle name="Total 2 4 4 7 2 3" xfId="17822" xr:uid="{00000000-0005-0000-0000-0000FC5A0000}"/>
    <cellStyle name="Total 2 4 4 7 2_Summary" xfId="24997" xr:uid="{00000000-0005-0000-0000-0000FD5A0000}"/>
    <cellStyle name="Total 2 4 4 7 3" xfId="6642" xr:uid="{00000000-0005-0000-0000-0000FE5A0000}"/>
    <cellStyle name="Total 2 4 4 7 3 2" xfId="13238" xr:uid="{00000000-0005-0000-0000-0000FF5A0000}"/>
    <cellStyle name="Total 2 4 4 7 3 3" xfId="19857" xr:uid="{00000000-0005-0000-0000-0000005B0000}"/>
    <cellStyle name="Total 2 4 4 7 3_Summary" xfId="24998" xr:uid="{00000000-0005-0000-0000-0000015B0000}"/>
    <cellStyle name="Total 2 4 4 7 4" xfId="9067" xr:uid="{00000000-0005-0000-0000-0000025B0000}"/>
    <cellStyle name="Total 2 4 4 7 5" xfId="15686" xr:uid="{00000000-0005-0000-0000-0000035B0000}"/>
    <cellStyle name="Total 2 4 4 7_Summary" xfId="24996" xr:uid="{00000000-0005-0000-0000-0000045B0000}"/>
    <cellStyle name="Total 2 4 4 8" xfId="2860" xr:uid="{00000000-0005-0000-0000-0000055B0000}"/>
    <cellStyle name="Total 2 4 4 8 2" xfId="9456" xr:uid="{00000000-0005-0000-0000-0000065B0000}"/>
    <cellStyle name="Total 2 4 4 8 3" xfId="16075" xr:uid="{00000000-0005-0000-0000-0000075B0000}"/>
    <cellStyle name="Total 2 4 4 8_Summary" xfId="24999" xr:uid="{00000000-0005-0000-0000-0000085B0000}"/>
    <cellStyle name="Total 2 4 4 9" xfId="4895" xr:uid="{00000000-0005-0000-0000-0000095B0000}"/>
    <cellStyle name="Total 2 4 4 9 2" xfId="11491" xr:uid="{00000000-0005-0000-0000-00000A5B0000}"/>
    <cellStyle name="Total 2 4 4 9 3" xfId="18110" xr:uid="{00000000-0005-0000-0000-00000B5B0000}"/>
    <cellStyle name="Total 2 4 4 9_Summary" xfId="25000" xr:uid="{00000000-0005-0000-0000-00000C5B0000}"/>
    <cellStyle name="Total 2 4 4_Summary" xfId="24979" xr:uid="{00000000-0005-0000-0000-00000D5B0000}"/>
    <cellStyle name="Total 2 4 5" xfId="894" xr:uid="{00000000-0005-0000-0000-00000E5B0000}"/>
    <cellStyle name="Total 2 4 5 2" xfId="3030" xr:uid="{00000000-0005-0000-0000-00000F5B0000}"/>
    <cellStyle name="Total 2 4 5 2 2" xfId="9626" xr:uid="{00000000-0005-0000-0000-0000105B0000}"/>
    <cellStyle name="Total 2 4 5 2 3" xfId="16245" xr:uid="{00000000-0005-0000-0000-0000115B0000}"/>
    <cellStyle name="Total 2 4 5 2_Summary" xfId="25002" xr:uid="{00000000-0005-0000-0000-0000125B0000}"/>
    <cellStyle name="Total 2 4 5 3" xfId="5065" xr:uid="{00000000-0005-0000-0000-0000135B0000}"/>
    <cellStyle name="Total 2 4 5 3 2" xfId="11661" xr:uid="{00000000-0005-0000-0000-0000145B0000}"/>
    <cellStyle name="Total 2 4 5 3 3" xfId="18280" xr:uid="{00000000-0005-0000-0000-0000155B0000}"/>
    <cellStyle name="Total 2 4 5 3_Summary" xfId="25003" xr:uid="{00000000-0005-0000-0000-0000165B0000}"/>
    <cellStyle name="Total 2 4 5 4" xfId="7491" xr:uid="{00000000-0005-0000-0000-0000175B0000}"/>
    <cellStyle name="Total 2 4 5 5" xfId="14109" xr:uid="{00000000-0005-0000-0000-0000185B0000}"/>
    <cellStyle name="Total 2 4 5 6" xfId="30654" xr:uid="{29DCB9D3-813F-4957-8436-54F911B090C0}"/>
    <cellStyle name="Total 2 4 5 7" xfId="32086" xr:uid="{1CEDCEC8-9327-421A-97F8-4F986F081CEE}"/>
    <cellStyle name="Total 2 4 5_Summary" xfId="25001" xr:uid="{00000000-0005-0000-0000-0000195B0000}"/>
    <cellStyle name="Total 2 4 6" xfId="1179" xr:uid="{00000000-0005-0000-0000-00001A5B0000}"/>
    <cellStyle name="Total 2 4 6 2" xfId="3315" xr:uid="{00000000-0005-0000-0000-00001B5B0000}"/>
    <cellStyle name="Total 2 4 6 2 2" xfId="9911" xr:uid="{00000000-0005-0000-0000-00001C5B0000}"/>
    <cellStyle name="Total 2 4 6 2 3" xfId="16530" xr:uid="{00000000-0005-0000-0000-00001D5B0000}"/>
    <cellStyle name="Total 2 4 6 2_Summary" xfId="25005" xr:uid="{00000000-0005-0000-0000-00001E5B0000}"/>
    <cellStyle name="Total 2 4 6 3" xfId="5350" xr:uid="{00000000-0005-0000-0000-00001F5B0000}"/>
    <cellStyle name="Total 2 4 6 3 2" xfId="11946" xr:uid="{00000000-0005-0000-0000-0000205B0000}"/>
    <cellStyle name="Total 2 4 6 3 3" xfId="18565" xr:uid="{00000000-0005-0000-0000-0000215B0000}"/>
    <cellStyle name="Total 2 4 6 3_Summary" xfId="25006" xr:uid="{00000000-0005-0000-0000-0000225B0000}"/>
    <cellStyle name="Total 2 4 6 4" xfId="7775" xr:uid="{00000000-0005-0000-0000-0000235B0000}"/>
    <cellStyle name="Total 2 4 6 5" xfId="14394" xr:uid="{00000000-0005-0000-0000-0000245B0000}"/>
    <cellStyle name="Total 2 4 6_Summary" xfId="25004" xr:uid="{00000000-0005-0000-0000-0000255B0000}"/>
    <cellStyle name="Total 2 4 7" xfId="1461" xr:uid="{00000000-0005-0000-0000-0000265B0000}"/>
    <cellStyle name="Total 2 4 7 2" xfId="3597" xr:uid="{00000000-0005-0000-0000-0000275B0000}"/>
    <cellStyle name="Total 2 4 7 2 2" xfId="10193" xr:uid="{00000000-0005-0000-0000-0000285B0000}"/>
    <cellStyle name="Total 2 4 7 2 3" xfId="16812" xr:uid="{00000000-0005-0000-0000-0000295B0000}"/>
    <cellStyle name="Total 2 4 7 2_Summary" xfId="25008" xr:uid="{00000000-0005-0000-0000-00002A5B0000}"/>
    <cellStyle name="Total 2 4 7 3" xfId="5632" xr:uid="{00000000-0005-0000-0000-00002B5B0000}"/>
    <cellStyle name="Total 2 4 7 3 2" xfId="12228" xr:uid="{00000000-0005-0000-0000-00002C5B0000}"/>
    <cellStyle name="Total 2 4 7 3 3" xfId="18847" xr:uid="{00000000-0005-0000-0000-00002D5B0000}"/>
    <cellStyle name="Total 2 4 7 3_Summary" xfId="25009" xr:uid="{00000000-0005-0000-0000-00002E5B0000}"/>
    <cellStyle name="Total 2 4 7 4" xfId="8057" xr:uid="{00000000-0005-0000-0000-00002F5B0000}"/>
    <cellStyle name="Total 2 4 7 5" xfId="14676" xr:uid="{00000000-0005-0000-0000-0000305B0000}"/>
    <cellStyle name="Total 2 4 7_Summary" xfId="25007" xr:uid="{00000000-0005-0000-0000-0000315B0000}"/>
    <cellStyle name="Total 2 4 8" xfId="1742" xr:uid="{00000000-0005-0000-0000-0000325B0000}"/>
    <cellStyle name="Total 2 4 8 2" xfId="3878" xr:uid="{00000000-0005-0000-0000-0000335B0000}"/>
    <cellStyle name="Total 2 4 8 2 2" xfId="10474" xr:uid="{00000000-0005-0000-0000-0000345B0000}"/>
    <cellStyle name="Total 2 4 8 2 3" xfId="17093" xr:uid="{00000000-0005-0000-0000-0000355B0000}"/>
    <cellStyle name="Total 2 4 8 2_Summary" xfId="25011" xr:uid="{00000000-0005-0000-0000-0000365B0000}"/>
    <cellStyle name="Total 2 4 8 3" xfId="5913" xr:uid="{00000000-0005-0000-0000-0000375B0000}"/>
    <cellStyle name="Total 2 4 8 3 2" xfId="12509" xr:uid="{00000000-0005-0000-0000-0000385B0000}"/>
    <cellStyle name="Total 2 4 8 3 3" xfId="19128" xr:uid="{00000000-0005-0000-0000-0000395B0000}"/>
    <cellStyle name="Total 2 4 8 3_Summary" xfId="25012" xr:uid="{00000000-0005-0000-0000-00003A5B0000}"/>
    <cellStyle name="Total 2 4 8 4" xfId="8338" xr:uid="{00000000-0005-0000-0000-00003B5B0000}"/>
    <cellStyle name="Total 2 4 8 5" xfId="14957" xr:uid="{00000000-0005-0000-0000-00003C5B0000}"/>
    <cellStyle name="Total 2 4 8_Summary" xfId="25010" xr:uid="{00000000-0005-0000-0000-00003D5B0000}"/>
    <cellStyle name="Total 2 4 9" xfId="2021" xr:uid="{00000000-0005-0000-0000-00003E5B0000}"/>
    <cellStyle name="Total 2 4 9 2" xfId="4157" xr:uid="{00000000-0005-0000-0000-00003F5B0000}"/>
    <cellStyle name="Total 2 4 9 2 2" xfId="10753" xr:uid="{00000000-0005-0000-0000-0000405B0000}"/>
    <cellStyle name="Total 2 4 9 2 3" xfId="17372" xr:uid="{00000000-0005-0000-0000-0000415B0000}"/>
    <cellStyle name="Total 2 4 9 2_Summary" xfId="25014" xr:uid="{00000000-0005-0000-0000-0000425B0000}"/>
    <cellStyle name="Total 2 4 9 3" xfId="6192" xr:uid="{00000000-0005-0000-0000-0000435B0000}"/>
    <cellStyle name="Total 2 4 9 3 2" xfId="12788" xr:uid="{00000000-0005-0000-0000-0000445B0000}"/>
    <cellStyle name="Total 2 4 9 3 3" xfId="19407" xr:uid="{00000000-0005-0000-0000-0000455B0000}"/>
    <cellStyle name="Total 2 4 9 3_Summary" xfId="25015" xr:uid="{00000000-0005-0000-0000-0000465B0000}"/>
    <cellStyle name="Total 2 4 9 4" xfId="8617" xr:uid="{00000000-0005-0000-0000-0000475B0000}"/>
    <cellStyle name="Total 2 4 9 5" xfId="15236" xr:uid="{00000000-0005-0000-0000-0000485B0000}"/>
    <cellStyle name="Total 2 4 9_Summary" xfId="25013" xr:uid="{00000000-0005-0000-0000-0000495B0000}"/>
    <cellStyle name="Total 2 4_Summary" xfId="24906" xr:uid="{00000000-0005-0000-0000-00004A5B0000}"/>
    <cellStyle name="Total 2 40" xfId="6945" xr:uid="{00000000-0005-0000-0000-00004B5B0000}"/>
    <cellStyle name="Total 2 40 2" xfId="13465" xr:uid="{00000000-0005-0000-0000-00004C5B0000}"/>
    <cellStyle name="Total 2 40 3" xfId="20072" xr:uid="{00000000-0005-0000-0000-00004D5B0000}"/>
    <cellStyle name="Total 2 40_Summary" xfId="25016" xr:uid="{00000000-0005-0000-0000-00004E5B0000}"/>
    <cellStyle name="Total 2 41" xfId="6949" xr:uid="{00000000-0005-0000-0000-00004F5B0000}"/>
    <cellStyle name="Total 2 41 2" xfId="13469" xr:uid="{00000000-0005-0000-0000-0000505B0000}"/>
    <cellStyle name="Total 2 41 3" xfId="20076" xr:uid="{00000000-0005-0000-0000-0000515B0000}"/>
    <cellStyle name="Total 2 41_Summary" xfId="25017" xr:uid="{00000000-0005-0000-0000-0000525B0000}"/>
    <cellStyle name="Total 2 42" xfId="6952" xr:uid="{00000000-0005-0000-0000-0000535B0000}"/>
    <cellStyle name="Total 2 42 2" xfId="13472" xr:uid="{00000000-0005-0000-0000-0000545B0000}"/>
    <cellStyle name="Total 2 42 3" xfId="20079" xr:uid="{00000000-0005-0000-0000-0000555B0000}"/>
    <cellStyle name="Total 2 42_Summary" xfId="25018" xr:uid="{00000000-0005-0000-0000-0000565B0000}"/>
    <cellStyle name="Total 2 43" xfId="6955" xr:uid="{00000000-0005-0000-0000-0000575B0000}"/>
    <cellStyle name="Total 2 43 2" xfId="13475" xr:uid="{00000000-0005-0000-0000-0000585B0000}"/>
    <cellStyle name="Total 2 43 3" xfId="20082" xr:uid="{00000000-0005-0000-0000-0000595B0000}"/>
    <cellStyle name="Total 2 43_Summary" xfId="25019" xr:uid="{00000000-0005-0000-0000-00005A5B0000}"/>
    <cellStyle name="Total 2 44" xfId="6958" xr:uid="{00000000-0005-0000-0000-00005B5B0000}"/>
    <cellStyle name="Total 2 44 2" xfId="13478" xr:uid="{00000000-0005-0000-0000-00005C5B0000}"/>
    <cellStyle name="Total 2 44 3" xfId="20085" xr:uid="{00000000-0005-0000-0000-00005D5B0000}"/>
    <cellStyle name="Total 2 44_Summary" xfId="25020" xr:uid="{00000000-0005-0000-0000-00005E5B0000}"/>
    <cellStyle name="Total 2 45" xfId="6960" xr:uid="{00000000-0005-0000-0000-00005F5B0000}"/>
    <cellStyle name="Total 2 45 2" xfId="13480" xr:uid="{00000000-0005-0000-0000-0000605B0000}"/>
    <cellStyle name="Total 2 45 3" xfId="20087" xr:uid="{00000000-0005-0000-0000-0000615B0000}"/>
    <cellStyle name="Total 2 45_Summary" xfId="25021" xr:uid="{00000000-0005-0000-0000-0000625B0000}"/>
    <cellStyle name="Total 2 46" xfId="6962" xr:uid="{00000000-0005-0000-0000-0000635B0000}"/>
    <cellStyle name="Total 2 46 2" xfId="13482" xr:uid="{00000000-0005-0000-0000-0000645B0000}"/>
    <cellStyle name="Total 2 46 3" xfId="20089" xr:uid="{00000000-0005-0000-0000-0000655B0000}"/>
    <cellStyle name="Total 2 46_Summary" xfId="25022" xr:uid="{00000000-0005-0000-0000-0000665B0000}"/>
    <cellStyle name="Total 2 47" xfId="6964" xr:uid="{00000000-0005-0000-0000-0000675B0000}"/>
    <cellStyle name="Total 2 47 2" xfId="13484" xr:uid="{00000000-0005-0000-0000-0000685B0000}"/>
    <cellStyle name="Total 2 47 3" xfId="20091" xr:uid="{00000000-0005-0000-0000-0000695B0000}"/>
    <cellStyle name="Total 2 47_Summary" xfId="25023" xr:uid="{00000000-0005-0000-0000-00006A5B0000}"/>
    <cellStyle name="Total 2 48" xfId="6966" xr:uid="{00000000-0005-0000-0000-00006B5B0000}"/>
    <cellStyle name="Total 2 48 2" xfId="13486" xr:uid="{00000000-0005-0000-0000-00006C5B0000}"/>
    <cellStyle name="Total 2 48 3" xfId="20093" xr:uid="{00000000-0005-0000-0000-00006D5B0000}"/>
    <cellStyle name="Total 2 48_Summary" xfId="25024" xr:uid="{00000000-0005-0000-0000-00006E5B0000}"/>
    <cellStyle name="Total 2 49" xfId="7040" xr:uid="{00000000-0005-0000-0000-00006F5B0000}"/>
    <cellStyle name="Total 2 5" xfId="190" xr:uid="{00000000-0005-0000-0000-0000705B0000}"/>
    <cellStyle name="Total 2 5 10" xfId="2299" xr:uid="{00000000-0005-0000-0000-0000715B0000}"/>
    <cellStyle name="Total 2 5 10 2" xfId="4435" xr:uid="{00000000-0005-0000-0000-0000725B0000}"/>
    <cellStyle name="Total 2 5 10 2 2" xfId="11031" xr:uid="{00000000-0005-0000-0000-0000735B0000}"/>
    <cellStyle name="Total 2 5 10 2 3" xfId="17650" xr:uid="{00000000-0005-0000-0000-0000745B0000}"/>
    <cellStyle name="Total 2 5 10 2_Summary" xfId="25027" xr:uid="{00000000-0005-0000-0000-0000755B0000}"/>
    <cellStyle name="Total 2 5 10 3" xfId="6470" xr:uid="{00000000-0005-0000-0000-0000765B0000}"/>
    <cellStyle name="Total 2 5 10 3 2" xfId="13066" xr:uid="{00000000-0005-0000-0000-0000775B0000}"/>
    <cellStyle name="Total 2 5 10 3 3" xfId="19685" xr:uid="{00000000-0005-0000-0000-0000785B0000}"/>
    <cellStyle name="Total 2 5 10 3_Summary" xfId="25028" xr:uid="{00000000-0005-0000-0000-0000795B0000}"/>
    <cellStyle name="Total 2 5 10 4" xfId="8895" xr:uid="{00000000-0005-0000-0000-00007A5B0000}"/>
    <cellStyle name="Total 2 5 10 5" xfId="15514" xr:uid="{00000000-0005-0000-0000-00007B5B0000}"/>
    <cellStyle name="Total 2 5 10_Summary" xfId="25026" xr:uid="{00000000-0005-0000-0000-00007C5B0000}"/>
    <cellStyle name="Total 2 5 11" xfId="2618" xr:uid="{00000000-0005-0000-0000-00007D5B0000}"/>
    <cellStyle name="Total 2 5 11 2" xfId="9214" xr:uid="{00000000-0005-0000-0000-00007E5B0000}"/>
    <cellStyle name="Total 2 5 11 3" xfId="15833" xr:uid="{00000000-0005-0000-0000-00007F5B0000}"/>
    <cellStyle name="Total 2 5 11_Summary" xfId="25029" xr:uid="{00000000-0005-0000-0000-0000805B0000}"/>
    <cellStyle name="Total 2 5 12" xfId="2560" xr:uid="{00000000-0005-0000-0000-0000815B0000}"/>
    <cellStyle name="Total 2 5 12 2" xfId="9156" xr:uid="{00000000-0005-0000-0000-0000825B0000}"/>
    <cellStyle name="Total 2 5 12 3" xfId="15775" xr:uid="{00000000-0005-0000-0000-0000835B0000}"/>
    <cellStyle name="Total 2 5 12_Summary" xfId="25030" xr:uid="{00000000-0005-0000-0000-0000845B0000}"/>
    <cellStyle name="Total 2 5 13" xfId="507" xr:uid="{00000000-0005-0000-0000-0000855B0000}"/>
    <cellStyle name="Total 2 5 13 2" xfId="13722" xr:uid="{00000000-0005-0000-0000-0000865B0000}"/>
    <cellStyle name="Total 2 5 13_Summary" xfId="25031" xr:uid="{00000000-0005-0000-0000-0000875B0000}"/>
    <cellStyle name="Total 2 5 14" xfId="7098" xr:uid="{00000000-0005-0000-0000-0000885B0000}"/>
    <cellStyle name="Total 2 5 15" xfId="6996" xr:uid="{00000000-0005-0000-0000-0000895B0000}"/>
    <cellStyle name="Total 2 5 16" xfId="26283" xr:uid="{C4CF4E3B-1B4F-4DBD-9992-FAB363809C72}"/>
    <cellStyle name="Total 2 5 17" xfId="26699" xr:uid="{FC8A6ED1-C088-4410-BA47-956DE432CEFE}"/>
    <cellStyle name="Total 2 5 18" xfId="26946" xr:uid="{B6F17F72-D6A2-4A8C-9118-373AD8979403}"/>
    <cellStyle name="Total 2 5 19" xfId="26629" xr:uid="{CFE442EA-6A95-48CD-85A0-C16767584C06}"/>
    <cellStyle name="Total 2 5 2" xfId="322" xr:uid="{00000000-0005-0000-0000-00008A5B0000}"/>
    <cellStyle name="Total 2 5 2 10" xfId="4743" xr:uid="{00000000-0005-0000-0000-00008B5B0000}"/>
    <cellStyle name="Total 2 5 2 10 2" xfId="11339" xr:uid="{00000000-0005-0000-0000-00008C5B0000}"/>
    <cellStyle name="Total 2 5 2 10 3" xfId="17958" xr:uid="{00000000-0005-0000-0000-00008D5B0000}"/>
    <cellStyle name="Total 2 5 2 10_Summary" xfId="25033" xr:uid="{00000000-0005-0000-0000-00008E5B0000}"/>
    <cellStyle name="Total 2 5 2 11" xfId="572" xr:uid="{00000000-0005-0000-0000-00008F5B0000}"/>
    <cellStyle name="Total 2 5 2 11 2" xfId="13787" xr:uid="{00000000-0005-0000-0000-0000905B0000}"/>
    <cellStyle name="Total 2 5 2 11_Summary" xfId="25034" xr:uid="{00000000-0005-0000-0000-0000915B0000}"/>
    <cellStyle name="Total 2 5 2 12" xfId="7216" xr:uid="{00000000-0005-0000-0000-0000925B0000}"/>
    <cellStyle name="Total 2 5 2 13" xfId="13538" xr:uid="{00000000-0005-0000-0000-0000935B0000}"/>
    <cellStyle name="Total 2 5 2 14" xfId="26428" xr:uid="{5E934D85-B24B-4A4A-8CDC-6CBA06DA3D32}"/>
    <cellStyle name="Total 2 5 2 15" xfId="26826" xr:uid="{4F12CE5A-6371-47F1-9962-8AF581DDD7F3}"/>
    <cellStyle name="Total 2 5 2 16" xfId="27002" xr:uid="{0C0CD381-FAF1-4331-B87E-9ABF76AEB559}"/>
    <cellStyle name="Total 2 5 2 17" xfId="26248" xr:uid="{CD62704D-FC55-4335-9EDE-D0E23EB08B67}"/>
    <cellStyle name="Total 2 5 2 18" xfId="26627" xr:uid="{950A9C65-314B-4132-90E1-189C04C3E92E}"/>
    <cellStyle name="Total 2 5 2 19" xfId="29898" xr:uid="{FC67D702-AEB2-4D35-833C-4E629BDAF130}"/>
    <cellStyle name="Total 2 5 2 2" xfId="451" xr:uid="{00000000-0005-0000-0000-0000945B0000}"/>
    <cellStyle name="Total 2 5 2 2 10" xfId="845" xr:uid="{00000000-0005-0000-0000-0000955B0000}"/>
    <cellStyle name="Total 2 5 2 2 10 2" xfId="14060" xr:uid="{00000000-0005-0000-0000-0000965B0000}"/>
    <cellStyle name="Total 2 5 2 2 10_Summary" xfId="25036" xr:uid="{00000000-0005-0000-0000-0000975B0000}"/>
    <cellStyle name="Total 2 5 2 2 11" xfId="7344" xr:uid="{00000000-0005-0000-0000-0000985B0000}"/>
    <cellStyle name="Total 2 5 2 2 12" xfId="13666" xr:uid="{00000000-0005-0000-0000-0000995B0000}"/>
    <cellStyle name="Total 2 5 2 2 13" xfId="26514" xr:uid="{8782D792-94A0-4693-87A5-ECADD2438AFB}"/>
    <cellStyle name="Total 2 5 2 2 14" xfId="26897" xr:uid="{04DF1FC5-55D9-4231-8A5B-CD1C829D8676}"/>
    <cellStyle name="Total 2 5 2 2 15" xfId="27033" xr:uid="{639B7857-F4EF-41DC-AB3F-67395B28B0E6}"/>
    <cellStyle name="Total 2 5 2 2 16" xfId="27059" xr:uid="{7293683D-6575-41C6-BD5E-93E928FEAD1A}"/>
    <cellStyle name="Total 2 5 2 2 17" xfId="27079" xr:uid="{853644DA-2979-4234-B664-F208D8ECB075}"/>
    <cellStyle name="Total 2 5 2 2 18" xfId="30659" xr:uid="{23838F1E-0B77-4CBA-A738-67A82AE22E8F}"/>
    <cellStyle name="Total 2 5 2 2 19" xfId="32091" xr:uid="{C44A5D8F-B73A-466F-BF94-5985C1828C9E}"/>
    <cellStyle name="Total 2 5 2 2 2" xfId="1145" xr:uid="{00000000-0005-0000-0000-00009A5B0000}"/>
    <cellStyle name="Total 2 5 2 2 2 2" xfId="3281" xr:uid="{00000000-0005-0000-0000-00009B5B0000}"/>
    <cellStyle name="Total 2 5 2 2 2 2 2" xfId="9877" xr:uid="{00000000-0005-0000-0000-00009C5B0000}"/>
    <cellStyle name="Total 2 5 2 2 2 2 3" xfId="16496" xr:uid="{00000000-0005-0000-0000-00009D5B0000}"/>
    <cellStyle name="Total 2 5 2 2 2 2_Summary" xfId="25038" xr:uid="{00000000-0005-0000-0000-00009E5B0000}"/>
    <cellStyle name="Total 2 5 2 2 2 3" xfId="5316" xr:uid="{00000000-0005-0000-0000-00009F5B0000}"/>
    <cellStyle name="Total 2 5 2 2 2 3 2" xfId="11912" xr:uid="{00000000-0005-0000-0000-0000A05B0000}"/>
    <cellStyle name="Total 2 5 2 2 2 3 3" xfId="18531" xr:uid="{00000000-0005-0000-0000-0000A15B0000}"/>
    <cellStyle name="Total 2 5 2 2 2 3_Summary" xfId="25039" xr:uid="{00000000-0005-0000-0000-0000A25B0000}"/>
    <cellStyle name="Total 2 5 2 2 2 4" xfId="7741" xr:uid="{00000000-0005-0000-0000-0000A35B0000}"/>
    <cellStyle name="Total 2 5 2 2 2 5" xfId="14360" xr:uid="{00000000-0005-0000-0000-0000A45B0000}"/>
    <cellStyle name="Total 2 5 2 2 2_Summary" xfId="25037" xr:uid="{00000000-0005-0000-0000-0000A55B0000}"/>
    <cellStyle name="Total 2 5 2 2 3" xfId="1427" xr:uid="{00000000-0005-0000-0000-0000A65B0000}"/>
    <cellStyle name="Total 2 5 2 2 3 2" xfId="3563" xr:uid="{00000000-0005-0000-0000-0000A75B0000}"/>
    <cellStyle name="Total 2 5 2 2 3 2 2" xfId="10159" xr:uid="{00000000-0005-0000-0000-0000A85B0000}"/>
    <cellStyle name="Total 2 5 2 2 3 2 3" xfId="16778" xr:uid="{00000000-0005-0000-0000-0000A95B0000}"/>
    <cellStyle name="Total 2 5 2 2 3 2_Summary" xfId="25041" xr:uid="{00000000-0005-0000-0000-0000AA5B0000}"/>
    <cellStyle name="Total 2 5 2 2 3 3" xfId="5598" xr:uid="{00000000-0005-0000-0000-0000AB5B0000}"/>
    <cellStyle name="Total 2 5 2 2 3 3 2" xfId="12194" xr:uid="{00000000-0005-0000-0000-0000AC5B0000}"/>
    <cellStyle name="Total 2 5 2 2 3 3 3" xfId="18813" xr:uid="{00000000-0005-0000-0000-0000AD5B0000}"/>
    <cellStyle name="Total 2 5 2 2 3 3_Summary" xfId="25042" xr:uid="{00000000-0005-0000-0000-0000AE5B0000}"/>
    <cellStyle name="Total 2 5 2 2 3 4" xfId="8023" xr:uid="{00000000-0005-0000-0000-0000AF5B0000}"/>
    <cellStyle name="Total 2 5 2 2 3 5" xfId="14642" xr:uid="{00000000-0005-0000-0000-0000B05B0000}"/>
    <cellStyle name="Total 2 5 2 2 3_Summary" xfId="25040" xr:uid="{00000000-0005-0000-0000-0000B15B0000}"/>
    <cellStyle name="Total 2 5 2 2 4" xfId="1708" xr:uid="{00000000-0005-0000-0000-0000B25B0000}"/>
    <cellStyle name="Total 2 5 2 2 4 2" xfId="3844" xr:uid="{00000000-0005-0000-0000-0000B35B0000}"/>
    <cellStyle name="Total 2 5 2 2 4 2 2" xfId="10440" xr:uid="{00000000-0005-0000-0000-0000B45B0000}"/>
    <cellStyle name="Total 2 5 2 2 4 2 3" xfId="17059" xr:uid="{00000000-0005-0000-0000-0000B55B0000}"/>
    <cellStyle name="Total 2 5 2 2 4 2_Summary" xfId="25044" xr:uid="{00000000-0005-0000-0000-0000B65B0000}"/>
    <cellStyle name="Total 2 5 2 2 4 3" xfId="5879" xr:uid="{00000000-0005-0000-0000-0000B75B0000}"/>
    <cellStyle name="Total 2 5 2 2 4 3 2" xfId="12475" xr:uid="{00000000-0005-0000-0000-0000B85B0000}"/>
    <cellStyle name="Total 2 5 2 2 4 3 3" xfId="19094" xr:uid="{00000000-0005-0000-0000-0000B95B0000}"/>
    <cellStyle name="Total 2 5 2 2 4 3_Summary" xfId="25045" xr:uid="{00000000-0005-0000-0000-0000BA5B0000}"/>
    <cellStyle name="Total 2 5 2 2 4 4" xfId="8304" xr:uid="{00000000-0005-0000-0000-0000BB5B0000}"/>
    <cellStyle name="Total 2 5 2 2 4 5" xfId="14923" xr:uid="{00000000-0005-0000-0000-0000BC5B0000}"/>
    <cellStyle name="Total 2 5 2 2 4_Summary" xfId="25043" xr:uid="{00000000-0005-0000-0000-0000BD5B0000}"/>
    <cellStyle name="Total 2 5 2 2 5" xfId="1987" xr:uid="{00000000-0005-0000-0000-0000BE5B0000}"/>
    <cellStyle name="Total 2 5 2 2 5 2" xfId="4123" xr:uid="{00000000-0005-0000-0000-0000BF5B0000}"/>
    <cellStyle name="Total 2 5 2 2 5 2 2" xfId="10719" xr:uid="{00000000-0005-0000-0000-0000C05B0000}"/>
    <cellStyle name="Total 2 5 2 2 5 2 3" xfId="17338" xr:uid="{00000000-0005-0000-0000-0000C15B0000}"/>
    <cellStyle name="Total 2 5 2 2 5 2_Summary" xfId="25047" xr:uid="{00000000-0005-0000-0000-0000C25B0000}"/>
    <cellStyle name="Total 2 5 2 2 5 3" xfId="6158" xr:uid="{00000000-0005-0000-0000-0000C35B0000}"/>
    <cellStyle name="Total 2 5 2 2 5 3 2" xfId="12754" xr:uid="{00000000-0005-0000-0000-0000C45B0000}"/>
    <cellStyle name="Total 2 5 2 2 5 3 3" xfId="19373" xr:uid="{00000000-0005-0000-0000-0000C55B0000}"/>
    <cellStyle name="Total 2 5 2 2 5 3_Summary" xfId="25048" xr:uid="{00000000-0005-0000-0000-0000C65B0000}"/>
    <cellStyle name="Total 2 5 2 2 5 4" xfId="8583" xr:uid="{00000000-0005-0000-0000-0000C75B0000}"/>
    <cellStyle name="Total 2 5 2 2 5 5" xfId="15202" xr:uid="{00000000-0005-0000-0000-0000C85B0000}"/>
    <cellStyle name="Total 2 5 2 2 5_Summary" xfId="25046" xr:uid="{00000000-0005-0000-0000-0000C95B0000}"/>
    <cellStyle name="Total 2 5 2 2 6" xfId="2262" xr:uid="{00000000-0005-0000-0000-0000CA5B0000}"/>
    <cellStyle name="Total 2 5 2 2 6 2" xfId="4398" xr:uid="{00000000-0005-0000-0000-0000CB5B0000}"/>
    <cellStyle name="Total 2 5 2 2 6 2 2" xfId="10994" xr:uid="{00000000-0005-0000-0000-0000CC5B0000}"/>
    <cellStyle name="Total 2 5 2 2 6 2 3" xfId="17613" xr:uid="{00000000-0005-0000-0000-0000CD5B0000}"/>
    <cellStyle name="Total 2 5 2 2 6 2_Summary" xfId="25050" xr:uid="{00000000-0005-0000-0000-0000CE5B0000}"/>
    <cellStyle name="Total 2 5 2 2 6 3" xfId="6433" xr:uid="{00000000-0005-0000-0000-0000CF5B0000}"/>
    <cellStyle name="Total 2 5 2 2 6 3 2" xfId="13029" xr:uid="{00000000-0005-0000-0000-0000D05B0000}"/>
    <cellStyle name="Total 2 5 2 2 6 3 3" xfId="19648" xr:uid="{00000000-0005-0000-0000-0000D15B0000}"/>
    <cellStyle name="Total 2 5 2 2 6 3_Summary" xfId="25051" xr:uid="{00000000-0005-0000-0000-0000D25B0000}"/>
    <cellStyle name="Total 2 5 2 2 6 4" xfId="8858" xr:uid="{00000000-0005-0000-0000-0000D35B0000}"/>
    <cellStyle name="Total 2 5 2 2 6 5" xfId="15477" xr:uid="{00000000-0005-0000-0000-0000D45B0000}"/>
    <cellStyle name="Total 2 5 2 2 6_Summary" xfId="25049" xr:uid="{00000000-0005-0000-0000-0000D55B0000}"/>
    <cellStyle name="Total 2 5 2 2 7" xfId="2535" xr:uid="{00000000-0005-0000-0000-0000D65B0000}"/>
    <cellStyle name="Total 2 5 2 2 7 2" xfId="4671" xr:uid="{00000000-0005-0000-0000-0000D75B0000}"/>
    <cellStyle name="Total 2 5 2 2 7 2 2" xfId="11267" xr:uid="{00000000-0005-0000-0000-0000D85B0000}"/>
    <cellStyle name="Total 2 5 2 2 7 2 3" xfId="17886" xr:uid="{00000000-0005-0000-0000-0000D95B0000}"/>
    <cellStyle name="Total 2 5 2 2 7 2_Summary" xfId="25053" xr:uid="{00000000-0005-0000-0000-0000DA5B0000}"/>
    <cellStyle name="Total 2 5 2 2 7 3" xfId="6706" xr:uid="{00000000-0005-0000-0000-0000DB5B0000}"/>
    <cellStyle name="Total 2 5 2 2 7 3 2" xfId="13302" xr:uid="{00000000-0005-0000-0000-0000DC5B0000}"/>
    <cellStyle name="Total 2 5 2 2 7 3 3" xfId="19921" xr:uid="{00000000-0005-0000-0000-0000DD5B0000}"/>
    <cellStyle name="Total 2 5 2 2 7 3_Summary" xfId="25054" xr:uid="{00000000-0005-0000-0000-0000DE5B0000}"/>
    <cellStyle name="Total 2 5 2 2 7 4" xfId="9131" xr:uid="{00000000-0005-0000-0000-0000DF5B0000}"/>
    <cellStyle name="Total 2 5 2 2 7 5" xfId="15750" xr:uid="{00000000-0005-0000-0000-0000E05B0000}"/>
    <cellStyle name="Total 2 5 2 2 7_Summary" xfId="25052" xr:uid="{00000000-0005-0000-0000-0000E15B0000}"/>
    <cellStyle name="Total 2 5 2 2 8" xfId="2981" xr:uid="{00000000-0005-0000-0000-0000E25B0000}"/>
    <cellStyle name="Total 2 5 2 2 8 2" xfId="9577" xr:uid="{00000000-0005-0000-0000-0000E35B0000}"/>
    <cellStyle name="Total 2 5 2 2 8 3" xfId="16196" xr:uid="{00000000-0005-0000-0000-0000E45B0000}"/>
    <cellStyle name="Total 2 5 2 2 8_Summary" xfId="25055" xr:uid="{00000000-0005-0000-0000-0000E55B0000}"/>
    <cellStyle name="Total 2 5 2 2 9" xfId="5016" xr:uid="{00000000-0005-0000-0000-0000E65B0000}"/>
    <cellStyle name="Total 2 5 2 2 9 2" xfId="11612" xr:uid="{00000000-0005-0000-0000-0000E75B0000}"/>
    <cellStyle name="Total 2 5 2 2 9 3" xfId="18231" xr:uid="{00000000-0005-0000-0000-0000E85B0000}"/>
    <cellStyle name="Total 2 5 2 2 9_Summary" xfId="25056" xr:uid="{00000000-0005-0000-0000-0000E95B0000}"/>
    <cellStyle name="Total 2 5 2 2_Summary" xfId="25035" xr:uid="{00000000-0005-0000-0000-0000EA5B0000}"/>
    <cellStyle name="Total 2 5 2 20" xfId="31370" xr:uid="{CE149A6E-32BF-4F69-AB72-622E152247F2}"/>
    <cellStyle name="Total 2 5 2 3" xfId="1017" xr:uid="{00000000-0005-0000-0000-0000EB5B0000}"/>
    <cellStyle name="Total 2 5 2 3 2" xfId="3153" xr:uid="{00000000-0005-0000-0000-0000EC5B0000}"/>
    <cellStyle name="Total 2 5 2 3 2 2" xfId="9749" xr:uid="{00000000-0005-0000-0000-0000ED5B0000}"/>
    <cellStyle name="Total 2 5 2 3 2 3" xfId="16368" xr:uid="{00000000-0005-0000-0000-0000EE5B0000}"/>
    <cellStyle name="Total 2 5 2 3 2_Summary" xfId="25058" xr:uid="{00000000-0005-0000-0000-0000EF5B0000}"/>
    <cellStyle name="Total 2 5 2 3 3" xfId="5188" xr:uid="{00000000-0005-0000-0000-0000F05B0000}"/>
    <cellStyle name="Total 2 5 2 3 3 2" xfId="11784" xr:uid="{00000000-0005-0000-0000-0000F15B0000}"/>
    <cellStyle name="Total 2 5 2 3 3 3" xfId="18403" xr:uid="{00000000-0005-0000-0000-0000F25B0000}"/>
    <cellStyle name="Total 2 5 2 3 3_Summary" xfId="25059" xr:uid="{00000000-0005-0000-0000-0000F35B0000}"/>
    <cellStyle name="Total 2 5 2 3 4" xfId="7614" xr:uid="{00000000-0005-0000-0000-0000F45B0000}"/>
    <cellStyle name="Total 2 5 2 3 5" xfId="14232" xr:uid="{00000000-0005-0000-0000-0000F55B0000}"/>
    <cellStyle name="Total 2 5 2 3_Summary" xfId="25057" xr:uid="{00000000-0005-0000-0000-0000F65B0000}"/>
    <cellStyle name="Total 2 5 2 4" xfId="1299" xr:uid="{00000000-0005-0000-0000-0000F75B0000}"/>
    <cellStyle name="Total 2 5 2 4 2" xfId="3435" xr:uid="{00000000-0005-0000-0000-0000F85B0000}"/>
    <cellStyle name="Total 2 5 2 4 2 2" xfId="10031" xr:uid="{00000000-0005-0000-0000-0000F95B0000}"/>
    <cellStyle name="Total 2 5 2 4 2 3" xfId="16650" xr:uid="{00000000-0005-0000-0000-0000FA5B0000}"/>
    <cellStyle name="Total 2 5 2 4 2_Summary" xfId="25061" xr:uid="{00000000-0005-0000-0000-0000FB5B0000}"/>
    <cellStyle name="Total 2 5 2 4 3" xfId="5470" xr:uid="{00000000-0005-0000-0000-0000FC5B0000}"/>
    <cellStyle name="Total 2 5 2 4 3 2" xfId="12066" xr:uid="{00000000-0005-0000-0000-0000FD5B0000}"/>
    <cellStyle name="Total 2 5 2 4 3 3" xfId="18685" xr:uid="{00000000-0005-0000-0000-0000FE5B0000}"/>
    <cellStyle name="Total 2 5 2 4 3_Summary" xfId="25062" xr:uid="{00000000-0005-0000-0000-0000FF5B0000}"/>
    <cellStyle name="Total 2 5 2 4 4" xfId="7895" xr:uid="{00000000-0005-0000-0000-0000005C0000}"/>
    <cellStyle name="Total 2 5 2 4 5" xfId="14514" xr:uid="{00000000-0005-0000-0000-0000015C0000}"/>
    <cellStyle name="Total 2 5 2 4_Summary" xfId="25060" xr:uid="{00000000-0005-0000-0000-0000025C0000}"/>
    <cellStyle name="Total 2 5 2 5" xfId="1580" xr:uid="{00000000-0005-0000-0000-0000035C0000}"/>
    <cellStyle name="Total 2 5 2 5 2" xfId="3716" xr:uid="{00000000-0005-0000-0000-0000045C0000}"/>
    <cellStyle name="Total 2 5 2 5 2 2" xfId="10312" xr:uid="{00000000-0005-0000-0000-0000055C0000}"/>
    <cellStyle name="Total 2 5 2 5 2 3" xfId="16931" xr:uid="{00000000-0005-0000-0000-0000065C0000}"/>
    <cellStyle name="Total 2 5 2 5 2_Summary" xfId="25064" xr:uid="{00000000-0005-0000-0000-0000075C0000}"/>
    <cellStyle name="Total 2 5 2 5 3" xfId="5751" xr:uid="{00000000-0005-0000-0000-0000085C0000}"/>
    <cellStyle name="Total 2 5 2 5 3 2" xfId="12347" xr:uid="{00000000-0005-0000-0000-0000095C0000}"/>
    <cellStyle name="Total 2 5 2 5 3 3" xfId="18966" xr:uid="{00000000-0005-0000-0000-00000A5C0000}"/>
    <cellStyle name="Total 2 5 2 5 3_Summary" xfId="25065" xr:uid="{00000000-0005-0000-0000-00000B5C0000}"/>
    <cellStyle name="Total 2 5 2 5 4" xfId="8176" xr:uid="{00000000-0005-0000-0000-00000C5C0000}"/>
    <cellStyle name="Total 2 5 2 5 5" xfId="14795" xr:uid="{00000000-0005-0000-0000-00000D5C0000}"/>
    <cellStyle name="Total 2 5 2 5_Summary" xfId="25063" xr:uid="{00000000-0005-0000-0000-00000E5C0000}"/>
    <cellStyle name="Total 2 5 2 6" xfId="1859" xr:uid="{00000000-0005-0000-0000-00000F5C0000}"/>
    <cellStyle name="Total 2 5 2 6 2" xfId="3995" xr:uid="{00000000-0005-0000-0000-0000105C0000}"/>
    <cellStyle name="Total 2 5 2 6 2 2" xfId="10591" xr:uid="{00000000-0005-0000-0000-0000115C0000}"/>
    <cellStyle name="Total 2 5 2 6 2 3" xfId="17210" xr:uid="{00000000-0005-0000-0000-0000125C0000}"/>
    <cellStyle name="Total 2 5 2 6 2_Summary" xfId="25067" xr:uid="{00000000-0005-0000-0000-0000135C0000}"/>
    <cellStyle name="Total 2 5 2 6 3" xfId="6030" xr:uid="{00000000-0005-0000-0000-0000145C0000}"/>
    <cellStyle name="Total 2 5 2 6 3 2" xfId="12626" xr:uid="{00000000-0005-0000-0000-0000155C0000}"/>
    <cellStyle name="Total 2 5 2 6 3 3" xfId="19245" xr:uid="{00000000-0005-0000-0000-0000165C0000}"/>
    <cellStyle name="Total 2 5 2 6 3_Summary" xfId="25068" xr:uid="{00000000-0005-0000-0000-0000175C0000}"/>
    <cellStyle name="Total 2 5 2 6 4" xfId="8455" xr:uid="{00000000-0005-0000-0000-0000185C0000}"/>
    <cellStyle name="Total 2 5 2 6 5" xfId="15074" xr:uid="{00000000-0005-0000-0000-0000195C0000}"/>
    <cellStyle name="Total 2 5 2 6_Summary" xfId="25066" xr:uid="{00000000-0005-0000-0000-00001A5C0000}"/>
    <cellStyle name="Total 2 5 2 7" xfId="2134" xr:uid="{00000000-0005-0000-0000-00001B5C0000}"/>
    <cellStyle name="Total 2 5 2 7 2" xfId="4270" xr:uid="{00000000-0005-0000-0000-00001C5C0000}"/>
    <cellStyle name="Total 2 5 2 7 2 2" xfId="10866" xr:uid="{00000000-0005-0000-0000-00001D5C0000}"/>
    <cellStyle name="Total 2 5 2 7 2 3" xfId="17485" xr:uid="{00000000-0005-0000-0000-00001E5C0000}"/>
    <cellStyle name="Total 2 5 2 7 2_Summary" xfId="25070" xr:uid="{00000000-0005-0000-0000-00001F5C0000}"/>
    <cellStyle name="Total 2 5 2 7 3" xfId="6305" xr:uid="{00000000-0005-0000-0000-0000205C0000}"/>
    <cellStyle name="Total 2 5 2 7 3 2" xfId="12901" xr:uid="{00000000-0005-0000-0000-0000215C0000}"/>
    <cellStyle name="Total 2 5 2 7 3 3" xfId="19520" xr:uid="{00000000-0005-0000-0000-0000225C0000}"/>
    <cellStyle name="Total 2 5 2 7 3_Summary" xfId="25071" xr:uid="{00000000-0005-0000-0000-0000235C0000}"/>
    <cellStyle name="Total 2 5 2 7 4" xfId="8730" xr:uid="{00000000-0005-0000-0000-0000245C0000}"/>
    <cellStyle name="Total 2 5 2 7 5" xfId="15349" xr:uid="{00000000-0005-0000-0000-0000255C0000}"/>
    <cellStyle name="Total 2 5 2 7_Summary" xfId="25069" xr:uid="{00000000-0005-0000-0000-0000265C0000}"/>
    <cellStyle name="Total 2 5 2 8" xfId="2407" xr:uid="{00000000-0005-0000-0000-0000275C0000}"/>
    <cellStyle name="Total 2 5 2 8 2" xfId="4543" xr:uid="{00000000-0005-0000-0000-0000285C0000}"/>
    <cellStyle name="Total 2 5 2 8 2 2" xfId="11139" xr:uid="{00000000-0005-0000-0000-0000295C0000}"/>
    <cellStyle name="Total 2 5 2 8 2 3" xfId="17758" xr:uid="{00000000-0005-0000-0000-00002A5C0000}"/>
    <cellStyle name="Total 2 5 2 8 2_Summary" xfId="25073" xr:uid="{00000000-0005-0000-0000-00002B5C0000}"/>
    <cellStyle name="Total 2 5 2 8 3" xfId="6578" xr:uid="{00000000-0005-0000-0000-00002C5C0000}"/>
    <cellStyle name="Total 2 5 2 8 3 2" xfId="13174" xr:uid="{00000000-0005-0000-0000-00002D5C0000}"/>
    <cellStyle name="Total 2 5 2 8 3 3" xfId="19793" xr:uid="{00000000-0005-0000-0000-00002E5C0000}"/>
    <cellStyle name="Total 2 5 2 8 3_Summary" xfId="25074" xr:uid="{00000000-0005-0000-0000-00002F5C0000}"/>
    <cellStyle name="Total 2 5 2 8 4" xfId="9003" xr:uid="{00000000-0005-0000-0000-0000305C0000}"/>
    <cellStyle name="Total 2 5 2 8 5" xfId="15622" xr:uid="{00000000-0005-0000-0000-0000315C0000}"/>
    <cellStyle name="Total 2 5 2 8_Summary" xfId="25072" xr:uid="{00000000-0005-0000-0000-0000325C0000}"/>
    <cellStyle name="Total 2 5 2 9" xfId="2708" xr:uid="{00000000-0005-0000-0000-0000335C0000}"/>
    <cellStyle name="Total 2 5 2 9 2" xfId="9304" xr:uid="{00000000-0005-0000-0000-0000345C0000}"/>
    <cellStyle name="Total 2 5 2 9 3" xfId="15923" xr:uid="{00000000-0005-0000-0000-0000355C0000}"/>
    <cellStyle name="Total 2 5 2 9_Summary" xfId="25075" xr:uid="{00000000-0005-0000-0000-0000365C0000}"/>
    <cellStyle name="Total 2 5 2_Summary" xfId="25032" xr:uid="{00000000-0005-0000-0000-0000375C0000}"/>
    <cellStyle name="Total 2 5 20" xfId="27045" xr:uid="{1CC42C52-8EC2-4A10-9EA1-B296D918191C}"/>
    <cellStyle name="Total 2 5 21" xfId="29897" xr:uid="{CF878C28-6A6B-405C-AACB-02816CB23F96}"/>
    <cellStyle name="Total 2 5 22" xfId="31369" xr:uid="{CC2A8343-8D54-49B8-9F59-E0543FA6172A}"/>
    <cellStyle name="Total 2 5 3" xfId="236" xr:uid="{00000000-0005-0000-0000-0000385C0000}"/>
    <cellStyle name="Total 2 5 3 10" xfId="773" xr:uid="{00000000-0005-0000-0000-0000395C0000}"/>
    <cellStyle name="Total 2 5 3 10 2" xfId="13988" xr:uid="{00000000-0005-0000-0000-00003A5C0000}"/>
    <cellStyle name="Total 2 5 3 10_Summary" xfId="25077" xr:uid="{00000000-0005-0000-0000-00003B5C0000}"/>
    <cellStyle name="Total 2 5 3 11" xfId="7143" xr:uid="{00000000-0005-0000-0000-00003C5C0000}"/>
    <cellStyle name="Total 2 5 3 12" xfId="7010" xr:uid="{00000000-0005-0000-0000-00003D5C0000}"/>
    <cellStyle name="Total 2 5 3 13" xfId="29899" xr:uid="{D8C7FAA2-ADFD-4798-A184-5B4C0A1D4F6F}"/>
    <cellStyle name="Total 2 5 3 14" xfId="31371" xr:uid="{43861AA2-473D-442F-9AA2-FB45CC4DE6E2}"/>
    <cellStyle name="Total 2 5 3 2" xfId="941" xr:uid="{00000000-0005-0000-0000-00003E5C0000}"/>
    <cellStyle name="Total 2 5 3 2 2" xfId="3077" xr:uid="{00000000-0005-0000-0000-00003F5C0000}"/>
    <cellStyle name="Total 2 5 3 2 2 2" xfId="9673" xr:uid="{00000000-0005-0000-0000-0000405C0000}"/>
    <cellStyle name="Total 2 5 3 2 2 3" xfId="16292" xr:uid="{00000000-0005-0000-0000-0000415C0000}"/>
    <cellStyle name="Total 2 5 3 2 2_Summary" xfId="25079" xr:uid="{00000000-0005-0000-0000-0000425C0000}"/>
    <cellStyle name="Total 2 5 3 2 3" xfId="5112" xr:uid="{00000000-0005-0000-0000-0000435C0000}"/>
    <cellStyle name="Total 2 5 3 2 3 2" xfId="11708" xr:uid="{00000000-0005-0000-0000-0000445C0000}"/>
    <cellStyle name="Total 2 5 3 2 3 3" xfId="18327" xr:uid="{00000000-0005-0000-0000-0000455C0000}"/>
    <cellStyle name="Total 2 5 3 2 3_Summary" xfId="25080" xr:uid="{00000000-0005-0000-0000-0000465C0000}"/>
    <cellStyle name="Total 2 5 3 2 4" xfId="7538" xr:uid="{00000000-0005-0000-0000-0000475C0000}"/>
    <cellStyle name="Total 2 5 3 2 5" xfId="14156" xr:uid="{00000000-0005-0000-0000-0000485C0000}"/>
    <cellStyle name="Total 2 5 3 2 6" xfId="30660" xr:uid="{623A15F2-7658-48D7-A9B2-EB488D00D1E3}"/>
    <cellStyle name="Total 2 5 3 2 7" xfId="32092" xr:uid="{02F270D1-79DA-4F65-8D38-9A3424A4EBFA}"/>
    <cellStyle name="Total 2 5 3 2_Summary" xfId="25078" xr:uid="{00000000-0005-0000-0000-0000495C0000}"/>
    <cellStyle name="Total 2 5 3 3" xfId="1226" xr:uid="{00000000-0005-0000-0000-00004A5C0000}"/>
    <cellStyle name="Total 2 5 3 3 2" xfId="3362" xr:uid="{00000000-0005-0000-0000-00004B5C0000}"/>
    <cellStyle name="Total 2 5 3 3 2 2" xfId="9958" xr:uid="{00000000-0005-0000-0000-00004C5C0000}"/>
    <cellStyle name="Total 2 5 3 3 2 3" xfId="16577" xr:uid="{00000000-0005-0000-0000-00004D5C0000}"/>
    <cellStyle name="Total 2 5 3 3 2_Summary" xfId="25082" xr:uid="{00000000-0005-0000-0000-00004E5C0000}"/>
    <cellStyle name="Total 2 5 3 3 3" xfId="5397" xr:uid="{00000000-0005-0000-0000-00004F5C0000}"/>
    <cellStyle name="Total 2 5 3 3 3 2" xfId="11993" xr:uid="{00000000-0005-0000-0000-0000505C0000}"/>
    <cellStyle name="Total 2 5 3 3 3 3" xfId="18612" xr:uid="{00000000-0005-0000-0000-0000515C0000}"/>
    <cellStyle name="Total 2 5 3 3 3_Summary" xfId="25083" xr:uid="{00000000-0005-0000-0000-0000525C0000}"/>
    <cellStyle name="Total 2 5 3 3 4" xfId="7822" xr:uid="{00000000-0005-0000-0000-0000535C0000}"/>
    <cellStyle name="Total 2 5 3 3 5" xfId="14441" xr:uid="{00000000-0005-0000-0000-0000545C0000}"/>
    <cellStyle name="Total 2 5 3 3_Summary" xfId="25081" xr:uid="{00000000-0005-0000-0000-0000555C0000}"/>
    <cellStyle name="Total 2 5 3 4" xfId="1508" xr:uid="{00000000-0005-0000-0000-0000565C0000}"/>
    <cellStyle name="Total 2 5 3 4 2" xfId="3644" xr:uid="{00000000-0005-0000-0000-0000575C0000}"/>
    <cellStyle name="Total 2 5 3 4 2 2" xfId="10240" xr:uid="{00000000-0005-0000-0000-0000585C0000}"/>
    <cellStyle name="Total 2 5 3 4 2 3" xfId="16859" xr:uid="{00000000-0005-0000-0000-0000595C0000}"/>
    <cellStyle name="Total 2 5 3 4 2_Summary" xfId="25085" xr:uid="{00000000-0005-0000-0000-00005A5C0000}"/>
    <cellStyle name="Total 2 5 3 4 3" xfId="5679" xr:uid="{00000000-0005-0000-0000-00005B5C0000}"/>
    <cellStyle name="Total 2 5 3 4 3 2" xfId="12275" xr:uid="{00000000-0005-0000-0000-00005C5C0000}"/>
    <cellStyle name="Total 2 5 3 4 3 3" xfId="18894" xr:uid="{00000000-0005-0000-0000-00005D5C0000}"/>
    <cellStyle name="Total 2 5 3 4 3_Summary" xfId="25086" xr:uid="{00000000-0005-0000-0000-00005E5C0000}"/>
    <cellStyle name="Total 2 5 3 4 4" xfId="8104" xr:uid="{00000000-0005-0000-0000-00005F5C0000}"/>
    <cellStyle name="Total 2 5 3 4 5" xfId="14723" xr:uid="{00000000-0005-0000-0000-0000605C0000}"/>
    <cellStyle name="Total 2 5 3 4_Summary" xfId="25084" xr:uid="{00000000-0005-0000-0000-0000615C0000}"/>
    <cellStyle name="Total 2 5 3 5" xfId="1789" xr:uid="{00000000-0005-0000-0000-0000625C0000}"/>
    <cellStyle name="Total 2 5 3 5 2" xfId="3925" xr:uid="{00000000-0005-0000-0000-0000635C0000}"/>
    <cellStyle name="Total 2 5 3 5 2 2" xfId="10521" xr:uid="{00000000-0005-0000-0000-0000645C0000}"/>
    <cellStyle name="Total 2 5 3 5 2 3" xfId="17140" xr:uid="{00000000-0005-0000-0000-0000655C0000}"/>
    <cellStyle name="Total 2 5 3 5 2_Summary" xfId="25088" xr:uid="{00000000-0005-0000-0000-0000665C0000}"/>
    <cellStyle name="Total 2 5 3 5 3" xfId="5960" xr:uid="{00000000-0005-0000-0000-0000675C0000}"/>
    <cellStyle name="Total 2 5 3 5 3 2" xfId="12556" xr:uid="{00000000-0005-0000-0000-0000685C0000}"/>
    <cellStyle name="Total 2 5 3 5 3 3" xfId="19175" xr:uid="{00000000-0005-0000-0000-0000695C0000}"/>
    <cellStyle name="Total 2 5 3 5 3_Summary" xfId="25089" xr:uid="{00000000-0005-0000-0000-00006A5C0000}"/>
    <cellStyle name="Total 2 5 3 5 4" xfId="8385" xr:uid="{00000000-0005-0000-0000-00006B5C0000}"/>
    <cellStyle name="Total 2 5 3 5 5" xfId="15004" xr:uid="{00000000-0005-0000-0000-00006C5C0000}"/>
    <cellStyle name="Total 2 5 3 5_Summary" xfId="25087" xr:uid="{00000000-0005-0000-0000-00006D5C0000}"/>
    <cellStyle name="Total 2 5 3 6" xfId="2068" xr:uid="{00000000-0005-0000-0000-00006E5C0000}"/>
    <cellStyle name="Total 2 5 3 6 2" xfId="4204" xr:uid="{00000000-0005-0000-0000-00006F5C0000}"/>
    <cellStyle name="Total 2 5 3 6 2 2" xfId="10800" xr:uid="{00000000-0005-0000-0000-0000705C0000}"/>
    <cellStyle name="Total 2 5 3 6 2 3" xfId="17419" xr:uid="{00000000-0005-0000-0000-0000715C0000}"/>
    <cellStyle name="Total 2 5 3 6 2_Summary" xfId="25091" xr:uid="{00000000-0005-0000-0000-0000725C0000}"/>
    <cellStyle name="Total 2 5 3 6 3" xfId="6239" xr:uid="{00000000-0005-0000-0000-0000735C0000}"/>
    <cellStyle name="Total 2 5 3 6 3 2" xfId="12835" xr:uid="{00000000-0005-0000-0000-0000745C0000}"/>
    <cellStyle name="Total 2 5 3 6 3 3" xfId="19454" xr:uid="{00000000-0005-0000-0000-0000755C0000}"/>
    <cellStyle name="Total 2 5 3 6 3_Summary" xfId="25092" xr:uid="{00000000-0005-0000-0000-0000765C0000}"/>
    <cellStyle name="Total 2 5 3 6 4" xfId="8664" xr:uid="{00000000-0005-0000-0000-0000775C0000}"/>
    <cellStyle name="Total 2 5 3 6 5" xfId="15283" xr:uid="{00000000-0005-0000-0000-0000785C0000}"/>
    <cellStyle name="Total 2 5 3 6_Summary" xfId="25090" xr:uid="{00000000-0005-0000-0000-0000795C0000}"/>
    <cellStyle name="Total 2 5 3 7" xfId="2343" xr:uid="{00000000-0005-0000-0000-00007A5C0000}"/>
    <cellStyle name="Total 2 5 3 7 2" xfId="4479" xr:uid="{00000000-0005-0000-0000-00007B5C0000}"/>
    <cellStyle name="Total 2 5 3 7 2 2" xfId="11075" xr:uid="{00000000-0005-0000-0000-00007C5C0000}"/>
    <cellStyle name="Total 2 5 3 7 2 3" xfId="17694" xr:uid="{00000000-0005-0000-0000-00007D5C0000}"/>
    <cellStyle name="Total 2 5 3 7 2_Summary" xfId="25094" xr:uid="{00000000-0005-0000-0000-00007E5C0000}"/>
    <cellStyle name="Total 2 5 3 7 3" xfId="6514" xr:uid="{00000000-0005-0000-0000-00007F5C0000}"/>
    <cellStyle name="Total 2 5 3 7 3 2" xfId="13110" xr:uid="{00000000-0005-0000-0000-0000805C0000}"/>
    <cellStyle name="Total 2 5 3 7 3 3" xfId="19729" xr:uid="{00000000-0005-0000-0000-0000815C0000}"/>
    <cellStyle name="Total 2 5 3 7 3_Summary" xfId="25095" xr:uid="{00000000-0005-0000-0000-0000825C0000}"/>
    <cellStyle name="Total 2 5 3 7 4" xfId="8939" xr:uid="{00000000-0005-0000-0000-0000835C0000}"/>
    <cellStyle name="Total 2 5 3 7 5" xfId="15558" xr:uid="{00000000-0005-0000-0000-0000845C0000}"/>
    <cellStyle name="Total 2 5 3 7_Summary" xfId="25093" xr:uid="{00000000-0005-0000-0000-0000855C0000}"/>
    <cellStyle name="Total 2 5 3 8" xfId="2909" xr:uid="{00000000-0005-0000-0000-0000865C0000}"/>
    <cellStyle name="Total 2 5 3 8 2" xfId="9505" xr:uid="{00000000-0005-0000-0000-0000875C0000}"/>
    <cellStyle name="Total 2 5 3 8 3" xfId="16124" xr:uid="{00000000-0005-0000-0000-0000885C0000}"/>
    <cellStyle name="Total 2 5 3 8_Summary" xfId="25096" xr:uid="{00000000-0005-0000-0000-0000895C0000}"/>
    <cellStyle name="Total 2 5 3 9" xfId="4944" xr:uid="{00000000-0005-0000-0000-00008A5C0000}"/>
    <cellStyle name="Total 2 5 3 9 2" xfId="11540" xr:uid="{00000000-0005-0000-0000-00008B5C0000}"/>
    <cellStyle name="Total 2 5 3 9 3" xfId="18159" xr:uid="{00000000-0005-0000-0000-00008C5C0000}"/>
    <cellStyle name="Total 2 5 3 9_Summary" xfId="25097" xr:uid="{00000000-0005-0000-0000-00008D5C0000}"/>
    <cellStyle name="Total 2 5 3_Summary" xfId="25076" xr:uid="{00000000-0005-0000-0000-00008E5C0000}"/>
    <cellStyle name="Total 2 5 4" xfId="390" xr:uid="{00000000-0005-0000-0000-00008F5C0000}"/>
    <cellStyle name="Total 2 5 4 10" xfId="727" xr:uid="{00000000-0005-0000-0000-0000905C0000}"/>
    <cellStyle name="Total 2 5 4 10 2" xfId="13942" xr:uid="{00000000-0005-0000-0000-0000915C0000}"/>
    <cellStyle name="Total 2 5 4 10_Summary" xfId="25099" xr:uid="{00000000-0005-0000-0000-0000925C0000}"/>
    <cellStyle name="Total 2 5 4 11" xfId="7283" xr:uid="{00000000-0005-0000-0000-0000935C0000}"/>
    <cellStyle name="Total 2 5 4 12" xfId="13605" xr:uid="{00000000-0005-0000-0000-0000945C0000}"/>
    <cellStyle name="Total 2 5 4 13" xfId="29900" xr:uid="{BFE7A93C-2623-439F-A864-E6B1FDBCDAA7}"/>
    <cellStyle name="Total 2 5 4 14" xfId="31372" xr:uid="{329900A0-E4C4-4D35-98A5-6AFE1C58BEF6}"/>
    <cellStyle name="Total 2 5 4 2" xfId="1084" xr:uid="{00000000-0005-0000-0000-0000955C0000}"/>
    <cellStyle name="Total 2 5 4 2 2" xfId="3220" xr:uid="{00000000-0005-0000-0000-0000965C0000}"/>
    <cellStyle name="Total 2 5 4 2 2 2" xfId="9816" xr:uid="{00000000-0005-0000-0000-0000975C0000}"/>
    <cellStyle name="Total 2 5 4 2 2 3" xfId="16435" xr:uid="{00000000-0005-0000-0000-0000985C0000}"/>
    <cellStyle name="Total 2 5 4 2 2_Summary" xfId="25101" xr:uid="{00000000-0005-0000-0000-0000995C0000}"/>
    <cellStyle name="Total 2 5 4 2 3" xfId="5255" xr:uid="{00000000-0005-0000-0000-00009A5C0000}"/>
    <cellStyle name="Total 2 5 4 2 3 2" xfId="11851" xr:uid="{00000000-0005-0000-0000-00009B5C0000}"/>
    <cellStyle name="Total 2 5 4 2 3 3" xfId="18470" xr:uid="{00000000-0005-0000-0000-00009C5C0000}"/>
    <cellStyle name="Total 2 5 4 2 3_Summary" xfId="25102" xr:uid="{00000000-0005-0000-0000-00009D5C0000}"/>
    <cellStyle name="Total 2 5 4 2 4" xfId="7681" xr:uid="{00000000-0005-0000-0000-00009E5C0000}"/>
    <cellStyle name="Total 2 5 4 2 5" xfId="14299" xr:uid="{00000000-0005-0000-0000-00009F5C0000}"/>
    <cellStyle name="Total 2 5 4 2 6" xfId="30661" xr:uid="{D610BA99-21B7-41B5-A718-AF8984B6991F}"/>
    <cellStyle name="Total 2 5 4 2 7" xfId="32093" xr:uid="{6D21AF11-B93E-48CE-834D-4C7F24D58524}"/>
    <cellStyle name="Total 2 5 4 2_Summary" xfId="25100" xr:uid="{00000000-0005-0000-0000-0000A05C0000}"/>
    <cellStyle name="Total 2 5 4 3" xfId="1366" xr:uid="{00000000-0005-0000-0000-0000A15C0000}"/>
    <cellStyle name="Total 2 5 4 3 2" xfId="3502" xr:uid="{00000000-0005-0000-0000-0000A25C0000}"/>
    <cellStyle name="Total 2 5 4 3 2 2" xfId="10098" xr:uid="{00000000-0005-0000-0000-0000A35C0000}"/>
    <cellStyle name="Total 2 5 4 3 2 3" xfId="16717" xr:uid="{00000000-0005-0000-0000-0000A45C0000}"/>
    <cellStyle name="Total 2 5 4 3 2_Summary" xfId="25104" xr:uid="{00000000-0005-0000-0000-0000A55C0000}"/>
    <cellStyle name="Total 2 5 4 3 3" xfId="5537" xr:uid="{00000000-0005-0000-0000-0000A65C0000}"/>
    <cellStyle name="Total 2 5 4 3 3 2" xfId="12133" xr:uid="{00000000-0005-0000-0000-0000A75C0000}"/>
    <cellStyle name="Total 2 5 4 3 3 3" xfId="18752" xr:uid="{00000000-0005-0000-0000-0000A85C0000}"/>
    <cellStyle name="Total 2 5 4 3 3_Summary" xfId="25105" xr:uid="{00000000-0005-0000-0000-0000A95C0000}"/>
    <cellStyle name="Total 2 5 4 3 4" xfId="7962" xr:uid="{00000000-0005-0000-0000-0000AA5C0000}"/>
    <cellStyle name="Total 2 5 4 3 5" xfId="14581" xr:uid="{00000000-0005-0000-0000-0000AB5C0000}"/>
    <cellStyle name="Total 2 5 4 3_Summary" xfId="25103" xr:uid="{00000000-0005-0000-0000-0000AC5C0000}"/>
    <cellStyle name="Total 2 5 4 4" xfId="1647" xr:uid="{00000000-0005-0000-0000-0000AD5C0000}"/>
    <cellStyle name="Total 2 5 4 4 2" xfId="3783" xr:uid="{00000000-0005-0000-0000-0000AE5C0000}"/>
    <cellStyle name="Total 2 5 4 4 2 2" xfId="10379" xr:uid="{00000000-0005-0000-0000-0000AF5C0000}"/>
    <cellStyle name="Total 2 5 4 4 2 3" xfId="16998" xr:uid="{00000000-0005-0000-0000-0000B05C0000}"/>
    <cellStyle name="Total 2 5 4 4 2_Summary" xfId="25107" xr:uid="{00000000-0005-0000-0000-0000B15C0000}"/>
    <cellStyle name="Total 2 5 4 4 3" xfId="5818" xr:uid="{00000000-0005-0000-0000-0000B25C0000}"/>
    <cellStyle name="Total 2 5 4 4 3 2" xfId="12414" xr:uid="{00000000-0005-0000-0000-0000B35C0000}"/>
    <cellStyle name="Total 2 5 4 4 3 3" xfId="19033" xr:uid="{00000000-0005-0000-0000-0000B45C0000}"/>
    <cellStyle name="Total 2 5 4 4 3_Summary" xfId="25108" xr:uid="{00000000-0005-0000-0000-0000B55C0000}"/>
    <cellStyle name="Total 2 5 4 4 4" xfId="8243" xr:uid="{00000000-0005-0000-0000-0000B65C0000}"/>
    <cellStyle name="Total 2 5 4 4 5" xfId="14862" xr:uid="{00000000-0005-0000-0000-0000B75C0000}"/>
    <cellStyle name="Total 2 5 4 4_Summary" xfId="25106" xr:uid="{00000000-0005-0000-0000-0000B85C0000}"/>
    <cellStyle name="Total 2 5 4 5" xfId="1926" xr:uid="{00000000-0005-0000-0000-0000B95C0000}"/>
    <cellStyle name="Total 2 5 4 5 2" xfId="4062" xr:uid="{00000000-0005-0000-0000-0000BA5C0000}"/>
    <cellStyle name="Total 2 5 4 5 2 2" xfId="10658" xr:uid="{00000000-0005-0000-0000-0000BB5C0000}"/>
    <cellStyle name="Total 2 5 4 5 2 3" xfId="17277" xr:uid="{00000000-0005-0000-0000-0000BC5C0000}"/>
    <cellStyle name="Total 2 5 4 5 2_Summary" xfId="25110" xr:uid="{00000000-0005-0000-0000-0000BD5C0000}"/>
    <cellStyle name="Total 2 5 4 5 3" xfId="6097" xr:uid="{00000000-0005-0000-0000-0000BE5C0000}"/>
    <cellStyle name="Total 2 5 4 5 3 2" xfId="12693" xr:uid="{00000000-0005-0000-0000-0000BF5C0000}"/>
    <cellStyle name="Total 2 5 4 5 3 3" xfId="19312" xr:uid="{00000000-0005-0000-0000-0000C05C0000}"/>
    <cellStyle name="Total 2 5 4 5 3_Summary" xfId="25111" xr:uid="{00000000-0005-0000-0000-0000C15C0000}"/>
    <cellStyle name="Total 2 5 4 5 4" xfId="8522" xr:uid="{00000000-0005-0000-0000-0000C25C0000}"/>
    <cellStyle name="Total 2 5 4 5 5" xfId="15141" xr:uid="{00000000-0005-0000-0000-0000C35C0000}"/>
    <cellStyle name="Total 2 5 4 5_Summary" xfId="25109" xr:uid="{00000000-0005-0000-0000-0000C45C0000}"/>
    <cellStyle name="Total 2 5 4 6" xfId="2201" xr:uid="{00000000-0005-0000-0000-0000C55C0000}"/>
    <cellStyle name="Total 2 5 4 6 2" xfId="4337" xr:uid="{00000000-0005-0000-0000-0000C65C0000}"/>
    <cellStyle name="Total 2 5 4 6 2 2" xfId="10933" xr:uid="{00000000-0005-0000-0000-0000C75C0000}"/>
    <cellStyle name="Total 2 5 4 6 2 3" xfId="17552" xr:uid="{00000000-0005-0000-0000-0000C85C0000}"/>
    <cellStyle name="Total 2 5 4 6 2_Summary" xfId="25113" xr:uid="{00000000-0005-0000-0000-0000C95C0000}"/>
    <cellStyle name="Total 2 5 4 6 3" xfId="6372" xr:uid="{00000000-0005-0000-0000-0000CA5C0000}"/>
    <cellStyle name="Total 2 5 4 6 3 2" xfId="12968" xr:uid="{00000000-0005-0000-0000-0000CB5C0000}"/>
    <cellStyle name="Total 2 5 4 6 3 3" xfId="19587" xr:uid="{00000000-0005-0000-0000-0000CC5C0000}"/>
    <cellStyle name="Total 2 5 4 6 3_Summary" xfId="25114" xr:uid="{00000000-0005-0000-0000-0000CD5C0000}"/>
    <cellStyle name="Total 2 5 4 6 4" xfId="8797" xr:uid="{00000000-0005-0000-0000-0000CE5C0000}"/>
    <cellStyle name="Total 2 5 4 6 5" xfId="15416" xr:uid="{00000000-0005-0000-0000-0000CF5C0000}"/>
    <cellStyle name="Total 2 5 4 6_Summary" xfId="25112" xr:uid="{00000000-0005-0000-0000-0000D05C0000}"/>
    <cellStyle name="Total 2 5 4 7" xfId="2474" xr:uid="{00000000-0005-0000-0000-0000D15C0000}"/>
    <cellStyle name="Total 2 5 4 7 2" xfId="4610" xr:uid="{00000000-0005-0000-0000-0000D25C0000}"/>
    <cellStyle name="Total 2 5 4 7 2 2" xfId="11206" xr:uid="{00000000-0005-0000-0000-0000D35C0000}"/>
    <cellStyle name="Total 2 5 4 7 2 3" xfId="17825" xr:uid="{00000000-0005-0000-0000-0000D45C0000}"/>
    <cellStyle name="Total 2 5 4 7 2_Summary" xfId="25116" xr:uid="{00000000-0005-0000-0000-0000D55C0000}"/>
    <cellStyle name="Total 2 5 4 7 3" xfId="6645" xr:uid="{00000000-0005-0000-0000-0000D65C0000}"/>
    <cellStyle name="Total 2 5 4 7 3 2" xfId="13241" xr:uid="{00000000-0005-0000-0000-0000D75C0000}"/>
    <cellStyle name="Total 2 5 4 7 3 3" xfId="19860" xr:uid="{00000000-0005-0000-0000-0000D85C0000}"/>
    <cellStyle name="Total 2 5 4 7 3_Summary" xfId="25117" xr:uid="{00000000-0005-0000-0000-0000D95C0000}"/>
    <cellStyle name="Total 2 5 4 7 4" xfId="9070" xr:uid="{00000000-0005-0000-0000-0000DA5C0000}"/>
    <cellStyle name="Total 2 5 4 7 5" xfId="15689" xr:uid="{00000000-0005-0000-0000-0000DB5C0000}"/>
    <cellStyle name="Total 2 5 4 7_Summary" xfId="25115" xr:uid="{00000000-0005-0000-0000-0000DC5C0000}"/>
    <cellStyle name="Total 2 5 4 8" xfId="2863" xr:uid="{00000000-0005-0000-0000-0000DD5C0000}"/>
    <cellStyle name="Total 2 5 4 8 2" xfId="9459" xr:uid="{00000000-0005-0000-0000-0000DE5C0000}"/>
    <cellStyle name="Total 2 5 4 8 3" xfId="16078" xr:uid="{00000000-0005-0000-0000-0000DF5C0000}"/>
    <cellStyle name="Total 2 5 4 8_Summary" xfId="25118" xr:uid="{00000000-0005-0000-0000-0000E05C0000}"/>
    <cellStyle name="Total 2 5 4 9" xfId="4898" xr:uid="{00000000-0005-0000-0000-0000E15C0000}"/>
    <cellStyle name="Total 2 5 4 9 2" xfId="11494" xr:uid="{00000000-0005-0000-0000-0000E25C0000}"/>
    <cellStyle name="Total 2 5 4 9 3" xfId="18113" xr:uid="{00000000-0005-0000-0000-0000E35C0000}"/>
    <cellStyle name="Total 2 5 4 9_Summary" xfId="25119" xr:uid="{00000000-0005-0000-0000-0000E45C0000}"/>
    <cellStyle name="Total 2 5 4_Summary" xfId="25098" xr:uid="{00000000-0005-0000-0000-0000E55C0000}"/>
    <cellStyle name="Total 2 5 5" xfId="897" xr:uid="{00000000-0005-0000-0000-0000E65C0000}"/>
    <cellStyle name="Total 2 5 5 2" xfId="3033" xr:uid="{00000000-0005-0000-0000-0000E75C0000}"/>
    <cellStyle name="Total 2 5 5 2 2" xfId="9629" xr:uid="{00000000-0005-0000-0000-0000E85C0000}"/>
    <cellStyle name="Total 2 5 5 2 3" xfId="16248" xr:uid="{00000000-0005-0000-0000-0000E95C0000}"/>
    <cellStyle name="Total 2 5 5 2_Summary" xfId="25121" xr:uid="{00000000-0005-0000-0000-0000EA5C0000}"/>
    <cellStyle name="Total 2 5 5 3" xfId="5068" xr:uid="{00000000-0005-0000-0000-0000EB5C0000}"/>
    <cellStyle name="Total 2 5 5 3 2" xfId="11664" xr:uid="{00000000-0005-0000-0000-0000EC5C0000}"/>
    <cellStyle name="Total 2 5 5 3 3" xfId="18283" xr:uid="{00000000-0005-0000-0000-0000ED5C0000}"/>
    <cellStyle name="Total 2 5 5 3_Summary" xfId="25122" xr:uid="{00000000-0005-0000-0000-0000EE5C0000}"/>
    <cellStyle name="Total 2 5 5 4" xfId="7494" xr:uid="{00000000-0005-0000-0000-0000EF5C0000}"/>
    <cellStyle name="Total 2 5 5 5" xfId="14112" xr:uid="{00000000-0005-0000-0000-0000F05C0000}"/>
    <cellStyle name="Total 2 5 5 6" xfId="30658" xr:uid="{F666FE5F-5DC0-454D-929E-AC8FFF5A26F0}"/>
    <cellStyle name="Total 2 5 5 7" xfId="32090" xr:uid="{BC647A21-0029-4FA1-BD3D-B5097A00945D}"/>
    <cellStyle name="Total 2 5 5_Summary" xfId="25120" xr:uid="{00000000-0005-0000-0000-0000F15C0000}"/>
    <cellStyle name="Total 2 5 6" xfId="1182" xr:uid="{00000000-0005-0000-0000-0000F25C0000}"/>
    <cellStyle name="Total 2 5 6 2" xfId="3318" xr:uid="{00000000-0005-0000-0000-0000F35C0000}"/>
    <cellStyle name="Total 2 5 6 2 2" xfId="9914" xr:uid="{00000000-0005-0000-0000-0000F45C0000}"/>
    <cellStyle name="Total 2 5 6 2 3" xfId="16533" xr:uid="{00000000-0005-0000-0000-0000F55C0000}"/>
    <cellStyle name="Total 2 5 6 2_Summary" xfId="25124" xr:uid="{00000000-0005-0000-0000-0000F65C0000}"/>
    <cellStyle name="Total 2 5 6 3" xfId="5353" xr:uid="{00000000-0005-0000-0000-0000F75C0000}"/>
    <cellStyle name="Total 2 5 6 3 2" xfId="11949" xr:uid="{00000000-0005-0000-0000-0000F85C0000}"/>
    <cellStyle name="Total 2 5 6 3 3" xfId="18568" xr:uid="{00000000-0005-0000-0000-0000F95C0000}"/>
    <cellStyle name="Total 2 5 6 3_Summary" xfId="25125" xr:uid="{00000000-0005-0000-0000-0000FA5C0000}"/>
    <cellStyle name="Total 2 5 6 4" xfId="7778" xr:uid="{00000000-0005-0000-0000-0000FB5C0000}"/>
    <cellStyle name="Total 2 5 6 5" xfId="14397" xr:uid="{00000000-0005-0000-0000-0000FC5C0000}"/>
    <cellStyle name="Total 2 5 6_Summary" xfId="25123" xr:uid="{00000000-0005-0000-0000-0000FD5C0000}"/>
    <cellStyle name="Total 2 5 7" xfId="1464" xr:uid="{00000000-0005-0000-0000-0000FE5C0000}"/>
    <cellStyle name="Total 2 5 7 2" xfId="3600" xr:uid="{00000000-0005-0000-0000-0000FF5C0000}"/>
    <cellStyle name="Total 2 5 7 2 2" xfId="10196" xr:uid="{00000000-0005-0000-0000-0000005D0000}"/>
    <cellStyle name="Total 2 5 7 2 3" xfId="16815" xr:uid="{00000000-0005-0000-0000-0000015D0000}"/>
    <cellStyle name="Total 2 5 7 2_Summary" xfId="25127" xr:uid="{00000000-0005-0000-0000-0000025D0000}"/>
    <cellStyle name="Total 2 5 7 3" xfId="5635" xr:uid="{00000000-0005-0000-0000-0000035D0000}"/>
    <cellStyle name="Total 2 5 7 3 2" xfId="12231" xr:uid="{00000000-0005-0000-0000-0000045D0000}"/>
    <cellStyle name="Total 2 5 7 3 3" xfId="18850" xr:uid="{00000000-0005-0000-0000-0000055D0000}"/>
    <cellStyle name="Total 2 5 7 3_Summary" xfId="25128" xr:uid="{00000000-0005-0000-0000-0000065D0000}"/>
    <cellStyle name="Total 2 5 7 4" xfId="8060" xr:uid="{00000000-0005-0000-0000-0000075D0000}"/>
    <cellStyle name="Total 2 5 7 5" xfId="14679" xr:uid="{00000000-0005-0000-0000-0000085D0000}"/>
    <cellStyle name="Total 2 5 7_Summary" xfId="25126" xr:uid="{00000000-0005-0000-0000-0000095D0000}"/>
    <cellStyle name="Total 2 5 8" xfId="1745" xr:uid="{00000000-0005-0000-0000-00000A5D0000}"/>
    <cellStyle name="Total 2 5 8 2" xfId="3881" xr:uid="{00000000-0005-0000-0000-00000B5D0000}"/>
    <cellStyle name="Total 2 5 8 2 2" xfId="10477" xr:uid="{00000000-0005-0000-0000-00000C5D0000}"/>
    <cellStyle name="Total 2 5 8 2 3" xfId="17096" xr:uid="{00000000-0005-0000-0000-00000D5D0000}"/>
    <cellStyle name="Total 2 5 8 2_Summary" xfId="25130" xr:uid="{00000000-0005-0000-0000-00000E5D0000}"/>
    <cellStyle name="Total 2 5 8 3" xfId="5916" xr:uid="{00000000-0005-0000-0000-00000F5D0000}"/>
    <cellStyle name="Total 2 5 8 3 2" xfId="12512" xr:uid="{00000000-0005-0000-0000-0000105D0000}"/>
    <cellStyle name="Total 2 5 8 3 3" xfId="19131" xr:uid="{00000000-0005-0000-0000-0000115D0000}"/>
    <cellStyle name="Total 2 5 8 3_Summary" xfId="25131" xr:uid="{00000000-0005-0000-0000-0000125D0000}"/>
    <cellStyle name="Total 2 5 8 4" xfId="8341" xr:uid="{00000000-0005-0000-0000-0000135D0000}"/>
    <cellStyle name="Total 2 5 8 5" xfId="14960" xr:uid="{00000000-0005-0000-0000-0000145D0000}"/>
    <cellStyle name="Total 2 5 8_Summary" xfId="25129" xr:uid="{00000000-0005-0000-0000-0000155D0000}"/>
    <cellStyle name="Total 2 5 9" xfId="2024" xr:uid="{00000000-0005-0000-0000-0000165D0000}"/>
    <cellStyle name="Total 2 5 9 2" xfId="4160" xr:uid="{00000000-0005-0000-0000-0000175D0000}"/>
    <cellStyle name="Total 2 5 9 2 2" xfId="10756" xr:uid="{00000000-0005-0000-0000-0000185D0000}"/>
    <cellStyle name="Total 2 5 9 2 3" xfId="17375" xr:uid="{00000000-0005-0000-0000-0000195D0000}"/>
    <cellStyle name="Total 2 5 9 2_Summary" xfId="25133" xr:uid="{00000000-0005-0000-0000-00001A5D0000}"/>
    <cellStyle name="Total 2 5 9 3" xfId="6195" xr:uid="{00000000-0005-0000-0000-00001B5D0000}"/>
    <cellStyle name="Total 2 5 9 3 2" xfId="12791" xr:uid="{00000000-0005-0000-0000-00001C5D0000}"/>
    <cellStyle name="Total 2 5 9 3 3" xfId="19410" xr:uid="{00000000-0005-0000-0000-00001D5D0000}"/>
    <cellStyle name="Total 2 5 9 3_Summary" xfId="25134" xr:uid="{00000000-0005-0000-0000-00001E5D0000}"/>
    <cellStyle name="Total 2 5 9 4" xfId="8620" xr:uid="{00000000-0005-0000-0000-00001F5D0000}"/>
    <cellStyle name="Total 2 5 9 5" xfId="15239" xr:uid="{00000000-0005-0000-0000-0000205D0000}"/>
    <cellStyle name="Total 2 5 9_Summary" xfId="25132" xr:uid="{00000000-0005-0000-0000-0000215D0000}"/>
    <cellStyle name="Total 2 5_Summary" xfId="25025" xr:uid="{00000000-0005-0000-0000-0000225D0000}"/>
    <cellStyle name="Total 2 50" xfId="6968" xr:uid="{00000000-0005-0000-0000-0000235D0000}"/>
    <cellStyle name="Total 2 51" xfId="25590" xr:uid="{00000000-0005-0000-0000-000066000000}"/>
    <cellStyle name="Total 2 52" xfId="25583" xr:uid="{00000000-0005-0000-0000-000066000000}"/>
    <cellStyle name="Total 2 53" xfId="25578" xr:uid="{00000000-0005-0000-0000-000066000000}"/>
    <cellStyle name="Total 2 54" xfId="25697" xr:uid="{00000000-0005-0000-0000-000066000000}"/>
    <cellStyle name="Total 2 55" xfId="25716" xr:uid="{00000000-0005-0000-0000-000066000000}"/>
    <cellStyle name="Total 2 56" xfId="25793" xr:uid="{3AB71FD2-849A-4FF0-A088-61AB89D85D13}"/>
    <cellStyle name="Total 2 57" xfId="25872" xr:uid="{6861C557-B653-4C00-8415-4F0EA9D944BB}"/>
    <cellStyle name="Total 2 58" xfId="25851" xr:uid="{8243EBC3-9644-4A75-A373-763355B729C8}"/>
    <cellStyle name="Total 2 59" xfId="25826" xr:uid="{894E1C46-19D0-4655-8D8A-F42DF70337E1}"/>
    <cellStyle name="Total 2 6" xfId="193" xr:uid="{00000000-0005-0000-0000-0000245D0000}"/>
    <cellStyle name="Total 2 6 10" xfId="2302" xr:uid="{00000000-0005-0000-0000-0000255D0000}"/>
    <cellStyle name="Total 2 6 10 2" xfId="4438" xr:uid="{00000000-0005-0000-0000-0000265D0000}"/>
    <cellStyle name="Total 2 6 10 2 2" xfId="11034" xr:uid="{00000000-0005-0000-0000-0000275D0000}"/>
    <cellStyle name="Total 2 6 10 2 3" xfId="17653" xr:uid="{00000000-0005-0000-0000-0000285D0000}"/>
    <cellStyle name="Total 2 6 10 2_Summary" xfId="25137" xr:uid="{00000000-0005-0000-0000-0000295D0000}"/>
    <cellStyle name="Total 2 6 10 3" xfId="6473" xr:uid="{00000000-0005-0000-0000-00002A5D0000}"/>
    <cellStyle name="Total 2 6 10 3 2" xfId="13069" xr:uid="{00000000-0005-0000-0000-00002B5D0000}"/>
    <cellStyle name="Total 2 6 10 3 3" xfId="19688" xr:uid="{00000000-0005-0000-0000-00002C5D0000}"/>
    <cellStyle name="Total 2 6 10 3_Summary" xfId="25138" xr:uid="{00000000-0005-0000-0000-00002D5D0000}"/>
    <cellStyle name="Total 2 6 10 4" xfId="8898" xr:uid="{00000000-0005-0000-0000-00002E5D0000}"/>
    <cellStyle name="Total 2 6 10 5" xfId="15517" xr:uid="{00000000-0005-0000-0000-00002F5D0000}"/>
    <cellStyle name="Total 2 6 10_Summary" xfId="25136" xr:uid="{00000000-0005-0000-0000-0000305D0000}"/>
    <cellStyle name="Total 2 6 11" xfId="2621" xr:uid="{00000000-0005-0000-0000-0000315D0000}"/>
    <cellStyle name="Total 2 6 11 2" xfId="9217" xr:uid="{00000000-0005-0000-0000-0000325D0000}"/>
    <cellStyle name="Total 2 6 11 3" xfId="15836" xr:uid="{00000000-0005-0000-0000-0000335D0000}"/>
    <cellStyle name="Total 2 6 11_Summary" xfId="25139" xr:uid="{00000000-0005-0000-0000-0000345D0000}"/>
    <cellStyle name="Total 2 6 12" xfId="2649" xr:uid="{00000000-0005-0000-0000-0000355D0000}"/>
    <cellStyle name="Total 2 6 12 2" xfId="9245" xr:uid="{00000000-0005-0000-0000-0000365D0000}"/>
    <cellStyle name="Total 2 6 12 3" xfId="15864" xr:uid="{00000000-0005-0000-0000-0000375D0000}"/>
    <cellStyle name="Total 2 6 12_Summary" xfId="25140" xr:uid="{00000000-0005-0000-0000-0000385D0000}"/>
    <cellStyle name="Total 2 6 13" xfId="510" xr:uid="{00000000-0005-0000-0000-0000395D0000}"/>
    <cellStyle name="Total 2 6 13 2" xfId="13725" xr:uid="{00000000-0005-0000-0000-00003A5D0000}"/>
    <cellStyle name="Total 2 6 13_Summary" xfId="25141" xr:uid="{00000000-0005-0000-0000-00003B5D0000}"/>
    <cellStyle name="Total 2 6 14" xfId="7101" xr:uid="{00000000-0005-0000-0000-00003C5D0000}"/>
    <cellStyle name="Total 2 6 15" xfId="7024" xr:uid="{00000000-0005-0000-0000-00003D5D0000}"/>
    <cellStyle name="Total 2 6 16" xfId="26369" xr:uid="{D59B149C-15C8-4FA9-A7C4-F39F5380EB24}"/>
    <cellStyle name="Total 2 6 17" xfId="26770" xr:uid="{B2253828-8848-4A35-9DF4-89AA0231D2BA}"/>
    <cellStyle name="Total 2 6 18" xfId="26979" xr:uid="{0525C1F0-C3A2-44E5-8FED-179669D2B477}"/>
    <cellStyle name="Total 2 6 19" xfId="25862" xr:uid="{13DCEEA2-F672-492A-A237-482617BC779E}"/>
    <cellStyle name="Total 2 6 2" xfId="325" xr:uid="{00000000-0005-0000-0000-00003E5D0000}"/>
    <cellStyle name="Total 2 6 2 10" xfId="4746" xr:uid="{00000000-0005-0000-0000-00003F5D0000}"/>
    <cellStyle name="Total 2 6 2 10 2" xfId="11342" xr:uid="{00000000-0005-0000-0000-0000405D0000}"/>
    <cellStyle name="Total 2 6 2 10 3" xfId="17961" xr:uid="{00000000-0005-0000-0000-0000415D0000}"/>
    <cellStyle name="Total 2 6 2 10_Summary" xfId="25143" xr:uid="{00000000-0005-0000-0000-0000425D0000}"/>
    <cellStyle name="Total 2 6 2 11" xfId="575" xr:uid="{00000000-0005-0000-0000-0000435D0000}"/>
    <cellStyle name="Total 2 6 2 11 2" xfId="13790" xr:uid="{00000000-0005-0000-0000-0000445D0000}"/>
    <cellStyle name="Total 2 6 2 11_Summary" xfId="25144" xr:uid="{00000000-0005-0000-0000-0000455D0000}"/>
    <cellStyle name="Total 2 6 2 12" xfId="7219" xr:uid="{00000000-0005-0000-0000-0000465D0000}"/>
    <cellStyle name="Total 2 6 2 13" xfId="13541" xr:uid="{00000000-0005-0000-0000-0000475D0000}"/>
    <cellStyle name="Total 2 6 2 14" xfId="26490" xr:uid="{D8630000-8F5A-4122-9504-67915FF2FC60}"/>
    <cellStyle name="Total 2 6 2 15" xfId="26873" xr:uid="{9521E32F-CE3D-4106-B8D1-6F4D9739E7FD}"/>
    <cellStyle name="Total 2 6 2 16" xfId="27024" xr:uid="{8A6942E0-2820-49FF-B555-1ACD81366A14}"/>
    <cellStyle name="Total 2 6 2 17" xfId="27052" xr:uid="{587BD8C7-54C0-4AB3-B789-689DABA88841}"/>
    <cellStyle name="Total 2 6 2 18" xfId="27072" xr:uid="{645313C0-64E0-43DB-A629-A04A41CC0E97}"/>
    <cellStyle name="Total 2 6 2 19" xfId="29902" xr:uid="{1AED3DCC-EE30-43BF-AA46-15B79FAFEED5}"/>
    <cellStyle name="Total 2 6 2 2" xfId="454" xr:uid="{00000000-0005-0000-0000-0000485D0000}"/>
    <cellStyle name="Total 2 6 2 2 10" xfId="848" xr:uid="{00000000-0005-0000-0000-0000495D0000}"/>
    <cellStyle name="Total 2 6 2 2 10 2" xfId="14063" xr:uid="{00000000-0005-0000-0000-00004A5D0000}"/>
    <cellStyle name="Total 2 6 2 2 10_Summary" xfId="25146" xr:uid="{00000000-0005-0000-0000-00004B5D0000}"/>
    <cellStyle name="Total 2 6 2 2 11" xfId="7347" xr:uid="{00000000-0005-0000-0000-00004C5D0000}"/>
    <cellStyle name="Total 2 6 2 2 12" xfId="13669" xr:uid="{00000000-0005-0000-0000-00004D5D0000}"/>
    <cellStyle name="Total 2 6 2 2 13" xfId="30663" xr:uid="{63249E84-3D47-441B-A033-76F81AAFC9D2}"/>
    <cellStyle name="Total 2 6 2 2 14" xfId="32095" xr:uid="{C41632C3-A0D5-40D9-9719-C0293271499B}"/>
    <cellStyle name="Total 2 6 2 2 2" xfId="1148" xr:uid="{00000000-0005-0000-0000-00004E5D0000}"/>
    <cellStyle name="Total 2 6 2 2 2 2" xfId="3284" xr:uid="{00000000-0005-0000-0000-00004F5D0000}"/>
    <cellStyle name="Total 2 6 2 2 2 2 2" xfId="9880" xr:uid="{00000000-0005-0000-0000-0000505D0000}"/>
    <cellStyle name="Total 2 6 2 2 2 2 3" xfId="16499" xr:uid="{00000000-0005-0000-0000-0000515D0000}"/>
    <cellStyle name="Total 2 6 2 2 2 2_Summary" xfId="25148" xr:uid="{00000000-0005-0000-0000-0000525D0000}"/>
    <cellStyle name="Total 2 6 2 2 2 3" xfId="5319" xr:uid="{00000000-0005-0000-0000-0000535D0000}"/>
    <cellStyle name="Total 2 6 2 2 2 3 2" xfId="11915" xr:uid="{00000000-0005-0000-0000-0000545D0000}"/>
    <cellStyle name="Total 2 6 2 2 2 3 3" xfId="18534" xr:uid="{00000000-0005-0000-0000-0000555D0000}"/>
    <cellStyle name="Total 2 6 2 2 2 3_Summary" xfId="25149" xr:uid="{00000000-0005-0000-0000-0000565D0000}"/>
    <cellStyle name="Total 2 6 2 2 2 4" xfId="7744" xr:uid="{00000000-0005-0000-0000-0000575D0000}"/>
    <cellStyle name="Total 2 6 2 2 2 5" xfId="14363" xr:uid="{00000000-0005-0000-0000-0000585D0000}"/>
    <cellStyle name="Total 2 6 2 2 2_Summary" xfId="25147" xr:uid="{00000000-0005-0000-0000-0000595D0000}"/>
    <cellStyle name="Total 2 6 2 2 3" xfId="1430" xr:uid="{00000000-0005-0000-0000-00005A5D0000}"/>
    <cellStyle name="Total 2 6 2 2 3 2" xfId="3566" xr:uid="{00000000-0005-0000-0000-00005B5D0000}"/>
    <cellStyle name="Total 2 6 2 2 3 2 2" xfId="10162" xr:uid="{00000000-0005-0000-0000-00005C5D0000}"/>
    <cellStyle name="Total 2 6 2 2 3 2 3" xfId="16781" xr:uid="{00000000-0005-0000-0000-00005D5D0000}"/>
    <cellStyle name="Total 2 6 2 2 3 2_Summary" xfId="25151" xr:uid="{00000000-0005-0000-0000-00005E5D0000}"/>
    <cellStyle name="Total 2 6 2 2 3 3" xfId="5601" xr:uid="{00000000-0005-0000-0000-00005F5D0000}"/>
    <cellStyle name="Total 2 6 2 2 3 3 2" xfId="12197" xr:uid="{00000000-0005-0000-0000-0000605D0000}"/>
    <cellStyle name="Total 2 6 2 2 3 3 3" xfId="18816" xr:uid="{00000000-0005-0000-0000-0000615D0000}"/>
    <cellStyle name="Total 2 6 2 2 3 3_Summary" xfId="25152" xr:uid="{00000000-0005-0000-0000-0000625D0000}"/>
    <cellStyle name="Total 2 6 2 2 3 4" xfId="8026" xr:uid="{00000000-0005-0000-0000-0000635D0000}"/>
    <cellStyle name="Total 2 6 2 2 3 5" xfId="14645" xr:uid="{00000000-0005-0000-0000-0000645D0000}"/>
    <cellStyle name="Total 2 6 2 2 3_Summary" xfId="25150" xr:uid="{00000000-0005-0000-0000-0000655D0000}"/>
    <cellStyle name="Total 2 6 2 2 4" xfId="1711" xr:uid="{00000000-0005-0000-0000-0000665D0000}"/>
    <cellStyle name="Total 2 6 2 2 4 2" xfId="3847" xr:uid="{00000000-0005-0000-0000-0000675D0000}"/>
    <cellStyle name="Total 2 6 2 2 4 2 2" xfId="10443" xr:uid="{00000000-0005-0000-0000-0000685D0000}"/>
    <cellStyle name="Total 2 6 2 2 4 2 3" xfId="17062" xr:uid="{00000000-0005-0000-0000-0000695D0000}"/>
    <cellStyle name="Total 2 6 2 2 4 2_Summary" xfId="25154" xr:uid="{00000000-0005-0000-0000-00006A5D0000}"/>
    <cellStyle name="Total 2 6 2 2 4 3" xfId="5882" xr:uid="{00000000-0005-0000-0000-00006B5D0000}"/>
    <cellStyle name="Total 2 6 2 2 4 3 2" xfId="12478" xr:uid="{00000000-0005-0000-0000-00006C5D0000}"/>
    <cellStyle name="Total 2 6 2 2 4 3 3" xfId="19097" xr:uid="{00000000-0005-0000-0000-00006D5D0000}"/>
    <cellStyle name="Total 2 6 2 2 4 3_Summary" xfId="25155" xr:uid="{00000000-0005-0000-0000-00006E5D0000}"/>
    <cellStyle name="Total 2 6 2 2 4 4" xfId="8307" xr:uid="{00000000-0005-0000-0000-00006F5D0000}"/>
    <cellStyle name="Total 2 6 2 2 4 5" xfId="14926" xr:uid="{00000000-0005-0000-0000-0000705D0000}"/>
    <cellStyle name="Total 2 6 2 2 4_Summary" xfId="25153" xr:uid="{00000000-0005-0000-0000-0000715D0000}"/>
    <cellStyle name="Total 2 6 2 2 5" xfId="1990" xr:uid="{00000000-0005-0000-0000-0000725D0000}"/>
    <cellStyle name="Total 2 6 2 2 5 2" xfId="4126" xr:uid="{00000000-0005-0000-0000-0000735D0000}"/>
    <cellStyle name="Total 2 6 2 2 5 2 2" xfId="10722" xr:uid="{00000000-0005-0000-0000-0000745D0000}"/>
    <cellStyle name="Total 2 6 2 2 5 2 3" xfId="17341" xr:uid="{00000000-0005-0000-0000-0000755D0000}"/>
    <cellStyle name="Total 2 6 2 2 5 2_Summary" xfId="25157" xr:uid="{00000000-0005-0000-0000-0000765D0000}"/>
    <cellStyle name="Total 2 6 2 2 5 3" xfId="6161" xr:uid="{00000000-0005-0000-0000-0000775D0000}"/>
    <cellStyle name="Total 2 6 2 2 5 3 2" xfId="12757" xr:uid="{00000000-0005-0000-0000-0000785D0000}"/>
    <cellStyle name="Total 2 6 2 2 5 3 3" xfId="19376" xr:uid="{00000000-0005-0000-0000-0000795D0000}"/>
    <cellStyle name="Total 2 6 2 2 5 3_Summary" xfId="25158" xr:uid="{00000000-0005-0000-0000-00007A5D0000}"/>
    <cellStyle name="Total 2 6 2 2 5 4" xfId="8586" xr:uid="{00000000-0005-0000-0000-00007B5D0000}"/>
    <cellStyle name="Total 2 6 2 2 5 5" xfId="15205" xr:uid="{00000000-0005-0000-0000-00007C5D0000}"/>
    <cellStyle name="Total 2 6 2 2 5_Summary" xfId="25156" xr:uid="{00000000-0005-0000-0000-00007D5D0000}"/>
    <cellStyle name="Total 2 6 2 2 6" xfId="2265" xr:uid="{00000000-0005-0000-0000-00007E5D0000}"/>
    <cellStyle name="Total 2 6 2 2 6 2" xfId="4401" xr:uid="{00000000-0005-0000-0000-00007F5D0000}"/>
    <cellStyle name="Total 2 6 2 2 6 2 2" xfId="10997" xr:uid="{00000000-0005-0000-0000-0000805D0000}"/>
    <cellStyle name="Total 2 6 2 2 6 2 3" xfId="17616" xr:uid="{00000000-0005-0000-0000-0000815D0000}"/>
    <cellStyle name="Total 2 6 2 2 6 2_Summary" xfId="25160" xr:uid="{00000000-0005-0000-0000-0000825D0000}"/>
    <cellStyle name="Total 2 6 2 2 6 3" xfId="6436" xr:uid="{00000000-0005-0000-0000-0000835D0000}"/>
    <cellStyle name="Total 2 6 2 2 6 3 2" xfId="13032" xr:uid="{00000000-0005-0000-0000-0000845D0000}"/>
    <cellStyle name="Total 2 6 2 2 6 3 3" xfId="19651" xr:uid="{00000000-0005-0000-0000-0000855D0000}"/>
    <cellStyle name="Total 2 6 2 2 6 3_Summary" xfId="25161" xr:uid="{00000000-0005-0000-0000-0000865D0000}"/>
    <cellStyle name="Total 2 6 2 2 6 4" xfId="8861" xr:uid="{00000000-0005-0000-0000-0000875D0000}"/>
    <cellStyle name="Total 2 6 2 2 6 5" xfId="15480" xr:uid="{00000000-0005-0000-0000-0000885D0000}"/>
    <cellStyle name="Total 2 6 2 2 6_Summary" xfId="25159" xr:uid="{00000000-0005-0000-0000-0000895D0000}"/>
    <cellStyle name="Total 2 6 2 2 7" xfId="2538" xr:uid="{00000000-0005-0000-0000-00008A5D0000}"/>
    <cellStyle name="Total 2 6 2 2 7 2" xfId="4674" xr:uid="{00000000-0005-0000-0000-00008B5D0000}"/>
    <cellStyle name="Total 2 6 2 2 7 2 2" xfId="11270" xr:uid="{00000000-0005-0000-0000-00008C5D0000}"/>
    <cellStyle name="Total 2 6 2 2 7 2 3" xfId="17889" xr:uid="{00000000-0005-0000-0000-00008D5D0000}"/>
    <cellStyle name="Total 2 6 2 2 7 2_Summary" xfId="25163" xr:uid="{00000000-0005-0000-0000-00008E5D0000}"/>
    <cellStyle name="Total 2 6 2 2 7 3" xfId="6709" xr:uid="{00000000-0005-0000-0000-00008F5D0000}"/>
    <cellStyle name="Total 2 6 2 2 7 3 2" xfId="13305" xr:uid="{00000000-0005-0000-0000-0000905D0000}"/>
    <cellStyle name="Total 2 6 2 2 7 3 3" xfId="19924" xr:uid="{00000000-0005-0000-0000-0000915D0000}"/>
    <cellStyle name="Total 2 6 2 2 7 3_Summary" xfId="25164" xr:uid="{00000000-0005-0000-0000-0000925D0000}"/>
    <cellStyle name="Total 2 6 2 2 7 4" xfId="9134" xr:uid="{00000000-0005-0000-0000-0000935D0000}"/>
    <cellStyle name="Total 2 6 2 2 7 5" xfId="15753" xr:uid="{00000000-0005-0000-0000-0000945D0000}"/>
    <cellStyle name="Total 2 6 2 2 7_Summary" xfId="25162" xr:uid="{00000000-0005-0000-0000-0000955D0000}"/>
    <cellStyle name="Total 2 6 2 2 8" xfId="2984" xr:uid="{00000000-0005-0000-0000-0000965D0000}"/>
    <cellStyle name="Total 2 6 2 2 8 2" xfId="9580" xr:uid="{00000000-0005-0000-0000-0000975D0000}"/>
    <cellStyle name="Total 2 6 2 2 8 3" xfId="16199" xr:uid="{00000000-0005-0000-0000-0000985D0000}"/>
    <cellStyle name="Total 2 6 2 2 8_Summary" xfId="25165" xr:uid="{00000000-0005-0000-0000-0000995D0000}"/>
    <cellStyle name="Total 2 6 2 2 9" xfId="5019" xr:uid="{00000000-0005-0000-0000-00009A5D0000}"/>
    <cellStyle name="Total 2 6 2 2 9 2" xfId="11615" xr:uid="{00000000-0005-0000-0000-00009B5D0000}"/>
    <cellStyle name="Total 2 6 2 2 9 3" xfId="18234" xr:uid="{00000000-0005-0000-0000-00009C5D0000}"/>
    <cellStyle name="Total 2 6 2 2 9_Summary" xfId="25166" xr:uid="{00000000-0005-0000-0000-00009D5D0000}"/>
    <cellStyle name="Total 2 6 2 2_Summary" xfId="25145" xr:uid="{00000000-0005-0000-0000-00009E5D0000}"/>
    <cellStyle name="Total 2 6 2 20" xfId="31374" xr:uid="{FA0A3629-2A7E-4D7D-8850-38E5779411AF}"/>
    <cellStyle name="Total 2 6 2 3" xfId="1020" xr:uid="{00000000-0005-0000-0000-00009F5D0000}"/>
    <cellStyle name="Total 2 6 2 3 2" xfId="3156" xr:uid="{00000000-0005-0000-0000-0000A05D0000}"/>
    <cellStyle name="Total 2 6 2 3 2 2" xfId="9752" xr:uid="{00000000-0005-0000-0000-0000A15D0000}"/>
    <cellStyle name="Total 2 6 2 3 2 3" xfId="16371" xr:uid="{00000000-0005-0000-0000-0000A25D0000}"/>
    <cellStyle name="Total 2 6 2 3 2_Summary" xfId="25168" xr:uid="{00000000-0005-0000-0000-0000A35D0000}"/>
    <cellStyle name="Total 2 6 2 3 3" xfId="5191" xr:uid="{00000000-0005-0000-0000-0000A45D0000}"/>
    <cellStyle name="Total 2 6 2 3 3 2" xfId="11787" xr:uid="{00000000-0005-0000-0000-0000A55D0000}"/>
    <cellStyle name="Total 2 6 2 3 3 3" xfId="18406" xr:uid="{00000000-0005-0000-0000-0000A65D0000}"/>
    <cellStyle name="Total 2 6 2 3 3_Summary" xfId="25169" xr:uid="{00000000-0005-0000-0000-0000A75D0000}"/>
    <cellStyle name="Total 2 6 2 3 4" xfId="7617" xr:uid="{00000000-0005-0000-0000-0000A85D0000}"/>
    <cellStyle name="Total 2 6 2 3 5" xfId="14235" xr:uid="{00000000-0005-0000-0000-0000A95D0000}"/>
    <cellStyle name="Total 2 6 2 3_Summary" xfId="25167" xr:uid="{00000000-0005-0000-0000-0000AA5D0000}"/>
    <cellStyle name="Total 2 6 2 4" xfId="1302" xr:uid="{00000000-0005-0000-0000-0000AB5D0000}"/>
    <cellStyle name="Total 2 6 2 4 2" xfId="3438" xr:uid="{00000000-0005-0000-0000-0000AC5D0000}"/>
    <cellStyle name="Total 2 6 2 4 2 2" xfId="10034" xr:uid="{00000000-0005-0000-0000-0000AD5D0000}"/>
    <cellStyle name="Total 2 6 2 4 2 3" xfId="16653" xr:uid="{00000000-0005-0000-0000-0000AE5D0000}"/>
    <cellStyle name="Total 2 6 2 4 2_Summary" xfId="25171" xr:uid="{00000000-0005-0000-0000-0000AF5D0000}"/>
    <cellStyle name="Total 2 6 2 4 3" xfId="5473" xr:uid="{00000000-0005-0000-0000-0000B05D0000}"/>
    <cellStyle name="Total 2 6 2 4 3 2" xfId="12069" xr:uid="{00000000-0005-0000-0000-0000B15D0000}"/>
    <cellStyle name="Total 2 6 2 4 3 3" xfId="18688" xr:uid="{00000000-0005-0000-0000-0000B25D0000}"/>
    <cellStyle name="Total 2 6 2 4 3_Summary" xfId="25172" xr:uid="{00000000-0005-0000-0000-0000B35D0000}"/>
    <cellStyle name="Total 2 6 2 4 4" xfId="7898" xr:uid="{00000000-0005-0000-0000-0000B45D0000}"/>
    <cellStyle name="Total 2 6 2 4 5" xfId="14517" xr:uid="{00000000-0005-0000-0000-0000B55D0000}"/>
    <cellStyle name="Total 2 6 2 4_Summary" xfId="25170" xr:uid="{00000000-0005-0000-0000-0000B65D0000}"/>
    <cellStyle name="Total 2 6 2 5" xfId="1583" xr:uid="{00000000-0005-0000-0000-0000B75D0000}"/>
    <cellStyle name="Total 2 6 2 5 2" xfId="3719" xr:uid="{00000000-0005-0000-0000-0000B85D0000}"/>
    <cellStyle name="Total 2 6 2 5 2 2" xfId="10315" xr:uid="{00000000-0005-0000-0000-0000B95D0000}"/>
    <cellStyle name="Total 2 6 2 5 2 3" xfId="16934" xr:uid="{00000000-0005-0000-0000-0000BA5D0000}"/>
    <cellStyle name="Total 2 6 2 5 2_Summary" xfId="25174" xr:uid="{00000000-0005-0000-0000-0000BB5D0000}"/>
    <cellStyle name="Total 2 6 2 5 3" xfId="5754" xr:uid="{00000000-0005-0000-0000-0000BC5D0000}"/>
    <cellStyle name="Total 2 6 2 5 3 2" xfId="12350" xr:uid="{00000000-0005-0000-0000-0000BD5D0000}"/>
    <cellStyle name="Total 2 6 2 5 3 3" xfId="18969" xr:uid="{00000000-0005-0000-0000-0000BE5D0000}"/>
    <cellStyle name="Total 2 6 2 5 3_Summary" xfId="25175" xr:uid="{00000000-0005-0000-0000-0000BF5D0000}"/>
    <cellStyle name="Total 2 6 2 5 4" xfId="8179" xr:uid="{00000000-0005-0000-0000-0000C05D0000}"/>
    <cellStyle name="Total 2 6 2 5 5" xfId="14798" xr:uid="{00000000-0005-0000-0000-0000C15D0000}"/>
    <cellStyle name="Total 2 6 2 5_Summary" xfId="25173" xr:uid="{00000000-0005-0000-0000-0000C25D0000}"/>
    <cellStyle name="Total 2 6 2 6" xfId="1862" xr:uid="{00000000-0005-0000-0000-0000C35D0000}"/>
    <cellStyle name="Total 2 6 2 6 2" xfId="3998" xr:uid="{00000000-0005-0000-0000-0000C45D0000}"/>
    <cellStyle name="Total 2 6 2 6 2 2" xfId="10594" xr:uid="{00000000-0005-0000-0000-0000C55D0000}"/>
    <cellStyle name="Total 2 6 2 6 2 3" xfId="17213" xr:uid="{00000000-0005-0000-0000-0000C65D0000}"/>
    <cellStyle name="Total 2 6 2 6 2_Summary" xfId="25177" xr:uid="{00000000-0005-0000-0000-0000C75D0000}"/>
    <cellStyle name="Total 2 6 2 6 3" xfId="6033" xr:uid="{00000000-0005-0000-0000-0000C85D0000}"/>
    <cellStyle name="Total 2 6 2 6 3 2" xfId="12629" xr:uid="{00000000-0005-0000-0000-0000C95D0000}"/>
    <cellStyle name="Total 2 6 2 6 3 3" xfId="19248" xr:uid="{00000000-0005-0000-0000-0000CA5D0000}"/>
    <cellStyle name="Total 2 6 2 6 3_Summary" xfId="25178" xr:uid="{00000000-0005-0000-0000-0000CB5D0000}"/>
    <cellStyle name="Total 2 6 2 6 4" xfId="8458" xr:uid="{00000000-0005-0000-0000-0000CC5D0000}"/>
    <cellStyle name="Total 2 6 2 6 5" xfId="15077" xr:uid="{00000000-0005-0000-0000-0000CD5D0000}"/>
    <cellStyle name="Total 2 6 2 6_Summary" xfId="25176" xr:uid="{00000000-0005-0000-0000-0000CE5D0000}"/>
    <cellStyle name="Total 2 6 2 7" xfId="2137" xr:uid="{00000000-0005-0000-0000-0000CF5D0000}"/>
    <cellStyle name="Total 2 6 2 7 2" xfId="4273" xr:uid="{00000000-0005-0000-0000-0000D05D0000}"/>
    <cellStyle name="Total 2 6 2 7 2 2" xfId="10869" xr:uid="{00000000-0005-0000-0000-0000D15D0000}"/>
    <cellStyle name="Total 2 6 2 7 2 3" xfId="17488" xr:uid="{00000000-0005-0000-0000-0000D25D0000}"/>
    <cellStyle name="Total 2 6 2 7 2_Summary" xfId="25180" xr:uid="{00000000-0005-0000-0000-0000D35D0000}"/>
    <cellStyle name="Total 2 6 2 7 3" xfId="6308" xr:uid="{00000000-0005-0000-0000-0000D45D0000}"/>
    <cellStyle name="Total 2 6 2 7 3 2" xfId="12904" xr:uid="{00000000-0005-0000-0000-0000D55D0000}"/>
    <cellStyle name="Total 2 6 2 7 3 3" xfId="19523" xr:uid="{00000000-0005-0000-0000-0000D65D0000}"/>
    <cellStyle name="Total 2 6 2 7 3_Summary" xfId="25181" xr:uid="{00000000-0005-0000-0000-0000D75D0000}"/>
    <cellStyle name="Total 2 6 2 7 4" xfId="8733" xr:uid="{00000000-0005-0000-0000-0000D85D0000}"/>
    <cellStyle name="Total 2 6 2 7 5" xfId="15352" xr:uid="{00000000-0005-0000-0000-0000D95D0000}"/>
    <cellStyle name="Total 2 6 2 7_Summary" xfId="25179" xr:uid="{00000000-0005-0000-0000-0000DA5D0000}"/>
    <cellStyle name="Total 2 6 2 8" xfId="2410" xr:uid="{00000000-0005-0000-0000-0000DB5D0000}"/>
    <cellStyle name="Total 2 6 2 8 2" xfId="4546" xr:uid="{00000000-0005-0000-0000-0000DC5D0000}"/>
    <cellStyle name="Total 2 6 2 8 2 2" xfId="11142" xr:uid="{00000000-0005-0000-0000-0000DD5D0000}"/>
    <cellStyle name="Total 2 6 2 8 2 3" xfId="17761" xr:uid="{00000000-0005-0000-0000-0000DE5D0000}"/>
    <cellStyle name="Total 2 6 2 8 2_Summary" xfId="25183" xr:uid="{00000000-0005-0000-0000-0000DF5D0000}"/>
    <cellStyle name="Total 2 6 2 8 3" xfId="6581" xr:uid="{00000000-0005-0000-0000-0000E05D0000}"/>
    <cellStyle name="Total 2 6 2 8 3 2" xfId="13177" xr:uid="{00000000-0005-0000-0000-0000E15D0000}"/>
    <cellStyle name="Total 2 6 2 8 3 3" xfId="19796" xr:uid="{00000000-0005-0000-0000-0000E25D0000}"/>
    <cellStyle name="Total 2 6 2 8 3_Summary" xfId="25184" xr:uid="{00000000-0005-0000-0000-0000E35D0000}"/>
    <cellStyle name="Total 2 6 2 8 4" xfId="9006" xr:uid="{00000000-0005-0000-0000-0000E45D0000}"/>
    <cellStyle name="Total 2 6 2 8 5" xfId="15625" xr:uid="{00000000-0005-0000-0000-0000E55D0000}"/>
    <cellStyle name="Total 2 6 2 8_Summary" xfId="25182" xr:uid="{00000000-0005-0000-0000-0000E65D0000}"/>
    <cellStyle name="Total 2 6 2 9" xfId="2711" xr:uid="{00000000-0005-0000-0000-0000E75D0000}"/>
    <cellStyle name="Total 2 6 2 9 2" xfId="9307" xr:uid="{00000000-0005-0000-0000-0000E85D0000}"/>
    <cellStyle name="Total 2 6 2 9 3" xfId="15926" xr:uid="{00000000-0005-0000-0000-0000E95D0000}"/>
    <cellStyle name="Total 2 6 2 9_Summary" xfId="25185" xr:uid="{00000000-0005-0000-0000-0000EA5D0000}"/>
    <cellStyle name="Total 2 6 2_Summary" xfId="25142" xr:uid="{00000000-0005-0000-0000-0000EB5D0000}"/>
    <cellStyle name="Total 2 6 20" xfId="26619" xr:uid="{7D954BDE-B49A-4539-B789-BC00EB235481}"/>
    <cellStyle name="Total 2 6 21" xfId="29901" xr:uid="{30832F1C-2B26-44EA-BDD6-076473352384}"/>
    <cellStyle name="Total 2 6 22" xfId="31373" xr:uid="{F0EA4DCC-6280-4226-A269-B0C777E23AF3}"/>
    <cellStyle name="Total 2 6 3" xfId="239" xr:uid="{00000000-0005-0000-0000-0000EC5D0000}"/>
    <cellStyle name="Total 2 6 3 10" xfId="776" xr:uid="{00000000-0005-0000-0000-0000ED5D0000}"/>
    <cellStyle name="Total 2 6 3 10 2" xfId="13991" xr:uid="{00000000-0005-0000-0000-0000EE5D0000}"/>
    <cellStyle name="Total 2 6 3 10_Summary" xfId="25187" xr:uid="{00000000-0005-0000-0000-0000EF5D0000}"/>
    <cellStyle name="Total 2 6 3 11" xfId="7146" xr:uid="{00000000-0005-0000-0000-0000F05D0000}"/>
    <cellStyle name="Total 2 6 3 12" xfId="7009" xr:uid="{00000000-0005-0000-0000-0000F15D0000}"/>
    <cellStyle name="Total 2 6 3 13" xfId="29903" xr:uid="{CC32AF53-3B4D-4D33-8FEA-575A6DDE1B81}"/>
    <cellStyle name="Total 2 6 3 14" xfId="31375" xr:uid="{D3311D1B-C14D-491E-AA22-DF1A90A96CAD}"/>
    <cellStyle name="Total 2 6 3 2" xfId="944" xr:uid="{00000000-0005-0000-0000-0000F25D0000}"/>
    <cellStyle name="Total 2 6 3 2 2" xfId="3080" xr:uid="{00000000-0005-0000-0000-0000F35D0000}"/>
    <cellStyle name="Total 2 6 3 2 2 2" xfId="9676" xr:uid="{00000000-0005-0000-0000-0000F45D0000}"/>
    <cellStyle name="Total 2 6 3 2 2 3" xfId="16295" xr:uid="{00000000-0005-0000-0000-0000F55D0000}"/>
    <cellStyle name="Total 2 6 3 2 2_Summary" xfId="25189" xr:uid="{00000000-0005-0000-0000-0000F65D0000}"/>
    <cellStyle name="Total 2 6 3 2 3" xfId="5115" xr:uid="{00000000-0005-0000-0000-0000F75D0000}"/>
    <cellStyle name="Total 2 6 3 2 3 2" xfId="11711" xr:uid="{00000000-0005-0000-0000-0000F85D0000}"/>
    <cellStyle name="Total 2 6 3 2 3 3" xfId="18330" xr:uid="{00000000-0005-0000-0000-0000F95D0000}"/>
    <cellStyle name="Total 2 6 3 2 3_Summary" xfId="25190" xr:uid="{00000000-0005-0000-0000-0000FA5D0000}"/>
    <cellStyle name="Total 2 6 3 2 4" xfId="7541" xr:uid="{00000000-0005-0000-0000-0000FB5D0000}"/>
    <cellStyle name="Total 2 6 3 2 5" xfId="14159" xr:uid="{00000000-0005-0000-0000-0000FC5D0000}"/>
    <cellStyle name="Total 2 6 3 2 6" xfId="30664" xr:uid="{69AB8246-AF0D-44CA-953D-B55667523521}"/>
    <cellStyle name="Total 2 6 3 2 7" xfId="32096" xr:uid="{3635B86A-2545-49CA-B9EC-6824F468271F}"/>
    <cellStyle name="Total 2 6 3 2_Summary" xfId="25188" xr:uid="{00000000-0005-0000-0000-0000FD5D0000}"/>
    <cellStyle name="Total 2 6 3 3" xfId="1229" xr:uid="{00000000-0005-0000-0000-0000FE5D0000}"/>
    <cellStyle name="Total 2 6 3 3 2" xfId="3365" xr:uid="{00000000-0005-0000-0000-0000FF5D0000}"/>
    <cellStyle name="Total 2 6 3 3 2 2" xfId="9961" xr:uid="{00000000-0005-0000-0000-0000005E0000}"/>
    <cellStyle name="Total 2 6 3 3 2 3" xfId="16580" xr:uid="{00000000-0005-0000-0000-0000015E0000}"/>
    <cellStyle name="Total 2 6 3 3 2_Summary" xfId="25192" xr:uid="{00000000-0005-0000-0000-0000025E0000}"/>
    <cellStyle name="Total 2 6 3 3 3" xfId="5400" xr:uid="{00000000-0005-0000-0000-0000035E0000}"/>
    <cellStyle name="Total 2 6 3 3 3 2" xfId="11996" xr:uid="{00000000-0005-0000-0000-0000045E0000}"/>
    <cellStyle name="Total 2 6 3 3 3 3" xfId="18615" xr:uid="{00000000-0005-0000-0000-0000055E0000}"/>
    <cellStyle name="Total 2 6 3 3 3_Summary" xfId="25193" xr:uid="{00000000-0005-0000-0000-0000065E0000}"/>
    <cellStyle name="Total 2 6 3 3 4" xfId="7825" xr:uid="{00000000-0005-0000-0000-0000075E0000}"/>
    <cellStyle name="Total 2 6 3 3 5" xfId="14444" xr:uid="{00000000-0005-0000-0000-0000085E0000}"/>
    <cellStyle name="Total 2 6 3 3_Summary" xfId="25191" xr:uid="{00000000-0005-0000-0000-0000095E0000}"/>
    <cellStyle name="Total 2 6 3 4" xfId="1511" xr:uid="{00000000-0005-0000-0000-00000A5E0000}"/>
    <cellStyle name="Total 2 6 3 4 2" xfId="3647" xr:uid="{00000000-0005-0000-0000-00000B5E0000}"/>
    <cellStyle name="Total 2 6 3 4 2 2" xfId="10243" xr:uid="{00000000-0005-0000-0000-00000C5E0000}"/>
    <cellStyle name="Total 2 6 3 4 2 3" xfId="16862" xr:uid="{00000000-0005-0000-0000-00000D5E0000}"/>
    <cellStyle name="Total 2 6 3 4 2_Summary" xfId="25195" xr:uid="{00000000-0005-0000-0000-00000E5E0000}"/>
    <cellStyle name="Total 2 6 3 4 3" xfId="5682" xr:uid="{00000000-0005-0000-0000-00000F5E0000}"/>
    <cellStyle name="Total 2 6 3 4 3 2" xfId="12278" xr:uid="{00000000-0005-0000-0000-0000105E0000}"/>
    <cellStyle name="Total 2 6 3 4 3 3" xfId="18897" xr:uid="{00000000-0005-0000-0000-0000115E0000}"/>
    <cellStyle name="Total 2 6 3 4 3_Summary" xfId="25196" xr:uid="{00000000-0005-0000-0000-0000125E0000}"/>
    <cellStyle name="Total 2 6 3 4 4" xfId="8107" xr:uid="{00000000-0005-0000-0000-0000135E0000}"/>
    <cellStyle name="Total 2 6 3 4 5" xfId="14726" xr:uid="{00000000-0005-0000-0000-0000145E0000}"/>
    <cellStyle name="Total 2 6 3 4_Summary" xfId="25194" xr:uid="{00000000-0005-0000-0000-0000155E0000}"/>
    <cellStyle name="Total 2 6 3 5" xfId="1792" xr:uid="{00000000-0005-0000-0000-0000165E0000}"/>
    <cellStyle name="Total 2 6 3 5 2" xfId="3928" xr:uid="{00000000-0005-0000-0000-0000175E0000}"/>
    <cellStyle name="Total 2 6 3 5 2 2" xfId="10524" xr:uid="{00000000-0005-0000-0000-0000185E0000}"/>
    <cellStyle name="Total 2 6 3 5 2 3" xfId="17143" xr:uid="{00000000-0005-0000-0000-0000195E0000}"/>
    <cellStyle name="Total 2 6 3 5 2_Summary" xfId="25198" xr:uid="{00000000-0005-0000-0000-00001A5E0000}"/>
    <cellStyle name="Total 2 6 3 5 3" xfId="5963" xr:uid="{00000000-0005-0000-0000-00001B5E0000}"/>
    <cellStyle name="Total 2 6 3 5 3 2" xfId="12559" xr:uid="{00000000-0005-0000-0000-00001C5E0000}"/>
    <cellStyle name="Total 2 6 3 5 3 3" xfId="19178" xr:uid="{00000000-0005-0000-0000-00001D5E0000}"/>
    <cellStyle name="Total 2 6 3 5 3_Summary" xfId="25199" xr:uid="{00000000-0005-0000-0000-00001E5E0000}"/>
    <cellStyle name="Total 2 6 3 5 4" xfId="8388" xr:uid="{00000000-0005-0000-0000-00001F5E0000}"/>
    <cellStyle name="Total 2 6 3 5 5" xfId="15007" xr:uid="{00000000-0005-0000-0000-0000205E0000}"/>
    <cellStyle name="Total 2 6 3 5_Summary" xfId="25197" xr:uid="{00000000-0005-0000-0000-0000215E0000}"/>
    <cellStyle name="Total 2 6 3 6" xfId="2071" xr:uid="{00000000-0005-0000-0000-0000225E0000}"/>
    <cellStyle name="Total 2 6 3 6 2" xfId="4207" xr:uid="{00000000-0005-0000-0000-0000235E0000}"/>
    <cellStyle name="Total 2 6 3 6 2 2" xfId="10803" xr:uid="{00000000-0005-0000-0000-0000245E0000}"/>
    <cellStyle name="Total 2 6 3 6 2 3" xfId="17422" xr:uid="{00000000-0005-0000-0000-0000255E0000}"/>
    <cellStyle name="Total 2 6 3 6 2_Summary" xfId="25201" xr:uid="{00000000-0005-0000-0000-0000265E0000}"/>
    <cellStyle name="Total 2 6 3 6 3" xfId="6242" xr:uid="{00000000-0005-0000-0000-0000275E0000}"/>
    <cellStyle name="Total 2 6 3 6 3 2" xfId="12838" xr:uid="{00000000-0005-0000-0000-0000285E0000}"/>
    <cellStyle name="Total 2 6 3 6 3 3" xfId="19457" xr:uid="{00000000-0005-0000-0000-0000295E0000}"/>
    <cellStyle name="Total 2 6 3 6 3_Summary" xfId="25202" xr:uid="{00000000-0005-0000-0000-00002A5E0000}"/>
    <cellStyle name="Total 2 6 3 6 4" xfId="8667" xr:uid="{00000000-0005-0000-0000-00002B5E0000}"/>
    <cellStyle name="Total 2 6 3 6 5" xfId="15286" xr:uid="{00000000-0005-0000-0000-00002C5E0000}"/>
    <cellStyle name="Total 2 6 3 6_Summary" xfId="25200" xr:uid="{00000000-0005-0000-0000-00002D5E0000}"/>
    <cellStyle name="Total 2 6 3 7" xfId="2346" xr:uid="{00000000-0005-0000-0000-00002E5E0000}"/>
    <cellStyle name="Total 2 6 3 7 2" xfId="4482" xr:uid="{00000000-0005-0000-0000-00002F5E0000}"/>
    <cellStyle name="Total 2 6 3 7 2 2" xfId="11078" xr:uid="{00000000-0005-0000-0000-0000305E0000}"/>
    <cellStyle name="Total 2 6 3 7 2 3" xfId="17697" xr:uid="{00000000-0005-0000-0000-0000315E0000}"/>
    <cellStyle name="Total 2 6 3 7 2_Summary" xfId="25204" xr:uid="{00000000-0005-0000-0000-0000325E0000}"/>
    <cellStyle name="Total 2 6 3 7 3" xfId="6517" xr:uid="{00000000-0005-0000-0000-0000335E0000}"/>
    <cellStyle name="Total 2 6 3 7 3 2" xfId="13113" xr:uid="{00000000-0005-0000-0000-0000345E0000}"/>
    <cellStyle name="Total 2 6 3 7 3 3" xfId="19732" xr:uid="{00000000-0005-0000-0000-0000355E0000}"/>
    <cellStyle name="Total 2 6 3 7 3_Summary" xfId="25205" xr:uid="{00000000-0005-0000-0000-0000365E0000}"/>
    <cellStyle name="Total 2 6 3 7 4" xfId="8942" xr:uid="{00000000-0005-0000-0000-0000375E0000}"/>
    <cellStyle name="Total 2 6 3 7 5" xfId="15561" xr:uid="{00000000-0005-0000-0000-0000385E0000}"/>
    <cellStyle name="Total 2 6 3 7_Summary" xfId="25203" xr:uid="{00000000-0005-0000-0000-0000395E0000}"/>
    <cellStyle name="Total 2 6 3 8" xfId="2912" xr:uid="{00000000-0005-0000-0000-00003A5E0000}"/>
    <cellStyle name="Total 2 6 3 8 2" xfId="9508" xr:uid="{00000000-0005-0000-0000-00003B5E0000}"/>
    <cellStyle name="Total 2 6 3 8 3" xfId="16127" xr:uid="{00000000-0005-0000-0000-00003C5E0000}"/>
    <cellStyle name="Total 2 6 3 8_Summary" xfId="25206" xr:uid="{00000000-0005-0000-0000-00003D5E0000}"/>
    <cellStyle name="Total 2 6 3 9" xfId="4947" xr:uid="{00000000-0005-0000-0000-00003E5E0000}"/>
    <cellStyle name="Total 2 6 3 9 2" xfId="11543" xr:uid="{00000000-0005-0000-0000-00003F5E0000}"/>
    <cellStyle name="Total 2 6 3 9 3" xfId="18162" xr:uid="{00000000-0005-0000-0000-0000405E0000}"/>
    <cellStyle name="Total 2 6 3 9_Summary" xfId="25207" xr:uid="{00000000-0005-0000-0000-0000415E0000}"/>
    <cellStyle name="Total 2 6 3_Summary" xfId="25186" xr:uid="{00000000-0005-0000-0000-0000425E0000}"/>
    <cellStyle name="Total 2 6 4" xfId="393" xr:uid="{00000000-0005-0000-0000-0000435E0000}"/>
    <cellStyle name="Total 2 6 4 10" xfId="730" xr:uid="{00000000-0005-0000-0000-0000445E0000}"/>
    <cellStyle name="Total 2 6 4 10 2" xfId="13945" xr:uid="{00000000-0005-0000-0000-0000455E0000}"/>
    <cellStyle name="Total 2 6 4 10_Summary" xfId="25209" xr:uid="{00000000-0005-0000-0000-0000465E0000}"/>
    <cellStyle name="Total 2 6 4 11" xfId="7286" xr:uid="{00000000-0005-0000-0000-0000475E0000}"/>
    <cellStyle name="Total 2 6 4 12" xfId="13608" xr:uid="{00000000-0005-0000-0000-0000485E0000}"/>
    <cellStyle name="Total 2 6 4 13" xfId="29904" xr:uid="{61B13239-4853-42C2-B60C-6668469F8C47}"/>
    <cellStyle name="Total 2 6 4 14" xfId="31376" xr:uid="{AED2431D-05EC-4AEF-A203-2CC1FAECBB61}"/>
    <cellStyle name="Total 2 6 4 2" xfId="1087" xr:uid="{00000000-0005-0000-0000-0000495E0000}"/>
    <cellStyle name="Total 2 6 4 2 2" xfId="3223" xr:uid="{00000000-0005-0000-0000-00004A5E0000}"/>
    <cellStyle name="Total 2 6 4 2 2 2" xfId="9819" xr:uid="{00000000-0005-0000-0000-00004B5E0000}"/>
    <cellStyle name="Total 2 6 4 2 2 3" xfId="16438" xr:uid="{00000000-0005-0000-0000-00004C5E0000}"/>
    <cellStyle name="Total 2 6 4 2 2_Summary" xfId="25211" xr:uid="{00000000-0005-0000-0000-00004D5E0000}"/>
    <cellStyle name="Total 2 6 4 2 3" xfId="5258" xr:uid="{00000000-0005-0000-0000-00004E5E0000}"/>
    <cellStyle name="Total 2 6 4 2 3 2" xfId="11854" xr:uid="{00000000-0005-0000-0000-00004F5E0000}"/>
    <cellStyle name="Total 2 6 4 2 3 3" xfId="18473" xr:uid="{00000000-0005-0000-0000-0000505E0000}"/>
    <cellStyle name="Total 2 6 4 2 3_Summary" xfId="25212" xr:uid="{00000000-0005-0000-0000-0000515E0000}"/>
    <cellStyle name="Total 2 6 4 2 4" xfId="7684" xr:uid="{00000000-0005-0000-0000-0000525E0000}"/>
    <cellStyle name="Total 2 6 4 2 5" xfId="14302" xr:uid="{00000000-0005-0000-0000-0000535E0000}"/>
    <cellStyle name="Total 2 6 4 2 6" xfId="30665" xr:uid="{65D13F1A-F411-481D-B76A-249501F21EE1}"/>
    <cellStyle name="Total 2 6 4 2 7" xfId="32097" xr:uid="{4385DBF0-2C36-4C6A-AA04-018663487802}"/>
    <cellStyle name="Total 2 6 4 2_Summary" xfId="25210" xr:uid="{00000000-0005-0000-0000-0000545E0000}"/>
    <cellStyle name="Total 2 6 4 3" xfId="1369" xr:uid="{00000000-0005-0000-0000-0000555E0000}"/>
    <cellStyle name="Total 2 6 4 3 2" xfId="3505" xr:uid="{00000000-0005-0000-0000-0000565E0000}"/>
    <cellStyle name="Total 2 6 4 3 2 2" xfId="10101" xr:uid="{00000000-0005-0000-0000-0000575E0000}"/>
    <cellStyle name="Total 2 6 4 3 2 3" xfId="16720" xr:uid="{00000000-0005-0000-0000-0000585E0000}"/>
    <cellStyle name="Total 2 6 4 3 2_Summary" xfId="25214" xr:uid="{00000000-0005-0000-0000-0000595E0000}"/>
    <cellStyle name="Total 2 6 4 3 3" xfId="5540" xr:uid="{00000000-0005-0000-0000-00005A5E0000}"/>
    <cellStyle name="Total 2 6 4 3 3 2" xfId="12136" xr:uid="{00000000-0005-0000-0000-00005B5E0000}"/>
    <cellStyle name="Total 2 6 4 3 3 3" xfId="18755" xr:uid="{00000000-0005-0000-0000-00005C5E0000}"/>
    <cellStyle name="Total 2 6 4 3 3_Summary" xfId="25215" xr:uid="{00000000-0005-0000-0000-00005D5E0000}"/>
    <cellStyle name="Total 2 6 4 3 4" xfId="7965" xr:uid="{00000000-0005-0000-0000-00005E5E0000}"/>
    <cellStyle name="Total 2 6 4 3 5" xfId="14584" xr:uid="{00000000-0005-0000-0000-00005F5E0000}"/>
    <cellStyle name="Total 2 6 4 3_Summary" xfId="25213" xr:uid="{00000000-0005-0000-0000-0000605E0000}"/>
    <cellStyle name="Total 2 6 4 4" xfId="1650" xr:uid="{00000000-0005-0000-0000-0000615E0000}"/>
    <cellStyle name="Total 2 6 4 4 2" xfId="3786" xr:uid="{00000000-0005-0000-0000-0000625E0000}"/>
    <cellStyle name="Total 2 6 4 4 2 2" xfId="10382" xr:uid="{00000000-0005-0000-0000-0000635E0000}"/>
    <cellStyle name="Total 2 6 4 4 2 3" xfId="17001" xr:uid="{00000000-0005-0000-0000-0000645E0000}"/>
    <cellStyle name="Total 2 6 4 4 2_Summary" xfId="25217" xr:uid="{00000000-0005-0000-0000-0000655E0000}"/>
    <cellStyle name="Total 2 6 4 4 3" xfId="5821" xr:uid="{00000000-0005-0000-0000-0000665E0000}"/>
    <cellStyle name="Total 2 6 4 4 3 2" xfId="12417" xr:uid="{00000000-0005-0000-0000-0000675E0000}"/>
    <cellStyle name="Total 2 6 4 4 3 3" xfId="19036" xr:uid="{00000000-0005-0000-0000-0000685E0000}"/>
    <cellStyle name="Total 2 6 4 4 3_Summary" xfId="25218" xr:uid="{00000000-0005-0000-0000-0000695E0000}"/>
    <cellStyle name="Total 2 6 4 4 4" xfId="8246" xr:uid="{00000000-0005-0000-0000-00006A5E0000}"/>
    <cellStyle name="Total 2 6 4 4 5" xfId="14865" xr:uid="{00000000-0005-0000-0000-00006B5E0000}"/>
    <cellStyle name="Total 2 6 4 4_Summary" xfId="25216" xr:uid="{00000000-0005-0000-0000-00006C5E0000}"/>
    <cellStyle name="Total 2 6 4 5" xfId="1929" xr:uid="{00000000-0005-0000-0000-00006D5E0000}"/>
    <cellStyle name="Total 2 6 4 5 2" xfId="4065" xr:uid="{00000000-0005-0000-0000-00006E5E0000}"/>
    <cellStyle name="Total 2 6 4 5 2 2" xfId="10661" xr:uid="{00000000-0005-0000-0000-00006F5E0000}"/>
    <cellStyle name="Total 2 6 4 5 2 3" xfId="17280" xr:uid="{00000000-0005-0000-0000-0000705E0000}"/>
    <cellStyle name="Total 2 6 4 5 2_Summary" xfId="25220" xr:uid="{00000000-0005-0000-0000-0000715E0000}"/>
    <cellStyle name="Total 2 6 4 5 3" xfId="6100" xr:uid="{00000000-0005-0000-0000-0000725E0000}"/>
    <cellStyle name="Total 2 6 4 5 3 2" xfId="12696" xr:uid="{00000000-0005-0000-0000-0000735E0000}"/>
    <cellStyle name="Total 2 6 4 5 3 3" xfId="19315" xr:uid="{00000000-0005-0000-0000-0000745E0000}"/>
    <cellStyle name="Total 2 6 4 5 3_Summary" xfId="25221" xr:uid="{00000000-0005-0000-0000-0000755E0000}"/>
    <cellStyle name="Total 2 6 4 5 4" xfId="8525" xr:uid="{00000000-0005-0000-0000-0000765E0000}"/>
    <cellStyle name="Total 2 6 4 5 5" xfId="15144" xr:uid="{00000000-0005-0000-0000-0000775E0000}"/>
    <cellStyle name="Total 2 6 4 5_Summary" xfId="25219" xr:uid="{00000000-0005-0000-0000-0000785E0000}"/>
    <cellStyle name="Total 2 6 4 6" xfId="2204" xr:uid="{00000000-0005-0000-0000-0000795E0000}"/>
    <cellStyle name="Total 2 6 4 6 2" xfId="4340" xr:uid="{00000000-0005-0000-0000-00007A5E0000}"/>
    <cellStyle name="Total 2 6 4 6 2 2" xfId="10936" xr:uid="{00000000-0005-0000-0000-00007B5E0000}"/>
    <cellStyle name="Total 2 6 4 6 2 3" xfId="17555" xr:uid="{00000000-0005-0000-0000-00007C5E0000}"/>
    <cellStyle name="Total 2 6 4 6 2_Summary" xfId="25223" xr:uid="{00000000-0005-0000-0000-00007D5E0000}"/>
    <cellStyle name="Total 2 6 4 6 3" xfId="6375" xr:uid="{00000000-0005-0000-0000-00007E5E0000}"/>
    <cellStyle name="Total 2 6 4 6 3 2" xfId="12971" xr:uid="{00000000-0005-0000-0000-00007F5E0000}"/>
    <cellStyle name="Total 2 6 4 6 3 3" xfId="19590" xr:uid="{00000000-0005-0000-0000-0000805E0000}"/>
    <cellStyle name="Total 2 6 4 6 3_Summary" xfId="25224" xr:uid="{00000000-0005-0000-0000-0000815E0000}"/>
    <cellStyle name="Total 2 6 4 6 4" xfId="8800" xr:uid="{00000000-0005-0000-0000-0000825E0000}"/>
    <cellStyle name="Total 2 6 4 6 5" xfId="15419" xr:uid="{00000000-0005-0000-0000-0000835E0000}"/>
    <cellStyle name="Total 2 6 4 6_Summary" xfId="25222" xr:uid="{00000000-0005-0000-0000-0000845E0000}"/>
    <cellStyle name="Total 2 6 4 7" xfId="2477" xr:uid="{00000000-0005-0000-0000-0000855E0000}"/>
    <cellStyle name="Total 2 6 4 7 2" xfId="4613" xr:uid="{00000000-0005-0000-0000-0000865E0000}"/>
    <cellStyle name="Total 2 6 4 7 2 2" xfId="11209" xr:uid="{00000000-0005-0000-0000-0000875E0000}"/>
    <cellStyle name="Total 2 6 4 7 2 3" xfId="17828" xr:uid="{00000000-0005-0000-0000-0000885E0000}"/>
    <cellStyle name="Total 2 6 4 7 2_Summary" xfId="25226" xr:uid="{00000000-0005-0000-0000-0000895E0000}"/>
    <cellStyle name="Total 2 6 4 7 3" xfId="6648" xr:uid="{00000000-0005-0000-0000-00008A5E0000}"/>
    <cellStyle name="Total 2 6 4 7 3 2" xfId="13244" xr:uid="{00000000-0005-0000-0000-00008B5E0000}"/>
    <cellStyle name="Total 2 6 4 7 3 3" xfId="19863" xr:uid="{00000000-0005-0000-0000-00008C5E0000}"/>
    <cellStyle name="Total 2 6 4 7 3_Summary" xfId="25227" xr:uid="{00000000-0005-0000-0000-00008D5E0000}"/>
    <cellStyle name="Total 2 6 4 7 4" xfId="9073" xr:uid="{00000000-0005-0000-0000-00008E5E0000}"/>
    <cellStyle name="Total 2 6 4 7 5" xfId="15692" xr:uid="{00000000-0005-0000-0000-00008F5E0000}"/>
    <cellStyle name="Total 2 6 4 7_Summary" xfId="25225" xr:uid="{00000000-0005-0000-0000-0000905E0000}"/>
    <cellStyle name="Total 2 6 4 8" xfId="2866" xr:uid="{00000000-0005-0000-0000-0000915E0000}"/>
    <cellStyle name="Total 2 6 4 8 2" xfId="9462" xr:uid="{00000000-0005-0000-0000-0000925E0000}"/>
    <cellStyle name="Total 2 6 4 8 3" xfId="16081" xr:uid="{00000000-0005-0000-0000-0000935E0000}"/>
    <cellStyle name="Total 2 6 4 8_Summary" xfId="25228" xr:uid="{00000000-0005-0000-0000-0000945E0000}"/>
    <cellStyle name="Total 2 6 4 9" xfId="4901" xr:uid="{00000000-0005-0000-0000-0000955E0000}"/>
    <cellStyle name="Total 2 6 4 9 2" xfId="11497" xr:uid="{00000000-0005-0000-0000-0000965E0000}"/>
    <cellStyle name="Total 2 6 4 9 3" xfId="18116" xr:uid="{00000000-0005-0000-0000-0000975E0000}"/>
    <cellStyle name="Total 2 6 4 9_Summary" xfId="25229" xr:uid="{00000000-0005-0000-0000-0000985E0000}"/>
    <cellStyle name="Total 2 6 4_Summary" xfId="25208" xr:uid="{00000000-0005-0000-0000-0000995E0000}"/>
    <cellStyle name="Total 2 6 5" xfId="900" xr:uid="{00000000-0005-0000-0000-00009A5E0000}"/>
    <cellStyle name="Total 2 6 5 2" xfId="3036" xr:uid="{00000000-0005-0000-0000-00009B5E0000}"/>
    <cellStyle name="Total 2 6 5 2 2" xfId="9632" xr:uid="{00000000-0005-0000-0000-00009C5E0000}"/>
    <cellStyle name="Total 2 6 5 2 3" xfId="16251" xr:uid="{00000000-0005-0000-0000-00009D5E0000}"/>
    <cellStyle name="Total 2 6 5 2_Summary" xfId="25231" xr:uid="{00000000-0005-0000-0000-00009E5E0000}"/>
    <cellStyle name="Total 2 6 5 3" xfId="5071" xr:uid="{00000000-0005-0000-0000-00009F5E0000}"/>
    <cellStyle name="Total 2 6 5 3 2" xfId="11667" xr:uid="{00000000-0005-0000-0000-0000A05E0000}"/>
    <cellStyle name="Total 2 6 5 3 3" xfId="18286" xr:uid="{00000000-0005-0000-0000-0000A15E0000}"/>
    <cellStyle name="Total 2 6 5 3_Summary" xfId="25232" xr:uid="{00000000-0005-0000-0000-0000A25E0000}"/>
    <cellStyle name="Total 2 6 5 4" xfId="7497" xr:uid="{00000000-0005-0000-0000-0000A35E0000}"/>
    <cellStyle name="Total 2 6 5 5" xfId="14115" xr:uid="{00000000-0005-0000-0000-0000A45E0000}"/>
    <cellStyle name="Total 2 6 5 6" xfId="30662" xr:uid="{6B2527EA-957F-4D7B-9AED-A653CDADDD4D}"/>
    <cellStyle name="Total 2 6 5 7" xfId="32094" xr:uid="{3D64D415-7DE4-4767-B030-B859B56D7968}"/>
    <cellStyle name="Total 2 6 5_Summary" xfId="25230" xr:uid="{00000000-0005-0000-0000-0000A55E0000}"/>
    <cellStyle name="Total 2 6 6" xfId="1185" xr:uid="{00000000-0005-0000-0000-0000A65E0000}"/>
    <cellStyle name="Total 2 6 6 2" xfId="3321" xr:uid="{00000000-0005-0000-0000-0000A75E0000}"/>
    <cellStyle name="Total 2 6 6 2 2" xfId="9917" xr:uid="{00000000-0005-0000-0000-0000A85E0000}"/>
    <cellStyle name="Total 2 6 6 2 3" xfId="16536" xr:uid="{00000000-0005-0000-0000-0000A95E0000}"/>
    <cellStyle name="Total 2 6 6 2_Summary" xfId="25234" xr:uid="{00000000-0005-0000-0000-0000AA5E0000}"/>
    <cellStyle name="Total 2 6 6 3" xfId="5356" xr:uid="{00000000-0005-0000-0000-0000AB5E0000}"/>
    <cellStyle name="Total 2 6 6 3 2" xfId="11952" xr:uid="{00000000-0005-0000-0000-0000AC5E0000}"/>
    <cellStyle name="Total 2 6 6 3 3" xfId="18571" xr:uid="{00000000-0005-0000-0000-0000AD5E0000}"/>
    <cellStyle name="Total 2 6 6 3_Summary" xfId="25235" xr:uid="{00000000-0005-0000-0000-0000AE5E0000}"/>
    <cellStyle name="Total 2 6 6 4" xfId="7781" xr:uid="{00000000-0005-0000-0000-0000AF5E0000}"/>
    <cellStyle name="Total 2 6 6 5" xfId="14400" xr:uid="{00000000-0005-0000-0000-0000B05E0000}"/>
    <cellStyle name="Total 2 6 6_Summary" xfId="25233" xr:uid="{00000000-0005-0000-0000-0000B15E0000}"/>
    <cellStyle name="Total 2 6 7" xfId="1467" xr:uid="{00000000-0005-0000-0000-0000B25E0000}"/>
    <cellStyle name="Total 2 6 7 2" xfId="3603" xr:uid="{00000000-0005-0000-0000-0000B35E0000}"/>
    <cellStyle name="Total 2 6 7 2 2" xfId="10199" xr:uid="{00000000-0005-0000-0000-0000B45E0000}"/>
    <cellStyle name="Total 2 6 7 2 3" xfId="16818" xr:uid="{00000000-0005-0000-0000-0000B55E0000}"/>
    <cellStyle name="Total 2 6 7 2_Summary" xfId="25237" xr:uid="{00000000-0005-0000-0000-0000B65E0000}"/>
    <cellStyle name="Total 2 6 7 3" xfId="5638" xr:uid="{00000000-0005-0000-0000-0000B75E0000}"/>
    <cellStyle name="Total 2 6 7 3 2" xfId="12234" xr:uid="{00000000-0005-0000-0000-0000B85E0000}"/>
    <cellStyle name="Total 2 6 7 3 3" xfId="18853" xr:uid="{00000000-0005-0000-0000-0000B95E0000}"/>
    <cellStyle name="Total 2 6 7 3_Summary" xfId="25238" xr:uid="{00000000-0005-0000-0000-0000BA5E0000}"/>
    <cellStyle name="Total 2 6 7 4" xfId="8063" xr:uid="{00000000-0005-0000-0000-0000BB5E0000}"/>
    <cellStyle name="Total 2 6 7 5" xfId="14682" xr:uid="{00000000-0005-0000-0000-0000BC5E0000}"/>
    <cellStyle name="Total 2 6 7_Summary" xfId="25236" xr:uid="{00000000-0005-0000-0000-0000BD5E0000}"/>
    <cellStyle name="Total 2 6 8" xfId="1748" xr:uid="{00000000-0005-0000-0000-0000BE5E0000}"/>
    <cellStyle name="Total 2 6 8 2" xfId="3884" xr:uid="{00000000-0005-0000-0000-0000BF5E0000}"/>
    <cellStyle name="Total 2 6 8 2 2" xfId="10480" xr:uid="{00000000-0005-0000-0000-0000C05E0000}"/>
    <cellStyle name="Total 2 6 8 2 3" xfId="17099" xr:uid="{00000000-0005-0000-0000-0000C15E0000}"/>
    <cellStyle name="Total 2 6 8 2_Summary" xfId="25240" xr:uid="{00000000-0005-0000-0000-0000C25E0000}"/>
    <cellStyle name="Total 2 6 8 3" xfId="5919" xr:uid="{00000000-0005-0000-0000-0000C35E0000}"/>
    <cellStyle name="Total 2 6 8 3 2" xfId="12515" xr:uid="{00000000-0005-0000-0000-0000C45E0000}"/>
    <cellStyle name="Total 2 6 8 3 3" xfId="19134" xr:uid="{00000000-0005-0000-0000-0000C55E0000}"/>
    <cellStyle name="Total 2 6 8 3_Summary" xfId="25241" xr:uid="{00000000-0005-0000-0000-0000C65E0000}"/>
    <cellStyle name="Total 2 6 8 4" xfId="8344" xr:uid="{00000000-0005-0000-0000-0000C75E0000}"/>
    <cellStyle name="Total 2 6 8 5" xfId="14963" xr:uid="{00000000-0005-0000-0000-0000C85E0000}"/>
    <cellStyle name="Total 2 6 8_Summary" xfId="25239" xr:uid="{00000000-0005-0000-0000-0000C95E0000}"/>
    <cellStyle name="Total 2 6 9" xfId="2027" xr:uid="{00000000-0005-0000-0000-0000CA5E0000}"/>
    <cellStyle name="Total 2 6 9 2" xfId="4163" xr:uid="{00000000-0005-0000-0000-0000CB5E0000}"/>
    <cellStyle name="Total 2 6 9 2 2" xfId="10759" xr:uid="{00000000-0005-0000-0000-0000CC5E0000}"/>
    <cellStyle name="Total 2 6 9 2 3" xfId="17378" xr:uid="{00000000-0005-0000-0000-0000CD5E0000}"/>
    <cellStyle name="Total 2 6 9 2_Summary" xfId="25243" xr:uid="{00000000-0005-0000-0000-0000CE5E0000}"/>
    <cellStyle name="Total 2 6 9 3" xfId="6198" xr:uid="{00000000-0005-0000-0000-0000CF5E0000}"/>
    <cellStyle name="Total 2 6 9 3 2" xfId="12794" xr:uid="{00000000-0005-0000-0000-0000D05E0000}"/>
    <cellStyle name="Total 2 6 9 3 3" xfId="19413" xr:uid="{00000000-0005-0000-0000-0000D15E0000}"/>
    <cellStyle name="Total 2 6 9 3_Summary" xfId="25244" xr:uid="{00000000-0005-0000-0000-0000D25E0000}"/>
    <cellStyle name="Total 2 6 9 4" xfId="8623" xr:uid="{00000000-0005-0000-0000-0000D35E0000}"/>
    <cellStyle name="Total 2 6 9 5" xfId="15242" xr:uid="{00000000-0005-0000-0000-0000D45E0000}"/>
    <cellStyle name="Total 2 6 9_Summary" xfId="25242" xr:uid="{00000000-0005-0000-0000-0000D55E0000}"/>
    <cellStyle name="Total 2 6_Summary" xfId="25135" xr:uid="{00000000-0005-0000-0000-0000D65E0000}"/>
    <cellStyle name="Total 2 60" xfId="27015" xr:uid="{9D318D75-4163-4764-B5B3-BF5C74C4C922}"/>
    <cellStyle name="Total 2 61" xfId="25825" xr:uid="{21F882C9-9F40-4762-B476-B9CBA2987A0A}"/>
    <cellStyle name="Total 2 62" xfId="29877" xr:uid="{2B3818F7-85F1-436B-B913-F19C1E948ECA}"/>
    <cellStyle name="Total 2 63" xfId="31349" xr:uid="{827AFE4D-92FD-4F15-AC62-0D49D158302B}"/>
    <cellStyle name="Total 2 7" xfId="196" xr:uid="{00000000-0005-0000-0000-0000D75E0000}"/>
    <cellStyle name="Total 2 7 10" xfId="2305" xr:uid="{00000000-0005-0000-0000-0000D85E0000}"/>
    <cellStyle name="Total 2 7 10 2" xfId="4441" xr:uid="{00000000-0005-0000-0000-0000D95E0000}"/>
    <cellStyle name="Total 2 7 10 2 2" xfId="11037" xr:uid="{00000000-0005-0000-0000-0000DA5E0000}"/>
    <cellStyle name="Total 2 7 10 2 3" xfId="17656" xr:uid="{00000000-0005-0000-0000-0000DB5E0000}"/>
    <cellStyle name="Total 2 7 10 2_Summary" xfId="25247" xr:uid="{00000000-0005-0000-0000-0000DC5E0000}"/>
    <cellStyle name="Total 2 7 10 3" xfId="6476" xr:uid="{00000000-0005-0000-0000-0000DD5E0000}"/>
    <cellStyle name="Total 2 7 10 3 2" xfId="13072" xr:uid="{00000000-0005-0000-0000-0000DE5E0000}"/>
    <cellStyle name="Total 2 7 10 3 3" xfId="19691" xr:uid="{00000000-0005-0000-0000-0000DF5E0000}"/>
    <cellStyle name="Total 2 7 10 3_Summary" xfId="25248" xr:uid="{00000000-0005-0000-0000-0000E05E0000}"/>
    <cellStyle name="Total 2 7 10 4" xfId="8901" xr:uid="{00000000-0005-0000-0000-0000E15E0000}"/>
    <cellStyle name="Total 2 7 10 5" xfId="15520" xr:uid="{00000000-0005-0000-0000-0000E25E0000}"/>
    <cellStyle name="Total 2 7 10_Summary" xfId="25246" xr:uid="{00000000-0005-0000-0000-0000E35E0000}"/>
    <cellStyle name="Total 2 7 11" xfId="2624" xr:uid="{00000000-0005-0000-0000-0000E45E0000}"/>
    <cellStyle name="Total 2 7 11 2" xfId="9220" xr:uid="{00000000-0005-0000-0000-0000E55E0000}"/>
    <cellStyle name="Total 2 7 11 3" xfId="15839" xr:uid="{00000000-0005-0000-0000-0000E65E0000}"/>
    <cellStyle name="Total 2 7 11_Summary" xfId="25249" xr:uid="{00000000-0005-0000-0000-0000E75E0000}"/>
    <cellStyle name="Total 2 7 12" xfId="2557" xr:uid="{00000000-0005-0000-0000-0000E85E0000}"/>
    <cellStyle name="Total 2 7 12 2" xfId="9153" xr:uid="{00000000-0005-0000-0000-0000E95E0000}"/>
    <cellStyle name="Total 2 7 12 3" xfId="15772" xr:uid="{00000000-0005-0000-0000-0000EA5E0000}"/>
    <cellStyle name="Total 2 7 12_Summary" xfId="25250" xr:uid="{00000000-0005-0000-0000-0000EB5E0000}"/>
    <cellStyle name="Total 2 7 13" xfId="513" xr:uid="{00000000-0005-0000-0000-0000EC5E0000}"/>
    <cellStyle name="Total 2 7 13 2" xfId="13728" xr:uid="{00000000-0005-0000-0000-0000ED5E0000}"/>
    <cellStyle name="Total 2 7 13_Summary" xfId="25251" xr:uid="{00000000-0005-0000-0000-0000EE5E0000}"/>
    <cellStyle name="Total 2 7 14" xfId="7104" xr:uid="{00000000-0005-0000-0000-0000EF5E0000}"/>
    <cellStyle name="Total 2 7 15" xfId="6985" xr:uid="{00000000-0005-0000-0000-0000F05E0000}"/>
    <cellStyle name="Total 2 7 16" xfId="29905" xr:uid="{9A1D8C83-894D-4B75-909D-AC567699CA42}"/>
    <cellStyle name="Total 2 7 17" xfId="31377" xr:uid="{0CC51E92-D602-4E7F-BA52-A740120A8FF6}"/>
    <cellStyle name="Total 2 7 2" xfId="328" xr:uid="{00000000-0005-0000-0000-0000F15E0000}"/>
    <cellStyle name="Total 2 7 2 10" xfId="4749" xr:uid="{00000000-0005-0000-0000-0000F25E0000}"/>
    <cellStyle name="Total 2 7 2 10 2" xfId="11345" xr:uid="{00000000-0005-0000-0000-0000F35E0000}"/>
    <cellStyle name="Total 2 7 2 10 3" xfId="17964" xr:uid="{00000000-0005-0000-0000-0000F45E0000}"/>
    <cellStyle name="Total 2 7 2 10_Summary" xfId="25253" xr:uid="{00000000-0005-0000-0000-0000F55E0000}"/>
    <cellStyle name="Total 2 7 2 11" xfId="578" xr:uid="{00000000-0005-0000-0000-0000F65E0000}"/>
    <cellStyle name="Total 2 7 2 11 2" xfId="13793" xr:uid="{00000000-0005-0000-0000-0000F75E0000}"/>
    <cellStyle name="Total 2 7 2 11_Summary" xfId="25254" xr:uid="{00000000-0005-0000-0000-0000F85E0000}"/>
    <cellStyle name="Total 2 7 2 12" xfId="7222" xr:uid="{00000000-0005-0000-0000-0000F95E0000}"/>
    <cellStyle name="Total 2 7 2 13" xfId="13544" xr:uid="{00000000-0005-0000-0000-0000FA5E0000}"/>
    <cellStyle name="Total 2 7 2 14" xfId="29906" xr:uid="{043D002E-8700-4264-AF7A-E9B02AAB3DC1}"/>
    <cellStyle name="Total 2 7 2 15" xfId="31378" xr:uid="{02ACF680-D324-4C77-91C5-30CF71905D29}"/>
    <cellStyle name="Total 2 7 2 2" xfId="457" xr:uid="{00000000-0005-0000-0000-0000FB5E0000}"/>
    <cellStyle name="Total 2 7 2 2 10" xfId="851" xr:uid="{00000000-0005-0000-0000-0000FC5E0000}"/>
    <cellStyle name="Total 2 7 2 2 10 2" xfId="14066" xr:uid="{00000000-0005-0000-0000-0000FD5E0000}"/>
    <cellStyle name="Total 2 7 2 2 10_Summary" xfId="25256" xr:uid="{00000000-0005-0000-0000-0000FE5E0000}"/>
    <cellStyle name="Total 2 7 2 2 11" xfId="7350" xr:uid="{00000000-0005-0000-0000-0000FF5E0000}"/>
    <cellStyle name="Total 2 7 2 2 12" xfId="13672" xr:uid="{00000000-0005-0000-0000-0000005F0000}"/>
    <cellStyle name="Total 2 7 2 2 13" xfId="30667" xr:uid="{770E9298-FC8A-4F7D-ABF2-3340D9BB0B36}"/>
    <cellStyle name="Total 2 7 2 2 14" xfId="32099" xr:uid="{21312A62-543E-461B-BCAA-F8F8FEDDF936}"/>
    <cellStyle name="Total 2 7 2 2 2" xfId="1151" xr:uid="{00000000-0005-0000-0000-0000015F0000}"/>
    <cellStyle name="Total 2 7 2 2 2 2" xfId="3287" xr:uid="{00000000-0005-0000-0000-0000025F0000}"/>
    <cellStyle name="Total 2 7 2 2 2 2 2" xfId="9883" xr:uid="{00000000-0005-0000-0000-0000035F0000}"/>
    <cellStyle name="Total 2 7 2 2 2 2 3" xfId="16502" xr:uid="{00000000-0005-0000-0000-0000045F0000}"/>
    <cellStyle name="Total 2 7 2 2 2 2_Summary" xfId="25258" xr:uid="{00000000-0005-0000-0000-0000055F0000}"/>
    <cellStyle name="Total 2 7 2 2 2 3" xfId="5322" xr:uid="{00000000-0005-0000-0000-0000065F0000}"/>
    <cellStyle name="Total 2 7 2 2 2 3 2" xfId="11918" xr:uid="{00000000-0005-0000-0000-0000075F0000}"/>
    <cellStyle name="Total 2 7 2 2 2 3 3" xfId="18537" xr:uid="{00000000-0005-0000-0000-0000085F0000}"/>
    <cellStyle name="Total 2 7 2 2 2 3_Summary" xfId="25259" xr:uid="{00000000-0005-0000-0000-0000095F0000}"/>
    <cellStyle name="Total 2 7 2 2 2 4" xfId="7747" xr:uid="{00000000-0005-0000-0000-00000A5F0000}"/>
    <cellStyle name="Total 2 7 2 2 2 5" xfId="14366" xr:uid="{00000000-0005-0000-0000-00000B5F0000}"/>
    <cellStyle name="Total 2 7 2 2 2_Summary" xfId="25257" xr:uid="{00000000-0005-0000-0000-00000C5F0000}"/>
    <cellStyle name="Total 2 7 2 2 3" xfId="1433" xr:uid="{00000000-0005-0000-0000-00000D5F0000}"/>
    <cellStyle name="Total 2 7 2 2 3 2" xfId="3569" xr:uid="{00000000-0005-0000-0000-00000E5F0000}"/>
    <cellStyle name="Total 2 7 2 2 3 2 2" xfId="10165" xr:uid="{00000000-0005-0000-0000-00000F5F0000}"/>
    <cellStyle name="Total 2 7 2 2 3 2 3" xfId="16784" xr:uid="{00000000-0005-0000-0000-0000105F0000}"/>
    <cellStyle name="Total 2 7 2 2 3 2_Summary" xfId="25261" xr:uid="{00000000-0005-0000-0000-0000115F0000}"/>
    <cellStyle name="Total 2 7 2 2 3 3" xfId="5604" xr:uid="{00000000-0005-0000-0000-0000125F0000}"/>
    <cellStyle name="Total 2 7 2 2 3 3 2" xfId="12200" xr:uid="{00000000-0005-0000-0000-0000135F0000}"/>
    <cellStyle name="Total 2 7 2 2 3 3 3" xfId="18819" xr:uid="{00000000-0005-0000-0000-0000145F0000}"/>
    <cellStyle name="Total 2 7 2 2 3 3_Summary" xfId="25262" xr:uid="{00000000-0005-0000-0000-0000155F0000}"/>
    <cellStyle name="Total 2 7 2 2 3 4" xfId="8029" xr:uid="{00000000-0005-0000-0000-0000165F0000}"/>
    <cellStyle name="Total 2 7 2 2 3 5" xfId="14648" xr:uid="{00000000-0005-0000-0000-0000175F0000}"/>
    <cellStyle name="Total 2 7 2 2 3_Summary" xfId="25260" xr:uid="{00000000-0005-0000-0000-0000185F0000}"/>
    <cellStyle name="Total 2 7 2 2 4" xfId="1714" xr:uid="{00000000-0005-0000-0000-0000195F0000}"/>
    <cellStyle name="Total 2 7 2 2 4 2" xfId="3850" xr:uid="{00000000-0005-0000-0000-00001A5F0000}"/>
    <cellStyle name="Total 2 7 2 2 4 2 2" xfId="10446" xr:uid="{00000000-0005-0000-0000-00001B5F0000}"/>
    <cellStyle name="Total 2 7 2 2 4 2 3" xfId="17065" xr:uid="{00000000-0005-0000-0000-00001C5F0000}"/>
    <cellStyle name="Total 2 7 2 2 4 2_Summary" xfId="25264" xr:uid="{00000000-0005-0000-0000-00001D5F0000}"/>
    <cellStyle name="Total 2 7 2 2 4 3" xfId="5885" xr:uid="{00000000-0005-0000-0000-00001E5F0000}"/>
    <cellStyle name="Total 2 7 2 2 4 3 2" xfId="12481" xr:uid="{00000000-0005-0000-0000-00001F5F0000}"/>
    <cellStyle name="Total 2 7 2 2 4 3 3" xfId="19100" xr:uid="{00000000-0005-0000-0000-0000205F0000}"/>
    <cellStyle name="Total 2 7 2 2 4 3_Summary" xfId="25265" xr:uid="{00000000-0005-0000-0000-0000215F0000}"/>
    <cellStyle name="Total 2 7 2 2 4 4" xfId="8310" xr:uid="{00000000-0005-0000-0000-0000225F0000}"/>
    <cellStyle name="Total 2 7 2 2 4 5" xfId="14929" xr:uid="{00000000-0005-0000-0000-0000235F0000}"/>
    <cellStyle name="Total 2 7 2 2 4_Summary" xfId="25263" xr:uid="{00000000-0005-0000-0000-0000245F0000}"/>
    <cellStyle name="Total 2 7 2 2 5" xfId="1993" xr:uid="{00000000-0005-0000-0000-0000255F0000}"/>
    <cellStyle name="Total 2 7 2 2 5 2" xfId="4129" xr:uid="{00000000-0005-0000-0000-0000265F0000}"/>
    <cellStyle name="Total 2 7 2 2 5 2 2" xfId="10725" xr:uid="{00000000-0005-0000-0000-0000275F0000}"/>
    <cellStyle name="Total 2 7 2 2 5 2 3" xfId="17344" xr:uid="{00000000-0005-0000-0000-0000285F0000}"/>
    <cellStyle name="Total 2 7 2 2 5 2_Summary" xfId="25267" xr:uid="{00000000-0005-0000-0000-0000295F0000}"/>
    <cellStyle name="Total 2 7 2 2 5 3" xfId="6164" xr:uid="{00000000-0005-0000-0000-00002A5F0000}"/>
    <cellStyle name="Total 2 7 2 2 5 3 2" xfId="12760" xr:uid="{00000000-0005-0000-0000-00002B5F0000}"/>
    <cellStyle name="Total 2 7 2 2 5 3 3" xfId="19379" xr:uid="{00000000-0005-0000-0000-00002C5F0000}"/>
    <cellStyle name="Total 2 7 2 2 5 3_Summary" xfId="25268" xr:uid="{00000000-0005-0000-0000-00002D5F0000}"/>
    <cellStyle name="Total 2 7 2 2 5 4" xfId="8589" xr:uid="{00000000-0005-0000-0000-00002E5F0000}"/>
    <cellStyle name="Total 2 7 2 2 5 5" xfId="15208" xr:uid="{00000000-0005-0000-0000-00002F5F0000}"/>
    <cellStyle name="Total 2 7 2 2 5_Summary" xfId="25266" xr:uid="{00000000-0005-0000-0000-0000305F0000}"/>
    <cellStyle name="Total 2 7 2 2 6" xfId="2268" xr:uid="{00000000-0005-0000-0000-0000315F0000}"/>
    <cellStyle name="Total 2 7 2 2 6 2" xfId="4404" xr:uid="{00000000-0005-0000-0000-0000325F0000}"/>
    <cellStyle name="Total 2 7 2 2 6 2 2" xfId="11000" xr:uid="{00000000-0005-0000-0000-0000335F0000}"/>
    <cellStyle name="Total 2 7 2 2 6 2 3" xfId="17619" xr:uid="{00000000-0005-0000-0000-0000345F0000}"/>
    <cellStyle name="Total 2 7 2 2 6 2_Summary" xfId="25270" xr:uid="{00000000-0005-0000-0000-0000355F0000}"/>
    <cellStyle name="Total 2 7 2 2 6 3" xfId="6439" xr:uid="{00000000-0005-0000-0000-0000365F0000}"/>
    <cellStyle name="Total 2 7 2 2 6 3 2" xfId="13035" xr:uid="{00000000-0005-0000-0000-0000375F0000}"/>
    <cellStyle name="Total 2 7 2 2 6 3 3" xfId="19654" xr:uid="{00000000-0005-0000-0000-0000385F0000}"/>
    <cellStyle name="Total 2 7 2 2 6 3_Summary" xfId="25271" xr:uid="{00000000-0005-0000-0000-0000395F0000}"/>
    <cellStyle name="Total 2 7 2 2 6 4" xfId="8864" xr:uid="{00000000-0005-0000-0000-00003A5F0000}"/>
    <cellStyle name="Total 2 7 2 2 6 5" xfId="15483" xr:uid="{00000000-0005-0000-0000-00003B5F0000}"/>
    <cellStyle name="Total 2 7 2 2 6_Summary" xfId="25269" xr:uid="{00000000-0005-0000-0000-00003C5F0000}"/>
    <cellStyle name="Total 2 7 2 2 7" xfId="2541" xr:uid="{00000000-0005-0000-0000-00003D5F0000}"/>
    <cellStyle name="Total 2 7 2 2 7 2" xfId="4677" xr:uid="{00000000-0005-0000-0000-00003E5F0000}"/>
    <cellStyle name="Total 2 7 2 2 7 2 2" xfId="11273" xr:uid="{00000000-0005-0000-0000-00003F5F0000}"/>
    <cellStyle name="Total 2 7 2 2 7 2 3" xfId="17892" xr:uid="{00000000-0005-0000-0000-0000405F0000}"/>
    <cellStyle name="Total 2 7 2 2 7 2_Summary" xfId="25273" xr:uid="{00000000-0005-0000-0000-0000415F0000}"/>
    <cellStyle name="Total 2 7 2 2 7 3" xfId="6712" xr:uid="{00000000-0005-0000-0000-0000425F0000}"/>
    <cellStyle name="Total 2 7 2 2 7 3 2" xfId="13308" xr:uid="{00000000-0005-0000-0000-0000435F0000}"/>
    <cellStyle name="Total 2 7 2 2 7 3 3" xfId="19927" xr:uid="{00000000-0005-0000-0000-0000445F0000}"/>
    <cellStyle name="Total 2 7 2 2 7 3_Summary" xfId="25274" xr:uid="{00000000-0005-0000-0000-0000455F0000}"/>
    <cellStyle name="Total 2 7 2 2 7 4" xfId="9137" xr:uid="{00000000-0005-0000-0000-0000465F0000}"/>
    <cellStyle name="Total 2 7 2 2 7 5" xfId="15756" xr:uid="{00000000-0005-0000-0000-0000475F0000}"/>
    <cellStyle name="Total 2 7 2 2 7_Summary" xfId="25272" xr:uid="{00000000-0005-0000-0000-0000485F0000}"/>
    <cellStyle name="Total 2 7 2 2 8" xfId="2987" xr:uid="{00000000-0005-0000-0000-0000495F0000}"/>
    <cellStyle name="Total 2 7 2 2 8 2" xfId="9583" xr:uid="{00000000-0005-0000-0000-00004A5F0000}"/>
    <cellStyle name="Total 2 7 2 2 8 3" xfId="16202" xr:uid="{00000000-0005-0000-0000-00004B5F0000}"/>
    <cellStyle name="Total 2 7 2 2 8_Summary" xfId="25275" xr:uid="{00000000-0005-0000-0000-00004C5F0000}"/>
    <cellStyle name="Total 2 7 2 2 9" xfId="5022" xr:uid="{00000000-0005-0000-0000-00004D5F0000}"/>
    <cellStyle name="Total 2 7 2 2 9 2" xfId="11618" xr:uid="{00000000-0005-0000-0000-00004E5F0000}"/>
    <cellStyle name="Total 2 7 2 2 9 3" xfId="18237" xr:uid="{00000000-0005-0000-0000-00004F5F0000}"/>
    <cellStyle name="Total 2 7 2 2 9_Summary" xfId="25276" xr:uid="{00000000-0005-0000-0000-0000505F0000}"/>
    <cellStyle name="Total 2 7 2 2_Summary" xfId="25255" xr:uid="{00000000-0005-0000-0000-0000515F0000}"/>
    <cellStyle name="Total 2 7 2 3" xfId="1023" xr:uid="{00000000-0005-0000-0000-0000525F0000}"/>
    <cellStyle name="Total 2 7 2 3 2" xfId="3159" xr:uid="{00000000-0005-0000-0000-0000535F0000}"/>
    <cellStyle name="Total 2 7 2 3 2 2" xfId="9755" xr:uid="{00000000-0005-0000-0000-0000545F0000}"/>
    <cellStyle name="Total 2 7 2 3 2 3" xfId="16374" xr:uid="{00000000-0005-0000-0000-0000555F0000}"/>
    <cellStyle name="Total 2 7 2 3 2_Summary" xfId="25278" xr:uid="{00000000-0005-0000-0000-0000565F0000}"/>
    <cellStyle name="Total 2 7 2 3 3" xfId="5194" xr:uid="{00000000-0005-0000-0000-0000575F0000}"/>
    <cellStyle name="Total 2 7 2 3 3 2" xfId="11790" xr:uid="{00000000-0005-0000-0000-0000585F0000}"/>
    <cellStyle name="Total 2 7 2 3 3 3" xfId="18409" xr:uid="{00000000-0005-0000-0000-0000595F0000}"/>
    <cellStyle name="Total 2 7 2 3 3_Summary" xfId="25279" xr:uid="{00000000-0005-0000-0000-00005A5F0000}"/>
    <cellStyle name="Total 2 7 2 3 4" xfId="7620" xr:uid="{00000000-0005-0000-0000-00005B5F0000}"/>
    <cellStyle name="Total 2 7 2 3 5" xfId="14238" xr:uid="{00000000-0005-0000-0000-00005C5F0000}"/>
    <cellStyle name="Total 2 7 2 3_Summary" xfId="25277" xr:uid="{00000000-0005-0000-0000-00005D5F0000}"/>
    <cellStyle name="Total 2 7 2 4" xfId="1305" xr:uid="{00000000-0005-0000-0000-00005E5F0000}"/>
    <cellStyle name="Total 2 7 2 4 2" xfId="3441" xr:uid="{00000000-0005-0000-0000-00005F5F0000}"/>
    <cellStyle name="Total 2 7 2 4 2 2" xfId="10037" xr:uid="{00000000-0005-0000-0000-0000605F0000}"/>
    <cellStyle name="Total 2 7 2 4 2 3" xfId="16656" xr:uid="{00000000-0005-0000-0000-0000615F0000}"/>
    <cellStyle name="Total 2 7 2 4 2_Summary" xfId="25281" xr:uid="{00000000-0005-0000-0000-0000625F0000}"/>
    <cellStyle name="Total 2 7 2 4 3" xfId="5476" xr:uid="{00000000-0005-0000-0000-0000635F0000}"/>
    <cellStyle name="Total 2 7 2 4 3 2" xfId="12072" xr:uid="{00000000-0005-0000-0000-0000645F0000}"/>
    <cellStyle name="Total 2 7 2 4 3 3" xfId="18691" xr:uid="{00000000-0005-0000-0000-0000655F0000}"/>
    <cellStyle name="Total 2 7 2 4 3_Summary" xfId="25282" xr:uid="{00000000-0005-0000-0000-0000665F0000}"/>
    <cellStyle name="Total 2 7 2 4 4" xfId="7901" xr:uid="{00000000-0005-0000-0000-0000675F0000}"/>
    <cellStyle name="Total 2 7 2 4 5" xfId="14520" xr:uid="{00000000-0005-0000-0000-0000685F0000}"/>
    <cellStyle name="Total 2 7 2 4_Summary" xfId="25280" xr:uid="{00000000-0005-0000-0000-0000695F0000}"/>
    <cellStyle name="Total 2 7 2 5" xfId="1586" xr:uid="{00000000-0005-0000-0000-00006A5F0000}"/>
    <cellStyle name="Total 2 7 2 5 2" xfId="3722" xr:uid="{00000000-0005-0000-0000-00006B5F0000}"/>
    <cellStyle name="Total 2 7 2 5 2 2" xfId="10318" xr:uid="{00000000-0005-0000-0000-00006C5F0000}"/>
    <cellStyle name="Total 2 7 2 5 2 3" xfId="16937" xr:uid="{00000000-0005-0000-0000-00006D5F0000}"/>
    <cellStyle name="Total 2 7 2 5 2_Summary" xfId="25284" xr:uid="{00000000-0005-0000-0000-00006E5F0000}"/>
    <cellStyle name="Total 2 7 2 5 3" xfId="5757" xr:uid="{00000000-0005-0000-0000-00006F5F0000}"/>
    <cellStyle name="Total 2 7 2 5 3 2" xfId="12353" xr:uid="{00000000-0005-0000-0000-0000705F0000}"/>
    <cellStyle name="Total 2 7 2 5 3 3" xfId="18972" xr:uid="{00000000-0005-0000-0000-0000715F0000}"/>
    <cellStyle name="Total 2 7 2 5 3_Summary" xfId="25285" xr:uid="{00000000-0005-0000-0000-0000725F0000}"/>
    <cellStyle name="Total 2 7 2 5 4" xfId="8182" xr:uid="{00000000-0005-0000-0000-0000735F0000}"/>
    <cellStyle name="Total 2 7 2 5 5" xfId="14801" xr:uid="{00000000-0005-0000-0000-0000745F0000}"/>
    <cellStyle name="Total 2 7 2 5_Summary" xfId="25283" xr:uid="{00000000-0005-0000-0000-0000755F0000}"/>
    <cellStyle name="Total 2 7 2 6" xfId="1865" xr:uid="{00000000-0005-0000-0000-0000765F0000}"/>
    <cellStyle name="Total 2 7 2 6 2" xfId="4001" xr:uid="{00000000-0005-0000-0000-0000775F0000}"/>
    <cellStyle name="Total 2 7 2 6 2 2" xfId="10597" xr:uid="{00000000-0005-0000-0000-0000785F0000}"/>
    <cellStyle name="Total 2 7 2 6 2 3" xfId="17216" xr:uid="{00000000-0005-0000-0000-0000795F0000}"/>
    <cellStyle name="Total 2 7 2 6 2_Summary" xfId="25287" xr:uid="{00000000-0005-0000-0000-00007A5F0000}"/>
    <cellStyle name="Total 2 7 2 6 3" xfId="6036" xr:uid="{00000000-0005-0000-0000-00007B5F0000}"/>
    <cellStyle name="Total 2 7 2 6 3 2" xfId="12632" xr:uid="{00000000-0005-0000-0000-00007C5F0000}"/>
    <cellStyle name="Total 2 7 2 6 3 3" xfId="19251" xr:uid="{00000000-0005-0000-0000-00007D5F0000}"/>
    <cellStyle name="Total 2 7 2 6 3_Summary" xfId="25288" xr:uid="{00000000-0005-0000-0000-00007E5F0000}"/>
    <cellStyle name="Total 2 7 2 6 4" xfId="8461" xr:uid="{00000000-0005-0000-0000-00007F5F0000}"/>
    <cellStyle name="Total 2 7 2 6 5" xfId="15080" xr:uid="{00000000-0005-0000-0000-0000805F0000}"/>
    <cellStyle name="Total 2 7 2 6_Summary" xfId="25286" xr:uid="{00000000-0005-0000-0000-0000815F0000}"/>
    <cellStyle name="Total 2 7 2 7" xfId="2140" xr:uid="{00000000-0005-0000-0000-0000825F0000}"/>
    <cellStyle name="Total 2 7 2 7 2" xfId="4276" xr:uid="{00000000-0005-0000-0000-0000835F0000}"/>
    <cellStyle name="Total 2 7 2 7 2 2" xfId="10872" xr:uid="{00000000-0005-0000-0000-0000845F0000}"/>
    <cellStyle name="Total 2 7 2 7 2 3" xfId="17491" xr:uid="{00000000-0005-0000-0000-0000855F0000}"/>
    <cellStyle name="Total 2 7 2 7 2_Summary" xfId="25290" xr:uid="{00000000-0005-0000-0000-0000865F0000}"/>
    <cellStyle name="Total 2 7 2 7 3" xfId="6311" xr:uid="{00000000-0005-0000-0000-0000875F0000}"/>
    <cellStyle name="Total 2 7 2 7 3 2" xfId="12907" xr:uid="{00000000-0005-0000-0000-0000885F0000}"/>
    <cellStyle name="Total 2 7 2 7 3 3" xfId="19526" xr:uid="{00000000-0005-0000-0000-0000895F0000}"/>
    <cellStyle name="Total 2 7 2 7 3_Summary" xfId="25291" xr:uid="{00000000-0005-0000-0000-00008A5F0000}"/>
    <cellStyle name="Total 2 7 2 7 4" xfId="8736" xr:uid="{00000000-0005-0000-0000-00008B5F0000}"/>
    <cellStyle name="Total 2 7 2 7 5" xfId="15355" xr:uid="{00000000-0005-0000-0000-00008C5F0000}"/>
    <cellStyle name="Total 2 7 2 7_Summary" xfId="25289" xr:uid="{00000000-0005-0000-0000-00008D5F0000}"/>
    <cellStyle name="Total 2 7 2 8" xfId="2413" xr:uid="{00000000-0005-0000-0000-00008E5F0000}"/>
    <cellStyle name="Total 2 7 2 8 2" xfId="4549" xr:uid="{00000000-0005-0000-0000-00008F5F0000}"/>
    <cellStyle name="Total 2 7 2 8 2 2" xfId="11145" xr:uid="{00000000-0005-0000-0000-0000905F0000}"/>
    <cellStyle name="Total 2 7 2 8 2 3" xfId="17764" xr:uid="{00000000-0005-0000-0000-0000915F0000}"/>
    <cellStyle name="Total 2 7 2 8 2_Summary" xfId="25293" xr:uid="{00000000-0005-0000-0000-0000925F0000}"/>
    <cellStyle name="Total 2 7 2 8 3" xfId="6584" xr:uid="{00000000-0005-0000-0000-0000935F0000}"/>
    <cellStyle name="Total 2 7 2 8 3 2" xfId="13180" xr:uid="{00000000-0005-0000-0000-0000945F0000}"/>
    <cellStyle name="Total 2 7 2 8 3 3" xfId="19799" xr:uid="{00000000-0005-0000-0000-0000955F0000}"/>
    <cellStyle name="Total 2 7 2 8 3_Summary" xfId="25294" xr:uid="{00000000-0005-0000-0000-0000965F0000}"/>
    <cellStyle name="Total 2 7 2 8 4" xfId="9009" xr:uid="{00000000-0005-0000-0000-0000975F0000}"/>
    <cellStyle name="Total 2 7 2 8 5" xfId="15628" xr:uid="{00000000-0005-0000-0000-0000985F0000}"/>
    <cellStyle name="Total 2 7 2 8_Summary" xfId="25292" xr:uid="{00000000-0005-0000-0000-0000995F0000}"/>
    <cellStyle name="Total 2 7 2 9" xfId="2714" xr:uid="{00000000-0005-0000-0000-00009A5F0000}"/>
    <cellStyle name="Total 2 7 2 9 2" xfId="9310" xr:uid="{00000000-0005-0000-0000-00009B5F0000}"/>
    <cellStyle name="Total 2 7 2 9 3" xfId="15929" xr:uid="{00000000-0005-0000-0000-00009C5F0000}"/>
    <cellStyle name="Total 2 7 2 9_Summary" xfId="25295" xr:uid="{00000000-0005-0000-0000-00009D5F0000}"/>
    <cellStyle name="Total 2 7 2_Summary" xfId="25252" xr:uid="{00000000-0005-0000-0000-00009E5F0000}"/>
    <cellStyle name="Total 2 7 3" xfId="242" xr:uid="{00000000-0005-0000-0000-00009F5F0000}"/>
    <cellStyle name="Total 2 7 3 10" xfId="779" xr:uid="{00000000-0005-0000-0000-0000A05F0000}"/>
    <cellStyle name="Total 2 7 3 10 2" xfId="13994" xr:uid="{00000000-0005-0000-0000-0000A15F0000}"/>
    <cellStyle name="Total 2 7 3 10_Summary" xfId="25297" xr:uid="{00000000-0005-0000-0000-0000A25F0000}"/>
    <cellStyle name="Total 2 7 3 11" xfId="7149" xr:uid="{00000000-0005-0000-0000-0000A35F0000}"/>
    <cellStyle name="Total 2 7 3 12" xfId="7008" xr:uid="{00000000-0005-0000-0000-0000A45F0000}"/>
    <cellStyle name="Total 2 7 3 13" xfId="29907" xr:uid="{A73DB71B-24CB-4C8A-A6FB-DE9A87A1CD68}"/>
    <cellStyle name="Total 2 7 3 14" xfId="31379" xr:uid="{FB8A3302-240F-4A6B-BACA-E5F4E558CFB0}"/>
    <cellStyle name="Total 2 7 3 2" xfId="947" xr:uid="{00000000-0005-0000-0000-0000A55F0000}"/>
    <cellStyle name="Total 2 7 3 2 2" xfId="3083" xr:uid="{00000000-0005-0000-0000-0000A65F0000}"/>
    <cellStyle name="Total 2 7 3 2 2 2" xfId="9679" xr:uid="{00000000-0005-0000-0000-0000A75F0000}"/>
    <cellStyle name="Total 2 7 3 2 2 3" xfId="16298" xr:uid="{00000000-0005-0000-0000-0000A85F0000}"/>
    <cellStyle name="Total 2 7 3 2 2_Summary" xfId="25299" xr:uid="{00000000-0005-0000-0000-0000A95F0000}"/>
    <cellStyle name="Total 2 7 3 2 3" xfId="5118" xr:uid="{00000000-0005-0000-0000-0000AA5F0000}"/>
    <cellStyle name="Total 2 7 3 2 3 2" xfId="11714" xr:uid="{00000000-0005-0000-0000-0000AB5F0000}"/>
    <cellStyle name="Total 2 7 3 2 3 3" xfId="18333" xr:uid="{00000000-0005-0000-0000-0000AC5F0000}"/>
    <cellStyle name="Total 2 7 3 2 3_Summary" xfId="25300" xr:uid="{00000000-0005-0000-0000-0000AD5F0000}"/>
    <cellStyle name="Total 2 7 3 2 4" xfId="7544" xr:uid="{00000000-0005-0000-0000-0000AE5F0000}"/>
    <cellStyle name="Total 2 7 3 2 5" xfId="14162" xr:uid="{00000000-0005-0000-0000-0000AF5F0000}"/>
    <cellStyle name="Total 2 7 3 2 6" xfId="30668" xr:uid="{99432315-272F-4BE5-950E-93500B88EE5A}"/>
    <cellStyle name="Total 2 7 3 2 7" xfId="32100" xr:uid="{3DCCD084-41C3-45F5-A10B-32F8B6C8F382}"/>
    <cellStyle name="Total 2 7 3 2_Summary" xfId="25298" xr:uid="{00000000-0005-0000-0000-0000B05F0000}"/>
    <cellStyle name="Total 2 7 3 3" xfId="1232" xr:uid="{00000000-0005-0000-0000-0000B15F0000}"/>
    <cellStyle name="Total 2 7 3 3 2" xfId="3368" xr:uid="{00000000-0005-0000-0000-0000B25F0000}"/>
    <cellStyle name="Total 2 7 3 3 2 2" xfId="9964" xr:uid="{00000000-0005-0000-0000-0000B35F0000}"/>
    <cellStyle name="Total 2 7 3 3 2 3" xfId="16583" xr:uid="{00000000-0005-0000-0000-0000B45F0000}"/>
    <cellStyle name="Total 2 7 3 3 2_Summary" xfId="25302" xr:uid="{00000000-0005-0000-0000-0000B55F0000}"/>
    <cellStyle name="Total 2 7 3 3 3" xfId="5403" xr:uid="{00000000-0005-0000-0000-0000B65F0000}"/>
    <cellStyle name="Total 2 7 3 3 3 2" xfId="11999" xr:uid="{00000000-0005-0000-0000-0000B75F0000}"/>
    <cellStyle name="Total 2 7 3 3 3 3" xfId="18618" xr:uid="{00000000-0005-0000-0000-0000B85F0000}"/>
    <cellStyle name="Total 2 7 3 3 3_Summary" xfId="25303" xr:uid="{00000000-0005-0000-0000-0000B95F0000}"/>
    <cellStyle name="Total 2 7 3 3 4" xfId="7828" xr:uid="{00000000-0005-0000-0000-0000BA5F0000}"/>
    <cellStyle name="Total 2 7 3 3 5" xfId="14447" xr:uid="{00000000-0005-0000-0000-0000BB5F0000}"/>
    <cellStyle name="Total 2 7 3 3_Summary" xfId="25301" xr:uid="{00000000-0005-0000-0000-0000BC5F0000}"/>
    <cellStyle name="Total 2 7 3 4" xfId="1514" xr:uid="{00000000-0005-0000-0000-0000BD5F0000}"/>
    <cellStyle name="Total 2 7 3 4 2" xfId="3650" xr:uid="{00000000-0005-0000-0000-0000BE5F0000}"/>
    <cellStyle name="Total 2 7 3 4 2 2" xfId="10246" xr:uid="{00000000-0005-0000-0000-0000BF5F0000}"/>
    <cellStyle name="Total 2 7 3 4 2 3" xfId="16865" xr:uid="{00000000-0005-0000-0000-0000C05F0000}"/>
    <cellStyle name="Total 2 7 3 4 2_Summary" xfId="25305" xr:uid="{00000000-0005-0000-0000-0000C15F0000}"/>
    <cellStyle name="Total 2 7 3 4 3" xfId="5685" xr:uid="{00000000-0005-0000-0000-0000C25F0000}"/>
    <cellStyle name="Total 2 7 3 4 3 2" xfId="12281" xr:uid="{00000000-0005-0000-0000-0000C35F0000}"/>
    <cellStyle name="Total 2 7 3 4 3 3" xfId="18900" xr:uid="{00000000-0005-0000-0000-0000C45F0000}"/>
    <cellStyle name="Total 2 7 3 4 3_Summary" xfId="25306" xr:uid="{00000000-0005-0000-0000-0000C55F0000}"/>
    <cellStyle name="Total 2 7 3 4 4" xfId="8110" xr:uid="{00000000-0005-0000-0000-0000C65F0000}"/>
    <cellStyle name="Total 2 7 3 4 5" xfId="14729" xr:uid="{00000000-0005-0000-0000-0000C75F0000}"/>
    <cellStyle name="Total 2 7 3 4_Summary" xfId="25304" xr:uid="{00000000-0005-0000-0000-0000C85F0000}"/>
    <cellStyle name="Total 2 7 3 5" xfId="1795" xr:uid="{00000000-0005-0000-0000-0000C95F0000}"/>
    <cellStyle name="Total 2 7 3 5 2" xfId="3931" xr:uid="{00000000-0005-0000-0000-0000CA5F0000}"/>
    <cellStyle name="Total 2 7 3 5 2 2" xfId="10527" xr:uid="{00000000-0005-0000-0000-0000CB5F0000}"/>
    <cellStyle name="Total 2 7 3 5 2 3" xfId="17146" xr:uid="{00000000-0005-0000-0000-0000CC5F0000}"/>
    <cellStyle name="Total 2 7 3 5 2_Summary" xfId="25308" xr:uid="{00000000-0005-0000-0000-0000CD5F0000}"/>
    <cellStyle name="Total 2 7 3 5 3" xfId="5966" xr:uid="{00000000-0005-0000-0000-0000CE5F0000}"/>
    <cellStyle name="Total 2 7 3 5 3 2" xfId="12562" xr:uid="{00000000-0005-0000-0000-0000CF5F0000}"/>
    <cellStyle name="Total 2 7 3 5 3 3" xfId="19181" xr:uid="{00000000-0005-0000-0000-0000D05F0000}"/>
    <cellStyle name="Total 2 7 3 5 3_Summary" xfId="25309" xr:uid="{00000000-0005-0000-0000-0000D15F0000}"/>
    <cellStyle name="Total 2 7 3 5 4" xfId="8391" xr:uid="{00000000-0005-0000-0000-0000D25F0000}"/>
    <cellStyle name="Total 2 7 3 5 5" xfId="15010" xr:uid="{00000000-0005-0000-0000-0000D35F0000}"/>
    <cellStyle name="Total 2 7 3 5_Summary" xfId="25307" xr:uid="{00000000-0005-0000-0000-0000D45F0000}"/>
    <cellStyle name="Total 2 7 3 6" xfId="2074" xr:uid="{00000000-0005-0000-0000-0000D55F0000}"/>
    <cellStyle name="Total 2 7 3 6 2" xfId="4210" xr:uid="{00000000-0005-0000-0000-0000D65F0000}"/>
    <cellStyle name="Total 2 7 3 6 2 2" xfId="10806" xr:uid="{00000000-0005-0000-0000-0000D75F0000}"/>
    <cellStyle name="Total 2 7 3 6 2 3" xfId="17425" xr:uid="{00000000-0005-0000-0000-0000D85F0000}"/>
    <cellStyle name="Total 2 7 3 6 2_Summary" xfId="25311" xr:uid="{00000000-0005-0000-0000-0000D95F0000}"/>
    <cellStyle name="Total 2 7 3 6 3" xfId="6245" xr:uid="{00000000-0005-0000-0000-0000DA5F0000}"/>
    <cellStyle name="Total 2 7 3 6 3 2" xfId="12841" xr:uid="{00000000-0005-0000-0000-0000DB5F0000}"/>
    <cellStyle name="Total 2 7 3 6 3 3" xfId="19460" xr:uid="{00000000-0005-0000-0000-0000DC5F0000}"/>
    <cellStyle name="Total 2 7 3 6 3_Summary" xfId="25312" xr:uid="{00000000-0005-0000-0000-0000DD5F0000}"/>
    <cellStyle name="Total 2 7 3 6 4" xfId="8670" xr:uid="{00000000-0005-0000-0000-0000DE5F0000}"/>
    <cellStyle name="Total 2 7 3 6 5" xfId="15289" xr:uid="{00000000-0005-0000-0000-0000DF5F0000}"/>
    <cellStyle name="Total 2 7 3 6_Summary" xfId="25310" xr:uid="{00000000-0005-0000-0000-0000E05F0000}"/>
    <cellStyle name="Total 2 7 3 7" xfId="2349" xr:uid="{00000000-0005-0000-0000-0000E15F0000}"/>
    <cellStyle name="Total 2 7 3 7 2" xfId="4485" xr:uid="{00000000-0005-0000-0000-0000E25F0000}"/>
    <cellStyle name="Total 2 7 3 7 2 2" xfId="11081" xr:uid="{00000000-0005-0000-0000-0000E35F0000}"/>
    <cellStyle name="Total 2 7 3 7 2 3" xfId="17700" xr:uid="{00000000-0005-0000-0000-0000E45F0000}"/>
    <cellStyle name="Total 2 7 3 7 2_Summary" xfId="25314" xr:uid="{00000000-0005-0000-0000-0000E55F0000}"/>
    <cellStyle name="Total 2 7 3 7 3" xfId="6520" xr:uid="{00000000-0005-0000-0000-0000E65F0000}"/>
    <cellStyle name="Total 2 7 3 7 3 2" xfId="13116" xr:uid="{00000000-0005-0000-0000-0000E75F0000}"/>
    <cellStyle name="Total 2 7 3 7 3 3" xfId="19735" xr:uid="{00000000-0005-0000-0000-0000E85F0000}"/>
    <cellStyle name="Total 2 7 3 7 3_Summary" xfId="25315" xr:uid="{00000000-0005-0000-0000-0000E95F0000}"/>
    <cellStyle name="Total 2 7 3 7 4" xfId="8945" xr:uid="{00000000-0005-0000-0000-0000EA5F0000}"/>
    <cellStyle name="Total 2 7 3 7 5" xfId="15564" xr:uid="{00000000-0005-0000-0000-0000EB5F0000}"/>
    <cellStyle name="Total 2 7 3 7_Summary" xfId="25313" xr:uid="{00000000-0005-0000-0000-0000EC5F0000}"/>
    <cellStyle name="Total 2 7 3 8" xfId="2915" xr:uid="{00000000-0005-0000-0000-0000ED5F0000}"/>
    <cellStyle name="Total 2 7 3 8 2" xfId="9511" xr:uid="{00000000-0005-0000-0000-0000EE5F0000}"/>
    <cellStyle name="Total 2 7 3 8 3" xfId="16130" xr:uid="{00000000-0005-0000-0000-0000EF5F0000}"/>
    <cellStyle name="Total 2 7 3 8_Summary" xfId="25316" xr:uid="{00000000-0005-0000-0000-0000F05F0000}"/>
    <cellStyle name="Total 2 7 3 9" xfId="4950" xr:uid="{00000000-0005-0000-0000-0000F15F0000}"/>
    <cellStyle name="Total 2 7 3 9 2" xfId="11546" xr:uid="{00000000-0005-0000-0000-0000F25F0000}"/>
    <cellStyle name="Total 2 7 3 9 3" xfId="18165" xr:uid="{00000000-0005-0000-0000-0000F35F0000}"/>
    <cellStyle name="Total 2 7 3 9_Summary" xfId="25317" xr:uid="{00000000-0005-0000-0000-0000F45F0000}"/>
    <cellStyle name="Total 2 7 3_Summary" xfId="25296" xr:uid="{00000000-0005-0000-0000-0000F55F0000}"/>
    <cellStyle name="Total 2 7 4" xfId="396" xr:uid="{00000000-0005-0000-0000-0000F65F0000}"/>
    <cellStyle name="Total 2 7 4 10" xfId="733" xr:uid="{00000000-0005-0000-0000-0000F75F0000}"/>
    <cellStyle name="Total 2 7 4 10 2" xfId="13948" xr:uid="{00000000-0005-0000-0000-0000F85F0000}"/>
    <cellStyle name="Total 2 7 4 10_Summary" xfId="25319" xr:uid="{00000000-0005-0000-0000-0000F95F0000}"/>
    <cellStyle name="Total 2 7 4 11" xfId="7289" xr:uid="{00000000-0005-0000-0000-0000FA5F0000}"/>
    <cellStyle name="Total 2 7 4 12" xfId="13611" xr:uid="{00000000-0005-0000-0000-0000FB5F0000}"/>
    <cellStyle name="Total 2 7 4 13" xfId="29908" xr:uid="{F5D83D83-1645-4E12-8D38-6E2242B5C382}"/>
    <cellStyle name="Total 2 7 4 14" xfId="31380" xr:uid="{C081C4F0-E7A4-43C5-A9EF-879151B1A78F}"/>
    <cellStyle name="Total 2 7 4 2" xfId="1090" xr:uid="{00000000-0005-0000-0000-0000FC5F0000}"/>
    <cellStyle name="Total 2 7 4 2 2" xfId="3226" xr:uid="{00000000-0005-0000-0000-0000FD5F0000}"/>
    <cellStyle name="Total 2 7 4 2 2 2" xfId="9822" xr:uid="{00000000-0005-0000-0000-0000FE5F0000}"/>
    <cellStyle name="Total 2 7 4 2 2 3" xfId="16441" xr:uid="{00000000-0005-0000-0000-0000FF5F0000}"/>
    <cellStyle name="Total 2 7 4 2 2_Summary" xfId="25321" xr:uid="{00000000-0005-0000-0000-000000600000}"/>
    <cellStyle name="Total 2 7 4 2 3" xfId="5261" xr:uid="{00000000-0005-0000-0000-000001600000}"/>
    <cellStyle name="Total 2 7 4 2 3 2" xfId="11857" xr:uid="{00000000-0005-0000-0000-000002600000}"/>
    <cellStyle name="Total 2 7 4 2 3 3" xfId="18476" xr:uid="{00000000-0005-0000-0000-000003600000}"/>
    <cellStyle name="Total 2 7 4 2 3_Summary" xfId="25322" xr:uid="{00000000-0005-0000-0000-000004600000}"/>
    <cellStyle name="Total 2 7 4 2 4" xfId="7687" xr:uid="{00000000-0005-0000-0000-000005600000}"/>
    <cellStyle name="Total 2 7 4 2 5" xfId="14305" xr:uid="{00000000-0005-0000-0000-000006600000}"/>
    <cellStyle name="Total 2 7 4 2 6" xfId="30669" xr:uid="{2B40284D-4AC0-493C-A593-6DD56BB70ECE}"/>
    <cellStyle name="Total 2 7 4 2 7" xfId="32101" xr:uid="{9DAEEF9D-0049-4BFC-A676-DC4E08981F88}"/>
    <cellStyle name="Total 2 7 4 2_Summary" xfId="25320" xr:uid="{00000000-0005-0000-0000-000007600000}"/>
    <cellStyle name="Total 2 7 4 3" xfId="1372" xr:uid="{00000000-0005-0000-0000-000008600000}"/>
    <cellStyle name="Total 2 7 4 3 2" xfId="3508" xr:uid="{00000000-0005-0000-0000-000009600000}"/>
    <cellStyle name="Total 2 7 4 3 2 2" xfId="10104" xr:uid="{00000000-0005-0000-0000-00000A600000}"/>
    <cellStyle name="Total 2 7 4 3 2 3" xfId="16723" xr:uid="{00000000-0005-0000-0000-00000B600000}"/>
    <cellStyle name="Total 2 7 4 3 2_Summary" xfId="25324" xr:uid="{00000000-0005-0000-0000-00000C600000}"/>
    <cellStyle name="Total 2 7 4 3 3" xfId="5543" xr:uid="{00000000-0005-0000-0000-00000D600000}"/>
    <cellStyle name="Total 2 7 4 3 3 2" xfId="12139" xr:uid="{00000000-0005-0000-0000-00000E600000}"/>
    <cellStyle name="Total 2 7 4 3 3 3" xfId="18758" xr:uid="{00000000-0005-0000-0000-00000F600000}"/>
    <cellStyle name="Total 2 7 4 3 3_Summary" xfId="25325" xr:uid="{00000000-0005-0000-0000-000010600000}"/>
    <cellStyle name="Total 2 7 4 3 4" xfId="7968" xr:uid="{00000000-0005-0000-0000-000011600000}"/>
    <cellStyle name="Total 2 7 4 3 5" xfId="14587" xr:uid="{00000000-0005-0000-0000-000012600000}"/>
    <cellStyle name="Total 2 7 4 3_Summary" xfId="25323" xr:uid="{00000000-0005-0000-0000-000013600000}"/>
    <cellStyle name="Total 2 7 4 4" xfId="1653" xr:uid="{00000000-0005-0000-0000-000014600000}"/>
    <cellStyle name="Total 2 7 4 4 2" xfId="3789" xr:uid="{00000000-0005-0000-0000-000015600000}"/>
    <cellStyle name="Total 2 7 4 4 2 2" xfId="10385" xr:uid="{00000000-0005-0000-0000-000016600000}"/>
    <cellStyle name="Total 2 7 4 4 2 3" xfId="17004" xr:uid="{00000000-0005-0000-0000-000017600000}"/>
    <cellStyle name="Total 2 7 4 4 2_Summary" xfId="25327" xr:uid="{00000000-0005-0000-0000-000018600000}"/>
    <cellStyle name="Total 2 7 4 4 3" xfId="5824" xr:uid="{00000000-0005-0000-0000-000019600000}"/>
    <cellStyle name="Total 2 7 4 4 3 2" xfId="12420" xr:uid="{00000000-0005-0000-0000-00001A600000}"/>
    <cellStyle name="Total 2 7 4 4 3 3" xfId="19039" xr:uid="{00000000-0005-0000-0000-00001B600000}"/>
    <cellStyle name="Total 2 7 4 4 3_Summary" xfId="25328" xr:uid="{00000000-0005-0000-0000-00001C600000}"/>
    <cellStyle name="Total 2 7 4 4 4" xfId="8249" xr:uid="{00000000-0005-0000-0000-00001D600000}"/>
    <cellStyle name="Total 2 7 4 4 5" xfId="14868" xr:uid="{00000000-0005-0000-0000-00001E600000}"/>
    <cellStyle name="Total 2 7 4 4_Summary" xfId="25326" xr:uid="{00000000-0005-0000-0000-00001F600000}"/>
    <cellStyle name="Total 2 7 4 5" xfId="1932" xr:uid="{00000000-0005-0000-0000-000020600000}"/>
    <cellStyle name="Total 2 7 4 5 2" xfId="4068" xr:uid="{00000000-0005-0000-0000-000021600000}"/>
    <cellStyle name="Total 2 7 4 5 2 2" xfId="10664" xr:uid="{00000000-0005-0000-0000-000022600000}"/>
    <cellStyle name="Total 2 7 4 5 2 3" xfId="17283" xr:uid="{00000000-0005-0000-0000-000023600000}"/>
    <cellStyle name="Total 2 7 4 5 2_Summary" xfId="25330" xr:uid="{00000000-0005-0000-0000-000024600000}"/>
    <cellStyle name="Total 2 7 4 5 3" xfId="6103" xr:uid="{00000000-0005-0000-0000-000025600000}"/>
    <cellStyle name="Total 2 7 4 5 3 2" xfId="12699" xr:uid="{00000000-0005-0000-0000-000026600000}"/>
    <cellStyle name="Total 2 7 4 5 3 3" xfId="19318" xr:uid="{00000000-0005-0000-0000-000027600000}"/>
    <cellStyle name="Total 2 7 4 5 3_Summary" xfId="25331" xr:uid="{00000000-0005-0000-0000-000028600000}"/>
    <cellStyle name="Total 2 7 4 5 4" xfId="8528" xr:uid="{00000000-0005-0000-0000-000029600000}"/>
    <cellStyle name="Total 2 7 4 5 5" xfId="15147" xr:uid="{00000000-0005-0000-0000-00002A600000}"/>
    <cellStyle name="Total 2 7 4 5_Summary" xfId="25329" xr:uid="{00000000-0005-0000-0000-00002B600000}"/>
    <cellStyle name="Total 2 7 4 6" xfId="2207" xr:uid="{00000000-0005-0000-0000-00002C600000}"/>
    <cellStyle name="Total 2 7 4 6 2" xfId="4343" xr:uid="{00000000-0005-0000-0000-00002D600000}"/>
    <cellStyle name="Total 2 7 4 6 2 2" xfId="10939" xr:uid="{00000000-0005-0000-0000-00002E600000}"/>
    <cellStyle name="Total 2 7 4 6 2 3" xfId="17558" xr:uid="{00000000-0005-0000-0000-00002F600000}"/>
    <cellStyle name="Total 2 7 4 6 2_Summary" xfId="25333" xr:uid="{00000000-0005-0000-0000-000030600000}"/>
    <cellStyle name="Total 2 7 4 6 3" xfId="6378" xr:uid="{00000000-0005-0000-0000-000031600000}"/>
    <cellStyle name="Total 2 7 4 6 3 2" xfId="12974" xr:uid="{00000000-0005-0000-0000-000032600000}"/>
    <cellStyle name="Total 2 7 4 6 3 3" xfId="19593" xr:uid="{00000000-0005-0000-0000-000033600000}"/>
    <cellStyle name="Total 2 7 4 6 3_Summary" xfId="25334" xr:uid="{00000000-0005-0000-0000-000034600000}"/>
    <cellStyle name="Total 2 7 4 6 4" xfId="8803" xr:uid="{00000000-0005-0000-0000-000035600000}"/>
    <cellStyle name="Total 2 7 4 6 5" xfId="15422" xr:uid="{00000000-0005-0000-0000-000036600000}"/>
    <cellStyle name="Total 2 7 4 6_Summary" xfId="25332" xr:uid="{00000000-0005-0000-0000-000037600000}"/>
    <cellStyle name="Total 2 7 4 7" xfId="2480" xr:uid="{00000000-0005-0000-0000-000038600000}"/>
    <cellStyle name="Total 2 7 4 7 2" xfId="4616" xr:uid="{00000000-0005-0000-0000-000039600000}"/>
    <cellStyle name="Total 2 7 4 7 2 2" xfId="11212" xr:uid="{00000000-0005-0000-0000-00003A600000}"/>
    <cellStyle name="Total 2 7 4 7 2 3" xfId="17831" xr:uid="{00000000-0005-0000-0000-00003B600000}"/>
    <cellStyle name="Total 2 7 4 7 2_Summary" xfId="25336" xr:uid="{00000000-0005-0000-0000-00003C600000}"/>
    <cellStyle name="Total 2 7 4 7 3" xfId="6651" xr:uid="{00000000-0005-0000-0000-00003D600000}"/>
    <cellStyle name="Total 2 7 4 7 3 2" xfId="13247" xr:uid="{00000000-0005-0000-0000-00003E600000}"/>
    <cellStyle name="Total 2 7 4 7 3 3" xfId="19866" xr:uid="{00000000-0005-0000-0000-00003F600000}"/>
    <cellStyle name="Total 2 7 4 7 3_Summary" xfId="25337" xr:uid="{00000000-0005-0000-0000-000040600000}"/>
    <cellStyle name="Total 2 7 4 7 4" xfId="9076" xr:uid="{00000000-0005-0000-0000-000041600000}"/>
    <cellStyle name="Total 2 7 4 7 5" xfId="15695" xr:uid="{00000000-0005-0000-0000-000042600000}"/>
    <cellStyle name="Total 2 7 4 7_Summary" xfId="25335" xr:uid="{00000000-0005-0000-0000-000043600000}"/>
    <cellStyle name="Total 2 7 4 8" xfId="2869" xr:uid="{00000000-0005-0000-0000-000044600000}"/>
    <cellStyle name="Total 2 7 4 8 2" xfId="9465" xr:uid="{00000000-0005-0000-0000-000045600000}"/>
    <cellStyle name="Total 2 7 4 8 3" xfId="16084" xr:uid="{00000000-0005-0000-0000-000046600000}"/>
    <cellStyle name="Total 2 7 4 8_Summary" xfId="25338" xr:uid="{00000000-0005-0000-0000-000047600000}"/>
    <cellStyle name="Total 2 7 4 9" xfId="4904" xr:uid="{00000000-0005-0000-0000-000048600000}"/>
    <cellStyle name="Total 2 7 4 9 2" xfId="11500" xr:uid="{00000000-0005-0000-0000-000049600000}"/>
    <cellStyle name="Total 2 7 4 9 3" xfId="18119" xr:uid="{00000000-0005-0000-0000-00004A600000}"/>
    <cellStyle name="Total 2 7 4 9_Summary" xfId="25339" xr:uid="{00000000-0005-0000-0000-00004B600000}"/>
    <cellStyle name="Total 2 7 4_Summary" xfId="25318" xr:uid="{00000000-0005-0000-0000-00004C600000}"/>
    <cellStyle name="Total 2 7 5" xfId="903" xr:uid="{00000000-0005-0000-0000-00004D600000}"/>
    <cellStyle name="Total 2 7 5 2" xfId="3039" xr:uid="{00000000-0005-0000-0000-00004E600000}"/>
    <cellStyle name="Total 2 7 5 2 2" xfId="9635" xr:uid="{00000000-0005-0000-0000-00004F600000}"/>
    <cellStyle name="Total 2 7 5 2 3" xfId="16254" xr:uid="{00000000-0005-0000-0000-000050600000}"/>
    <cellStyle name="Total 2 7 5 2_Summary" xfId="25341" xr:uid="{00000000-0005-0000-0000-000051600000}"/>
    <cellStyle name="Total 2 7 5 3" xfId="5074" xr:uid="{00000000-0005-0000-0000-000052600000}"/>
    <cellStyle name="Total 2 7 5 3 2" xfId="11670" xr:uid="{00000000-0005-0000-0000-000053600000}"/>
    <cellStyle name="Total 2 7 5 3 3" xfId="18289" xr:uid="{00000000-0005-0000-0000-000054600000}"/>
    <cellStyle name="Total 2 7 5 3_Summary" xfId="25342" xr:uid="{00000000-0005-0000-0000-000055600000}"/>
    <cellStyle name="Total 2 7 5 4" xfId="7500" xr:uid="{00000000-0005-0000-0000-000056600000}"/>
    <cellStyle name="Total 2 7 5 5" xfId="14118" xr:uid="{00000000-0005-0000-0000-000057600000}"/>
    <cellStyle name="Total 2 7 5 6" xfId="30666" xr:uid="{F299D170-60D8-4F0B-9E6F-31ACBFE1CEA5}"/>
    <cellStyle name="Total 2 7 5 7" xfId="32098" xr:uid="{EE6DE11E-C05E-4E37-A023-5C994D38F3DB}"/>
    <cellStyle name="Total 2 7 5_Summary" xfId="25340" xr:uid="{00000000-0005-0000-0000-000058600000}"/>
    <cellStyle name="Total 2 7 6" xfId="1188" xr:uid="{00000000-0005-0000-0000-000059600000}"/>
    <cellStyle name="Total 2 7 6 2" xfId="3324" xr:uid="{00000000-0005-0000-0000-00005A600000}"/>
    <cellStyle name="Total 2 7 6 2 2" xfId="9920" xr:uid="{00000000-0005-0000-0000-00005B600000}"/>
    <cellStyle name="Total 2 7 6 2 3" xfId="16539" xr:uid="{00000000-0005-0000-0000-00005C600000}"/>
    <cellStyle name="Total 2 7 6 2_Summary" xfId="25344" xr:uid="{00000000-0005-0000-0000-00005D600000}"/>
    <cellStyle name="Total 2 7 6 3" xfId="5359" xr:uid="{00000000-0005-0000-0000-00005E600000}"/>
    <cellStyle name="Total 2 7 6 3 2" xfId="11955" xr:uid="{00000000-0005-0000-0000-00005F600000}"/>
    <cellStyle name="Total 2 7 6 3 3" xfId="18574" xr:uid="{00000000-0005-0000-0000-000060600000}"/>
    <cellStyle name="Total 2 7 6 3_Summary" xfId="25345" xr:uid="{00000000-0005-0000-0000-000061600000}"/>
    <cellStyle name="Total 2 7 6 4" xfId="7784" xr:uid="{00000000-0005-0000-0000-000062600000}"/>
    <cellStyle name="Total 2 7 6 5" xfId="14403" xr:uid="{00000000-0005-0000-0000-000063600000}"/>
    <cellStyle name="Total 2 7 6_Summary" xfId="25343" xr:uid="{00000000-0005-0000-0000-000064600000}"/>
    <cellStyle name="Total 2 7 7" xfId="1470" xr:uid="{00000000-0005-0000-0000-000065600000}"/>
    <cellStyle name="Total 2 7 7 2" xfId="3606" xr:uid="{00000000-0005-0000-0000-000066600000}"/>
    <cellStyle name="Total 2 7 7 2 2" xfId="10202" xr:uid="{00000000-0005-0000-0000-000067600000}"/>
    <cellStyle name="Total 2 7 7 2 3" xfId="16821" xr:uid="{00000000-0005-0000-0000-000068600000}"/>
    <cellStyle name="Total 2 7 7 2_Summary" xfId="25347" xr:uid="{00000000-0005-0000-0000-000069600000}"/>
    <cellStyle name="Total 2 7 7 3" xfId="5641" xr:uid="{00000000-0005-0000-0000-00006A600000}"/>
    <cellStyle name="Total 2 7 7 3 2" xfId="12237" xr:uid="{00000000-0005-0000-0000-00006B600000}"/>
    <cellStyle name="Total 2 7 7 3 3" xfId="18856" xr:uid="{00000000-0005-0000-0000-00006C600000}"/>
    <cellStyle name="Total 2 7 7 3_Summary" xfId="25348" xr:uid="{00000000-0005-0000-0000-00006D600000}"/>
    <cellStyle name="Total 2 7 7 4" xfId="8066" xr:uid="{00000000-0005-0000-0000-00006E600000}"/>
    <cellStyle name="Total 2 7 7 5" xfId="14685" xr:uid="{00000000-0005-0000-0000-00006F600000}"/>
    <cellStyle name="Total 2 7 7_Summary" xfId="25346" xr:uid="{00000000-0005-0000-0000-000070600000}"/>
    <cellStyle name="Total 2 7 8" xfId="1751" xr:uid="{00000000-0005-0000-0000-000071600000}"/>
    <cellStyle name="Total 2 7 8 2" xfId="3887" xr:uid="{00000000-0005-0000-0000-000072600000}"/>
    <cellStyle name="Total 2 7 8 2 2" xfId="10483" xr:uid="{00000000-0005-0000-0000-000073600000}"/>
    <cellStyle name="Total 2 7 8 2 3" xfId="17102" xr:uid="{00000000-0005-0000-0000-000074600000}"/>
    <cellStyle name="Total 2 7 8 2_Summary" xfId="25350" xr:uid="{00000000-0005-0000-0000-000075600000}"/>
    <cellStyle name="Total 2 7 8 3" xfId="5922" xr:uid="{00000000-0005-0000-0000-000076600000}"/>
    <cellStyle name="Total 2 7 8 3 2" xfId="12518" xr:uid="{00000000-0005-0000-0000-000077600000}"/>
    <cellStyle name="Total 2 7 8 3 3" xfId="19137" xr:uid="{00000000-0005-0000-0000-000078600000}"/>
    <cellStyle name="Total 2 7 8 3_Summary" xfId="25351" xr:uid="{00000000-0005-0000-0000-000079600000}"/>
    <cellStyle name="Total 2 7 8 4" xfId="8347" xr:uid="{00000000-0005-0000-0000-00007A600000}"/>
    <cellStyle name="Total 2 7 8 5" xfId="14966" xr:uid="{00000000-0005-0000-0000-00007B600000}"/>
    <cellStyle name="Total 2 7 8_Summary" xfId="25349" xr:uid="{00000000-0005-0000-0000-00007C600000}"/>
    <cellStyle name="Total 2 7 9" xfId="2030" xr:uid="{00000000-0005-0000-0000-00007D600000}"/>
    <cellStyle name="Total 2 7 9 2" xfId="4166" xr:uid="{00000000-0005-0000-0000-00007E600000}"/>
    <cellStyle name="Total 2 7 9 2 2" xfId="10762" xr:uid="{00000000-0005-0000-0000-00007F600000}"/>
    <cellStyle name="Total 2 7 9 2 3" xfId="17381" xr:uid="{00000000-0005-0000-0000-000080600000}"/>
    <cellStyle name="Total 2 7 9 2_Summary" xfId="25353" xr:uid="{00000000-0005-0000-0000-000081600000}"/>
    <cellStyle name="Total 2 7 9 3" xfId="6201" xr:uid="{00000000-0005-0000-0000-000082600000}"/>
    <cellStyle name="Total 2 7 9 3 2" xfId="12797" xr:uid="{00000000-0005-0000-0000-000083600000}"/>
    <cellStyle name="Total 2 7 9 3 3" xfId="19416" xr:uid="{00000000-0005-0000-0000-000084600000}"/>
    <cellStyle name="Total 2 7 9 3_Summary" xfId="25354" xr:uid="{00000000-0005-0000-0000-000085600000}"/>
    <cellStyle name="Total 2 7 9 4" xfId="8626" xr:uid="{00000000-0005-0000-0000-000086600000}"/>
    <cellStyle name="Total 2 7 9 5" xfId="15245" xr:uid="{00000000-0005-0000-0000-000087600000}"/>
    <cellStyle name="Total 2 7 9_Summary" xfId="25352" xr:uid="{00000000-0005-0000-0000-000088600000}"/>
    <cellStyle name="Total 2 7_Summary" xfId="25245" xr:uid="{00000000-0005-0000-0000-000089600000}"/>
    <cellStyle name="Total 2 8" xfId="198" xr:uid="{00000000-0005-0000-0000-00008A600000}"/>
    <cellStyle name="Total 2 8 10" xfId="2307" xr:uid="{00000000-0005-0000-0000-00008B600000}"/>
    <cellStyle name="Total 2 8 10 2" xfId="4443" xr:uid="{00000000-0005-0000-0000-00008C600000}"/>
    <cellStyle name="Total 2 8 10 2 2" xfId="11039" xr:uid="{00000000-0005-0000-0000-00008D600000}"/>
    <cellStyle name="Total 2 8 10 2 3" xfId="17658" xr:uid="{00000000-0005-0000-0000-00008E600000}"/>
    <cellStyle name="Total 2 8 10 2_Summary" xfId="25357" xr:uid="{00000000-0005-0000-0000-00008F600000}"/>
    <cellStyle name="Total 2 8 10 3" xfId="6478" xr:uid="{00000000-0005-0000-0000-000090600000}"/>
    <cellStyle name="Total 2 8 10 3 2" xfId="13074" xr:uid="{00000000-0005-0000-0000-000091600000}"/>
    <cellStyle name="Total 2 8 10 3 3" xfId="19693" xr:uid="{00000000-0005-0000-0000-000092600000}"/>
    <cellStyle name="Total 2 8 10 3_Summary" xfId="25358" xr:uid="{00000000-0005-0000-0000-000093600000}"/>
    <cellStyle name="Total 2 8 10 4" xfId="8903" xr:uid="{00000000-0005-0000-0000-000094600000}"/>
    <cellStyle name="Total 2 8 10 5" xfId="15522" xr:uid="{00000000-0005-0000-0000-000095600000}"/>
    <cellStyle name="Total 2 8 10_Summary" xfId="25356" xr:uid="{00000000-0005-0000-0000-000096600000}"/>
    <cellStyle name="Total 2 8 11" xfId="2626" xr:uid="{00000000-0005-0000-0000-000097600000}"/>
    <cellStyle name="Total 2 8 11 2" xfId="9222" xr:uid="{00000000-0005-0000-0000-000098600000}"/>
    <cellStyle name="Total 2 8 11 3" xfId="15841" xr:uid="{00000000-0005-0000-0000-000099600000}"/>
    <cellStyle name="Total 2 8 11_Summary" xfId="25359" xr:uid="{00000000-0005-0000-0000-00009A600000}"/>
    <cellStyle name="Total 2 8 12" xfId="2592" xr:uid="{00000000-0005-0000-0000-00009B600000}"/>
    <cellStyle name="Total 2 8 12 2" xfId="9188" xr:uid="{00000000-0005-0000-0000-00009C600000}"/>
    <cellStyle name="Total 2 8 12 3" xfId="15807" xr:uid="{00000000-0005-0000-0000-00009D600000}"/>
    <cellStyle name="Total 2 8 12_Summary" xfId="25360" xr:uid="{00000000-0005-0000-0000-00009E600000}"/>
    <cellStyle name="Total 2 8 13" xfId="515" xr:uid="{00000000-0005-0000-0000-00009F600000}"/>
    <cellStyle name="Total 2 8 13 2" xfId="13730" xr:uid="{00000000-0005-0000-0000-0000A0600000}"/>
    <cellStyle name="Total 2 8 13_Summary" xfId="25361" xr:uid="{00000000-0005-0000-0000-0000A1600000}"/>
    <cellStyle name="Total 2 8 14" xfId="7106" xr:uid="{00000000-0005-0000-0000-0000A2600000}"/>
    <cellStyle name="Total 2 8 15" xfId="6982" xr:uid="{00000000-0005-0000-0000-0000A3600000}"/>
    <cellStyle name="Total 2 8 16" xfId="29909" xr:uid="{91F8FB8A-BAC3-46D4-84B1-BB44703064C0}"/>
    <cellStyle name="Total 2 8 17" xfId="31381" xr:uid="{FB90D55D-0807-4F4A-B473-351E78EDBDAB}"/>
    <cellStyle name="Total 2 8 2" xfId="330" xr:uid="{00000000-0005-0000-0000-0000A4600000}"/>
    <cellStyle name="Total 2 8 2 10" xfId="4751" xr:uid="{00000000-0005-0000-0000-0000A5600000}"/>
    <cellStyle name="Total 2 8 2 10 2" xfId="11347" xr:uid="{00000000-0005-0000-0000-0000A6600000}"/>
    <cellStyle name="Total 2 8 2 10 3" xfId="17966" xr:uid="{00000000-0005-0000-0000-0000A7600000}"/>
    <cellStyle name="Total 2 8 2 10_Summary" xfId="25363" xr:uid="{00000000-0005-0000-0000-0000A8600000}"/>
    <cellStyle name="Total 2 8 2 11" xfId="580" xr:uid="{00000000-0005-0000-0000-0000A9600000}"/>
    <cellStyle name="Total 2 8 2 11 2" xfId="13795" xr:uid="{00000000-0005-0000-0000-0000AA600000}"/>
    <cellStyle name="Total 2 8 2 11_Summary" xfId="25364" xr:uid="{00000000-0005-0000-0000-0000AB600000}"/>
    <cellStyle name="Total 2 8 2 12" xfId="7224" xr:uid="{00000000-0005-0000-0000-0000AC600000}"/>
    <cellStyle name="Total 2 8 2 13" xfId="13546" xr:uid="{00000000-0005-0000-0000-0000AD600000}"/>
    <cellStyle name="Total 2 8 2 14" xfId="29910" xr:uid="{50E88683-288A-4EAF-AE4D-26603A8E0219}"/>
    <cellStyle name="Total 2 8 2 15" xfId="31382" xr:uid="{DEDDB11D-D7A7-4284-893A-DB9EB538E5B8}"/>
    <cellStyle name="Total 2 8 2 2" xfId="459" xr:uid="{00000000-0005-0000-0000-0000AE600000}"/>
    <cellStyle name="Total 2 8 2 2 10" xfId="853" xr:uid="{00000000-0005-0000-0000-0000AF600000}"/>
    <cellStyle name="Total 2 8 2 2 10 2" xfId="14068" xr:uid="{00000000-0005-0000-0000-0000B0600000}"/>
    <cellStyle name="Total 2 8 2 2 10_Summary" xfId="25366" xr:uid="{00000000-0005-0000-0000-0000B1600000}"/>
    <cellStyle name="Total 2 8 2 2 11" xfId="7352" xr:uid="{00000000-0005-0000-0000-0000B2600000}"/>
    <cellStyle name="Total 2 8 2 2 12" xfId="13674" xr:uid="{00000000-0005-0000-0000-0000B3600000}"/>
    <cellStyle name="Total 2 8 2 2 13" xfId="30671" xr:uid="{F9F3024B-35BD-4C57-B5AB-FA361021E8D9}"/>
    <cellStyle name="Total 2 8 2 2 14" xfId="32103" xr:uid="{1698F3A1-1BD9-457B-B223-B1AC0DDBDE20}"/>
    <cellStyle name="Total 2 8 2 2 2" xfId="1153" xr:uid="{00000000-0005-0000-0000-0000B4600000}"/>
    <cellStyle name="Total 2 8 2 2 2 2" xfId="3289" xr:uid="{00000000-0005-0000-0000-0000B5600000}"/>
    <cellStyle name="Total 2 8 2 2 2 2 2" xfId="9885" xr:uid="{00000000-0005-0000-0000-0000B6600000}"/>
    <cellStyle name="Total 2 8 2 2 2 2 3" xfId="16504" xr:uid="{00000000-0005-0000-0000-0000B7600000}"/>
    <cellStyle name="Total 2 8 2 2 2 2_Summary" xfId="25368" xr:uid="{00000000-0005-0000-0000-0000B8600000}"/>
    <cellStyle name="Total 2 8 2 2 2 3" xfId="5324" xr:uid="{00000000-0005-0000-0000-0000B9600000}"/>
    <cellStyle name="Total 2 8 2 2 2 3 2" xfId="11920" xr:uid="{00000000-0005-0000-0000-0000BA600000}"/>
    <cellStyle name="Total 2 8 2 2 2 3 3" xfId="18539" xr:uid="{00000000-0005-0000-0000-0000BB600000}"/>
    <cellStyle name="Total 2 8 2 2 2 3_Summary" xfId="25369" xr:uid="{00000000-0005-0000-0000-0000BC600000}"/>
    <cellStyle name="Total 2 8 2 2 2 4" xfId="7749" xr:uid="{00000000-0005-0000-0000-0000BD600000}"/>
    <cellStyle name="Total 2 8 2 2 2 5" xfId="14368" xr:uid="{00000000-0005-0000-0000-0000BE600000}"/>
    <cellStyle name="Total 2 8 2 2 2_Summary" xfId="25367" xr:uid="{00000000-0005-0000-0000-0000BF600000}"/>
    <cellStyle name="Total 2 8 2 2 3" xfId="1435" xr:uid="{00000000-0005-0000-0000-0000C0600000}"/>
    <cellStyle name="Total 2 8 2 2 3 2" xfId="3571" xr:uid="{00000000-0005-0000-0000-0000C1600000}"/>
    <cellStyle name="Total 2 8 2 2 3 2 2" xfId="10167" xr:uid="{00000000-0005-0000-0000-0000C2600000}"/>
    <cellStyle name="Total 2 8 2 2 3 2 3" xfId="16786" xr:uid="{00000000-0005-0000-0000-0000C3600000}"/>
    <cellStyle name="Total 2 8 2 2 3 2_Summary" xfId="25371" xr:uid="{00000000-0005-0000-0000-0000C4600000}"/>
    <cellStyle name="Total 2 8 2 2 3 3" xfId="5606" xr:uid="{00000000-0005-0000-0000-0000C5600000}"/>
    <cellStyle name="Total 2 8 2 2 3 3 2" xfId="12202" xr:uid="{00000000-0005-0000-0000-0000C6600000}"/>
    <cellStyle name="Total 2 8 2 2 3 3 3" xfId="18821" xr:uid="{00000000-0005-0000-0000-0000C7600000}"/>
    <cellStyle name="Total 2 8 2 2 3 3_Summary" xfId="25372" xr:uid="{00000000-0005-0000-0000-0000C8600000}"/>
    <cellStyle name="Total 2 8 2 2 3 4" xfId="8031" xr:uid="{00000000-0005-0000-0000-0000C9600000}"/>
    <cellStyle name="Total 2 8 2 2 3 5" xfId="14650" xr:uid="{00000000-0005-0000-0000-0000CA600000}"/>
    <cellStyle name="Total 2 8 2 2 3_Summary" xfId="25370" xr:uid="{00000000-0005-0000-0000-0000CB600000}"/>
    <cellStyle name="Total 2 8 2 2 4" xfId="1716" xr:uid="{00000000-0005-0000-0000-0000CC600000}"/>
    <cellStyle name="Total 2 8 2 2 4 2" xfId="3852" xr:uid="{00000000-0005-0000-0000-0000CD600000}"/>
    <cellStyle name="Total 2 8 2 2 4 2 2" xfId="10448" xr:uid="{00000000-0005-0000-0000-0000CE600000}"/>
    <cellStyle name="Total 2 8 2 2 4 2 3" xfId="17067" xr:uid="{00000000-0005-0000-0000-0000CF600000}"/>
    <cellStyle name="Total 2 8 2 2 4 2_Summary" xfId="25374" xr:uid="{00000000-0005-0000-0000-0000D0600000}"/>
    <cellStyle name="Total 2 8 2 2 4 3" xfId="5887" xr:uid="{00000000-0005-0000-0000-0000D1600000}"/>
    <cellStyle name="Total 2 8 2 2 4 3 2" xfId="12483" xr:uid="{00000000-0005-0000-0000-0000D2600000}"/>
    <cellStyle name="Total 2 8 2 2 4 3 3" xfId="19102" xr:uid="{00000000-0005-0000-0000-0000D3600000}"/>
    <cellStyle name="Total 2 8 2 2 4 3_Summary" xfId="25375" xr:uid="{00000000-0005-0000-0000-0000D4600000}"/>
    <cellStyle name="Total 2 8 2 2 4 4" xfId="8312" xr:uid="{00000000-0005-0000-0000-0000D5600000}"/>
    <cellStyle name="Total 2 8 2 2 4 5" xfId="14931" xr:uid="{00000000-0005-0000-0000-0000D6600000}"/>
    <cellStyle name="Total 2 8 2 2 4_Summary" xfId="25373" xr:uid="{00000000-0005-0000-0000-0000D7600000}"/>
    <cellStyle name="Total 2 8 2 2 5" xfId="1995" xr:uid="{00000000-0005-0000-0000-0000D8600000}"/>
    <cellStyle name="Total 2 8 2 2 5 2" xfId="4131" xr:uid="{00000000-0005-0000-0000-0000D9600000}"/>
    <cellStyle name="Total 2 8 2 2 5 2 2" xfId="10727" xr:uid="{00000000-0005-0000-0000-0000DA600000}"/>
    <cellStyle name="Total 2 8 2 2 5 2 3" xfId="17346" xr:uid="{00000000-0005-0000-0000-0000DB600000}"/>
    <cellStyle name="Total 2 8 2 2 5 2_Summary" xfId="25377" xr:uid="{00000000-0005-0000-0000-0000DC600000}"/>
    <cellStyle name="Total 2 8 2 2 5 3" xfId="6166" xr:uid="{00000000-0005-0000-0000-0000DD600000}"/>
    <cellStyle name="Total 2 8 2 2 5 3 2" xfId="12762" xr:uid="{00000000-0005-0000-0000-0000DE600000}"/>
    <cellStyle name="Total 2 8 2 2 5 3 3" xfId="19381" xr:uid="{00000000-0005-0000-0000-0000DF600000}"/>
    <cellStyle name="Total 2 8 2 2 5 3_Summary" xfId="25378" xr:uid="{00000000-0005-0000-0000-0000E0600000}"/>
    <cellStyle name="Total 2 8 2 2 5 4" xfId="8591" xr:uid="{00000000-0005-0000-0000-0000E1600000}"/>
    <cellStyle name="Total 2 8 2 2 5 5" xfId="15210" xr:uid="{00000000-0005-0000-0000-0000E2600000}"/>
    <cellStyle name="Total 2 8 2 2 5_Summary" xfId="25376" xr:uid="{00000000-0005-0000-0000-0000E3600000}"/>
    <cellStyle name="Total 2 8 2 2 6" xfId="2270" xr:uid="{00000000-0005-0000-0000-0000E4600000}"/>
    <cellStyle name="Total 2 8 2 2 6 2" xfId="4406" xr:uid="{00000000-0005-0000-0000-0000E5600000}"/>
    <cellStyle name="Total 2 8 2 2 6 2 2" xfId="11002" xr:uid="{00000000-0005-0000-0000-0000E6600000}"/>
    <cellStyle name="Total 2 8 2 2 6 2 3" xfId="17621" xr:uid="{00000000-0005-0000-0000-0000E7600000}"/>
    <cellStyle name="Total 2 8 2 2 6 2_Summary" xfId="25380" xr:uid="{00000000-0005-0000-0000-0000E8600000}"/>
    <cellStyle name="Total 2 8 2 2 6 3" xfId="6441" xr:uid="{00000000-0005-0000-0000-0000E9600000}"/>
    <cellStyle name="Total 2 8 2 2 6 3 2" xfId="13037" xr:uid="{00000000-0005-0000-0000-0000EA600000}"/>
    <cellStyle name="Total 2 8 2 2 6 3 3" xfId="19656" xr:uid="{00000000-0005-0000-0000-0000EB600000}"/>
    <cellStyle name="Total 2 8 2 2 6 3_Summary" xfId="25381" xr:uid="{00000000-0005-0000-0000-0000EC600000}"/>
    <cellStyle name="Total 2 8 2 2 6 4" xfId="8866" xr:uid="{00000000-0005-0000-0000-0000ED600000}"/>
    <cellStyle name="Total 2 8 2 2 6 5" xfId="15485" xr:uid="{00000000-0005-0000-0000-0000EE600000}"/>
    <cellStyle name="Total 2 8 2 2 6_Summary" xfId="25379" xr:uid="{00000000-0005-0000-0000-0000EF600000}"/>
    <cellStyle name="Total 2 8 2 2 7" xfId="2543" xr:uid="{00000000-0005-0000-0000-0000F0600000}"/>
    <cellStyle name="Total 2 8 2 2 7 2" xfId="4679" xr:uid="{00000000-0005-0000-0000-0000F1600000}"/>
    <cellStyle name="Total 2 8 2 2 7 2 2" xfId="11275" xr:uid="{00000000-0005-0000-0000-0000F2600000}"/>
    <cellStyle name="Total 2 8 2 2 7 2 3" xfId="17894" xr:uid="{00000000-0005-0000-0000-0000F3600000}"/>
    <cellStyle name="Total 2 8 2 2 7 2_Summary" xfId="25383" xr:uid="{00000000-0005-0000-0000-0000F4600000}"/>
    <cellStyle name="Total 2 8 2 2 7 3" xfId="6714" xr:uid="{00000000-0005-0000-0000-0000F5600000}"/>
    <cellStyle name="Total 2 8 2 2 7 3 2" xfId="13310" xr:uid="{00000000-0005-0000-0000-0000F6600000}"/>
    <cellStyle name="Total 2 8 2 2 7 3 3" xfId="19929" xr:uid="{00000000-0005-0000-0000-0000F7600000}"/>
    <cellStyle name="Total 2 8 2 2 7 3_Summary" xfId="25384" xr:uid="{00000000-0005-0000-0000-0000F8600000}"/>
    <cellStyle name="Total 2 8 2 2 7 4" xfId="9139" xr:uid="{00000000-0005-0000-0000-0000F9600000}"/>
    <cellStyle name="Total 2 8 2 2 7 5" xfId="15758" xr:uid="{00000000-0005-0000-0000-0000FA600000}"/>
    <cellStyle name="Total 2 8 2 2 7_Summary" xfId="25382" xr:uid="{00000000-0005-0000-0000-0000FB600000}"/>
    <cellStyle name="Total 2 8 2 2 8" xfId="2989" xr:uid="{00000000-0005-0000-0000-0000FC600000}"/>
    <cellStyle name="Total 2 8 2 2 8 2" xfId="9585" xr:uid="{00000000-0005-0000-0000-0000FD600000}"/>
    <cellStyle name="Total 2 8 2 2 8 3" xfId="16204" xr:uid="{00000000-0005-0000-0000-0000FE600000}"/>
    <cellStyle name="Total 2 8 2 2 8_Summary" xfId="25385" xr:uid="{00000000-0005-0000-0000-0000FF600000}"/>
    <cellStyle name="Total 2 8 2 2 9" xfId="5024" xr:uid="{00000000-0005-0000-0000-000000610000}"/>
    <cellStyle name="Total 2 8 2 2 9 2" xfId="11620" xr:uid="{00000000-0005-0000-0000-000001610000}"/>
    <cellStyle name="Total 2 8 2 2 9 3" xfId="18239" xr:uid="{00000000-0005-0000-0000-000002610000}"/>
    <cellStyle name="Total 2 8 2 2 9_Summary" xfId="25386" xr:uid="{00000000-0005-0000-0000-000003610000}"/>
    <cellStyle name="Total 2 8 2 2_Summary" xfId="25365" xr:uid="{00000000-0005-0000-0000-000004610000}"/>
    <cellStyle name="Total 2 8 2 3" xfId="1025" xr:uid="{00000000-0005-0000-0000-000005610000}"/>
    <cellStyle name="Total 2 8 2 3 2" xfId="3161" xr:uid="{00000000-0005-0000-0000-000006610000}"/>
    <cellStyle name="Total 2 8 2 3 2 2" xfId="9757" xr:uid="{00000000-0005-0000-0000-000007610000}"/>
    <cellStyle name="Total 2 8 2 3 2 3" xfId="16376" xr:uid="{00000000-0005-0000-0000-000008610000}"/>
    <cellStyle name="Total 2 8 2 3 2_Summary" xfId="25388" xr:uid="{00000000-0005-0000-0000-000009610000}"/>
    <cellStyle name="Total 2 8 2 3 3" xfId="5196" xr:uid="{00000000-0005-0000-0000-00000A610000}"/>
    <cellStyle name="Total 2 8 2 3 3 2" xfId="11792" xr:uid="{00000000-0005-0000-0000-00000B610000}"/>
    <cellStyle name="Total 2 8 2 3 3 3" xfId="18411" xr:uid="{00000000-0005-0000-0000-00000C610000}"/>
    <cellStyle name="Total 2 8 2 3 3_Summary" xfId="25389" xr:uid="{00000000-0005-0000-0000-00000D610000}"/>
    <cellStyle name="Total 2 8 2 3 4" xfId="7622" xr:uid="{00000000-0005-0000-0000-00000E610000}"/>
    <cellStyle name="Total 2 8 2 3 5" xfId="14240" xr:uid="{00000000-0005-0000-0000-00000F610000}"/>
    <cellStyle name="Total 2 8 2 3_Summary" xfId="25387" xr:uid="{00000000-0005-0000-0000-000010610000}"/>
    <cellStyle name="Total 2 8 2 4" xfId="1307" xr:uid="{00000000-0005-0000-0000-000011610000}"/>
    <cellStyle name="Total 2 8 2 4 2" xfId="3443" xr:uid="{00000000-0005-0000-0000-000012610000}"/>
    <cellStyle name="Total 2 8 2 4 2 2" xfId="10039" xr:uid="{00000000-0005-0000-0000-000013610000}"/>
    <cellStyle name="Total 2 8 2 4 2 3" xfId="16658" xr:uid="{00000000-0005-0000-0000-000014610000}"/>
    <cellStyle name="Total 2 8 2 4 2_Summary" xfId="25391" xr:uid="{00000000-0005-0000-0000-000015610000}"/>
    <cellStyle name="Total 2 8 2 4 3" xfId="5478" xr:uid="{00000000-0005-0000-0000-000016610000}"/>
    <cellStyle name="Total 2 8 2 4 3 2" xfId="12074" xr:uid="{00000000-0005-0000-0000-000017610000}"/>
    <cellStyle name="Total 2 8 2 4 3 3" xfId="18693" xr:uid="{00000000-0005-0000-0000-000018610000}"/>
    <cellStyle name="Total 2 8 2 4 3_Summary" xfId="25392" xr:uid="{00000000-0005-0000-0000-000019610000}"/>
    <cellStyle name="Total 2 8 2 4 4" xfId="7903" xr:uid="{00000000-0005-0000-0000-00001A610000}"/>
    <cellStyle name="Total 2 8 2 4 5" xfId="14522" xr:uid="{00000000-0005-0000-0000-00001B610000}"/>
    <cellStyle name="Total 2 8 2 4_Summary" xfId="25390" xr:uid="{00000000-0005-0000-0000-00001C610000}"/>
    <cellStyle name="Total 2 8 2 5" xfId="1588" xr:uid="{00000000-0005-0000-0000-00001D610000}"/>
    <cellStyle name="Total 2 8 2 5 2" xfId="3724" xr:uid="{00000000-0005-0000-0000-00001E610000}"/>
    <cellStyle name="Total 2 8 2 5 2 2" xfId="10320" xr:uid="{00000000-0005-0000-0000-00001F610000}"/>
    <cellStyle name="Total 2 8 2 5 2 3" xfId="16939" xr:uid="{00000000-0005-0000-0000-000020610000}"/>
    <cellStyle name="Total 2 8 2 5 2_Summary" xfId="25394" xr:uid="{00000000-0005-0000-0000-000021610000}"/>
    <cellStyle name="Total 2 8 2 5 3" xfId="5759" xr:uid="{00000000-0005-0000-0000-000022610000}"/>
    <cellStyle name="Total 2 8 2 5 3 2" xfId="12355" xr:uid="{00000000-0005-0000-0000-000023610000}"/>
    <cellStyle name="Total 2 8 2 5 3 3" xfId="18974" xr:uid="{00000000-0005-0000-0000-000024610000}"/>
    <cellStyle name="Total 2 8 2 5 3_Summary" xfId="25395" xr:uid="{00000000-0005-0000-0000-000025610000}"/>
    <cellStyle name="Total 2 8 2 5 4" xfId="8184" xr:uid="{00000000-0005-0000-0000-000026610000}"/>
    <cellStyle name="Total 2 8 2 5 5" xfId="14803" xr:uid="{00000000-0005-0000-0000-000027610000}"/>
    <cellStyle name="Total 2 8 2 5_Summary" xfId="25393" xr:uid="{00000000-0005-0000-0000-000028610000}"/>
    <cellStyle name="Total 2 8 2 6" xfId="1867" xr:uid="{00000000-0005-0000-0000-000029610000}"/>
    <cellStyle name="Total 2 8 2 6 2" xfId="4003" xr:uid="{00000000-0005-0000-0000-00002A610000}"/>
    <cellStyle name="Total 2 8 2 6 2 2" xfId="10599" xr:uid="{00000000-0005-0000-0000-00002B610000}"/>
    <cellStyle name="Total 2 8 2 6 2 3" xfId="17218" xr:uid="{00000000-0005-0000-0000-00002C610000}"/>
    <cellStyle name="Total 2 8 2 6 2_Summary" xfId="25397" xr:uid="{00000000-0005-0000-0000-00002D610000}"/>
    <cellStyle name="Total 2 8 2 6 3" xfId="6038" xr:uid="{00000000-0005-0000-0000-00002E610000}"/>
    <cellStyle name="Total 2 8 2 6 3 2" xfId="12634" xr:uid="{00000000-0005-0000-0000-00002F610000}"/>
    <cellStyle name="Total 2 8 2 6 3 3" xfId="19253" xr:uid="{00000000-0005-0000-0000-000030610000}"/>
    <cellStyle name="Total 2 8 2 6 3_Summary" xfId="25398" xr:uid="{00000000-0005-0000-0000-000031610000}"/>
    <cellStyle name="Total 2 8 2 6 4" xfId="8463" xr:uid="{00000000-0005-0000-0000-000032610000}"/>
    <cellStyle name="Total 2 8 2 6 5" xfId="15082" xr:uid="{00000000-0005-0000-0000-000033610000}"/>
    <cellStyle name="Total 2 8 2 6_Summary" xfId="25396" xr:uid="{00000000-0005-0000-0000-000034610000}"/>
    <cellStyle name="Total 2 8 2 7" xfId="2142" xr:uid="{00000000-0005-0000-0000-000035610000}"/>
    <cellStyle name="Total 2 8 2 7 2" xfId="4278" xr:uid="{00000000-0005-0000-0000-000036610000}"/>
    <cellStyle name="Total 2 8 2 7 2 2" xfId="10874" xr:uid="{00000000-0005-0000-0000-000037610000}"/>
    <cellStyle name="Total 2 8 2 7 2 3" xfId="17493" xr:uid="{00000000-0005-0000-0000-000038610000}"/>
    <cellStyle name="Total 2 8 2 7 2_Summary" xfId="25400" xr:uid="{00000000-0005-0000-0000-000039610000}"/>
    <cellStyle name="Total 2 8 2 7 3" xfId="6313" xr:uid="{00000000-0005-0000-0000-00003A610000}"/>
    <cellStyle name="Total 2 8 2 7 3 2" xfId="12909" xr:uid="{00000000-0005-0000-0000-00003B610000}"/>
    <cellStyle name="Total 2 8 2 7 3 3" xfId="19528" xr:uid="{00000000-0005-0000-0000-00003C610000}"/>
    <cellStyle name="Total 2 8 2 7 3_Summary" xfId="25401" xr:uid="{00000000-0005-0000-0000-00003D610000}"/>
    <cellStyle name="Total 2 8 2 7 4" xfId="8738" xr:uid="{00000000-0005-0000-0000-00003E610000}"/>
    <cellStyle name="Total 2 8 2 7 5" xfId="15357" xr:uid="{00000000-0005-0000-0000-00003F610000}"/>
    <cellStyle name="Total 2 8 2 7_Summary" xfId="25399" xr:uid="{00000000-0005-0000-0000-000040610000}"/>
    <cellStyle name="Total 2 8 2 8" xfId="2415" xr:uid="{00000000-0005-0000-0000-000041610000}"/>
    <cellStyle name="Total 2 8 2 8 2" xfId="4551" xr:uid="{00000000-0005-0000-0000-000042610000}"/>
    <cellStyle name="Total 2 8 2 8 2 2" xfId="11147" xr:uid="{00000000-0005-0000-0000-000043610000}"/>
    <cellStyle name="Total 2 8 2 8 2 3" xfId="17766" xr:uid="{00000000-0005-0000-0000-000044610000}"/>
    <cellStyle name="Total 2 8 2 8 2_Summary" xfId="25403" xr:uid="{00000000-0005-0000-0000-000045610000}"/>
    <cellStyle name="Total 2 8 2 8 3" xfId="6586" xr:uid="{00000000-0005-0000-0000-000046610000}"/>
    <cellStyle name="Total 2 8 2 8 3 2" xfId="13182" xr:uid="{00000000-0005-0000-0000-000047610000}"/>
    <cellStyle name="Total 2 8 2 8 3 3" xfId="19801" xr:uid="{00000000-0005-0000-0000-000048610000}"/>
    <cellStyle name="Total 2 8 2 8 3_Summary" xfId="25404" xr:uid="{00000000-0005-0000-0000-000049610000}"/>
    <cellStyle name="Total 2 8 2 8 4" xfId="9011" xr:uid="{00000000-0005-0000-0000-00004A610000}"/>
    <cellStyle name="Total 2 8 2 8 5" xfId="15630" xr:uid="{00000000-0005-0000-0000-00004B610000}"/>
    <cellStyle name="Total 2 8 2 8_Summary" xfId="25402" xr:uid="{00000000-0005-0000-0000-00004C610000}"/>
    <cellStyle name="Total 2 8 2 9" xfId="2716" xr:uid="{00000000-0005-0000-0000-00004D610000}"/>
    <cellStyle name="Total 2 8 2 9 2" xfId="9312" xr:uid="{00000000-0005-0000-0000-00004E610000}"/>
    <cellStyle name="Total 2 8 2 9 3" xfId="15931" xr:uid="{00000000-0005-0000-0000-00004F610000}"/>
    <cellStyle name="Total 2 8 2 9_Summary" xfId="25405" xr:uid="{00000000-0005-0000-0000-000050610000}"/>
    <cellStyle name="Total 2 8 2_Summary" xfId="25362" xr:uid="{00000000-0005-0000-0000-000051610000}"/>
    <cellStyle name="Total 2 8 3" xfId="244" xr:uid="{00000000-0005-0000-0000-000052610000}"/>
    <cellStyle name="Total 2 8 3 10" xfId="781" xr:uid="{00000000-0005-0000-0000-000053610000}"/>
    <cellStyle name="Total 2 8 3 10 2" xfId="13996" xr:uid="{00000000-0005-0000-0000-000054610000}"/>
    <cellStyle name="Total 2 8 3 10_Summary" xfId="25407" xr:uid="{00000000-0005-0000-0000-000055610000}"/>
    <cellStyle name="Total 2 8 3 11" xfId="7151" xr:uid="{00000000-0005-0000-0000-000056610000}"/>
    <cellStyle name="Total 2 8 3 12" xfId="7062" xr:uid="{00000000-0005-0000-0000-000057610000}"/>
    <cellStyle name="Total 2 8 3 13" xfId="29911" xr:uid="{A6365446-66E9-44CF-BA12-EBE2B5E1D4FB}"/>
    <cellStyle name="Total 2 8 3 14" xfId="31383" xr:uid="{1BAEC553-70FF-4F3A-855D-AB1E7C194C3B}"/>
    <cellStyle name="Total 2 8 3 2" xfId="949" xr:uid="{00000000-0005-0000-0000-000058610000}"/>
    <cellStyle name="Total 2 8 3 2 2" xfId="3085" xr:uid="{00000000-0005-0000-0000-000059610000}"/>
    <cellStyle name="Total 2 8 3 2 2 2" xfId="9681" xr:uid="{00000000-0005-0000-0000-00005A610000}"/>
    <cellStyle name="Total 2 8 3 2 2 3" xfId="16300" xr:uid="{00000000-0005-0000-0000-00005B610000}"/>
    <cellStyle name="Total 2 8 3 2 2_Summary" xfId="25409" xr:uid="{00000000-0005-0000-0000-00005C610000}"/>
    <cellStyle name="Total 2 8 3 2 3" xfId="5120" xr:uid="{00000000-0005-0000-0000-00005D610000}"/>
    <cellStyle name="Total 2 8 3 2 3 2" xfId="11716" xr:uid="{00000000-0005-0000-0000-00005E610000}"/>
    <cellStyle name="Total 2 8 3 2 3 3" xfId="18335" xr:uid="{00000000-0005-0000-0000-00005F610000}"/>
    <cellStyle name="Total 2 8 3 2 3_Summary" xfId="25410" xr:uid="{00000000-0005-0000-0000-000060610000}"/>
    <cellStyle name="Total 2 8 3 2 4" xfId="7546" xr:uid="{00000000-0005-0000-0000-000061610000}"/>
    <cellStyle name="Total 2 8 3 2 5" xfId="14164" xr:uid="{00000000-0005-0000-0000-000062610000}"/>
    <cellStyle name="Total 2 8 3 2 6" xfId="30672" xr:uid="{07C58900-A073-40C7-8563-3BD85978C63E}"/>
    <cellStyle name="Total 2 8 3 2 7" xfId="32104" xr:uid="{5F49BD4F-9862-4880-8351-E1D05CDDB70E}"/>
    <cellStyle name="Total 2 8 3 2_Summary" xfId="25408" xr:uid="{00000000-0005-0000-0000-000063610000}"/>
    <cellStyle name="Total 2 8 3 3" xfId="1234" xr:uid="{00000000-0005-0000-0000-000064610000}"/>
    <cellStyle name="Total 2 8 3 3 2" xfId="3370" xr:uid="{00000000-0005-0000-0000-000065610000}"/>
    <cellStyle name="Total 2 8 3 3 2 2" xfId="9966" xr:uid="{00000000-0005-0000-0000-000066610000}"/>
    <cellStyle name="Total 2 8 3 3 2 3" xfId="16585" xr:uid="{00000000-0005-0000-0000-000067610000}"/>
    <cellStyle name="Total 2 8 3 3 2_Summary" xfId="25412" xr:uid="{00000000-0005-0000-0000-000068610000}"/>
    <cellStyle name="Total 2 8 3 3 3" xfId="5405" xr:uid="{00000000-0005-0000-0000-000069610000}"/>
    <cellStyle name="Total 2 8 3 3 3 2" xfId="12001" xr:uid="{00000000-0005-0000-0000-00006A610000}"/>
    <cellStyle name="Total 2 8 3 3 3 3" xfId="18620" xr:uid="{00000000-0005-0000-0000-00006B610000}"/>
    <cellStyle name="Total 2 8 3 3 3_Summary" xfId="25413" xr:uid="{00000000-0005-0000-0000-00006C610000}"/>
    <cellStyle name="Total 2 8 3 3 4" xfId="7830" xr:uid="{00000000-0005-0000-0000-00006D610000}"/>
    <cellStyle name="Total 2 8 3 3 5" xfId="14449" xr:uid="{00000000-0005-0000-0000-00006E610000}"/>
    <cellStyle name="Total 2 8 3 3_Summary" xfId="25411" xr:uid="{00000000-0005-0000-0000-00006F610000}"/>
    <cellStyle name="Total 2 8 3 4" xfId="1516" xr:uid="{00000000-0005-0000-0000-000070610000}"/>
    <cellStyle name="Total 2 8 3 4 2" xfId="3652" xr:uid="{00000000-0005-0000-0000-000071610000}"/>
    <cellStyle name="Total 2 8 3 4 2 2" xfId="10248" xr:uid="{00000000-0005-0000-0000-000072610000}"/>
    <cellStyle name="Total 2 8 3 4 2 3" xfId="16867" xr:uid="{00000000-0005-0000-0000-000073610000}"/>
    <cellStyle name="Total 2 8 3 4 2_Summary" xfId="25415" xr:uid="{00000000-0005-0000-0000-000074610000}"/>
    <cellStyle name="Total 2 8 3 4 3" xfId="5687" xr:uid="{00000000-0005-0000-0000-000075610000}"/>
    <cellStyle name="Total 2 8 3 4 3 2" xfId="12283" xr:uid="{00000000-0005-0000-0000-000076610000}"/>
    <cellStyle name="Total 2 8 3 4 3 3" xfId="18902" xr:uid="{00000000-0005-0000-0000-000077610000}"/>
    <cellStyle name="Total 2 8 3 4 3_Summary" xfId="25416" xr:uid="{00000000-0005-0000-0000-000078610000}"/>
    <cellStyle name="Total 2 8 3 4 4" xfId="8112" xr:uid="{00000000-0005-0000-0000-000079610000}"/>
    <cellStyle name="Total 2 8 3 4 5" xfId="14731" xr:uid="{00000000-0005-0000-0000-00007A610000}"/>
    <cellStyle name="Total 2 8 3 4_Summary" xfId="25414" xr:uid="{00000000-0005-0000-0000-00007B610000}"/>
    <cellStyle name="Total 2 8 3 5" xfId="1797" xr:uid="{00000000-0005-0000-0000-00007C610000}"/>
    <cellStyle name="Total 2 8 3 5 2" xfId="3933" xr:uid="{00000000-0005-0000-0000-00007D610000}"/>
    <cellStyle name="Total 2 8 3 5 2 2" xfId="10529" xr:uid="{00000000-0005-0000-0000-00007E610000}"/>
    <cellStyle name="Total 2 8 3 5 2 3" xfId="17148" xr:uid="{00000000-0005-0000-0000-00007F610000}"/>
    <cellStyle name="Total 2 8 3 5 2_Summary" xfId="25418" xr:uid="{00000000-0005-0000-0000-000080610000}"/>
    <cellStyle name="Total 2 8 3 5 3" xfId="5968" xr:uid="{00000000-0005-0000-0000-000081610000}"/>
    <cellStyle name="Total 2 8 3 5 3 2" xfId="12564" xr:uid="{00000000-0005-0000-0000-000082610000}"/>
    <cellStyle name="Total 2 8 3 5 3 3" xfId="19183" xr:uid="{00000000-0005-0000-0000-000083610000}"/>
    <cellStyle name="Total 2 8 3 5 3_Summary" xfId="25419" xr:uid="{00000000-0005-0000-0000-000084610000}"/>
    <cellStyle name="Total 2 8 3 5 4" xfId="8393" xr:uid="{00000000-0005-0000-0000-000085610000}"/>
    <cellStyle name="Total 2 8 3 5 5" xfId="15012" xr:uid="{00000000-0005-0000-0000-000086610000}"/>
    <cellStyle name="Total 2 8 3 5_Summary" xfId="25417" xr:uid="{00000000-0005-0000-0000-000087610000}"/>
    <cellStyle name="Total 2 8 3 6" xfId="2076" xr:uid="{00000000-0005-0000-0000-000088610000}"/>
    <cellStyle name="Total 2 8 3 6 2" xfId="4212" xr:uid="{00000000-0005-0000-0000-000089610000}"/>
    <cellStyle name="Total 2 8 3 6 2 2" xfId="10808" xr:uid="{00000000-0005-0000-0000-00008A610000}"/>
    <cellStyle name="Total 2 8 3 6 2 3" xfId="17427" xr:uid="{00000000-0005-0000-0000-00008B610000}"/>
    <cellStyle name="Total 2 8 3 6 2_Summary" xfId="25421" xr:uid="{00000000-0005-0000-0000-00008C610000}"/>
    <cellStyle name="Total 2 8 3 6 3" xfId="6247" xr:uid="{00000000-0005-0000-0000-00008D610000}"/>
    <cellStyle name="Total 2 8 3 6 3 2" xfId="12843" xr:uid="{00000000-0005-0000-0000-00008E610000}"/>
    <cellStyle name="Total 2 8 3 6 3 3" xfId="19462" xr:uid="{00000000-0005-0000-0000-00008F610000}"/>
    <cellStyle name="Total 2 8 3 6 3_Summary" xfId="25422" xr:uid="{00000000-0005-0000-0000-000090610000}"/>
    <cellStyle name="Total 2 8 3 6 4" xfId="8672" xr:uid="{00000000-0005-0000-0000-000091610000}"/>
    <cellStyle name="Total 2 8 3 6 5" xfId="15291" xr:uid="{00000000-0005-0000-0000-000092610000}"/>
    <cellStyle name="Total 2 8 3 6_Summary" xfId="25420" xr:uid="{00000000-0005-0000-0000-000093610000}"/>
    <cellStyle name="Total 2 8 3 7" xfId="2351" xr:uid="{00000000-0005-0000-0000-000094610000}"/>
    <cellStyle name="Total 2 8 3 7 2" xfId="4487" xr:uid="{00000000-0005-0000-0000-000095610000}"/>
    <cellStyle name="Total 2 8 3 7 2 2" xfId="11083" xr:uid="{00000000-0005-0000-0000-000096610000}"/>
    <cellStyle name="Total 2 8 3 7 2 3" xfId="17702" xr:uid="{00000000-0005-0000-0000-000097610000}"/>
    <cellStyle name="Total 2 8 3 7 2_Summary" xfId="25424" xr:uid="{00000000-0005-0000-0000-000098610000}"/>
    <cellStyle name="Total 2 8 3 7 3" xfId="6522" xr:uid="{00000000-0005-0000-0000-000099610000}"/>
    <cellStyle name="Total 2 8 3 7 3 2" xfId="13118" xr:uid="{00000000-0005-0000-0000-00009A610000}"/>
    <cellStyle name="Total 2 8 3 7 3 3" xfId="19737" xr:uid="{00000000-0005-0000-0000-00009B610000}"/>
    <cellStyle name="Total 2 8 3 7 3_Summary" xfId="25425" xr:uid="{00000000-0005-0000-0000-00009C610000}"/>
    <cellStyle name="Total 2 8 3 7 4" xfId="8947" xr:uid="{00000000-0005-0000-0000-00009D610000}"/>
    <cellStyle name="Total 2 8 3 7 5" xfId="15566" xr:uid="{00000000-0005-0000-0000-00009E610000}"/>
    <cellStyle name="Total 2 8 3 7_Summary" xfId="25423" xr:uid="{00000000-0005-0000-0000-00009F610000}"/>
    <cellStyle name="Total 2 8 3 8" xfId="2917" xr:uid="{00000000-0005-0000-0000-0000A0610000}"/>
    <cellStyle name="Total 2 8 3 8 2" xfId="9513" xr:uid="{00000000-0005-0000-0000-0000A1610000}"/>
    <cellStyle name="Total 2 8 3 8 3" xfId="16132" xr:uid="{00000000-0005-0000-0000-0000A2610000}"/>
    <cellStyle name="Total 2 8 3 8_Summary" xfId="25426" xr:uid="{00000000-0005-0000-0000-0000A3610000}"/>
    <cellStyle name="Total 2 8 3 9" xfId="4952" xr:uid="{00000000-0005-0000-0000-0000A4610000}"/>
    <cellStyle name="Total 2 8 3 9 2" xfId="11548" xr:uid="{00000000-0005-0000-0000-0000A5610000}"/>
    <cellStyle name="Total 2 8 3 9 3" xfId="18167" xr:uid="{00000000-0005-0000-0000-0000A6610000}"/>
    <cellStyle name="Total 2 8 3 9_Summary" xfId="25427" xr:uid="{00000000-0005-0000-0000-0000A7610000}"/>
    <cellStyle name="Total 2 8 3_Summary" xfId="25406" xr:uid="{00000000-0005-0000-0000-0000A8610000}"/>
    <cellStyle name="Total 2 8 4" xfId="398" xr:uid="{00000000-0005-0000-0000-0000A9610000}"/>
    <cellStyle name="Total 2 8 4 10" xfId="735" xr:uid="{00000000-0005-0000-0000-0000AA610000}"/>
    <cellStyle name="Total 2 8 4 10 2" xfId="13950" xr:uid="{00000000-0005-0000-0000-0000AB610000}"/>
    <cellStyle name="Total 2 8 4 10_Summary" xfId="25429" xr:uid="{00000000-0005-0000-0000-0000AC610000}"/>
    <cellStyle name="Total 2 8 4 11" xfId="7291" xr:uid="{00000000-0005-0000-0000-0000AD610000}"/>
    <cellStyle name="Total 2 8 4 12" xfId="13613" xr:uid="{00000000-0005-0000-0000-0000AE610000}"/>
    <cellStyle name="Total 2 8 4 13" xfId="29912" xr:uid="{F55F74F4-3CFC-4324-865D-48712343BBD8}"/>
    <cellStyle name="Total 2 8 4 14" xfId="31384" xr:uid="{2FAD0FF1-E632-4D73-A34C-BB88733ADD4D}"/>
    <cellStyle name="Total 2 8 4 2" xfId="1092" xr:uid="{00000000-0005-0000-0000-0000AF610000}"/>
    <cellStyle name="Total 2 8 4 2 2" xfId="3228" xr:uid="{00000000-0005-0000-0000-0000B0610000}"/>
    <cellStyle name="Total 2 8 4 2 2 2" xfId="9824" xr:uid="{00000000-0005-0000-0000-0000B1610000}"/>
    <cellStyle name="Total 2 8 4 2 2 3" xfId="16443" xr:uid="{00000000-0005-0000-0000-0000B2610000}"/>
    <cellStyle name="Total 2 8 4 2 2_Summary" xfId="25431" xr:uid="{00000000-0005-0000-0000-0000B3610000}"/>
    <cellStyle name="Total 2 8 4 2 3" xfId="5263" xr:uid="{00000000-0005-0000-0000-0000B4610000}"/>
    <cellStyle name="Total 2 8 4 2 3 2" xfId="11859" xr:uid="{00000000-0005-0000-0000-0000B5610000}"/>
    <cellStyle name="Total 2 8 4 2 3 3" xfId="18478" xr:uid="{00000000-0005-0000-0000-0000B6610000}"/>
    <cellStyle name="Total 2 8 4 2 3_Summary" xfId="25432" xr:uid="{00000000-0005-0000-0000-0000B7610000}"/>
    <cellStyle name="Total 2 8 4 2 4" xfId="7689" xr:uid="{00000000-0005-0000-0000-0000B8610000}"/>
    <cellStyle name="Total 2 8 4 2 5" xfId="14307" xr:uid="{00000000-0005-0000-0000-0000B9610000}"/>
    <cellStyle name="Total 2 8 4 2 6" xfId="30673" xr:uid="{555ECEA6-3A2D-43DF-9F74-3895C3AFDE3D}"/>
    <cellStyle name="Total 2 8 4 2 7" xfId="32105" xr:uid="{42E4B1C4-0646-40E0-9289-64AA5B59031D}"/>
    <cellStyle name="Total 2 8 4 2_Summary" xfId="25430" xr:uid="{00000000-0005-0000-0000-0000BA610000}"/>
    <cellStyle name="Total 2 8 4 3" xfId="1374" xr:uid="{00000000-0005-0000-0000-0000BB610000}"/>
    <cellStyle name="Total 2 8 4 3 2" xfId="3510" xr:uid="{00000000-0005-0000-0000-0000BC610000}"/>
    <cellStyle name="Total 2 8 4 3 2 2" xfId="10106" xr:uid="{00000000-0005-0000-0000-0000BD610000}"/>
    <cellStyle name="Total 2 8 4 3 2 3" xfId="16725" xr:uid="{00000000-0005-0000-0000-0000BE610000}"/>
    <cellStyle name="Total 2 8 4 3 2_Summary" xfId="25434" xr:uid="{00000000-0005-0000-0000-0000BF610000}"/>
    <cellStyle name="Total 2 8 4 3 3" xfId="5545" xr:uid="{00000000-0005-0000-0000-0000C0610000}"/>
    <cellStyle name="Total 2 8 4 3 3 2" xfId="12141" xr:uid="{00000000-0005-0000-0000-0000C1610000}"/>
    <cellStyle name="Total 2 8 4 3 3 3" xfId="18760" xr:uid="{00000000-0005-0000-0000-0000C2610000}"/>
    <cellStyle name="Total 2 8 4 3 3_Summary" xfId="25435" xr:uid="{00000000-0005-0000-0000-0000C3610000}"/>
    <cellStyle name="Total 2 8 4 3 4" xfId="7970" xr:uid="{00000000-0005-0000-0000-0000C4610000}"/>
    <cellStyle name="Total 2 8 4 3 5" xfId="14589" xr:uid="{00000000-0005-0000-0000-0000C5610000}"/>
    <cellStyle name="Total 2 8 4 3_Summary" xfId="25433" xr:uid="{00000000-0005-0000-0000-0000C6610000}"/>
    <cellStyle name="Total 2 8 4 4" xfId="1655" xr:uid="{00000000-0005-0000-0000-0000C7610000}"/>
    <cellStyle name="Total 2 8 4 4 2" xfId="3791" xr:uid="{00000000-0005-0000-0000-0000C8610000}"/>
    <cellStyle name="Total 2 8 4 4 2 2" xfId="10387" xr:uid="{00000000-0005-0000-0000-0000C9610000}"/>
    <cellStyle name="Total 2 8 4 4 2 3" xfId="17006" xr:uid="{00000000-0005-0000-0000-0000CA610000}"/>
    <cellStyle name="Total 2 8 4 4 2_Summary" xfId="25437" xr:uid="{00000000-0005-0000-0000-0000CB610000}"/>
    <cellStyle name="Total 2 8 4 4 3" xfId="5826" xr:uid="{00000000-0005-0000-0000-0000CC610000}"/>
    <cellStyle name="Total 2 8 4 4 3 2" xfId="12422" xr:uid="{00000000-0005-0000-0000-0000CD610000}"/>
    <cellStyle name="Total 2 8 4 4 3 3" xfId="19041" xr:uid="{00000000-0005-0000-0000-0000CE610000}"/>
    <cellStyle name="Total 2 8 4 4 3_Summary" xfId="25438" xr:uid="{00000000-0005-0000-0000-0000CF610000}"/>
    <cellStyle name="Total 2 8 4 4 4" xfId="8251" xr:uid="{00000000-0005-0000-0000-0000D0610000}"/>
    <cellStyle name="Total 2 8 4 4 5" xfId="14870" xr:uid="{00000000-0005-0000-0000-0000D1610000}"/>
    <cellStyle name="Total 2 8 4 4_Summary" xfId="25436" xr:uid="{00000000-0005-0000-0000-0000D2610000}"/>
    <cellStyle name="Total 2 8 4 5" xfId="1934" xr:uid="{00000000-0005-0000-0000-0000D3610000}"/>
    <cellStyle name="Total 2 8 4 5 2" xfId="4070" xr:uid="{00000000-0005-0000-0000-0000D4610000}"/>
    <cellStyle name="Total 2 8 4 5 2 2" xfId="10666" xr:uid="{00000000-0005-0000-0000-0000D5610000}"/>
    <cellStyle name="Total 2 8 4 5 2 3" xfId="17285" xr:uid="{00000000-0005-0000-0000-0000D6610000}"/>
    <cellStyle name="Total 2 8 4 5 2_Summary" xfId="25440" xr:uid="{00000000-0005-0000-0000-0000D7610000}"/>
    <cellStyle name="Total 2 8 4 5 3" xfId="6105" xr:uid="{00000000-0005-0000-0000-0000D8610000}"/>
    <cellStyle name="Total 2 8 4 5 3 2" xfId="12701" xr:uid="{00000000-0005-0000-0000-0000D9610000}"/>
    <cellStyle name="Total 2 8 4 5 3 3" xfId="19320" xr:uid="{00000000-0005-0000-0000-0000DA610000}"/>
    <cellStyle name="Total 2 8 4 5 3_Summary" xfId="25441" xr:uid="{00000000-0005-0000-0000-0000DB610000}"/>
    <cellStyle name="Total 2 8 4 5 4" xfId="8530" xr:uid="{00000000-0005-0000-0000-0000DC610000}"/>
    <cellStyle name="Total 2 8 4 5 5" xfId="15149" xr:uid="{00000000-0005-0000-0000-0000DD610000}"/>
    <cellStyle name="Total 2 8 4 5_Summary" xfId="25439" xr:uid="{00000000-0005-0000-0000-0000DE610000}"/>
    <cellStyle name="Total 2 8 4 6" xfId="2209" xr:uid="{00000000-0005-0000-0000-0000DF610000}"/>
    <cellStyle name="Total 2 8 4 6 2" xfId="4345" xr:uid="{00000000-0005-0000-0000-0000E0610000}"/>
    <cellStyle name="Total 2 8 4 6 2 2" xfId="10941" xr:uid="{00000000-0005-0000-0000-0000E1610000}"/>
    <cellStyle name="Total 2 8 4 6 2 3" xfId="17560" xr:uid="{00000000-0005-0000-0000-0000E2610000}"/>
    <cellStyle name="Total 2 8 4 6 2_Summary" xfId="25443" xr:uid="{00000000-0005-0000-0000-0000E3610000}"/>
    <cellStyle name="Total 2 8 4 6 3" xfId="6380" xr:uid="{00000000-0005-0000-0000-0000E4610000}"/>
    <cellStyle name="Total 2 8 4 6 3 2" xfId="12976" xr:uid="{00000000-0005-0000-0000-0000E5610000}"/>
    <cellStyle name="Total 2 8 4 6 3 3" xfId="19595" xr:uid="{00000000-0005-0000-0000-0000E6610000}"/>
    <cellStyle name="Total 2 8 4 6 3_Summary" xfId="25444" xr:uid="{00000000-0005-0000-0000-0000E7610000}"/>
    <cellStyle name="Total 2 8 4 6 4" xfId="8805" xr:uid="{00000000-0005-0000-0000-0000E8610000}"/>
    <cellStyle name="Total 2 8 4 6 5" xfId="15424" xr:uid="{00000000-0005-0000-0000-0000E9610000}"/>
    <cellStyle name="Total 2 8 4 6_Summary" xfId="25442" xr:uid="{00000000-0005-0000-0000-0000EA610000}"/>
    <cellStyle name="Total 2 8 4 7" xfId="2482" xr:uid="{00000000-0005-0000-0000-0000EB610000}"/>
    <cellStyle name="Total 2 8 4 7 2" xfId="4618" xr:uid="{00000000-0005-0000-0000-0000EC610000}"/>
    <cellStyle name="Total 2 8 4 7 2 2" xfId="11214" xr:uid="{00000000-0005-0000-0000-0000ED610000}"/>
    <cellStyle name="Total 2 8 4 7 2 3" xfId="17833" xr:uid="{00000000-0005-0000-0000-0000EE610000}"/>
    <cellStyle name="Total 2 8 4 7 2_Summary" xfId="25446" xr:uid="{00000000-0005-0000-0000-0000EF610000}"/>
    <cellStyle name="Total 2 8 4 7 3" xfId="6653" xr:uid="{00000000-0005-0000-0000-0000F0610000}"/>
    <cellStyle name="Total 2 8 4 7 3 2" xfId="13249" xr:uid="{00000000-0005-0000-0000-0000F1610000}"/>
    <cellStyle name="Total 2 8 4 7 3 3" xfId="19868" xr:uid="{00000000-0005-0000-0000-0000F2610000}"/>
    <cellStyle name="Total 2 8 4 7 3_Summary" xfId="25447" xr:uid="{00000000-0005-0000-0000-0000F3610000}"/>
    <cellStyle name="Total 2 8 4 7 4" xfId="9078" xr:uid="{00000000-0005-0000-0000-0000F4610000}"/>
    <cellStyle name="Total 2 8 4 7 5" xfId="15697" xr:uid="{00000000-0005-0000-0000-0000F5610000}"/>
    <cellStyle name="Total 2 8 4 7_Summary" xfId="25445" xr:uid="{00000000-0005-0000-0000-0000F6610000}"/>
    <cellStyle name="Total 2 8 4 8" xfId="2871" xr:uid="{00000000-0005-0000-0000-0000F7610000}"/>
    <cellStyle name="Total 2 8 4 8 2" xfId="9467" xr:uid="{00000000-0005-0000-0000-0000F8610000}"/>
    <cellStyle name="Total 2 8 4 8 3" xfId="16086" xr:uid="{00000000-0005-0000-0000-0000F9610000}"/>
    <cellStyle name="Total 2 8 4 8_Summary" xfId="25448" xr:uid="{00000000-0005-0000-0000-0000FA610000}"/>
    <cellStyle name="Total 2 8 4 9" xfId="4906" xr:uid="{00000000-0005-0000-0000-0000FB610000}"/>
    <cellStyle name="Total 2 8 4 9 2" xfId="11502" xr:uid="{00000000-0005-0000-0000-0000FC610000}"/>
    <cellStyle name="Total 2 8 4 9 3" xfId="18121" xr:uid="{00000000-0005-0000-0000-0000FD610000}"/>
    <cellStyle name="Total 2 8 4 9_Summary" xfId="25449" xr:uid="{00000000-0005-0000-0000-0000FE610000}"/>
    <cellStyle name="Total 2 8 4_Summary" xfId="25428" xr:uid="{00000000-0005-0000-0000-0000FF610000}"/>
    <cellStyle name="Total 2 8 5" xfId="905" xr:uid="{00000000-0005-0000-0000-000000620000}"/>
    <cellStyle name="Total 2 8 5 2" xfId="3041" xr:uid="{00000000-0005-0000-0000-000001620000}"/>
    <cellStyle name="Total 2 8 5 2 2" xfId="9637" xr:uid="{00000000-0005-0000-0000-000002620000}"/>
    <cellStyle name="Total 2 8 5 2 3" xfId="16256" xr:uid="{00000000-0005-0000-0000-000003620000}"/>
    <cellStyle name="Total 2 8 5 2_Summary" xfId="25451" xr:uid="{00000000-0005-0000-0000-000004620000}"/>
    <cellStyle name="Total 2 8 5 3" xfId="5076" xr:uid="{00000000-0005-0000-0000-000005620000}"/>
    <cellStyle name="Total 2 8 5 3 2" xfId="11672" xr:uid="{00000000-0005-0000-0000-000006620000}"/>
    <cellStyle name="Total 2 8 5 3 3" xfId="18291" xr:uid="{00000000-0005-0000-0000-000007620000}"/>
    <cellStyle name="Total 2 8 5 3_Summary" xfId="25452" xr:uid="{00000000-0005-0000-0000-000008620000}"/>
    <cellStyle name="Total 2 8 5 4" xfId="7502" xr:uid="{00000000-0005-0000-0000-000009620000}"/>
    <cellStyle name="Total 2 8 5 5" xfId="14120" xr:uid="{00000000-0005-0000-0000-00000A620000}"/>
    <cellStyle name="Total 2 8 5 6" xfId="30670" xr:uid="{E44A2771-1082-4C97-AFB4-57FA3478DC61}"/>
    <cellStyle name="Total 2 8 5 7" xfId="32102" xr:uid="{B873B61A-5C39-466D-957A-692670284EEB}"/>
    <cellStyle name="Total 2 8 5_Summary" xfId="25450" xr:uid="{00000000-0005-0000-0000-00000B620000}"/>
    <cellStyle name="Total 2 8 6" xfId="1190" xr:uid="{00000000-0005-0000-0000-00000C620000}"/>
    <cellStyle name="Total 2 8 6 2" xfId="3326" xr:uid="{00000000-0005-0000-0000-00000D620000}"/>
    <cellStyle name="Total 2 8 6 2 2" xfId="9922" xr:uid="{00000000-0005-0000-0000-00000E620000}"/>
    <cellStyle name="Total 2 8 6 2 3" xfId="16541" xr:uid="{00000000-0005-0000-0000-00000F620000}"/>
    <cellStyle name="Total 2 8 6 2_Summary" xfId="25454" xr:uid="{00000000-0005-0000-0000-000010620000}"/>
    <cellStyle name="Total 2 8 6 3" xfId="5361" xr:uid="{00000000-0005-0000-0000-000011620000}"/>
    <cellStyle name="Total 2 8 6 3 2" xfId="11957" xr:uid="{00000000-0005-0000-0000-000012620000}"/>
    <cellStyle name="Total 2 8 6 3 3" xfId="18576" xr:uid="{00000000-0005-0000-0000-000013620000}"/>
    <cellStyle name="Total 2 8 6 3_Summary" xfId="25455" xr:uid="{00000000-0005-0000-0000-000014620000}"/>
    <cellStyle name="Total 2 8 6 4" xfId="7786" xr:uid="{00000000-0005-0000-0000-000015620000}"/>
    <cellStyle name="Total 2 8 6 5" xfId="14405" xr:uid="{00000000-0005-0000-0000-000016620000}"/>
    <cellStyle name="Total 2 8 6_Summary" xfId="25453" xr:uid="{00000000-0005-0000-0000-000017620000}"/>
    <cellStyle name="Total 2 8 7" xfId="1472" xr:uid="{00000000-0005-0000-0000-000018620000}"/>
    <cellStyle name="Total 2 8 7 2" xfId="3608" xr:uid="{00000000-0005-0000-0000-000019620000}"/>
    <cellStyle name="Total 2 8 7 2 2" xfId="10204" xr:uid="{00000000-0005-0000-0000-00001A620000}"/>
    <cellStyle name="Total 2 8 7 2 3" xfId="16823" xr:uid="{00000000-0005-0000-0000-00001B620000}"/>
    <cellStyle name="Total 2 8 7 2_Summary" xfId="25457" xr:uid="{00000000-0005-0000-0000-00001C620000}"/>
    <cellStyle name="Total 2 8 7 3" xfId="5643" xr:uid="{00000000-0005-0000-0000-00001D620000}"/>
    <cellStyle name="Total 2 8 7 3 2" xfId="12239" xr:uid="{00000000-0005-0000-0000-00001E620000}"/>
    <cellStyle name="Total 2 8 7 3 3" xfId="18858" xr:uid="{00000000-0005-0000-0000-00001F620000}"/>
    <cellStyle name="Total 2 8 7 3_Summary" xfId="25458" xr:uid="{00000000-0005-0000-0000-000020620000}"/>
    <cellStyle name="Total 2 8 7 4" xfId="8068" xr:uid="{00000000-0005-0000-0000-000021620000}"/>
    <cellStyle name="Total 2 8 7 5" xfId="14687" xr:uid="{00000000-0005-0000-0000-000022620000}"/>
    <cellStyle name="Total 2 8 7_Summary" xfId="25456" xr:uid="{00000000-0005-0000-0000-000023620000}"/>
    <cellStyle name="Total 2 8 8" xfId="1753" xr:uid="{00000000-0005-0000-0000-000024620000}"/>
    <cellStyle name="Total 2 8 8 2" xfId="3889" xr:uid="{00000000-0005-0000-0000-000025620000}"/>
    <cellStyle name="Total 2 8 8 2 2" xfId="10485" xr:uid="{00000000-0005-0000-0000-000026620000}"/>
    <cellStyle name="Total 2 8 8 2 3" xfId="17104" xr:uid="{00000000-0005-0000-0000-000027620000}"/>
    <cellStyle name="Total 2 8 8 2_Summary" xfId="25460" xr:uid="{00000000-0005-0000-0000-000028620000}"/>
    <cellStyle name="Total 2 8 8 3" xfId="5924" xr:uid="{00000000-0005-0000-0000-000029620000}"/>
    <cellStyle name="Total 2 8 8 3 2" xfId="12520" xr:uid="{00000000-0005-0000-0000-00002A620000}"/>
    <cellStyle name="Total 2 8 8 3 3" xfId="19139" xr:uid="{00000000-0005-0000-0000-00002B620000}"/>
    <cellStyle name="Total 2 8 8 3_Summary" xfId="25461" xr:uid="{00000000-0005-0000-0000-00002C620000}"/>
    <cellStyle name="Total 2 8 8 4" xfId="8349" xr:uid="{00000000-0005-0000-0000-00002D620000}"/>
    <cellStyle name="Total 2 8 8 5" xfId="14968" xr:uid="{00000000-0005-0000-0000-00002E620000}"/>
    <cellStyle name="Total 2 8 8_Summary" xfId="25459" xr:uid="{00000000-0005-0000-0000-00002F620000}"/>
    <cellStyle name="Total 2 8 9" xfId="2032" xr:uid="{00000000-0005-0000-0000-000030620000}"/>
    <cellStyle name="Total 2 8 9 2" xfId="4168" xr:uid="{00000000-0005-0000-0000-000031620000}"/>
    <cellStyle name="Total 2 8 9 2 2" xfId="10764" xr:uid="{00000000-0005-0000-0000-000032620000}"/>
    <cellStyle name="Total 2 8 9 2 3" xfId="17383" xr:uid="{00000000-0005-0000-0000-000033620000}"/>
    <cellStyle name="Total 2 8 9 2_Summary" xfId="25463" xr:uid="{00000000-0005-0000-0000-000034620000}"/>
    <cellStyle name="Total 2 8 9 3" xfId="6203" xr:uid="{00000000-0005-0000-0000-000035620000}"/>
    <cellStyle name="Total 2 8 9 3 2" xfId="12799" xr:uid="{00000000-0005-0000-0000-000036620000}"/>
    <cellStyle name="Total 2 8 9 3 3" xfId="19418" xr:uid="{00000000-0005-0000-0000-000037620000}"/>
    <cellStyle name="Total 2 8 9 3_Summary" xfId="25464" xr:uid="{00000000-0005-0000-0000-000038620000}"/>
    <cellStyle name="Total 2 8 9 4" xfId="8628" xr:uid="{00000000-0005-0000-0000-000039620000}"/>
    <cellStyle name="Total 2 8 9 5" xfId="15247" xr:uid="{00000000-0005-0000-0000-00003A620000}"/>
    <cellStyle name="Total 2 8 9_Summary" xfId="25462" xr:uid="{00000000-0005-0000-0000-00003B620000}"/>
    <cellStyle name="Total 2 8_Summary" xfId="25355" xr:uid="{00000000-0005-0000-0000-00003C620000}"/>
    <cellStyle name="Total 2 9" xfId="200" xr:uid="{00000000-0005-0000-0000-00003D620000}"/>
    <cellStyle name="Total 2 9 10" xfId="2309" xr:uid="{00000000-0005-0000-0000-00003E620000}"/>
    <cellStyle name="Total 2 9 10 2" xfId="4445" xr:uid="{00000000-0005-0000-0000-00003F620000}"/>
    <cellStyle name="Total 2 9 10 2 2" xfId="11041" xr:uid="{00000000-0005-0000-0000-000040620000}"/>
    <cellStyle name="Total 2 9 10 2 3" xfId="17660" xr:uid="{00000000-0005-0000-0000-000041620000}"/>
    <cellStyle name="Total 2 9 10 2_Summary" xfId="25467" xr:uid="{00000000-0005-0000-0000-000042620000}"/>
    <cellStyle name="Total 2 9 10 3" xfId="6480" xr:uid="{00000000-0005-0000-0000-000043620000}"/>
    <cellStyle name="Total 2 9 10 3 2" xfId="13076" xr:uid="{00000000-0005-0000-0000-000044620000}"/>
    <cellStyle name="Total 2 9 10 3 3" xfId="19695" xr:uid="{00000000-0005-0000-0000-000045620000}"/>
    <cellStyle name="Total 2 9 10 3_Summary" xfId="25468" xr:uid="{00000000-0005-0000-0000-000046620000}"/>
    <cellStyle name="Total 2 9 10 4" xfId="8905" xr:uid="{00000000-0005-0000-0000-000047620000}"/>
    <cellStyle name="Total 2 9 10 5" xfId="15524" xr:uid="{00000000-0005-0000-0000-000048620000}"/>
    <cellStyle name="Total 2 9 10_Summary" xfId="25466" xr:uid="{00000000-0005-0000-0000-000049620000}"/>
    <cellStyle name="Total 2 9 11" xfId="2628" xr:uid="{00000000-0005-0000-0000-00004A620000}"/>
    <cellStyle name="Total 2 9 11 2" xfId="9224" xr:uid="{00000000-0005-0000-0000-00004B620000}"/>
    <cellStyle name="Total 2 9 11 3" xfId="15843" xr:uid="{00000000-0005-0000-0000-00004C620000}"/>
    <cellStyle name="Total 2 9 11_Summary" xfId="25469" xr:uid="{00000000-0005-0000-0000-00004D620000}"/>
    <cellStyle name="Total 2 9 12" xfId="2643" xr:uid="{00000000-0005-0000-0000-00004E620000}"/>
    <cellStyle name="Total 2 9 12 2" xfId="9239" xr:uid="{00000000-0005-0000-0000-00004F620000}"/>
    <cellStyle name="Total 2 9 12 3" xfId="15858" xr:uid="{00000000-0005-0000-0000-000050620000}"/>
    <cellStyle name="Total 2 9 12_Summary" xfId="25470" xr:uid="{00000000-0005-0000-0000-000051620000}"/>
    <cellStyle name="Total 2 9 13" xfId="517" xr:uid="{00000000-0005-0000-0000-000052620000}"/>
    <cellStyle name="Total 2 9 13 2" xfId="13732" xr:uid="{00000000-0005-0000-0000-000053620000}"/>
    <cellStyle name="Total 2 9 13_Summary" xfId="25471" xr:uid="{00000000-0005-0000-0000-000054620000}"/>
    <cellStyle name="Total 2 9 14" xfId="7108" xr:uid="{00000000-0005-0000-0000-000055620000}"/>
    <cellStyle name="Total 2 9 15" xfId="7021" xr:uid="{00000000-0005-0000-0000-000056620000}"/>
    <cellStyle name="Total 2 9 16" xfId="29913" xr:uid="{CB70C0EB-E6A5-46FF-8DFB-66C91B31C555}"/>
    <cellStyle name="Total 2 9 17" xfId="31385" xr:uid="{7215988B-E7E5-47A8-B404-DA8C5D543178}"/>
    <cellStyle name="Total 2 9 2" xfId="332" xr:uid="{00000000-0005-0000-0000-000057620000}"/>
    <cellStyle name="Total 2 9 2 10" xfId="4753" xr:uid="{00000000-0005-0000-0000-000058620000}"/>
    <cellStyle name="Total 2 9 2 10 2" xfId="11349" xr:uid="{00000000-0005-0000-0000-000059620000}"/>
    <cellStyle name="Total 2 9 2 10 3" xfId="17968" xr:uid="{00000000-0005-0000-0000-00005A620000}"/>
    <cellStyle name="Total 2 9 2 10_Summary" xfId="25473" xr:uid="{00000000-0005-0000-0000-00005B620000}"/>
    <cellStyle name="Total 2 9 2 11" xfId="582" xr:uid="{00000000-0005-0000-0000-00005C620000}"/>
    <cellStyle name="Total 2 9 2 11 2" xfId="13797" xr:uid="{00000000-0005-0000-0000-00005D620000}"/>
    <cellStyle name="Total 2 9 2 11_Summary" xfId="25474" xr:uid="{00000000-0005-0000-0000-00005E620000}"/>
    <cellStyle name="Total 2 9 2 12" xfId="7226" xr:uid="{00000000-0005-0000-0000-00005F620000}"/>
    <cellStyle name="Total 2 9 2 13" xfId="13548" xr:uid="{00000000-0005-0000-0000-000060620000}"/>
    <cellStyle name="Total 2 9 2 14" xfId="29914" xr:uid="{E0F1B70C-EA15-4C9D-A9E8-6CBEDB9A797F}"/>
    <cellStyle name="Total 2 9 2 15" xfId="31386" xr:uid="{FF4DEC98-C7E2-4CC1-9EE0-5990382FDCEE}"/>
    <cellStyle name="Total 2 9 2 2" xfId="461" xr:uid="{00000000-0005-0000-0000-000061620000}"/>
    <cellStyle name="Total 2 9 2 2 10" xfId="855" xr:uid="{00000000-0005-0000-0000-000062620000}"/>
    <cellStyle name="Total 2 9 2 2 10 2" xfId="14070" xr:uid="{00000000-0005-0000-0000-000063620000}"/>
    <cellStyle name="Total 2 9 2 2 10_Summary" xfId="25476" xr:uid="{00000000-0005-0000-0000-000064620000}"/>
    <cellStyle name="Total 2 9 2 2 11" xfId="7354" xr:uid="{00000000-0005-0000-0000-000065620000}"/>
    <cellStyle name="Total 2 9 2 2 12" xfId="13676" xr:uid="{00000000-0005-0000-0000-000066620000}"/>
    <cellStyle name="Total 2 9 2 2 13" xfId="30675" xr:uid="{1178DD37-3171-41A9-A759-7BD5BEDB296E}"/>
    <cellStyle name="Total 2 9 2 2 14" xfId="32107" xr:uid="{142C4BAC-44D0-48D6-A1F6-2C75CC71C5FF}"/>
    <cellStyle name="Total 2 9 2 2 2" xfId="1155" xr:uid="{00000000-0005-0000-0000-000067620000}"/>
    <cellStyle name="Total 2 9 2 2 2 2" xfId="3291" xr:uid="{00000000-0005-0000-0000-000068620000}"/>
    <cellStyle name="Total 2 9 2 2 2 2 2" xfId="9887" xr:uid="{00000000-0005-0000-0000-000069620000}"/>
    <cellStyle name="Total 2 9 2 2 2 2 3" xfId="16506" xr:uid="{00000000-0005-0000-0000-00006A620000}"/>
    <cellStyle name="Total 2 9 2 2 2 2_Summary" xfId="25478" xr:uid="{00000000-0005-0000-0000-00006B620000}"/>
    <cellStyle name="Total 2 9 2 2 2 3" xfId="5326" xr:uid="{00000000-0005-0000-0000-00006C620000}"/>
    <cellStyle name="Total 2 9 2 2 2 3 2" xfId="11922" xr:uid="{00000000-0005-0000-0000-00006D620000}"/>
    <cellStyle name="Total 2 9 2 2 2 3 3" xfId="18541" xr:uid="{00000000-0005-0000-0000-00006E620000}"/>
    <cellStyle name="Total 2 9 2 2 2 3_Summary" xfId="25479" xr:uid="{00000000-0005-0000-0000-00006F620000}"/>
    <cellStyle name="Total 2 9 2 2 2 4" xfId="7751" xr:uid="{00000000-0005-0000-0000-000070620000}"/>
    <cellStyle name="Total 2 9 2 2 2 5" xfId="14370" xr:uid="{00000000-0005-0000-0000-000071620000}"/>
    <cellStyle name="Total 2 9 2 2 2_Summary" xfId="25477" xr:uid="{00000000-0005-0000-0000-000072620000}"/>
    <cellStyle name="Total 2 9 2 2 3" xfId="1437" xr:uid="{00000000-0005-0000-0000-000073620000}"/>
    <cellStyle name="Total 2 9 2 2 3 2" xfId="3573" xr:uid="{00000000-0005-0000-0000-000074620000}"/>
    <cellStyle name="Total 2 9 2 2 3 2 2" xfId="10169" xr:uid="{00000000-0005-0000-0000-000075620000}"/>
    <cellStyle name="Total 2 9 2 2 3 2 3" xfId="16788" xr:uid="{00000000-0005-0000-0000-000076620000}"/>
    <cellStyle name="Total 2 9 2 2 3 2_Summary" xfId="25481" xr:uid="{00000000-0005-0000-0000-000077620000}"/>
    <cellStyle name="Total 2 9 2 2 3 3" xfId="5608" xr:uid="{00000000-0005-0000-0000-000078620000}"/>
    <cellStyle name="Total 2 9 2 2 3 3 2" xfId="12204" xr:uid="{00000000-0005-0000-0000-000079620000}"/>
    <cellStyle name="Total 2 9 2 2 3 3 3" xfId="18823" xr:uid="{00000000-0005-0000-0000-00007A620000}"/>
    <cellStyle name="Total 2 9 2 2 3 3_Summary" xfId="25482" xr:uid="{00000000-0005-0000-0000-00007B620000}"/>
    <cellStyle name="Total 2 9 2 2 3 4" xfId="8033" xr:uid="{00000000-0005-0000-0000-00007C620000}"/>
    <cellStyle name="Total 2 9 2 2 3 5" xfId="14652" xr:uid="{00000000-0005-0000-0000-00007D620000}"/>
    <cellStyle name="Total 2 9 2 2 3_Summary" xfId="25480" xr:uid="{00000000-0005-0000-0000-00007E620000}"/>
    <cellStyle name="Total 2 9 2 2 4" xfId="1718" xr:uid="{00000000-0005-0000-0000-00007F620000}"/>
    <cellStyle name="Total 2 9 2 2 4 2" xfId="3854" xr:uid="{00000000-0005-0000-0000-000080620000}"/>
    <cellStyle name="Total 2 9 2 2 4 2 2" xfId="10450" xr:uid="{00000000-0005-0000-0000-000081620000}"/>
    <cellStyle name="Total 2 9 2 2 4 2 3" xfId="17069" xr:uid="{00000000-0005-0000-0000-000082620000}"/>
    <cellStyle name="Total 2 9 2 2 4 2_Summary" xfId="25484" xr:uid="{00000000-0005-0000-0000-000083620000}"/>
    <cellStyle name="Total 2 9 2 2 4 3" xfId="5889" xr:uid="{00000000-0005-0000-0000-000084620000}"/>
    <cellStyle name="Total 2 9 2 2 4 3 2" xfId="12485" xr:uid="{00000000-0005-0000-0000-000085620000}"/>
    <cellStyle name="Total 2 9 2 2 4 3 3" xfId="19104" xr:uid="{00000000-0005-0000-0000-000086620000}"/>
    <cellStyle name="Total 2 9 2 2 4 3_Summary" xfId="25485" xr:uid="{00000000-0005-0000-0000-000087620000}"/>
    <cellStyle name="Total 2 9 2 2 4 4" xfId="8314" xr:uid="{00000000-0005-0000-0000-000088620000}"/>
    <cellStyle name="Total 2 9 2 2 4 5" xfId="14933" xr:uid="{00000000-0005-0000-0000-000089620000}"/>
    <cellStyle name="Total 2 9 2 2 4_Summary" xfId="25483" xr:uid="{00000000-0005-0000-0000-00008A620000}"/>
    <cellStyle name="Total 2 9 2 2 5" xfId="1997" xr:uid="{00000000-0005-0000-0000-00008B620000}"/>
    <cellStyle name="Total 2 9 2 2 5 2" xfId="4133" xr:uid="{00000000-0005-0000-0000-00008C620000}"/>
    <cellStyle name="Total 2 9 2 2 5 2 2" xfId="10729" xr:uid="{00000000-0005-0000-0000-00008D620000}"/>
    <cellStyle name="Total 2 9 2 2 5 2 3" xfId="17348" xr:uid="{00000000-0005-0000-0000-00008E620000}"/>
    <cellStyle name="Total 2 9 2 2 5 2_Summary" xfId="25487" xr:uid="{00000000-0005-0000-0000-00008F620000}"/>
    <cellStyle name="Total 2 9 2 2 5 3" xfId="6168" xr:uid="{00000000-0005-0000-0000-000090620000}"/>
    <cellStyle name="Total 2 9 2 2 5 3 2" xfId="12764" xr:uid="{00000000-0005-0000-0000-000091620000}"/>
    <cellStyle name="Total 2 9 2 2 5 3 3" xfId="19383" xr:uid="{00000000-0005-0000-0000-000092620000}"/>
    <cellStyle name="Total 2 9 2 2 5 3_Summary" xfId="25488" xr:uid="{00000000-0005-0000-0000-000093620000}"/>
    <cellStyle name="Total 2 9 2 2 5 4" xfId="8593" xr:uid="{00000000-0005-0000-0000-000094620000}"/>
    <cellStyle name="Total 2 9 2 2 5 5" xfId="15212" xr:uid="{00000000-0005-0000-0000-000095620000}"/>
    <cellStyle name="Total 2 9 2 2 5_Summary" xfId="25486" xr:uid="{00000000-0005-0000-0000-000096620000}"/>
    <cellStyle name="Total 2 9 2 2 6" xfId="2272" xr:uid="{00000000-0005-0000-0000-000097620000}"/>
    <cellStyle name="Total 2 9 2 2 6 2" xfId="4408" xr:uid="{00000000-0005-0000-0000-000098620000}"/>
    <cellStyle name="Total 2 9 2 2 6 2 2" xfId="11004" xr:uid="{00000000-0005-0000-0000-000099620000}"/>
    <cellStyle name="Total 2 9 2 2 6 2 3" xfId="17623" xr:uid="{00000000-0005-0000-0000-00009A620000}"/>
    <cellStyle name="Total 2 9 2 2 6 2_Summary" xfId="25490" xr:uid="{00000000-0005-0000-0000-00009B620000}"/>
    <cellStyle name="Total 2 9 2 2 6 3" xfId="6443" xr:uid="{00000000-0005-0000-0000-00009C620000}"/>
    <cellStyle name="Total 2 9 2 2 6 3 2" xfId="13039" xr:uid="{00000000-0005-0000-0000-00009D620000}"/>
    <cellStyle name="Total 2 9 2 2 6 3 3" xfId="19658" xr:uid="{00000000-0005-0000-0000-00009E620000}"/>
    <cellStyle name="Total 2 9 2 2 6 3_Summary" xfId="25491" xr:uid="{00000000-0005-0000-0000-00009F620000}"/>
    <cellStyle name="Total 2 9 2 2 6 4" xfId="8868" xr:uid="{00000000-0005-0000-0000-0000A0620000}"/>
    <cellStyle name="Total 2 9 2 2 6 5" xfId="15487" xr:uid="{00000000-0005-0000-0000-0000A1620000}"/>
    <cellStyle name="Total 2 9 2 2 6_Summary" xfId="25489" xr:uid="{00000000-0005-0000-0000-0000A2620000}"/>
    <cellStyle name="Total 2 9 2 2 7" xfId="2545" xr:uid="{00000000-0005-0000-0000-0000A3620000}"/>
    <cellStyle name="Total 2 9 2 2 7 2" xfId="4681" xr:uid="{00000000-0005-0000-0000-0000A4620000}"/>
    <cellStyle name="Total 2 9 2 2 7 2 2" xfId="11277" xr:uid="{00000000-0005-0000-0000-0000A5620000}"/>
    <cellStyle name="Total 2 9 2 2 7 2 3" xfId="17896" xr:uid="{00000000-0005-0000-0000-0000A6620000}"/>
    <cellStyle name="Total 2 9 2 2 7 2_Summary" xfId="25493" xr:uid="{00000000-0005-0000-0000-0000A7620000}"/>
    <cellStyle name="Total 2 9 2 2 7 3" xfId="6716" xr:uid="{00000000-0005-0000-0000-0000A8620000}"/>
    <cellStyle name="Total 2 9 2 2 7 3 2" xfId="13312" xr:uid="{00000000-0005-0000-0000-0000A9620000}"/>
    <cellStyle name="Total 2 9 2 2 7 3 3" xfId="19931" xr:uid="{00000000-0005-0000-0000-0000AA620000}"/>
    <cellStyle name="Total 2 9 2 2 7 3_Summary" xfId="25494" xr:uid="{00000000-0005-0000-0000-0000AB620000}"/>
    <cellStyle name="Total 2 9 2 2 7 4" xfId="9141" xr:uid="{00000000-0005-0000-0000-0000AC620000}"/>
    <cellStyle name="Total 2 9 2 2 7 5" xfId="15760" xr:uid="{00000000-0005-0000-0000-0000AD620000}"/>
    <cellStyle name="Total 2 9 2 2 7_Summary" xfId="25492" xr:uid="{00000000-0005-0000-0000-0000AE620000}"/>
    <cellStyle name="Total 2 9 2 2 8" xfId="2991" xr:uid="{00000000-0005-0000-0000-0000AF620000}"/>
    <cellStyle name="Total 2 9 2 2 8 2" xfId="9587" xr:uid="{00000000-0005-0000-0000-0000B0620000}"/>
    <cellStyle name="Total 2 9 2 2 8 3" xfId="16206" xr:uid="{00000000-0005-0000-0000-0000B1620000}"/>
    <cellStyle name="Total 2 9 2 2 8_Summary" xfId="25495" xr:uid="{00000000-0005-0000-0000-0000B2620000}"/>
    <cellStyle name="Total 2 9 2 2 9" xfId="5026" xr:uid="{00000000-0005-0000-0000-0000B3620000}"/>
    <cellStyle name="Total 2 9 2 2 9 2" xfId="11622" xr:uid="{00000000-0005-0000-0000-0000B4620000}"/>
    <cellStyle name="Total 2 9 2 2 9 3" xfId="18241" xr:uid="{00000000-0005-0000-0000-0000B5620000}"/>
    <cellStyle name="Total 2 9 2 2 9_Summary" xfId="25496" xr:uid="{00000000-0005-0000-0000-0000B6620000}"/>
    <cellStyle name="Total 2 9 2 2_Summary" xfId="25475" xr:uid="{00000000-0005-0000-0000-0000B7620000}"/>
    <cellStyle name="Total 2 9 2 3" xfId="1027" xr:uid="{00000000-0005-0000-0000-0000B8620000}"/>
    <cellStyle name="Total 2 9 2 3 2" xfId="3163" xr:uid="{00000000-0005-0000-0000-0000B9620000}"/>
    <cellStyle name="Total 2 9 2 3 2 2" xfId="9759" xr:uid="{00000000-0005-0000-0000-0000BA620000}"/>
    <cellStyle name="Total 2 9 2 3 2 3" xfId="16378" xr:uid="{00000000-0005-0000-0000-0000BB620000}"/>
    <cellStyle name="Total 2 9 2 3 2_Summary" xfId="25498" xr:uid="{00000000-0005-0000-0000-0000BC620000}"/>
    <cellStyle name="Total 2 9 2 3 3" xfId="5198" xr:uid="{00000000-0005-0000-0000-0000BD620000}"/>
    <cellStyle name="Total 2 9 2 3 3 2" xfId="11794" xr:uid="{00000000-0005-0000-0000-0000BE620000}"/>
    <cellStyle name="Total 2 9 2 3 3 3" xfId="18413" xr:uid="{00000000-0005-0000-0000-0000BF620000}"/>
    <cellStyle name="Total 2 9 2 3 3_Summary" xfId="25499" xr:uid="{00000000-0005-0000-0000-0000C0620000}"/>
    <cellStyle name="Total 2 9 2 3 4" xfId="7624" xr:uid="{00000000-0005-0000-0000-0000C1620000}"/>
    <cellStyle name="Total 2 9 2 3 5" xfId="14242" xr:uid="{00000000-0005-0000-0000-0000C2620000}"/>
    <cellStyle name="Total 2 9 2 3_Summary" xfId="25497" xr:uid="{00000000-0005-0000-0000-0000C3620000}"/>
    <cellStyle name="Total 2 9 2 4" xfId="1309" xr:uid="{00000000-0005-0000-0000-0000C4620000}"/>
    <cellStyle name="Total 2 9 2 4 2" xfId="3445" xr:uid="{00000000-0005-0000-0000-0000C5620000}"/>
    <cellStyle name="Total 2 9 2 4 2 2" xfId="10041" xr:uid="{00000000-0005-0000-0000-0000C6620000}"/>
    <cellStyle name="Total 2 9 2 4 2 3" xfId="16660" xr:uid="{00000000-0005-0000-0000-0000C7620000}"/>
    <cellStyle name="Total 2 9 2 4 2_Summary" xfId="25501" xr:uid="{00000000-0005-0000-0000-0000C8620000}"/>
    <cellStyle name="Total 2 9 2 4 3" xfId="5480" xr:uid="{00000000-0005-0000-0000-0000C9620000}"/>
    <cellStyle name="Total 2 9 2 4 3 2" xfId="12076" xr:uid="{00000000-0005-0000-0000-0000CA620000}"/>
    <cellStyle name="Total 2 9 2 4 3 3" xfId="18695" xr:uid="{00000000-0005-0000-0000-0000CB620000}"/>
    <cellStyle name="Total 2 9 2 4 3_Summary" xfId="25502" xr:uid="{00000000-0005-0000-0000-0000CC620000}"/>
    <cellStyle name="Total 2 9 2 4 4" xfId="7905" xr:uid="{00000000-0005-0000-0000-0000CD620000}"/>
    <cellStyle name="Total 2 9 2 4 5" xfId="14524" xr:uid="{00000000-0005-0000-0000-0000CE620000}"/>
    <cellStyle name="Total 2 9 2 4_Summary" xfId="25500" xr:uid="{00000000-0005-0000-0000-0000CF620000}"/>
    <cellStyle name="Total 2 9 2 5" xfId="1590" xr:uid="{00000000-0005-0000-0000-0000D0620000}"/>
    <cellStyle name="Total 2 9 2 5 2" xfId="3726" xr:uid="{00000000-0005-0000-0000-0000D1620000}"/>
    <cellStyle name="Total 2 9 2 5 2 2" xfId="10322" xr:uid="{00000000-0005-0000-0000-0000D2620000}"/>
    <cellStyle name="Total 2 9 2 5 2 3" xfId="16941" xr:uid="{00000000-0005-0000-0000-0000D3620000}"/>
    <cellStyle name="Total 2 9 2 5 2_Summary" xfId="25504" xr:uid="{00000000-0005-0000-0000-0000D4620000}"/>
    <cellStyle name="Total 2 9 2 5 3" xfId="5761" xr:uid="{00000000-0005-0000-0000-0000D5620000}"/>
    <cellStyle name="Total 2 9 2 5 3 2" xfId="12357" xr:uid="{00000000-0005-0000-0000-0000D6620000}"/>
    <cellStyle name="Total 2 9 2 5 3 3" xfId="18976" xr:uid="{00000000-0005-0000-0000-0000D7620000}"/>
    <cellStyle name="Total 2 9 2 5 3_Summary" xfId="25505" xr:uid="{00000000-0005-0000-0000-0000D8620000}"/>
    <cellStyle name="Total 2 9 2 5 4" xfId="8186" xr:uid="{00000000-0005-0000-0000-0000D9620000}"/>
    <cellStyle name="Total 2 9 2 5 5" xfId="14805" xr:uid="{00000000-0005-0000-0000-0000DA620000}"/>
    <cellStyle name="Total 2 9 2 5_Summary" xfId="25503" xr:uid="{00000000-0005-0000-0000-0000DB620000}"/>
    <cellStyle name="Total 2 9 2 6" xfId="1869" xr:uid="{00000000-0005-0000-0000-0000DC620000}"/>
    <cellStyle name="Total 2 9 2 6 2" xfId="4005" xr:uid="{00000000-0005-0000-0000-0000DD620000}"/>
    <cellStyle name="Total 2 9 2 6 2 2" xfId="10601" xr:uid="{00000000-0005-0000-0000-0000DE620000}"/>
    <cellStyle name="Total 2 9 2 6 2 3" xfId="17220" xr:uid="{00000000-0005-0000-0000-0000DF620000}"/>
    <cellStyle name="Total 2 9 2 6 2_Summary" xfId="25507" xr:uid="{00000000-0005-0000-0000-0000E0620000}"/>
    <cellStyle name="Total 2 9 2 6 3" xfId="6040" xr:uid="{00000000-0005-0000-0000-0000E1620000}"/>
    <cellStyle name="Total 2 9 2 6 3 2" xfId="12636" xr:uid="{00000000-0005-0000-0000-0000E2620000}"/>
    <cellStyle name="Total 2 9 2 6 3 3" xfId="19255" xr:uid="{00000000-0005-0000-0000-0000E3620000}"/>
    <cellStyle name="Total 2 9 2 6 3_Summary" xfId="25508" xr:uid="{00000000-0005-0000-0000-0000E4620000}"/>
    <cellStyle name="Total 2 9 2 6 4" xfId="8465" xr:uid="{00000000-0005-0000-0000-0000E5620000}"/>
    <cellStyle name="Total 2 9 2 6 5" xfId="15084" xr:uid="{00000000-0005-0000-0000-0000E6620000}"/>
    <cellStyle name="Total 2 9 2 6_Summary" xfId="25506" xr:uid="{00000000-0005-0000-0000-0000E7620000}"/>
    <cellStyle name="Total 2 9 2 7" xfId="2144" xr:uid="{00000000-0005-0000-0000-0000E8620000}"/>
    <cellStyle name="Total 2 9 2 7 2" xfId="4280" xr:uid="{00000000-0005-0000-0000-0000E9620000}"/>
    <cellStyle name="Total 2 9 2 7 2 2" xfId="10876" xr:uid="{00000000-0005-0000-0000-0000EA620000}"/>
    <cellStyle name="Total 2 9 2 7 2 3" xfId="17495" xr:uid="{00000000-0005-0000-0000-0000EB620000}"/>
    <cellStyle name="Total 2 9 2 7 2_Summary" xfId="25510" xr:uid="{00000000-0005-0000-0000-0000EC620000}"/>
    <cellStyle name="Total 2 9 2 7 3" xfId="6315" xr:uid="{00000000-0005-0000-0000-0000ED620000}"/>
    <cellStyle name="Total 2 9 2 7 3 2" xfId="12911" xr:uid="{00000000-0005-0000-0000-0000EE620000}"/>
    <cellStyle name="Total 2 9 2 7 3 3" xfId="19530" xr:uid="{00000000-0005-0000-0000-0000EF620000}"/>
    <cellStyle name="Total 2 9 2 7 3_Summary" xfId="25511" xr:uid="{00000000-0005-0000-0000-0000F0620000}"/>
    <cellStyle name="Total 2 9 2 7 4" xfId="8740" xr:uid="{00000000-0005-0000-0000-0000F1620000}"/>
    <cellStyle name="Total 2 9 2 7 5" xfId="15359" xr:uid="{00000000-0005-0000-0000-0000F2620000}"/>
    <cellStyle name="Total 2 9 2 7_Summary" xfId="25509" xr:uid="{00000000-0005-0000-0000-0000F3620000}"/>
    <cellStyle name="Total 2 9 2 8" xfId="2417" xr:uid="{00000000-0005-0000-0000-0000F4620000}"/>
    <cellStyle name="Total 2 9 2 8 2" xfId="4553" xr:uid="{00000000-0005-0000-0000-0000F5620000}"/>
    <cellStyle name="Total 2 9 2 8 2 2" xfId="11149" xr:uid="{00000000-0005-0000-0000-0000F6620000}"/>
    <cellStyle name="Total 2 9 2 8 2 3" xfId="17768" xr:uid="{00000000-0005-0000-0000-0000F7620000}"/>
    <cellStyle name="Total 2 9 2 8 2_Summary" xfId="25513" xr:uid="{00000000-0005-0000-0000-0000F8620000}"/>
    <cellStyle name="Total 2 9 2 8 3" xfId="6588" xr:uid="{00000000-0005-0000-0000-0000F9620000}"/>
    <cellStyle name="Total 2 9 2 8 3 2" xfId="13184" xr:uid="{00000000-0005-0000-0000-0000FA620000}"/>
    <cellStyle name="Total 2 9 2 8 3 3" xfId="19803" xr:uid="{00000000-0005-0000-0000-0000FB620000}"/>
    <cellStyle name="Total 2 9 2 8 3_Summary" xfId="25514" xr:uid="{00000000-0005-0000-0000-0000FC620000}"/>
    <cellStyle name="Total 2 9 2 8 4" xfId="9013" xr:uid="{00000000-0005-0000-0000-0000FD620000}"/>
    <cellStyle name="Total 2 9 2 8 5" xfId="15632" xr:uid="{00000000-0005-0000-0000-0000FE620000}"/>
    <cellStyle name="Total 2 9 2 8_Summary" xfId="25512" xr:uid="{00000000-0005-0000-0000-0000FF620000}"/>
    <cellStyle name="Total 2 9 2 9" xfId="2718" xr:uid="{00000000-0005-0000-0000-000000630000}"/>
    <cellStyle name="Total 2 9 2 9 2" xfId="9314" xr:uid="{00000000-0005-0000-0000-000001630000}"/>
    <cellStyle name="Total 2 9 2 9 3" xfId="15933" xr:uid="{00000000-0005-0000-0000-000002630000}"/>
    <cellStyle name="Total 2 9 2 9_Summary" xfId="25515" xr:uid="{00000000-0005-0000-0000-000003630000}"/>
    <cellStyle name="Total 2 9 2_Summary" xfId="25472" xr:uid="{00000000-0005-0000-0000-000004630000}"/>
    <cellStyle name="Total 2 9 3" xfId="246" xr:uid="{00000000-0005-0000-0000-000005630000}"/>
    <cellStyle name="Total 2 9 3 10" xfId="783" xr:uid="{00000000-0005-0000-0000-000006630000}"/>
    <cellStyle name="Total 2 9 3 10 2" xfId="13998" xr:uid="{00000000-0005-0000-0000-000007630000}"/>
    <cellStyle name="Total 2 9 3 10_Summary" xfId="25517" xr:uid="{00000000-0005-0000-0000-000008630000}"/>
    <cellStyle name="Total 2 9 3 11" xfId="7153" xr:uid="{00000000-0005-0000-0000-000009630000}"/>
    <cellStyle name="Total 2 9 3 12" xfId="6989" xr:uid="{00000000-0005-0000-0000-00000A630000}"/>
    <cellStyle name="Total 2 9 3 13" xfId="29915" xr:uid="{F29E0174-1A22-48EB-944A-0B54C18ECEAC}"/>
    <cellStyle name="Total 2 9 3 14" xfId="31387" xr:uid="{05D8E54C-B2FE-436E-B1CA-46301BC41180}"/>
    <cellStyle name="Total 2 9 3 2" xfId="951" xr:uid="{00000000-0005-0000-0000-00000B630000}"/>
    <cellStyle name="Total 2 9 3 2 2" xfId="3087" xr:uid="{00000000-0005-0000-0000-00000C630000}"/>
    <cellStyle name="Total 2 9 3 2 2 2" xfId="9683" xr:uid="{00000000-0005-0000-0000-00000D630000}"/>
    <cellStyle name="Total 2 9 3 2 2 3" xfId="16302" xr:uid="{00000000-0005-0000-0000-00000E630000}"/>
    <cellStyle name="Total 2 9 3 2 2_Summary" xfId="25519" xr:uid="{00000000-0005-0000-0000-00000F630000}"/>
    <cellStyle name="Total 2 9 3 2 3" xfId="5122" xr:uid="{00000000-0005-0000-0000-000010630000}"/>
    <cellStyle name="Total 2 9 3 2 3 2" xfId="11718" xr:uid="{00000000-0005-0000-0000-000011630000}"/>
    <cellStyle name="Total 2 9 3 2 3 3" xfId="18337" xr:uid="{00000000-0005-0000-0000-000012630000}"/>
    <cellStyle name="Total 2 9 3 2 3_Summary" xfId="25520" xr:uid="{00000000-0005-0000-0000-000013630000}"/>
    <cellStyle name="Total 2 9 3 2 4" xfId="7548" xr:uid="{00000000-0005-0000-0000-000014630000}"/>
    <cellStyle name="Total 2 9 3 2 5" xfId="14166" xr:uid="{00000000-0005-0000-0000-000015630000}"/>
    <cellStyle name="Total 2 9 3 2 6" xfId="30676" xr:uid="{BCF65BA2-1A31-4480-9B6F-9F68B4533272}"/>
    <cellStyle name="Total 2 9 3 2 7" xfId="32108" xr:uid="{1D9B6DEA-B2D8-4BB7-B57C-87E62BF1B6FD}"/>
    <cellStyle name="Total 2 9 3 2_Summary" xfId="25518" xr:uid="{00000000-0005-0000-0000-000016630000}"/>
    <cellStyle name="Total 2 9 3 3" xfId="1236" xr:uid="{00000000-0005-0000-0000-000017630000}"/>
    <cellStyle name="Total 2 9 3 3 2" xfId="3372" xr:uid="{00000000-0005-0000-0000-000018630000}"/>
    <cellStyle name="Total 2 9 3 3 2 2" xfId="9968" xr:uid="{00000000-0005-0000-0000-000019630000}"/>
    <cellStyle name="Total 2 9 3 3 2 3" xfId="16587" xr:uid="{00000000-0005-0000-0000-00001A630000}"/>
    <cellStyle name="Total 2 9 3 3 2_Summary" xfId="25522" xr:uid="{00000000-0005-0000-0000-00001B630000}"/>
    <cellStyle name="Total 2 9 3 3 3" xfId="5407" xr:uid="{00000000-0005-0000-0000-00001C630000}"/>
    <cellStyle name="Total 2 9 3 3 3 2" xfId="12003" xr:uid="{00000000-0005-0000-0000-00001D630000}"/>
    <cellStyle name="Total 2 9 3 3 3 3" xfId="18622" xr:uid="{00000000-0005-0000-0000-00001E630000}"/>
    <cellStyle name="Total 2 9 3 3 3_Summary" xfId="25523" xr:uid="{00000000-0005-0000-0000-00001F630000}"/>
    <cellStyle name="Total 2 9 3 3 4" xfId="7832" xr:uid="{00000000-0005-0000-0000-000020630000}"/>
    <cellStyle name="Total 2 9 3 3 5" xfId="14451" xr:uid="{00000000-0005-0000-0000-000021630000}"/>
    <cellStyle name="Total 2 9 3 3_Summary" xfId="25521" xr:uid="{00000000-0005-0000-0000-000022630000}"/>
    <cellStyle name="Total 2 9 3 4" xfId="1518" xr:uid="{00000000-0005-0000-0000-000023630000}"/>
    <cellStyle name="Total 2 9 3 4 2" xfId="3654" xr:uid="{00000000-0005-0000-0000-000024630000}"/>
    <cellStyle name="Total 2 9 3 4 2 2" xfId="10250" xr:uid="{00000000-0005-0000-0000-000025630000}"/>
    <cellStyle name="Total 2 9 3 4 2 3" xfId="16869" xr:uid="{00000000-0005-0000-0000-000026630000}"/>
    <cellStyle name="Total 2 9 3 4 2_Summary" xfId="25525" xr:uid="{00000000-0005-0000-0000-000027630000}"/>
    <cellStyle name="Total 2 9 3 4 3" xfId="5689" xr:uid="{00000000-0005-0000-0000-000028630000}"/>
    <cellStyle name="Total 2 9 3 4 3 2" xfId="12285" xr:uid="{00000000-0005-0000-0000-000029630000}"/>
    <cellStyle name="Total 2 9 3 4 3 3" xfId="18904" xr:uid="{00000000-0005-0000-0000-00002A630000}"/>
    <cellStyle name="Total 2 9 3 4 3_Summary" xfId="25526" xr:uid="{00000000-0005-0000-0000-00002B630000}"/>
    <cellStyle name="Total 2 9 3 4 4" xfId="8114" xr:uid="{00000000-0005-0000-0000-00002C630000}"/>
    <cellStyle name="Total 2 9 3 4 5" xfId="14733" xr:uid="{00000000-0005-0000-0000-00002D630000}"/>
    <cellStyle name="Total 2 9 3 4_Summary" xfId="25524" xr:uid="{00000000-0005-0000-0000-00002E630000}"/>
    <cellStyle name="Total 2 9 3 5" xfId="1799" xr:uid="{00000000-0005-0000-0000-00002F630000}"/>
    <cellStyle name="Total 2 9 3 5 2" xfId="3935" xr:uid="{00000000-0005-0000-0000-000030630000}"/>
    <cellStyle name="Total 2 9 3 5 2 2" xfId="10531" xr:uid="{00000000-0005-0000-0000-000031630000}"/>
    <cellStyle name="Total 2 9 3 5 2 3" xfId="17150" xr:uid="{00000000-0005-0000-0000-000032630000}"/>
    <cellStyle name="Total 2 9 3 5 2_Summary" xfId="25528" xr:uid="{00000000-0005-0000-0000-000033630000}"/>
    <cellStyle name="Total 2 9 3 5 3" xfId="5970" xr:uid="{00000000-0005-0000-0000-000034630000}"/>
    <cellStyle name="Total 2 9 3 5 3 2" xfId="12566" xr:uid="{00000000-0005-0000-0000-000035630000}"/>
    <cellStyle name="Total 2 9 3 5 3 3" xfId="19185" xr:uid="{00000000-0005-0000-0000-000036630000}"/>
    <cellStyle name="Total 2 9 3 5 3_Summary" xfId="25529" xr:uid="{00000000-0005-0000-0000-000037630000}"/>
    <cellStyle name="Total 2 9 3 5 4" xfId="8395" xr:uid="{00000000-0005-0000-0000-000038630000}"/>
    <cellStyle name="Total 2 9 3 5 5" xfId="15014" xr:uid="{00000000-0005-0000-0000-000039630000}"/>
    <cellStyle name="Total 2 9 3 5_Summary" xfId="25527" xr:uid="{00000000-0005-0000-0000-00003A630000}"/>
    <cellStyle name="Total 2 9 3 6" xfId="2078" xr:uid="{00000000-0005-0000-0000-00003B630000}"/>
    <cellStyle name="Total 2 9 3 6 2" xfId="4214" xr:uid="{00000000-0005-0000-0000-00003C630000}"/>
    <cellStyle name="Total 2 9 3 6 2 2" xfId="10810" xr:uid="{00000000-0005-0000-0000-00003D630000}"/>
    <cellStyle name="Total 2 9 3 6 2 3" xfId="17429" xr:uid="{00000000-0005-0000-0000-00003E630000}"/>
    <cellStyle name="Total 2 9 3 6 2_Summary" xfId="25531" xr:uid="{00000000-0005-0000-0000-00003F630000}"/>
    <cellStyle name="Total 2 9 3 6 3" xfId="6249" xr:uid="{00000000-0005-0000-0000-000040630000}"/>
    <cellStyle name="Total 2 9 3 6 3 2" xfId="12845" xr:uid="{00000000-0005-0000-0000-000041630000}"/>
    <cellStyle name="Total 2 9 3 6 3 3" xfId="19464" xr:uid="{00000000-0005-0000-0000-000042630000}"/>
    <cellStyle name="Total 2 9 3 6 3_Summary" xfId="25532" xr:uid="{00000000-0005-0000-0000-000043630000}"/>
    <cellStyle name="Total 2 9 3 6 4" xfId="8674" xr:uid="{00000000-0005-0000-0000-000044630000}"/>
    <cellStyle name="Total 2 9 3 6 5" xfId="15293" xr:uid="{00000000-0005-0000-0000-000045630000}"/>
    <cellStyle name="Total 2 9 3 6_Summary" xfId="25530" xr:uid="{00000000-0005-0000-0000-000046630000}"/>
    <cellStyle name="Total 2 9 3 7" xfId="2353" xr:uid="{00000000-0005-0000-0000-000047630000}"/>
    <cellStyle name="Total 2 9 3 7 2" xfId="4489" xr:uid="{00000000-0005-0000-0000-000048630000}"/>
    <cellStyle name="Total 2 9 3 7 2 2" xfId="11085" xr:uid="{00000000-0005-0000-0000-000049630000}"/>
    <cellStyle name="Total 2 9 3 7 2 3" xfId="17704" xr:uid="{00000000-0005-0000-0000-00004A630000}"/>
    <cellStyle name="Total 2 9 3 7 2_Summary" xfId="25534" xr:uid="{00000000-0005-0000-0000-00004B630000}"/>
    <cellStyle name="Total 2 9 3 7 3" xfId="6524" xr:uid="{00000000-0005-0000-0000-00004C630000}"/>
    <cellStyle name="Total 2 9 3 7 3 2" xfId="13120" xr:uid="{00000000-0005-0000-0000-00004D630000}"/>
    <cellStyle name="Total 2 9 3 7 3 3" xfId="19739" xr:uid="{00000000-0005-0000-0000-00004E630000}"/>
    <cellStyle name="Total 2 9 3 7 3_Summary" xfId="25535" xr:uid="{00000000-0005-0000-0000-00004F630000}"/>
    <cellStyle name="Total 2 9 3 7 4" xfId="8949" xr:uid="{00000000-0005-0000-0000-000050630000}"/>
    <cellStyle name="Total 2 9 3 7 5" xfId="15568" xr:uid="{00000000-0005-0000-0000-000051630000}"/>
    <cellStyle name="Total 2 9 3 7_Summary" xfId="25533" xr:uid="{00000000-0005-0000-0000-000052630000}"/>
    <cellStyle name="Total 2 9 3 8" xfId="2919" xr:uid="{00000000-0005-0000-0000-000053630000}"/>
    <cellStyle name="Total 2 9 3 8 2" xfId="9515" xr:uid="{00000000-0005-0000-0000-000054630000}"/>
    <cellStyle name="Total 2 9 3 8 3" xfId="16134" xr:uid="{00000000-0005-0000-0000-000055630000}"/>
    <cellStyle name="Total 2 9 3 8_Summary" xfId="25536" xr:uid="{00000000-0005-0000-0000-000056630000}"/>
    <cellStyle name="Total 2 9 3 9" xfId="4954" xr:uid="{00000000-0005-0000-0000-000057630000}"/>
    <cellStyle name="Total 2 9 3 9 2" xfId="11550" xr:uid="{00000000-0005-0000-0000-000058630000}"/>
    <cellStyle name="Total 2 9 3 9 3" xfId="18169" xr:uid="{00000000-0005-0000-0000-000059630000}"/>
    <cellStyle name="Total 2 9 3 9_Summary" xfId="25537" xr:uid="{00000000-0005-0000-0000-00005A630000}"/>
    <cellStyle name="Total 2 9 3_Summary" xfId="25516" xr:uid="{00000000-0005-0000-0000-00005B630000}"/>
    <cellStyle name="Total 2 9 4" xfId="400" xr:uid="{00000000-0005-0000-0000-00005C630000}"/>
    <cellStyle name="Total 2 9 4 10" xfId="737" xr:uid="{00000000-0005-0000-0000-00005D630000}"/>
    <cellStyle name="Total 2 9 4 10 2" xfId="13952" xr:uid="{00000000-0005-0000-0000-00005E630000}"/>
    <cellStyle name="Total 2 9 4 10_Summary" xfId="25539" xr:uid="{00000000-0005-0000-0000-00005F630000}"/>
    <cellStyle name="Total 2 9 4 11" xfId="7293" xr:uid="{00000000-0005-0000-0000-000060630000}"/>
    <cellStyle name="Total 2 9 4 12" xfId="13615" xr:uid="{00000000-0005-0000-0000-000061630000}"/>
    <cellStyle name="Total 2 9 4 13" xfId="29916" xr:uid="{A3CEAA21-F38E-448C-B265-265BCECB062D}"/>
    <cellStyle name="Total 2 9 4 14" xfId="31388" xr:uid="{91BAB54D-8215-4B23-8851-21EE6A2A930E}"/>
    <cellStyle name="Total 2 9 4 2" xfId="1094" xr:uid="{00000000-0005-0000-0000-000062630000}"/>
    <cellStyle name="Total 2 9 4 2 2" xfId="3230" xr:uid="{00000000-0005-0000-0000-000063630000}"/>
    <cellStyle name="Total 2 9 4 2 2 2" xfId="9826" xr:uid="{00000000-0005-0000-0000-000064630000}"/>
    <cellStyle name="Total 2 9 4 2 2 3" xfId="16445" xr:uid="{00000000-0005-0000-0000-000065630000}"/>
    <cellStyle name="Total 2 9 4 2 2_Summary" xfId="25541" xr:uid="{00000000-0005-0000-0000-000066630000}"/>
    <cellStyle name="Total 2 9 4 2 3" xfId="5265" xr:uid="{00000000-0005-0000-0000-000067630000}"/>
    <cellStyle name="Total 2 9 4 2 3 2" xfId="11861" xr:uid="{00000000-0005-0000-0000-000068630000}"/>
    <cellStyle name="Total 2 9 4 2 3 3" xfId="18480" xr:uid="{00000000-0005-0000-0000-000069630000}"/>
    <cellStyle name="Total 2 9 4 2 3_Summary" xfId="25542" xr:uid="{00000000-0005-0000-0000-00006A630000}"/>
    <cellStyle name="Total 2 9 4 2 4" xfId="7691" xr:uid="{00000000-0005-0000-0000-00006B630000}"/>
    <cellStyle name="Total 2 9 4 2 5" xfId="14309" xr:uid="{00000000-0005-0000-0000-00006C630000}"/>
    <cellStyle name="Total 2 9 4 2 6" xfId="30677" xr:uid="{FCBEB089-2027-4FCF-BD6C-6A851D55F9ED}"/>
    <cellStyle name="Total 2 9 4 2 7" xfId="32109" xr:uid="{18B3AB4F-39E2-45CE-AC58-9FF840DBB1E2}"/>
    <cellStyle name="Total 2 9 4 2_Summary" xfId="25540" xr:uid="{00000000-0005-0000-0000-00006D630000}"/>
    <cellStyle name="Total 2 9 4 3" xfId="1376" xr:uid="{00000000-0005-0000-0000-00006E630000}"/>
    <cellStyle name="Total 2 9 4 3 2" xfId="3512" xr:uid="{00000000-0005-0000-0000-00006F630000}"/>
    <cellStyle name="Total 2 9 4 3 2 2" xfId="10108" xr:uid="{00000000-0005-0000-0000-000070630000}"/>
    <cellStyle name="Total 2 9 4 3 2 3" xfId="16727" xr:uid="{00000000-0005-0000-0000-000071630000}"/>
    <cellStyle name="Total 2 9 4 3 2_Summary" xfId="25544" xr:uid="{00000000-0005-0000-0000-000072630000}"/>
    <cellStyle name="Total 2 9 4 3 3" xfId="5547" xr:uid="{00000000-0005-0000-0000-000073630000}"/>
    <cellStyle name="Total 2 9 4 3 3 2" xfId="12143" xr:uid="{00000000-0005-0000-0000-000074630000}"/>
    <cellStyle name="Total 2 9 4 3 3 3" xfId="18762" xr:uid="{00000000-0005-0000-0000-000075630000}"/>
    <cellStyle name="Total 2 9 4 3 3_Summary" xfId="25545" xr:uid="{00000000-0005-0000-0000-000076630000}"/>
    <cellStyle name="Total 2 9 4 3 4" xfId="7972" xr:uid="{00000000-0005-0000-0000-000077630000}"/>
    <cellStyle name="Total 2 9 4 3 5" xfId="14591" xr:uid="{00000000-0005-0000-0000-000078630000}"/>
    <cellStyle name="Total 2 9 4 3_Summary" xfId="25543" xr:uid="{00000000-0005-0000-0000-000079630000}"/>
    <cellStyle name="Total 2 9 4 4" xfId="1657" xr:uid="{00000000-0005-0000-0000-00007A630000}"/>
    <cellStyle name="Total 2 9 4 4 2" xfId="3793" xr:uid="{00000000-0005-0000-0000-00007B630000}"/>
    <cellStyle name="Total 2 9 4 4 2 2" xfId="10389" xr:uid="{00000000-0005-0000-0000-00007C630000}"/>
    <cellStyle name="Total 2 9 4 4 2 3" xfId="17008" xr:uid="{00000000-0005-0000-0000-00007D630000}"/>
    <cellStyle name="Total 2 9 4 4 2_Summary" xfId="25547" xr:uid="{00000000-0005-0000-0000-00007E630000}"/>
    <cellStyle name="Total 2 9 4 4 3" xfId="5828" xr:uid="{00000000-0005-0000-0000-00007F630000}"/>
    <cellStyle name="Total 2 9 4 4 3 2" xfId="12424" xr:uid="{00000000-0005-0000-0000-000080630000}"/>
    <cellStyle name="Total 2 9 4 4 3 3" xfId="19043" xr:uid="{00000000-0005-0000-0000-000081630000}"/>
    <cellStyle name="Total 2 9 4 4 3_Summary" xfId="25548" xr:uid="{00000000-0005-0000-0000-000082630000}"/>
    <cellStyle name="Total 2 9 4 4 4" xfId="8253" xr:uid="{00000000-0005-0000-0000-000083630000}"/>
    <cellStyle name="Total 2 9 4 4 5" xfId="14872" xr:uid="{00000000-0005-0000-0000-000084630000}"/>
    <cellStyle name="Total 2 9 4 4_Summary" xfId="25546" xr:uid="{00000000-0005-0000-0000-000085630000}"/>
    <cellStyle name="Total 2 9 4 5" xfId="1936" xr:uid="{00000000-0005-0000-0000-000086630000}"/>
    <cellStyle name="Total 2 9 4 5 2" xfId="4072" xr:uid="{00000000-0005-0000-0000-000087630000}"/>
    <cellStyle name="Total 2 9 4 5 2 2" xfId="10668" xr:uid="{00000000-0005-0000-0000-000088630000}"/>
    <cellStyle name="Total 2 9 4 5 2 3" xfId="17287" xr:uid="{00000000-0005-0000-0000-000089630000}"/>
    <cellStyle name="Total 2 9 4 5 2_Summary" xfId="25550" xr:uid="{00000000-0005-0000-0000-00008A630000}"/>
    <cellStyle name="Total 2 9 4 5 3" xfId="6107" xr:uid="{00000000-0005-0000-0000-00008B630000}"/>
    <cellStyle name="Total 2 9 4 5 3 2" xfId="12703" xr:uid="{00000000-0005-0000-0000-00008C630000}"/>
    <cellStyle name="Total 2 9 4 5 3 3" xfId="19322" xr:uid="{00000000-0005-0000-0000-00008D630000}"/>
    <cellStyle name="Total 2 9 4 5 3_Summary" xfId="25551" xr:uid="{00000000-0005-0000-0000-00008E630000}"/>
    <cellStyle name="Total 2 9 4 5 4" xfId="8532" xr:uid="{00000000-0005-0000-0000-00008F630000}"/>
    <cellStyle name="Total 2 9 4 5 5" xfId="15151" xr:uid="{00000000-0005-0000-0000-000090630000}"/>
    <cellStyle name="Total 2 9 4 5_Summary" xfId="25549" xr:uid="{00000000-0005-0000-0000-000091630000}"/>
    <cellStyle name="Total 2 9 4 6" xfId="2211" xr:uid="{00000000-0005-0000-0000-000092630000}"/>
    <cellStyle name="Total 2 9 4 6 2" xfId="4347" xr:uid="{00000000-0005-0000-0000-000093630000}"/>
    <cellStyle name="Total 2 9 4 6 2 2" xfId="10943" xr:uid="{00000000-0005-0000-0000-000094630000}"/>
    <cellStyle name="Total 2 9 4 6 2 3" xfId="17562" xr:uid="{00000000-0005-0000-0000-000095630000}"/>
    <cellStyle name="Total 2 9 4 6 2_Summary" xfId="25553" xr:uid="{00000000-0005-0000-0000-000096630000}"/>
    <cellStyle name="Total 2 9 4 6 3" xfId="6382" xr:uid="{00000000-0005-0000-0000-000097630000}"/>
    <cellStyle name="Total 2 9 4 6 3 2" xfId="12978" xr:uid="{00000000-0005-0000-0000-000098630000}"/>
    <cellStyle name="Total 2 9 4 6 3 3" xfId="19597" xr:uid="{00000000-0005-0000-0000-000099630000}"/>
    <cellStyle name="Total 2 9 4 6 3_Summary" xfId="25554" xr:uid="{00000000-0005-0000-0000-00009A630000}"/>
    <cellStyle name="Total 2 9 4 6 4" xfId="8807" xr:uid="{00000000-0005-0000-0000-00009B630000}"/>
    <cellStyle name="Total 2 9 4 6 5" xfId="15426" xr:uid="{00000000-0005-0000-0000-00009C630000}"/>
    <cellStyle name="Total 2 9 4 6_Summary" xfId="25552" xr:uid="{00000000-0005-0000-0000-00009D630000}"/>
    <cellStyle name="Total 2 9 4 7" xfId="2484" xr:uid="{00000000-0005-0000-0000-00009E630000}"/>
    <cellStyle name="Total 2 9 4 7 2" xfId="4620" xr:uid="{00000000-0005-0000-0000-00009F630000}"/>
    <cellStyle name="Total 2 9 4 7 2 2" xfId="11216" xr:uid="{00000000-0005-0000-0000-0000A0630000}"/>
    <cellStyle name="Total 2 9 4 7 2 3" xfId="17835" xr:uid="{00000000-0005-0000-0000-0000A1630000}"/>
    <cellStyle name="Total 2 9 4 7 2_Summary" xfId="25556" xr:uid="{00000000-0005-0000-0000-0000A2630000}"/>
    <cellStyle name="Total 2 9 4 7 3" xfId="6655" xr:uid="{00000000-0005-0000-0000-0000A3630000}"/>
    <cellStyle name="Total 2 9 4 7 3 2" xfId="13251" xr:uid="{00000000-0005-0000-0000-0000A4630000}"/>
    <cellStyle name="Total 2 9 4 7 3 3" xfId="19870" xr:uid="{00000000-0005-0000-0000-0000A5630000}"/>
    <cellStyle name="Total 2 9 4 7 3_Summary" xfId="25557" xr:uid="{00000000-0005-0000-0000-0000A6630000}"/>
    <cellStyle name="Total 2 9 4 7 4" xfId="9080" xr:uid="{00000000-0005-0000-0000-0000A7630000}"/>
    <cellStyle name="Total 2 9 4 7 5" xfId="15699" xr:uid="{00000000-0005-0000-0000-0000A8630000}"/>
    <cellStyle name="Total 2 9 4 7_Summary" xfId="25555" xr:uid="{00000000-0005-0000-0000-0000A9630000}"/>
    <cellStyle name="Total 2 9 4 8" xfId="2873" xr:uid="{00000000-0005-0000-0000-0000AA630000}"/>
    <cellStyle name="Total 2 9 4 8 2" xfId="9469" xr:uid="{00000000-0005-0000-0000-0000AB630000}"/>
    <cellStyle name="Total 2 9 4 8 3" xfId="16088" xr:uid="{00000000-0005-0000-0000-0000AC630000}"/>
    <cellStyle name="Total 2 9 4 8_Summary" xfId="25558" xr:uid="{00000000-0005-0000-0000-0000AD630000}"/>
    <cellStyle name="Total 2 9 4 9" xfId="4908" xr:uid="{00000000-0005-0000-0000-0000AE630000}"/>
    <cellStyle name="Total 2 9 4 9 2" xfId="11504" xr:uid="{00000000-0005-0000-0000-0000AF630000}"/>
    <cellStyle name="Total 2 9 4 9 3" xfId="18123" xr:uid="{00000000-0005-0000-0000-0000B0630000}"/>
    <cellStyle name="Total 2 9 4 9_Summary" xfId="25559" xr:uid="{00000000-0005-0000-0000-0000B1630000}"/>
    <cellStyle name="Total 2 9 4_Summary" xfId="25538" xr:uid="{00000000-0005-0000-0000-0000B2630000}"/>
    <cellStyle name="Total 2 9 5" xfId="907" xr:uid="{00000000-0005-0000-0000-0000B3630000}"/>
    <cellStyle name="Total 2 9 5 2" xfId="3043" xr:uid="{00000000-0005-0000-0000-0000B4630000}"/>
    <cellStyle name="Total 2 9 5 2 2" xfId="9639" xr:uid="{00000000-0005-0000-0000-0000B5630000}"/>
    <cellStyle name="Total 2 9 5 2 3" xfId="16258" xr:uid="{00000000-0005-0000-0000-0000B6630000}"/>
    <cellStyle name="Total 2 9 5 2_Summary" xfId="25561" xr:uid="{00000000-0005-0000-0000-0000B7630000}"/>
    <cellStyle name="Total 2 9 5 3" xfId="5078" xr:uid="{00000000-0005-0000-0000-0000B8630000}"/>
    <cellStyle name="Total 2 9 5 3 2" xfId="11674" xr:uid="{00000000-0005-0000-0000-0000B9630000}"/>
    <cellStyle name="Total 2 9 5 3 3" xfId="18293" xr:uid="{00000000-0005-0000-0000-0000BA630000}"/>
    <cellStyle name="Total 2 9 5 3_Summary" xfId="25562" xr:uid="{00000000-0005-0000-0000-0000BB630000}"/>
    <cellStyle name="Total 2 9 5 4" xfId="7504" xr:uid="{00000000-0005-0000-0000-0000BC630000}"/>
    <cellStyle name="Total 2 9 5 5" xfId="14122" xr:uid="{00000000-0005-0000-0000-0000BD630000}"/>
    <cellStyle name="Total 2 9 5 6" xfId="30674" xr:uid="{2B41666B-68EF-40AA-99D7-7731668ECA7B}"/>
    <cellStyle name="Total 2 9 5 7" xfId="32106" xr:uid="{FCD44E03-0728-491A-B203-6BE5952DBFFE}"/>
    <cellStyle name="Total 2 9 5_Summary" xfId="25560" xr:uid="{00000000-0005-0000-0000-0000BE630000}"/>
    <cellStyle name="Total 2 9 6" xfId="1192" xr:uid="{00000000-0005-0000-0000-0000BF630000}"/>
    <cellStyle name="Total 2 9 6 2" xfId="3328" xr:uid="{00000000-0005-0000-0000-0000C0630000}"/>
    <cellStyle name="Total 2 9 6 2 2" xfId="9924" xr:uid="{00000000-0005-0000-0000-0000C1630000}"/>
    <cellStyle name="Total 2 9 6 2 3" xfId="16543" xr:uid="{00000000-0005-0000-0000-0000C2630000}"/>
    <cellStyle name="Total 2 9 6 2_Summary" xfId="25564" xr:uid="{00000000-0005-0000-0000-0000C3630000}"/>
    <cellStyle name="Total 2 9 6 3" xfId="5363" xr:uid="{00000000-0005-0000-0000-0000C4630000}"/>
    <cellStyle name="Total 2 9 6 3 2" xfId="11959" xr:uid="{00000000-0005-0000-0000-0000C5630000}"/>
    <cellStyle name="Total 2 9 6 3 3" xfId="18578" xr:uid="{00000000-0005-0000-0000-0000C6630000}"/>
    <cellStyle name="Total 2 9 6 3_Summary" xfId="25565" xr:uid="{00000000-0005-0000-0000-0000C7630000}"/>
    <cellStyle name="Total 2 9 6 4" xfId="7788" xr:uid="{00000000-0005-0000-0000-0000C8630000}"/>
    <cellStyle name="Total 2 9 6 5" xfId="14407" xr:uid="{00000000-0005-0000-0000-0000C9630000}"/>
    <cellStyle name="Total 2 9 6_Summary" xfId="25563" xr:uid="{00000000-0005-0000-0000-0000CA630000}"/>
    <cellStyle name="Total 2 9 7" xfId="1474" xr:uid="{00000000-0005-0000-0000-0000CB630000}"/>
    <cellStyle name="Total 2 9 7 2" xfId="3610" xr:uid="{00000000-0005-0000-0000-0000CC630000}"/>
    <cellStyle name="Total 2 9 7 2 2" xfId="10206" xr:uid="{00000000-0005-0000-0000-0000CD630000}"/>
    <cellStyle name="Total 2 9 7 2 3" xfId="16825" xr:uid="{00000000-0005-0000-0000-0000CE630000}"/>
    <cellStyle name="Total 2 9 7 2_Summary" xfId="25567" xr:uid="{00000000-0005-0000-0000-0000CF630000}"/>
    <cellStyle name="Total 2 9 7 3" xfId="5645" xr:uid="{00000000-0005-0000-0000-0000D0630000}"/>
    <cellStyle name="Total 2 9 7 3 2" xfId="12241" xr:uid="{00000000-0005-0000-0000-0000D1630000}"/>
    <cellStyle name="Total 2 9 7 3 3" xfId="18860" xr:uid="{00000000-0005-0000-0000-0000D2630000}"/>
    <cellStyle name="Total 2 9 7 3_Summary" xfId="25568" xr:uid="{00000000-0005-0000-0000-0000D3630000}"/>
    <cellStyle name="Total 2 9 7 4" xfId="8070" xr:uid="{00000000-0005-0000-0000-0000D4630000}"/>
    <cellStyle name="Total 2 9 7 5" xfId="14689" xr:uid="{00000000-0005-0000-0000-0000D5630000}"/>
    <cellStyle name="Total 2 9 7_Summary" xfId="25566" xr:uid="{00000000-0005-0000-0000-0000D6630000}"/>
    <cellStyle name="Total 2 9 8" xfId="1755" xr:uid="{00000000-0005-0000-0000-0000D7630000}"/>
    <cellStyle name="Total 2 9 8 2" xfId="3891" xr:uid="{00000000-0005-0000-0000-0000D8630000}"/>
    <cellStyle name="Total 2 9 8 2 2" xfId="10487" xr:uid="{00000000-0005-0000-0000-0000D9630000}"/>
    <cellStyle name="Total 2 9 8 2 3" xfId="17106" xr:uid="{00000000-0005-0000-0000-0000DA630000}"/>
    <cellStyle name="Total 2 9 8 2_Summary" xfId="25570" xr:uid="{00000000-0005-0000-0000-0000DB630000}"/>
    <cellStyle name="Total 2 9 8 3" xfId="5926" xr:uid="{00000000-0005-0000-0000-0000DC630000}"/>
    <cellStyle name="Total 2 9 8 3 2" xfId="12522" xr:uid="{00000000-0005-0000-0000-0000DD630000}"/>
    <cellStyle name="Total 2 9 8 3 3" xfId="19141" xr:uid="{00000000-0005-0000-0000-0000DE630000}"/>
    <cellStyle name="Total 2 9 8 3_Summary" xfId="25571" xr:uid="{00000000-0005-0000-0000-0000DF630000}"/>
    <cellStyle name="Total 2 9 8 4" xfId="8351" xr:uid="{00000000-0005-0000-0000-0000E0630000}"/>
    <cellStyle name="Total 2 9 8 5" xfId="14970" xr:uid="{00000000-0005-0000-0000-0000E1630000}"/>
    <cellStyle name="Total 2 9 8_Summary" xfId="25569" xr:uid="{00000000-0005-0000-0000-0000E2630000}"/>
    <cellStyle name="Total 2 9 9" xfId="2034" xr:uid="{00000000-0005-0000-0000-0000E3630000}"/>
    <cellStyle name="Total 2 9 9 2" xfId="4170" xr:uid="{00000000-0005-0000-0000-0000E4630000}"/>
    <cellStyle name="Total 2 9 9 2 2" xfId="10766" xr:uid="{00000000-0005-0000-0000-0000E5630000}"/>
    <cellStyle name="Total 2 9 9 2 3" xfId="17385" xr:uid="{00000000-0005-0000-0000-0000E6630000}"/>
    <cellStyle name="Total 2 9 9 2_Summary" xfId="25573" xr:uid="{00000000-0005-0000-0000-0000E7630000}"/>
    <cellStyle name="Total 2 9 9 3" xfId="6205" xr:uid="{00000000-0005-0000-0000-0000E8630000}"/>
    <cellStyle name="Total 2 9 9 3 2" xfId="12801" xr:uid="{00000000-0005-0000-0000-0000E9630000}"/>
    <cellStyle name="Total 2 9 9 3 3" xfId="19420" xr:uid="{00000000-0005-0000-0000-0000EA630000}"/>
    <cellStyle name="Total 2 9 9 3_Summary" xfId="25574" xr:uid="{00000000-0005-0000-0000-0000EB630000}"/>
    <cellStyle name="Total 2 9 9 4" xfId="8630" xr:uid="{00000000-0005-0000-0000-0000EC630000}"/>
    <cellStyle name="Total 2 9 9 5" xfId="15249" xr:uid="{00000000-0005-0000-0000-0000ED630000}"/>
    <cellStyle name="Total 2 9 9_Summary" xfId="25572" xr:uid="{00000000-0005-0000-0000-0000EE630000}"/>
    <cellStyle name="Total 2 9_Summary" xfId="25465" xr:uid="{00000000-0005-0000-0000-0000EF630000}"/>
    <cellStyle name="Total 2_Summary" xfId="24201" xr:uid="{00000000-0005-0000-0000-0000F0630000}"/>
    <cellStyle name="Total 3" xfId="25642" xr:uid="{00000000-0005-0000-0000-0000CB000000}"/>
    <cellStyle name="Total 3 10" xfId="29917" xr:uid="{8B732D83-E4FA-4289-9B6C-5C0B321C7554}"/>
    <cellStyle name="Total 3 10 2" xfId="29918" xr:uid="{9F5BA129-9BF4-444A-B984-FF4F7398C300}"/>
    <cellStyle name="Total 3 10 2 2" xfId="30679" xr:uid="{864CA560-4119-4BAA-9EDA-1333CEA102E6}"/>
    <cellStyle name="Total 3 10 2 2 2" xfId="32111" xr:uid="{BD474E2D-D1AA-465A-8D37-B9D3BC1CE07E}"/>
    <cellStyle name="Total 3 10 2 3" xfId="31390" xr:uid="{B798FE2E-E693-4504-BB54-E23434E3B847}"/>
    <cellStyle name="Total 3 10 3" xfId="29919" xr:uid="{739519B8-0330-42E3-BC7C-E4A221A5901E}"/>
    <cellStyle name="Total 3 10 3 2" xfId="30680" xr:uid="{38438E8D-A8A0-48B6-BD0F-A1DC0CDC01DF}"/>
    <cellStyle name="Total 3 10 3 2 2" xfId="32112" xr:uid="{BC01497E-AC10-4E71-9235-3A7C747F500F}"/>
    <cellStyle name="Total 3 10 3 3" xfId="31391" xr:uid="{71B11BD0-25B1-4F71-9706-25A9A18CE7CD}"/>
    <cellStyle name="Total 3 10 4" xfId="29920" xr:uid="{5BF02F05-3A49-4252-880B-4D3B945A8B4B}"/>
    <cellStyle name="Total 3 10 4 2" xfId="30681" xr:uid="{4D3EBDC9-09D8-4FD8-BDE8-1A5EFB77D42A}"/>
    <cellStyle name="Total 3 10 4 2 2" xfId="32113" xr:uid="{60767055-18FC-48A0-826E-2DD2987089BF}"/>
    <cellStyle name="Total 3 10 4 3" xfId="31392" xr:uid="{E5B413EF-B0B5-4BB9-86FD-2EA0C4D70BEC}"/>
    <cellStyle name="Total 3 10 5" xfId="30678" xr:uid="{C56C45E4-62B9-48C6-A7EB-7EA4D8B83BF8}"/>
    <cellStyle name="Total 3 10 5 2" xfId="32110" xr:uid="{8184F785-2AD3-41BB-B288-F3E517F3B667}"/>
    <cellStyle name="Total 3 10 6" xfId="31389" xr:uid="{4217AC7D-734D-48E4-A8B4-1222165E1991}"/>
    <cellStyle name="Total 3 2" xfId="25719" xr:uid="{00000000-0005-0000-0000-0000CB000000}"/>
    <cellStyle name="Total 3 2 2" xfId="29922" xr:uid="{3F168CA7-4344-4052-A976-033D8AAF6A65}"/>
    <cellStyle name="Total 3 2 2 2" xfId="30683" xr:uid="{E9C74EEF-E6DF-40FC-B8D5-71DE58A586A6}"/>
    <cellStyle name="Total 3 2 2 2 2" xfId="32115" xr:uid="{D0FF35AD-D5E2-46CF-9D68-776C4B88FAFB}"/>
    <cellStyle name="Total 3 2 2 3" xfId="31394" xr:uid="{90FB7DB2-63EA-4213-BCCC-B87CF8C64D75}"/>
    <cellStyle name="Total 3 2 3" xfId="29923" xr:uid="{AABDB7BD-1AD0-4E39-835A-61FB3B4B0DE3}"/>
    <cellStyle name="Total 3 2 3 2" xfId="30684" xr:uid="{55B3A488-B125-41BF-9EE6-172F4BCFE987}"/>
    <cellStyle name="Total 3 2 3 2 2" xfId="32116" xr:uid="{1CBCBD6C-2007-4444-B492-9CA2C1B60678}"/>
    <cellStyle name="Total 3 2 3 3" xfId="31395" xr:uid="{2C5CFC76-9E6A-47FA-92A8-4B45C1AC2502}"/>
    <cellStyle name="Total 3 2 4" xfId="29924" xr:uid="{8539E69A-E2C3-4E6A-81F2-F3A263F84310}"/>
    <cellStyle name="Total 3 2 4 2" xfId="30685" xr:uid="{E196960B-01E1-4A61-AD55-E9B54C4185C9}"/>
    <cellStyle name="Total 3 2 4 2 2" xfId="32117" xr:uid="{13497B44-D9DD-4EAD-BF41-75B9FF8DC026}"/>
    <cellStyle name="Total 3 2 4 3" xfId="31396" xr:uid="{CC1736A2-6056-470B-B65F-52C032CA8EAA}"/>
    <cellStyle name="Total 3 2 5" xfId="30682" xr:uid="{EA0482E8-6B23-4D3C-8F2E-3FE0A1FC219C}"/>
    <cellStyle name="Total 3 2 5 2" xfId="32114" xr:uid="{04BF7CCC-514D-41D1-949F-F99042A22775}"/>
    <cellStyle name="Total 3 2 6" xfId="29921" xr:uid="{9F833698-0AF6-4063-A3FA-E2083D8E54B4}"/>
    <cellStyle name="Total 3 2 7" xfId="31393" xr:uid="{3B917E45-D84C-45C2-8CE2-AD10CE7D7E73}"/>
    <cellStyle name="Total 3 3" xfId="29925" xr:uid="{D313B12B-E872-41FF-9DA4-028CF9BBC36B}"/>
    <cellStyle name="Total 3 3 2" xfId="29926" xr:uid="{7936B129-5129-4E7C-8E70-6E987C2130CF}"/>
    <cellStyle name="Total 3 3 2 2" xfId="30687" xr:uid="{5E35CC60-A835-421B-BB7D-2C57D7C1ABD5}"/>
    <cellStyle name="Total 3 3 2 2 2" xfId="32119" xr:uid="{20898E4E-C082-413A-B370-FA698864A972}"/>
    <cellStyle name="Total 3 3 2 3" xfId="31398" xr:uid="{4A3A04CC-278C-4427-AB51-F0BEA5935A15}"/>
    <cellStyle name="Total 3 3 3" xfId="29927" xr:uid="{783719EC-29DB-428F-B5D3-A35C76FED2C3}"/>
    <cellStyle name="Total 3 3 3 2" xfId="30688" xr:uid="{DDB5CF85-1BA7-444B-ABDF-3CAD3E32C9C8}"/>
    <cellStyle name="Total 3 3 3 2 2" xfId="32120" xr:uid="{58326F1E-A77E-4690-984B-45395B8178FC}"/>
    <cellStyle name="Total 3 3 3 3" xfId="31399" xr:uid="{0952A502-1F49-45AA-A186-F86D01727007}"/>
    <cellStyle name="Total 3 3 4" xfId="29928" xr:uid="{314274CA-0BDB-4317-93B1-3BC882E8241E}"/>
    <cellStyle name="Total 3 3 4 2" xfId="30689" xr:uid="{B573499F-ED6A-4220-AA6F-7D301FF3B8B3}"/>
    <cellStyle name="Total 3 3 4 2 2" xfId="32121" xr:uid="{0ACD4ADB-B1B6-4B19-BFC6-939AB2ABAA76}"/>
    <cellStyle name="Total 3 3 4 3" xfId="31400" xr:uid="{F4597C15-1AA4-44C9-9993-B41FC3705391}"/>
    <cellStyle name="Total 3 3 5" xfId="30686" xr:uid="{6B0FB575-EDBB-4E63-AA8D-C33CF59CFDEE}"/>
    <cellStyle name="Total 3 3 5 2" xfId="32118" xr:uid="{646CFFF5-9A88-420A-A4E8-843B0E76DB78}"/>
    <cellStyle name="Total 3 3 6" xfId="31397" xr:uid="{956599C3-7D9D-4572-A021-3353EC69EF8F}"/>
    <cellStyle name="Total 3 4" xfId="29929" xr:uid="{B5566D4B-A397-4400-A584-DDDE9A1DD4B8}"/>
    <cellStyle name="Total 3 4 2" xfId="29930" xr:uid="{C2F4DED5-D595-43C5-9B38-5C8F5D6E4994}"/>
    <cellStyle name="Total 3 4 2 2" xfId="30691" xr:uid="{382D4BF5-4AE5-492B-A316-7F5D6909569C}"/>
    <cellStyle name="Total 3 4 2 2 2" xfId="32123" xr:uid="{40087E1A-0104-4597-B514-8036DE53EC82}"/>
    <cellStyle name="Total 3 4 2 3" xfId="31402" xr:uid="{6ACE5E59-94F9-447F-8459-56CF0A3B0A1C}"/>
    <cellStyle name="Total 3 4 3" xfId="29931" xr:uid="{CAA05F9D-0729-44CB-A092-11E95FE0B325}"/>
    <cellStyle name="Total 3 4 3 2" xfId="30692" xr:uid="{02103283-4AD0-4A3D-9624-837726C92CA9}"/>
    <cellStyle name="Total 3 4 3 2 2" xfId="32124" xr:uid="{A9C46FC2-BC8C-4487-A439-DCC57A59ED67}"/>
    <cellStyle name="Total 3 4 3 3" xfId="31403" xr:uid="{D0462DC7-4F6E-4E82-93A9-B5E14376FD51}"/>
    <cellStyle name="Total 3 4 4" xfId="29932" xr:uid="{1053AA9D-3C86-4F40-8819-8CEC855EA48E}"/>
    <cellStyle name="Total 3 4 4 2" xfId="30693" xr:uid="{453B60E4-9110-44B8-B683-E99177F9B0A9}"/>
    <cellStyle name="Total 3 4 4 2 2" xfId="32125" xr:uid="{F1D15457-03E6-40C6-B589-DFD5B08F01D1}"/>
    <cellStyle name="Total 3 4 4 3" xfId="31404" xr:uid="{6AF59A86-D539-47BB-83BC-A07B841B82D5}"/>
    <cellStyle name="Total 3 4 5" xfId="30690" xr:uid="{8561F679-7DF3-401F-B0E5-F287EDF3D453}"/>
    <cellStyle name="Total 3 4 5 2" xfId="32122" xr:uid="{5E64130B-2656-4C20-9DA3-FBBCFA5C485C}"/>
    <cellStyle name="Total 3 4 6" xfId="31401" xr:uid="{24364E68-9654-4D75-995B-98763A233C36}"/>
    <cellStyle name="Total 3 5" xfId="29933" xr:uid="{B5A92BC4-B027-49F3-AA37-453BCFDFDAE7}"/>
    <cellStyle name="Total 3 5 2" xfId="29934" xr:uid="{9CA8F5E2-00EE-4BB7-96C0-73D0EEBB191F}"/>
    <cellStyle name="Total 3 5 2 2" xfId="30695" xr:uid="{279E14AD-7415-490C-8A71-EEAFF24DF0BE}"/>
    <cellStyle name="Total 3 5 2 2 2" xfId="32127" xr:uid="{A08039CE-BF81-4837-846D-D93F8FF5B83B}"/>
    <cellStyle name="Total 3 5 2 3" xfId="31406" xr:uid="{5E69F90D-7285-4436-8AA6-1349FDE118CB}"/>
    <cellStyle name="Total 3 5 3" xfId="29935" xr:uid="{3BA67982-806A-4BC7-960B-2AD30B3E58EE}"/>
    <cellStyle name="Total 3 5 3 2" xfId="30696" xr:uid="{670DC954-2371-4C32-A293-048A5EE714D8}"/>
    <cellStyle name="Total 3 5 3 2 2" xfId="32128" xr:uid="{940AA6A3-5D71-4A8A-8821-F352D55D4744}"/>
    <cellStyle name="Total 3 5 3 3" xfId="31407" xr:uid="{3A0C37E1-3A2E-4A83-9129-C568AC77FBBD}"/>
    <cellStyle name="Total 3 5 4" xfId="29936" xr:uid="{727CEAF1-831E-4EC8-BFD4-A5AE809786FD}"/>
    <cellStyle name="Total 3 5 4 2" xfId="30697" xr:uid="{EF7EDE44-5B13-4FEC-9686-EA0FFAFA54BF}"/>
    <cellStyle name="Total 3 5 4 2 2" xfId="32129" xr:uid="{4764AB54-6C83-4681-B398-1B202F3906EA}"/>
    <cellStyle name="Total 3 5 4 3" xfId="31408" xr:uid="{0905AC53-115C-4D97-A918-5C004756D1C4}"/>
    <cellStyle name="Total 3 5 5" xfId="30694" xr:uid="{989FB5F8-7E84-4A45-8B43-2615DA632521}"/>
    <cellStyle name="Total 3 5 5 2" xfId="32126" xr:uid="{EDAA9D3F-2771-479A-A15A-63BF227D50F1}"/>
    <cellStyle name="Total 3 5 6" xfId="31405" xr:uid="{A47DB8D4-6484-4F8B-973A-2D308FB4AC89}"/>
    <cellStyle name="Total 3 6" xfId="29937" xr:uid="{C0EBAB16-C0D1-4B30-8FF3-467102878AF9}"/>
    <cellStyle name="Total 3 6 2" xfId="29938" xr:uid="{A1D31F3C-CD93-4912-B8A4-FFF4628CD5EB}"/>
    <cellStyle name="Total 3 6 2 2" xfId="30699" xr:uid="{714C1DDB-759D-427A-A5A1-0EA9CC989582}"/>
    <cellStyle name="Total 3 6 2 2 2" xfId="32131" xr:uid="{D5E52F87-22ED-4FD6-9C8D-8C7C8F4A6F9C}"/>
    <cellStyle name="Total 3 6 2 3" xfId="31410" xr:uid="{08CAE479-FEEA-4216-81B8-726305DD9C5B}"/>
    <cellStyle name="Total 3 6 3" xfId="29939" xr:uid="{B8A3498E-2311-4E02-9DB5-5FD639B7C474}"/>
    <cellStyle name="Total 3 6 3 2" xfId="30700" xr:uid="{F09542DD-BDA2-42A8-AC63-56FA513FEDDE}"/>
    <cellStyle name="Total 3 6 3 2 2" xfId="32132" xr:uid="{771BD0DA-4171-4CA1-A8B6-D9D6E7DBC194}"/>
    <cellStyle name="Total 3 6 3 3" xfId="31411" xr:uid="{20AEFA28-BE72-49AE-B558-D87C1573B178}"/>
    <cellStyle name="Total 3 6 4" xfId="29940" xr:uid="{D2782459-78DB-4648-A3AC-7B6EC5608BBD}"/>
    <cellStyle name="Total 3 6 4 2" xfId="30701" xr:uid="{8836E9C5-C9AB-47B3-A2B9-A9FD9DF27499}"/>
    <cellStyle name="Total 3 6 4 2 2" xfId="32133" xr:uid="{FD26AED6-2B16-4851-8F4A-E137B6FE223A}"/>
    <cellStyle name="Total 3 6 4 3" xfId="31412" xr:uid="{D06AA4DA-A568-4863-B8DB-281774C018D2}"/>
    <cellStyle name="Total 3 6 5" xfId="30698" xr:uid="{8AF369B9-5BF1-4708-806E-87C14BE938B0}"/>
    <cellStyle name="Total 3 6 5 2" xfId="32130" xr:uid="{9B684509-FD27-4259-B190-D206AFBC5659}"/>
    <cellStyle name="Total 3 6 6" xfId="31409" xr:uid="{BAE95841-2A06-4AB9-8059-D2605AE52F9D}"/>
    <cellStyle name="Total 3 7" xfId="29941" xr:uid="{42EA0E06-0351-473D-9283-7CFBF602A625}"/>
    <cellStyle name="Total 3 7 2" xfId="29942" xr:uid="{2A3718EB-70E8-4EFF-9ADD-09AD1A3FA05A}"/>
    <cellStyle name="Total 3 7 2 2" xfId="30703" xr:uid="{C17577C3-2B38-4320-B7C9-C5127983D531}"/>
    <cellStyle name="Total 3 7 2 2 2" xfId="32135" xr:uid="{0AE600E1-06ED-4B5B-B14A-FF008A993BDC}"/>
    <cellStyle name="Total 3 7 2 3" xfId="31414" xr:uid="{AC882939-D8EC-4077-8E80-8D47DA14BB04}"/>
    <cellStyle name="Total 3 7 3" xfId="29943" xr:uid="{D9034F4D-97D5-4D41-8FC9-73277604133F}"/>
    <cellStyle name="Total 3 7 3 2" xfId="30704" xr:uid="{788DF602-EE60-4939-A72A-167C3D85ECB5}"/>
    <cellStyle name="Total 3 7 3 2 2" xfId="32136" xr:uid="{BBC62E98-2F33-432E-B5E6-60013C334D98}"/>
    <cellStyle name="Total 3 7 3 3" xfId="31415" xr:uid="{B99284FC-4DE5-4529-B0CD-68ECC6B27FA2}"/>
    <cellStyle name="Total 3 7 4" xfId="29944" xr:uid="{4863599E-3177-4809-8C09-2DC51197B342}"/>
    <cellStyle name="Total 3 7 4 2" xfId="30705" xr:uid="{657C0876-7055-4B33-9866-BF2D33BDDDB1}"/>
    <cellStyle name="Total 3 7 4 2 2" xfId="32137" xr:uid="{00164CC5-002F-4C41-9A4B-083EF8E6856F}"/>
    <cellStyle name="Total 3 7 4 3" xfId="31416" xr:uid="{B8419579-38BC-4974-847E-290F04EEC89B}"/>
    <cellStyle name="Total 3 7 5" xfId="30702" xr:uid="{1F3F0BF7-31EC-4220-8A15-0E49F96B278F}"/>
    <cellStyle name="Total 3 7 5 2" xfId="32134" xr:uid="{447FA171-6BFD-4C62-9F98-99B36F8A251A}"/>
    <cellStyle name="Total 3 7 6" xfId="31413" xr:uid="{C79AD7F4-C0BB-49E5-B720-976AE03DE4EE}"/>
    <cellStyle name="Total 3 8" xfId="29945" xr:uid="{804BB331-A5E4-42D5-9882-2828C6B52559}"/>
    <cellStyle name="Total 3 8 2" xfId="29946" xr:uid="{45DD5E79-FF33-4FB4-8D6A-7FD245D4960B}"/>
    <cellStyle name="Total 3 8 2 2" xfId="30707" xr:uid="{EFF33787-F8D2-4159-A6C1-6B393669567D}"/>
    <cellStyle name="Total 3 8 2 2 2" xfId="32139" xr:uid="{F550D8BE-E10C-480C-B618-9ADD4CC1214D}"/>
    <cellStyle name="Total 3 8 2 3" xfId="31418" xr:uid="{764FFCF8-8987-4737-865E-3DE80C3BD956}"/>
    <cellStyle name="Total 3 8 3" xfId="29947" xr:uid="{BDEBD055-4D8D-434B-94F8-F216664E7F05}"/>
    <cellStyle name="Total 3 8 3 2" xfId="30708" xr:uid="{30382248-0DDE-4AAA-8232-2B5AD38A9698}"/>
    <cellStyle name="Total 3 8 3 2 2" xfId="32140" xr:uid="{4424B889-278A-44D6-9914-C13961A467B9}"/>
    <cellStyle name="Total 3 8 3 3" xfId="31419" xr:uid="{B005151C-1059-4051-88B3-512D47A84DCB}"/>
    <cellStyle name="Total 3 8 4" xfId="29948" xr:uid="{F085ABBA-CA38-45DB-99EB-1371FBE16C06}"/>
    <cellStyle name="Total 3 8 4 2" xfId="30709" xr:uid="{3136963E-2F7C-46EB-8F73-02ED25D2D1CA}"/>
    <cellStyle name="Total 3 8 4 2 2" xfId="32141" xr:uid="{584EEBEA-7B9A-4ECB-8F1B-9F7BA4DF93E4}"/>
    <cellStyle name="Total 3 8 4 3" xfId="31420" xr:uid="{97651CAA-AFD1-4E5C-8CC0-BF704F4E569A}"/>
    <cellStyle name="Total 3 8 5" xfId="30706" xr:uid="{F5E3C127-D9A9-467D-BF27-FA8371B931DF}"/>
    <cellStyle name="Total 3 8 5 2" xfId="32138" xr:uid="{D7AC246D-C58F-48B7-B2DD-DADC7B00E521}"/>
    <cellStyle name="Total 3 8 6" xfId="31417" xr:uid="{5BA58926-471F-49EA-BE3F-95C6EA3A3D2B}"/>
    <cellStyle name="Total 3 9" xfId="29949" xr:uid="{26790066-D01C-4390-927B-7E91E4E4C129}"/>
    <cellStyle name="Total 3 9 2" xfId="29950" xr:uid="{81F16433-F9D8-439F-879E-29C72FAC47E3}"/>
    <cellStyle name="Total 3 9 2 2" xfId="30711" xr:uid="{2A58942B-083B-4191-92E7-AC2508D66F08}"/>
    <cellStyle name="Total 3 9 2 2 2" xfId="32143" xr:uid="{8C47651B-2ACA-4CCB-A56A-C4B25DFFD789}"/>
    <cellStyle name="Total 3 9 2 3" xfId="31422" xr:uid="{961B394C-20BD-4677-AD32-DA05673E194C}"/>
    <cellStyle name="Total 3 9 3" xfId="29951" xr:uid="{E731B074-5B13-4E8F-9586-1FBBFD427F19}"/>
    <cellStyle name="Total 3 9 3 2" xfId="30712" xr:uid="{7B1A311C-1E0B-4D04-9B8C-7BC6F8892B9D}"/>
    <cellStyle name="Total 3 9 3 2 2" xfId="32144" xr:uid="{1201C751-C5CD-4006-AD7F-AE73336DAB71}"/>
    <cellStyle name="Total 3 9 3 3" xfId="31423" xr:uid="{52D829AD-ED30-4875-8EBE-16239BE4D25D}"/>
    <cellStyle name="Total 3 9 4" xfId="29952" xr:uid="{91C67C8E-24CA-444B-AA22-CAA0CB705548}"/>
    <cellStyle name="Total 3 9 4 2" xfId="30713" xr:uid="{0F2AA90D-3800-43CB-98A6-E6A23009C553}"/>
    <cellStyle name="Total 3 9 4 2 2" xfId="32145" xr:uid="{2CA87535-6F4E-4F47-8EFC-370BCE94F716}"/>
    <cellStyle name="Total 3 9 4 3" xfId="31424" xr:uid="{DE5EA601-C4FD-4CD5-B33D-F974A738ED5D}"/>
    <cellStyle name="Total 3 9 5" xfId="30710" xr:uid="{4B48394C-27AB-4099-8166-2FB16925142E}"/>
    <cellStyle name="Total 3 9 5 2" xfId="32142" xr:uid="{E1BA1EC9-FD01-48A1-8313-A112825ED5CC}"/>
    <cellStyle name="Total 3 9 6" xfId="31421" xr:uid="{9F54676F-8947-41E5-AED1-C6A3DB0EC790}"/>
    <cellStyle name="Total 4 10" xfId="29953" xr:uid="{4D447897-0E55-4576-B575-FFF46AD107C9}"/>
    <cellStyle name="Total 4 10 2" xfId="29954" xr:uid="{1A56C7ED-D613-443E-A6E7-8321CE96C25F}"/>
    <cellStyle name="Total 4 10 2 2" xfId="30715" xr:uid="{CB045E54-DA83-4721-A44D-D8FA0C4478F4}"/>
    <cellStyle name="Total 4 10 2 2 2" xfId="32147" xr:uid="{4634D3D3-5B2D-4D21-BDCF-33A3C9969FD3}"/>
    <cellStyle name="Total 4 10 2 3" xfId="31426" xr:uid="{CD7ADAE3-E694-4D25-848B-5FC4BAB3C116}"/>
    <cellStyle name="Total 4 10 3" xfId="29955" xr:uid="{5E620177-33CF-4174-96D4-0A394FD4BCC2}"/>
    <cellStyle name="Total 4 10 3 2" xfId="30716" xr:uid="{5C500CE0-8B7D-406A-8C21-D5A766D9376A}"/>
    <cellStyle name="Total 4 10 3 2 2" xfId="32148" xr:uid="{22DA21FD-1C7D-4E88-967E-B1335AF4F90D}"/>
    <cellStyle name="Total 4 10 3 3" xfId="31427" xr:uid="{2BD34CE5-21C0-4455-9129-EBB9B3CD7754}"/>
    <cellStyle name="Total 4 10 4" xfId="29956" xr:uid="{FE0BB056-6139-4958-99A2-582DCF8495ED}"/>
    <cellStyle name="Total 4 10 4 2" xfId="30717" xr:uid="{DEBF88FD-0DA0-43A6-9035-DA7AEA3862B4}"/>
    <cellStyle name="Total 4 10 4 2 2" xfId="32149" xr:uid="{2AD91B35-19DE-4AD9-910C-8BAB57F52F76}"/>
    <cellStyle name="Total 4 10 4 3" xfId="31428" xr:uid="{74FBA9D5-9740-4FF7-B7B6-5576F82A3389}"/>
    <cellStyle name="Total 4 10 5" xfId="30714" xr:uid="{3D5E7D40-9C45-4594-9AA6-632182E2B963}"/>
    <cellStyle name="Total 4 10 5 2" xfId="32146" xr:uid="{8115A384-3732-4DCF-9293-EE95460B3E16}"/>
    <cellStyle name="Total 4 10 6" xfId="31425" xr:uid="{0C3402FD-0AB9-4265-82B9-020320889A68}"/>
    <cellStyle name="Total 4 2" xfId="29957" xr:uid="{233ACD9A-6A3E-4B42-9B33-001C894C7804}"/>
    <cellStyle name="Total 4 2 2" xfId="29958" xr:uid="{82384731-84CF-41A9-B1F9-1164B56E4C46}"/>
    <cellStyle name="Total 4 2 2 2" xfId="30719" xr:uid="{0696A77C-2BA3-4B3A-8D0C-472EB9BCAC94}"/>
    <cellStyle name="Total 4 2 2 2 2" xfId="32151" xr:uid="{C23C94C0-1125-4E2B-9801-42C05CB2C93D}"/>
    <cellStyle name="Total 4 2 2 3" xfId="31430" xr:uid="{63FA22BB-3216-491E-965A-49ABC5092E6E}"/>
    <cellStyle name="Total 4 2 3" xfId="29959" xr:uid="{BB657D63-AC8A-44DF-B62F-BD1049BE54DE}"/>
    <cellStyle name="Total 4 2 3 2" xfId="30720" xr:uid="{91EABCDE-B3B6-4D8A-8E84-05534A234B35}"/>
    <cellStyle name="Total 4 2 3 2 2" xfId="32152" xr:uid="{CE702FF1-B764-46A2-BF29-EF594AED4965}"/>
    <cellStyle name="Total 4 2 3 3" xfId="31431" xr:uid="{29984711-DF96-477E-84C8-ABA6B7AFF78C}"/>
    <cellStyle name="Total 4 2 4" xfId="29960" xr:uid="{4BEDB340-F33E-4FDD-B12D-00D1F74756A6}"/>
    <cellStyle name="Total 4 2 4 2" xfId="30721" xr:uid="{9AB80979-9113-4AD3-84BB-B3CA34AB8904}"/>
    <cellStyle name="Total 4 2 4 2 2" xfId="32153" xr:uid="{1935D787-25B6-4611-A07C-8E3E56E3E36F}"/>
    <cellStyle name="Total 4 2 4 3" xfId="31432" xr:uid="{4C99DDDD-BB34-47FB-B564-BBA0953344A5}"/>
    <cellStyle name="Total 4 2 5" xfId="30718" xr:uid="{2BAF59FD-8305-4D06-A2FD-143FD84DC6EA}"/>
    <cellStyle name="Total 4 2 5 2" xfId="32150" xr:uid="{60DA0A7B-2ED2-40E0-9976-C3FE7885728A}"/>
    <cellStyle name="Total 4 2 6" xfId="31429" xr:uid="{B03535C0-4DCC-4AB5-B164-9390C3B5BC0A}"/>
    <cellStyle name="Total 4 3" xfId="29961" xr:uid="{8F900AB7-6DF7-43A7-859F-3C26E0252CF0}"/>
    <cellStyle name="Total 4 3 2" xfId="29962" xr:uid="{BA4589FF-5F55-4B37-9573-242EDF9E174D}"/>
    <cellStyle name="Total 4 3 2 2" xfId="30723" xr:uid="{A1142B4C-F2BA-4FC4-A566-338D1FF97A38}"/>
    <cellStyle name="Total 4 3 2 2 2" xfId="32155" xr:uid="{DA961B78-1A4C-44E5-BBCC-2BD50807EE96}"/>
    <cellStyle name="Total 4 3 2 3" xfId="31434" xr:uid="{7FD8E581-A405-4E40-A883-36B7103059C9}"/>
    <cellStyle name="Total 4 3 3" xfId="29963" xr:uid="{90EBE276-BA6C-482A-AF5A-E81E2653AAF4}"/>
    <cellStyle name="Total 4 3 3 2" xfId="30724" xr:uid="{27AF98E1-2934-4033-A67C-35D1D9802CBF}"/>
    <cellStyle name="Total 4 3 3 2 2" xfId="32156" xr:uid="{1B99578B-F9A8-4CA9-9BA3-A6C0AD8FEC7E}"/>
    <cellStyle name="Total 4 3 3 3" xfId="31435" xr:uid="{5A0D36FD-B60F-48C8-9FFD-7797E16AFAA0}"/>
    <cellStyle name="Total 4 3 4" xfId="29964" xr:uid="{6A27B9E4-E659-4768-99F4-E9972FC18F9B}"/>
    <cellStyle name="Total 4 3 4 2" xfId="30725" xr:uid="{C704F3D8-3FE6-4B5B-99F5-4600AAF025A1}"/>
    <cellStyle name="Total 4 3 4 2 2" xfId="32157" xr:uid="{CDFE9B24-1899-4C0D-9E39-702ABA882218}"/>
    <cellStyle name="Total 4 3 4 3" xfId="31436" xr:uid="{1A49C8C6-3BDF-4475-AA0A-B8C55EEEA5BE}"/>
    <cellStyle name="Total 4 3 5" xfId="30722" xr:uid="{1879E803-33C4-481E-BE50-03ABA71A2E8B}"/>
    <cellStyle name="Total 4 3 5 2" xfId="32154" xr:uid="{B6016808-073F-4618-98BA-E3379BBF29EE}"/>
    <cellStyle name="Total 4 3 6" xfId="31433" xr:uid="{2B9F57FA-E44F-4C5D-93DC-273A6AFCF73A}"/>
    <cellStyle name="Total 4 4" xfId="29965" xr:uid="{DC5F7417-43BA-40D2-AAC7-A1482DDBB293}"/>
    <cellStyle name="Total 4 4 2" xfId="29966" xr:uid="{4EF1B1EF-72EA-479B-92B9-A25ED3772E44}"/>
    <cellStyle name="Total 4 4 2 2" xfId="30727" xr:uid="{3CBA2DF5-E3DC-40E3-9DBD-9E83CB7DD806}"/>
    <cellStyle name="Total 4 4 2 2 2" xfId="32159" xr:uid="{8AD74EC7-3B10-48AB-B63F-29C55BC3B3C1}"/>
    <cellStyle name="Total 4 4 2 3" xfId="31438" xr:uid="{C1782FA9-C7B4-4255-80CD-88DAB39882DF}"/>
    <cellStyle name="Total 4 4 3" xfId="29967" xr:uid="{0FD06371-1E2F-47F3-8424-A64647D3C846}"/>
    <cellStyle name="Total 4 4 3 2" xfId="30728" xr:uid="{465A2B36-ABE2-4087-87D0-C4E9C2A8650A}"/>
    <cellStyle name="Total 4 4 3 2 2" xfId="32160" xr:uid="{7011981B-87D7-440E-9718-2986F44AB72A}"/>
    <cellStyle name="Total 4 4 3 3" xfId="31439" xr:uid="{AA20030A-F6CB-45DA-A198-96D1CFFF0916}"/>
    <cellStyle name="Total 4 4 4" xfId="29968" xr:uid="{3B39954D-CE61-431F-A11A-6B5D480950DE}"/>
    <cellStyle name="Total 4 4 4 2" xfId="30729" xr:uid="{743B9FF7-A5B0-4AC1-A7DA-572E5001C2FC}"/>
    <cellStyle name="Total 4 4 4 2 2" xfId="32161" xr:uid="{551EC014-1BCD-439E-8EEC-2C6A3ED75954}"/>
    <cellStyle name="Total 4 4 4 3" xfId="31440" xr:uid="{15E8ED21-DEB7-4574-8B41-4C3926EBF075}"/>
    <cellStyle name="Total 4 4 5" xfId="30726" xr:uid="{A4E14591-9D31-48BE-A3C5-BC70C1EFE4A9}"/>
    <cellStyle name="Total 4 4 5 2" xfId="32158" xr:uid="{C801DCC0-F4A2-4F8C-91F8-9BE1F7190186}"/>
    <cellStyle name="Total 4 4 6" xfId="31437" xr:uid="{6BF2A9A4-A5FE-4062-AD8D-FDC3EAC8B6FC}"/>
    <cellStyle name="Total 4 5" xfId="29969" xr:uid="{11399CC5-B7A0-462B-BEDE-A38B5EEB3535}"/>
    <cellStyle name="Total 4 5 2" xfId="29970" xr:uid="{4152BFD4-1BDA-4975-A220-BF632D181B29}"/>
    <cellStyle name="Total 4 5 2 2" xfId="30731" xr:uid="{D79D88DA-5E56-47AD-ADC2-CBF6D8E35995}"/>
    <cellStyle name="Total 4 5 2 2 2" xfId="32163" xr:uid="{B84D42B7-E36E-4E12-A96C-44A901363DD3}"/>
    <cellStyle name="Total 4 5 2 3" xfId="31442" xr:uid="{65A7A3C0-4DDA-44E1-925E-69C0B319DB76}"/>
    <cellStyle name="Total 4 5 3" xfId="29971" xr:uid="{1CFF714C-9055-4459-9E49-479829BBB42D}"/>
    <cellStyle name="Total 4 5 3 2" xfId="30732" xr:uid="{993F61C1-2AC2-4579-8BA2-C94080DCD20A}"/>
    <cellStyle name="Total 4 5 3 2 2" xfId="32164" xr:uid="{B7E57DD2-614E-4030-AB6A-E6DB77780693}"/>
    <cellStyle name="Total 4 5 3 3" xfId="31443" xr:uid="{87104036-8423-4DB1-8D51-721DDA1877AF}"/>
    <cellStyle name="Total 4 5 4" xfId="29972" xr:uid="{0D1B1E87-8423-4916-B1EF-B93416465410}"/>
    <cellStyle name="Total 4 5 4 2" xfId="30733" xr:uid="{90DD0B0A-099F-4A16-8E51-B31747751C67}"/>
    <cellStyle name="Total 4 5 4 2 2" xfId="32165" xr:uid="{0B60167F-4F1B-477A-BD9B-CC77558BFE93}"/>
    <cellStyle name="Total 4 5 4 3" xfId="31444" xr:uid="{6BFC419F-BDDF-443F-A46F-B8C4190F3374}"/>
    <cellStyle name="Total 4 5 5" xfId="30730" xr:uid="{36C716A8-9351-4127-87E3-A2BDC22DCB5C}"/>
    <cellStyle name="Total 4 5 5 2" xfId="32162" xr:uid="{F77777BF-F293-4AA1-AF25-F3777CEDFFDA}"/>
    <cellStyle name="Total 4 5 6" xfId="31441" xr:uid="{8624AAAE-A97A-41E8-88F4-7EDDC0E18DD6}"/>
    <cellStyle name="Total 4 6" xfId="29973" xr:uid="{96FDB117-3E1B-4D3C-98AD-10AD698BA7AB}"/>
    <cellStyle name="Total 4 6 2" xfId="29974" xr:uid="{27A22E13-E957-4703-988A-06B7948DB682}"/>
    <cellStyle name="Total 4 6 2 2" xfId="30735" xr:uid="{92ECC65A-FB36-4F3C-ABB8-D49C28D9CDAE}"/>
    <cellStyle name="Total 4 6 2 2 2" xfId="32167" xr:uid="{8AE6552C-E177-4115-A1F3-10FCF8C63021}"/>
    <cellStyle name="Total 4 6 2 3" xfId="31446" xr:uid="{E76EFED8-9A8B-4A45-9ED0-8603EF81D5B7}"/>
    <cellStyle name="Total 4 6 3" xfId="29975" xr:uid="{71017CB9-25EE-45BD-A68C-39F7DE927F9F}"/>
    <cellStyle name="Total 4 6 3 2" xfId="30736" xr:uid="{1746BBA0-1545-4D22-9E21-91B94D649B0D}"/>
    <cellStyle name="Total 4 6 3 2 2" xfId="32168" xr:uid="{A10B64D7-B94C-4CBD-9867-F55E60FF33DC}"/>
    <cellStyle name="Total 4 6 3 3" xfId="31447" xr:uid="{7E1076D8-6583-4C3B-91E9-F1291BAEAB73}"/>
    <cellStyle name="Total 4 6 4" xfId="29976" xr:uid="{5EB9D4A3-F0C7-4673-8D47-1597B2B90F58}"/>
    <cellStyle name="Total 4 6 4 2" xfId="30737" xr:uid="{870C249E-3830-4780-9289-7CA92C34386A}"/>
    <cellStyle name="Total 4 6 4 2 2" xfId="32169" xr:uid="{B5BB68B6-5A42-4908-A795-3A76EBA229C5}"/>
    <cellStyle name="Total 4 6 4 3" xfId="31448" xr:uid="{E5EE2CFE-ECF7-4806-B12C-1F8A15BD6635}"/>
    <cellStyle name="Total 4 6 5" xfId="30734" xr:uid="{24C7A0C1-C368-4A42-A6B6-0939342C69F5}"/>
    <cellStyle name="Total 4 6 5 2" xfId="32166" xr:uid="{06D8432E-F366-44AB-979D-82809C2254B1}"/>
    <cellStyle name="Total 4 6 6" xfId="31445" xr:uid="{34D85343-D28D-4E5A-9824-8985D04F0EBE}"/>
    <cellStyle name="Total 4 7" xfId="29977" xr:uid="{36DD635A-7B0B-43B7-9D02-C61DEFE27D5A}"/>
    <cellStyle name="Total 4 7 2" xfId="29978" xr:uid="{7E76355C-2C15-4DBA-9EEE-845659579EEE}"/>
    <cellStyle name="Total 4 7 2 2" xfId="30739" xr:uid="{8F7FBA76-93D0-4FC6-B51E-04B8E280E85E}"/>
    <cellStyle name="Total 4 7 2 2 2" xfId="32171" xr:uid="{CF14CAAF-EF4E-44A2-BF29-1DDB475C0390}"/>
    <cellStyle name="Total 4 7 2 3" xfId="31450" xr:uid="{1C6EA233-D392-422C-A50D-DD285B8A05FE}"/>
    <cellStyle name="Total 4 7 3" xfId="29979" xr:uid="{334EC0CF-6675-4620-964E-86AB49DBE100}"/>
    <cellStyle name="Total 4 7 3 2" xfId="30740" xr:uid="{03B9B1FC-19F6-42B5-878D-D4315B993A1B}"/>
    <cellStyle name="Total 4 7 3 2 2" xfId="32172" xr:uid="{35E26C1D-875B-4A8D-80BC-3CE7EF38A3D8}"/>
    <cellStyle name="Total 4 7 3 3" xfId="31451" xr:uid="{E595BA96-703D-456F-A9A9-26D5F949775F}"/>
    <cellStyle name="Total 4 7 4" xfId="29980" xr:uid="{3FA2A180-3B41-4681-BDD1-D34FE3B33279}"/>
    <cellStyle name="Total 4 7 4 2" xfId="30741" xr:uid="{1F1BD6E4-033C-43CF-8A12-8A86FCFA4E21}"/>
    <cellStyle name="Total 4 7 4 2 2" xfId="32173" xr:uid="{AFB56006-E3AC-4331-924C-5D67E8EB161B}"/>
    <cellStyle name="Total 4 7 4 3" xfId="31452" xr:uid="{AB843B02-8A36-4B42-9E90-61A068FAEA3D}"/>
    <cellStyle name="Total 4 7 5" xfId="30738" xr:uid="{1EB95198-64DD-4DE5-8F0F-ECECCEEE0E44}"/>
    <cellStyle name="Total 4 7 5 2" xfId="32170" xr:uid="{7446ED88-3FDC-4885-AE7B-67F2E1D66615}"/>
    <cellStyle name="Total 4 7 6" xfId="31449" xr:uid="{CD3C8FB0-2AD8-480F-BEFE-8246F87A8BD7}"/>
    <cellStyle name="Total 4 8" xfId="29981" xr:uid="{217DE09D-0362-4015-9508-42C61CC231F1}"/>
    <cellStyle name="Total 4 8 2" xfId="29982" xr:uid="{34636316-317D-4780-A7CD-E5FCA0E09D71}"/>
    <cellStyle name="Total 4 8 2 2" xfId="30743" xr:uid="{AD25B7F5-D9D0-4C57-85AF-9E7B011362E7}"/>
    <cellStyle name="Total 4 8 2 2 2" xfId="32175" xr:uid="{770E7DBA-D95B-4BCC-A33D-31AE7FDB86E5}"/>
    <cellStyle name="Total 4 8 2 3" xfId="31454" xr:uid="{4C56BC97-A3A5-42CB-8705-D1EB7948F616}"/>
    <cellStyle name="Total 4 8 3" xfId="29983" xr:uid="{DA04551C-2C61-4532-AA05-A0CE2A0E5ACE}"/>
    <cellStyle name="Total 4 8 3 2" xfId="30744" xr:uid="{44448E79-634B-4A37-BB06-99049CDFC0E0}"/>
    <cellStyle name="Total 4 8 3 2 2" xfId="32176" xr:uid="{5AD09B42-9B8E-4539-A630-A69B37ED8279}"/>
    <cellStyle name="Total 4 8 3 3" xfId="31455" xr:uid="{F46ACDE5-DE11-4C6C-B956-37F7EF3F4F7A}"/>
    <cellStyle name="Total 4 8 4" xfId="29984" xr:uid="{DA864927-91ED-4DD5-BB00-79EBA7D66496}"/>
    <cellStyle name="Total 4 8 4 2" xfId="30745" xr:uid="{E0800481-73B2-4A5F-A3F6-839203776064}"/>
    <cellStyle name="Total 4 8 4 2 2" xfId="32177" xr:uid="{3AFA1844-9769-44C4-B43F-D11FFBB6A597}"/>
    <cellStyle name="Total 4 8 4 3" xfId="31456" xr:uid="{9FB9C6FD-42EC-4EDF-BA24-9594CBD45787}"/>
    <cellStyle name="Total 4 8 5" xfId="30742" xr:uid="{CD6D6882-9FB5-4B0D-B647-ACF0AEC88348}"/>
    <cellStyle name="Total 4 8 5 2" xfId="32174" xr:uid="{B60F1672-D644-470F-B7D3-9FF1BCE8C782}"/>
    <cellStyle name="Total 4 8 6" xfId="31453" xr:uid="{160E7BAD-541B-48AD-9384-DF4604FFBC2D}"/>
    <cellStyle name="Total 4 9" xfId="29985" xr:uid="{05A956A5-E5AD-418E-9747-80F821B79082}"/>
    <cellStyle name="Total 4 9 2" xfId="29986" xr:uid="{51BDB762-F130-4C70-B11F-A76388BC199E}"/>
    <cellStyle name="Total 4 9 2 2" xfId="30747" xr:uid="{1318F80F-4B56-4111-84C7-49894B31FE98}"/>
    <cellStyle name="Total 4 9 2 2 2" xfId="32179" xr:uid="{81714BDD-926B-474D-B2FE-4C8941F68F20}"/>
    <cellStyle name="Total 4 9 2 3" xfId="31458" xr:uid="{544CBA39-2060-4898-9A6C-85DDDFBC4C33}"/>
    <cellStyle name="Total 4 9 3" xfId="29987" xr:uid="{328777DA-2FFF-469F-83DB-8E0DACFFFF66}"/>
    <cellStyle name="Total 4 9 3 2" xfId="30748" xr:uid="{2EB24B33-1ED4-4965-AF71-1F5626E19A27}"/>
    <cellStyle name="Total 4 9 3 2 2" xfId="32180" xr:uid="{91447231-FF1C-42A6-86A7-9D25EF24BF3A}"/>
    <cellStyle name="Total 4 9 3 3" xfId="31459" xr:uid="{44414EB9-A265-40BD-A8A8-E8A37B52429E}"/>
    <cellStyle name="Total 4 9 4" xfId="29988" xr:uid="{AE3A7F10-B8CE-4FF1-8D5A-18B93B9FB560}"/>
    <cellStyle name="Total 4 9 4 2" xfId="30749" xr:uid="{611691D8-C4CF-4A76-849D-25A23F602510}"/>
    <cellStyle name="Total 4 9 4 2 2" xfId="32181" xr:uid="{2C4C8EEC-A0B5-4689-902A-A839BE909884}"/>
    <cellStyle name="Total 4 9 4 3" xfId="31460" xr:uid="{97581D25-6EB9-4E04-B1D0-938F9676322B}"/>
    <cellStyle name="Total 4 9 5" xfId="30746" xr:uid="{4AB99337-5A67-46D4-8001-6AFD32644233}"/>
    <cellStyle name="Total 4 9 5 2" xfId="32178" xr:uid="{D6E1750B-7745-4660-B757-BF5FDCA0AF0B}"/>
    <cellStyle name="Total 4 9 6" xfId="31457" xr:uid="{FD686BB1-8F5A-46CA-8CF1-C1A58477C01E}"/>
    <cellStyle name="Total 5 10" xfId="29989" xr:uid="{FC057BAE-798C-4F15-9954-AC8CBF88A762}"/>
    <cellStyle name="Total 5 10 2" xfId="29990" xr:uid="{221A3C04-BB87-498C-8E0C-E84D9BBDCEAE}"/>
    <cellStyle name="Total 5 10 2 2" xfId="30751" xr:uid="{A6799E09-A855-454A-AD50-78EBBD192CAB}"/>
    <cellStyle name="Total 5 10 2 2 2" xfId="32183" xr:uid="{79273A7E-14E6-4B33-8D6B-736FD2C668B1}"/>
    <cellStyle name="Total 5 10 2 3" xfId="31462" xr:uid="{619B7FF6-163D-4647-B886-D15D363AA417}"/>
    <cellStyle name="Total 5 10 3" xfId="29991" xr:uid="{1D6EC114-84CC-47C1-9D4B-AB2099E5A4F4}"/>
    <cellStyle name="Total 5 10 3 2" xfId="30752" xr:uid="{25E0FDC3-1DFB-4BC6-8257-99B5AA6CF74A}"/>
    <cellStyle name="Total 5 10 3 2 2" xfId="32184" xr:uid="{D7191B6B-7D7A-4E2F-A547-70AFD0AB5EFC}"/>
    <cellStyle name="Total 5 10 3 3" xfId="31463" xr:uid="{0A231974-7F69-4F5A-834E-BB87B0CF2567}"/>
    <cellStyle name="Total 5 10 4" xfId="29992" xr:uid="{A3291CC9-C582-47DE-904F-E313227313C2}"/>
    <cellStyle name="Total 5 10 4 2" xfId="30753" xr:uid="{DB7D153C-E257-40DF-AC99-90AE917299FF}"/>
    <cellStyle name="Total 5 10 4 2 2" xfId="32185" xr:uid="{0F1C2010-9755-42A9-B88D-8777894F5EBF}"/>
    <cellStyle name="Total 5 10 4 3" xfId="31464" xr:uid="{75C36E03-5620-401A-A6A4-02C5AF924535}"/>
    <cellStyle name="Total 5 10 5" xfId="30750" xr:uid="{5C975755-2DBB-43A2-8D1B-ADC89F885BB5}"/>
    <cellStyle name="Total 5 10 5 2" xfId="32182" xr:uid="{9E3668F9-03F6-4BD3-8CAC-F011C042FDD1}"/>
    <cellStyle name="Total 5 10 6" xfId="31461" xr:uid="{0DD99F0F-436E-4748-82A5-0201629F93C5}"/>
    <cellStyle name="Total 5 2" xfId="29993" xr:uid="{5DE781FF-08AD-4890-9C11-B4842505B89B}"/>
    <cellStyle name="Total 5 2 2" xfId="29994" xr:uid="{64DEC8D1-7DE2-4A57-A181-AAEE40281C9D}"/>
    <cellStyle name="Total 5 2 2 2" xfId="30755" xr:uid="{7478AAD3-BCCA-4F6C-A804-2CDD38808B41}"/>
    <cellStyle name="Total 5 2 2 2 2" xfId="32187" xr:uid="{5FB5255A-1EFF-4B06-BA2B-C70747B0F90B}"/>
    <cellStyle name="Total 5 2 2 3" xfId="31466" xr:uid="{DBBA6415-650A-49D5-8C2A-D568817B229A}"/>
    <cellStyle name="Total 5 2 3" xfId="29995" xr:uid="{E44175FA-8239-4C74-8D7F-5BA17BBE3829}"/>
    <cellStyle name="Total 5 2 3 2" xfId="30756" xr:uid="{125BB615-2ED2-423A-89AC-20B5ABE84963}"/>
    <cellStyle name="Total 5 2 3 2 2" xfId="32188" xr:uid="{587D64C8-A28E-441B-BCF5-0DDBEB0573F0}"/>
    <cellStyle name="Total 5 2 3 3" xfId="31467" xr:uid="{877EEE29-F4AB-4C08-9BA2-F99E63EA96E6}"/>
    <cellStyle name="Total 5 2 4" xfId="29996" xr:uid="{3C1939CA-B55F-4ADE-A200-696429D0C809}"/>
    <cellStyle name="Total 5 2 4 2" xfId="30757" xr:uid="{B8A5E08A-339E-4064-B5EC-FC399BEDAD51}"/>
    <cellStyle name="Total 5 2 4 2 2" xfId="32189" xr:uid="{9636C798-4933-4420-8992-C4B9F22AFB99}"/>
    <cellStyle name="Total 5 2 4 3" xfId="31468" xr:uid="{2FCCE767-71AB-4668-BE7F-E3F2EFC4A24D}"/>
    <cellStyle name="Total 5 2 5" xfId="30754" xr:uid="{5D8B3ADD-A5E8-42F4-AF01-237D6D33CC79}"/>
    <cellStyle name="Total 5 2 5 2" xfId="32186" xr:uid="{F6FD4069-0D1F-4F31-A257-A7B9CDED8F27}"/>
    <cellStyle name="Total 5 2 6" xfId="31465" xr:uid="{051F618F-54E4-4895-BD0B-185714AAE2EE}"/>
    <cellStyle name="Total 5 3" xfId="29997" xr:uid="{B3D12066-4C62-4819-B9B7-F6BDFEF2D825}"/>
    <cellStyle name="Total 5 3 2" xfId="29998" xr:uid="{C08F78F8-AE5C-43C1-B7E4-A5632B41455E}"/>
    <cellStyle name="Total 5 3 2 2" xfId="30759" xr:uid="{6943A345-451F-4006-9A27-C415752E6D61}"/>
    <cellStyle name="Total 5 3 2 2 2" xfId="32191" xr:uid="{30F7A943-BAFF-4917-9799-BC6F8A2385E2}"/>
    <cellStyle name="Total 5 3 2 3" xfId="31470" xr:uid="{D8C54C86-E4CF-421A-B763-0ECAE9032527}"/>
    <cellStyle name="Total 5 3 3" xfId="29999" xr:uid="{C024A798-B209-4836-9316-C6CB4233817C}"/>
    <cellStyle name="Total 5 3 3 2" xfId="30760" xr:uid="{6A1D6EBE-2865-4487-8C1E-8B1693389BCD}"/>
    <cellStyle name="Total 5 3 3 2 2" xfId="32192" xr:uid="{7A8D8E3A-E3CC-4468-9707-871EA4CEE398}"/>
    <cellStyle name="Total 5 3 3 3" xfId="31471" xr:uid="{FA1288FE-AD09-4EAC-8048-9BA395F84867}"/>
    <cellStyle name="Total 5 3 4" xfId="30000" xr:uid="{87B5AF20-8697-4601-8B0F-F80B5F8A31B0}"/>
    <cellStyle name="Total 5 3 4 2" xfId="30761" xr:uid="{0138263A-1D16-4FE6-8203-6662C331DEE3}"/>
    <cellStyle name="Total 5 3 4 2 2" xfId="32193" xr:uid="{CF041013-FC15-4D6A-9CD5-103CFA07F20C}"/>
    <cellStyle name="Total 5 3 4 3" xfId="31472" xr:uid="{79AB3BE7-CC5A-4EAE-AC9F-EF897F52CC59}"/>
    <cellStyle name="Total 5 3 5" xfId="30758" xr:uid="{E8FA8DE0-EACC-4DEE-BDB0-65A7A63E7407}"/>
    <cellStyle name="Total 5 3 5 2" xfId="32190" xr:uid="{CCAB8AE4-145D-41DE-8107-EF0F4021782C}"/>
    <cellStyle name="Total 5 3 6" xfId="31469" xr:uid="{01DB63B1-597E-49FF-8D3C-E6287F712E34}"/>
    <cellStyle name="Total 5 4" xfId="30001" xr:uid="{89731445-4E9B-4ECA-9335-0C15EF67AB62}"/>
    <cellStyle name="Total 5 4 2" xfId="30002" xr:uid="{00CC51DC-D880-405E-BB4E-01F4CDBB567D}"/>
    <cellStyle name="Total 5 4 2 2" xfId="30763" xr:uid="{C1D9D37B-E1ED-4621-96DF-462B61C5317B}"/>
    <cellStyle name="Total 5 4 2 2 2" xfId="32195" xr:uid="{1DEA878B-1679-4AE3-A539-6BCDADDA179A}"/>
    <cellStyle name="Total 5 4 2 3" xfId="31474" xr:uid="{AB8BEA96-9C90-4445-BE07-18CEFBF9D519}"/>
    <cellStyle name="Total 5 4 3" xfId="30003" xr:uid="{DDEE3C9B-CF80-4BFF-9293-AE7A9495A658}"/>
    <cellStyle name="Total 5 4 3 2" xfId="30764" xr:uid="{BBE11D0A-9A9A-4C6F-AF48-4DCD13E8DCCD}"/>
    <cellStyle name="Total 5 4 3 2 2" xfId="32196" xr:uid="{61C94032-101E-46AD-843C-E63521754921}"/>
    <cellStyle name="Total 5 4 3 3" xfId="31475" xr:uid="{67AF34B4-90ED-4675-8235-E8CFB651DF8F}"/>
    <cellStyle name="Total 5 4 4" xfId="30004" xr:uid="{294F3BF0-53BD-4904-8851-F8AC07ADC38E}"/>
    <cellStyle name="Total 5 4 4 2" xfId="30765" xr:uid="{97AFE84D-9AF7-4979-9585-E70060BD70F9}"/>
    <cellStyle name="Total 5 4 4 2 2" xfId="32197" xr:uid="{B833EFC6-A71D-4DE6-AE6B-C323CBCD9643}"/>
    <cellStyle name="Total 5 4 4 3" xfId="31476" xr:uid="{4D22988F-588F-4683-9A4D-4CF18884E537}"/>
    <cellStyle name="Total 5 4 5" xfId="30762" xr:uid="{66940D8E-24CC-4EA9-8CFC-BD7C90F7BF57}"/>
    <cellStyle name="Total 5 4 5 2" xfId="32194" xr:uid="{0486224A-3AB4-4F53-8DE8-20492ED69837}"/>
    <cellStyle name="Total 5 4 6" xfId="31473" xr:uid="{1ECD1035-9B84-48F9-9579-FF641CE34FEE}"/>
    <cellStyle name="Total 5 5" xfId="30005" xr:uid="{546F7F83-A1F8-4350-A526-15CFA3C3E494}"/>
    <cellStyle name="Total 5 5 2" xfId="30006" xr:uid="{1D2EDD6E-9CDD-4104-815C-61F338C4C362}"/>
    <cellStyle name="Total 5 5 2 2" xfId="30767" xr:uid="{D6CD6D33-31D0-4182-A0B5-608807B2CD49}"/>
    <cellStyle name="Total 5 5 2 2 2" xfId="32199" xr:uid="{9401B27E-D1B3-4FE8-8A7A-AC2FDB92097D}"/>
    <cellStyle name="Total 5 5 2 3" xfId="31478" xr:uid="{D05792C1-5AE4-4FE5-A19E-539387C7A1AC}"/>
    <cellStyle name="Total 5 5 3" xfId="30007" xr:uid="{22591A62-A5A5-4233-8BB4-BC775CE5E880}"/>
    <cellStyle name="Total 5 5 3 2" xfId="30768" xr:uid="{231113F2-89A9-47FE-B1BE-216717BA4FA4}"/>
    <cellStyle name="Total 5 5 3 2 2" xfId="32200" xr:uid="{7F395DDB-F1F2-4541-AFFD-37B00A9929F7}"/>
    <cellStyle name="Total 5 5 3 3" xfId="31479" xr:uid="{404313D0-9D78-4293-B300-0136CA002265}"/>
    <cellStyle name="Total 5 5 4" xfId="30008" xr:uid="{C36E1BCC-10FA-4AA0-8F90-669B4B468F73}"/>
    <cellStyle name="Total 5 5 4 2" xfId="30769" xr:uid="{DC711EA0-BEBA-4FF4-9D5A-6B2A1BB0E8DD}"/>
    <cellStyle name="Total 5 5 4 2 2" xfId="32201" xr:uid="{E5B48DFF-27EE-488D-9BE1-5D146873EFCB}"/>
    <cellStyle name="Total 5 5 4 3" xfId="31480" xr:uid="{D48A5CDA-1B29-48E3-ABF7-4597F267AD17}"/>
    <cellStyle name="Total 5 5 5" xfId="30766" xr:uid="{BEB2C79F-A81C-4826-8082-315761A4737A}"/>
    <cellStyle name="Total 5 5 5 2" xfId="32198" xr:uid="{5B352483-80F4-4F9B-BDD9-7FBCEA3D79AD}"/>
    <cellStyle name="Total 5 5 6" xfId="31477" xr:uid="{F6E4C6BC-D144-4860-9ADE-96EE5F84176C}"/>
    <cellStyle name="Total 5 6" xfId="30009" xr:uid="{0E29C4FF-FD27-46BF-B00A-93D4A29ADCFD}"/>
    <cellStyle name="Total 5 6 2" xfId="30010" xr:uid="{5A7B582E-273A-482C-A90B-EA1CE7FFDE28}"/>
    <cellStyle name="Total 5 6 2 2" xfId="30771" xr:uid="{EAF1D746-B5BB-4888-833A-9D62514F76CB}"/>
    <cellStyle name="Total 5 6 2 2 2" xfId="32203" xr:uid="{70736DBD-80C8-47F1-A622-BC08922662CE}"/>
    <cellStyle name="Total 5 6 2 3" xfId="31482" xr:uid="{C83839F2-DF79-40B4-85D7-2B0CA884A922}"/>
    <cellStyle name="Total 5 6 3" xfId="30011" xr:uid="{98280BD6-24FB-41A8-B9AD-359A99653A44}"/>
    <cellStyle name="Total 5 6 3 2" xfId="30772" xr:uid="{3C9391DC-3EFD-417C-97BC-B7ED7BF47230}"/>
    <cellStyle name="Total 5 6 3 2 2" xfId="32204" xr:uid="{FFF95F17-93CC-4CD8-A005-9ADC2FE3350F}"/>
    <cellStyle name="Total 5 6 3 3" xfId="31483" xr:uid="{818FFF5D-E1E2-44C1-BD43-87E2AB00C178}"/>
    <cellStyle name="Total 5 6 4" xfId="30012" xr:uid="{30F37ACD-131E-44CA-A62E-E8392388D955}"/>
    <cellStyle name="Total 5 6 4 2" xfId="30773" xr:uid="{55B11548-84CC-4922-9C90-054FA2D073FD}"/>
    <cellStyle name="Total 5 6 4 2 2" xfId="32205" xr:uid="{484F588F-A2F7-4028-8844-CE975B161CCE}"/>
    <cellStyle name="Total 5 6 4 3" xfId="31484" xr:uid="{84240AFA-29B2-4EEC-8B3A-EFFD582879C5}"/>
    <cellStyle name="Total 5 6 5" xfId="30770" xr:uid="{A382E0B6-1F54-418D-946F-3F761EA6A27F}"/>
    <cellStyle name="Total 5 6 5 2" xfId="32202" xr:uid="{92F73A5F-1196-4FB3-9510-B0D190E92301}"/>
    <cellStyle name="Total 5 6 6" xfId="31481" xr:uid="{F196B4FF-56DA-4DFA-8DB2-F29EEB1A9746}"/>
    <cellStyle name="Total 5 7" xfId="30013" xr:uid="{A04B0164-9392-4E8C-A52E-5F728BC703C8}"/>
    <cellStyle name="Total 5 7 2" xfId="30014" xr:uid="{EB6DB79A-6257-476E-81FA-A84F69BC01D1}"/>
    <cellStyle name="Total 5 7 2 2" xfId="30775" xr:uid="{FC7947C7-CCC1-4F0E-BFA8-FD9B08545EBC}"/>
    <cellStyle name="Total 5 7 2 2 2" xfId="32207" xr:uid="{9B434721-3438-418C-89B9-EEF27864A5B8}"/>
    <cellStyle name="Total 5 7 2 3" xfId="31486" xr:uid="{7AE3D916-59E8-4AE6-A1D0-75FFF9776147}"/>
    <cellStyle name="Total 5 7 3" xfId="30015" xr:uid="{4DE93DA8-1C0F-4F0A-BA90-CC9E3D127345}"/>
    <cellStyle name="Total 5 7 3 2" xfId="30776" xr:uid="{CBBE91C6-06A2-4D41-9BA4-F8F57889FE15}"/>
    <cellStyle name="Total 5 7 3 2 2" xfId="32208" xr:uid="{BFDE6D22-BAB6-4122-B430-E283928EBC2D}"/>
    <cellStyle name="Total 5 7 3 3" xfId="31487" xr:uid="{256CE2D5-61B9-4D62-AAB6-D301A3F81A74}"/>
    <cellStyle name="Total 5 7 4" xfId="30016" xr:uid="{218AD5E6-C90B-4040-A9DA-DE05549FB7D6}"/>
    <cellStyle name="Total 5 7 4 2" xfId="30777" xr:uid="{1DD608F7-480F-450F-A0F3-8A421F0D3845}"/>
    <cellStyle name="Total 5 7 4 2 2" xfId="32209" xr:uid="{6FF66BC9-AEB8-4970-A154-569188E49DE7}"/>
    <cellStyle name="Total 5 7 4 3" xfId="31488" xr:uid="{952BE59E-929F-41FD-AB45-30F99C7ACCC7}"/>
    <cellStyle name="Total 5 7 5" xfId="30774" xr:uid="{0C2DFCB0-2618-410D-9EC8-546B70CFE460}"/>
    <cellStyle name="Total 5 7 5 2" xfId="32206" xr:uid="{FA906A45-EC5A-4156-933F-16B314CDF2F7}"/>
    <cellStyle name="Total 5 7 6" xfId="31485" xr:uid="{02ADBC03-570B-4B7A-81A6-E50E32F1F20E}"/>
    <cellStyle name="Total 5 8" xfId="30017" xr:uid="{8C5A9882-37C8-42F8-9F46-8FF328921509}"/>
    <cellStyle name="Total 5 8 2" xfId="30018" xr:uid="{822F15A4-D1A1-4135-BAF4-C8FE5202287F}"/>
    <cellStyle name="Total 5 8 2 2" xfId="30779" xr:uid="{B6A5FA84-D29A-4F74-BA1C-14A4F578C149}"/>
    <cellStyle name="Total 5 8 2 2 2" xfId="32211" xr:uid="{E75F0BB7-A493-4F45-BF26-2837A32C07B3}"/>
    <cellStyle name="Total 5 8 2 3" xfId="31490" xr:uid="{ECC138C3-AD87-425F-8EF9-D43832D88F22}"/>
    <cellStyle name="Total 5 8 3" xfId="30019" xr:uid="{08B1B8E9-4056-40B7-9E77-D46B02CDCC3F}"/>
    <cellStyle name="Total 5 8 3 2" xfId="30780" xr:uid="{54FC461E-138E-45BC-9C39-42ED68117A83}"/>
    <cellStyle name="Total 5 8 3 2 2" xfId="32212" xr:uid="{642C7F84-2696-4CBA-8BCD-62C109A90952}"/>
    <cellStyle name="Total 5 8 3 3" xfId="31491" xr:uid="{CA2F8A67-B95B-4BCC-B29F-1AB6CF89075F}"/>
    <cellStyle name="Total 5 8 4" xfId="30020" xr:uid="{13064CEE-631B-459D-A8F6-A72AF2F158D0}"/>
    <cellStyle name="Total 5 8 4 2" xfId="30781" xr:uid="{F1CFD035-BB69-4490-B822-49F5E504F138}"/>
    <cellStyle name="Total 5 8 4 2 2" xfId="32213" xr:uid="{82544F8A-29E8-4584-8777-E30990EC011D}"/>
    <cellStyle name="Total 5 8 4 3" xfId="31492" xr:uid="{71A3A0FC-576D-4440-8683-6D6CE313BD27}"/>
    <cellStyle name="Total 5 8 5" xfId="30778" xr:uid="{5C07F2AE-68D9-4700-95F2-917F7BDE8531}"/>
    <cellStyle name="Total 5 8 5 2" xfId="32210" xr:uid="{83D33218-1097-4899-8315-5215C6C8E04F}"/>
    <cellStyle name="Total 5 8 6" xfId="31489" xr:uid="{19D94CF8-D5AA-4D87-8E58-3E6DF62E80B4}"/>
    <cellStyle name="Total 5 9" xfId="30021" xr:uid="{F273EFEF-5D3B-400B-B6CE-D22E9A16CB74}"/>
    <cellStyle name="Total 5 9 2" xfId="30022" xr:uid="{946DBA2F-3C6A-4BB1-8D26-0DC4C8A47618}"/>
    <cellStyle name="Total 5 9 2 2" xfId="30783" xr:uid="{7B0F69EC-95CB-401D-9B4A-CF8D85A6D7DD}"/>
    <cellStyle name="Total 5 9 2 2 2" xfId="32215" xr:uid="{F0F5D104-749E-4D74-8BAA-B48F0AB62414}"/>
    <cellStyle name="Total 5 9 2 3" xfId="31494" xr:uid="{F0C09BE0-FFED-40C4-853D-0D5007A44977}"/>
    <cellStyle name="Total 5 9 3" xfId="30023" xr:uid="{7A615ADF-EE38-41A2-B15C-A7288A2666C7}"/>
    <cellStyle name="Total 5 9 3 2" xfId="30784" xr:uid="{5DA54FBD-672D-4EDA-9C24-FB1AB75091DE}"/>
    <cellStyle name="Total 5 9 3 2 2" xfId="32216" xr:uid="{36C2459F-1398-4996-875C-C8E21C70ACB2}"/>
    <cellStyle name="Total 5 9 3 3" xfId="31495" xr:uid="{0FD59C2C-211E-4C8C-867D-8788B3616840}"/>
    <cellStyle name="Total 5 9 4" xfId="30024" xr:uid="{B423FBAD-902E-4A89-ADF0-2B09F6E826AC}"/>
    <cellStyle name="Total 5 9 4 2" xfId="30785" xr:uid="{E8BCAE0A-9628-4EE6-9F60-2086F80C1769}"/>
    <cellStyle name="Total 5 9 4 2 2" xfId="32217" xr:uid="{67C364C8-EF68-4363-9010-147DFDA280D4}"/>
    <cellStyle name="Total 5 9 4 3" xfId="31496" xr:uid="{5734009D-9E47-4E30-8851-955A0A10275B}"/>
    <cellStyle name="Total 5 9 5" xfId="30782" xr:uid="{42E8BA57-7726-494C-B339-FFBF7E11DDA9}"/>
    <cellStyle name="Total 5 9 5 2" xfId="32214" xr:uid="{B733C736-04F3-4DC6-8930-DE96FB69A8DB}"/>
    <cellStyle name="Total 5 9 6" xfId="31493" xr:uid="{9E7B791B-BE43-4E0C-A753-AA6329BEDBB1}"/>
    <cellStyle name="Warning Text" xfId="36" builtinId="11" customBuiltin="1"/>
    <cellStyle name="Warning Text 2" xfId="120" xr:uid="{00000000-0005-0000-0000-0000F2630000}"/>
    <cellStyle name="Warning Text 2 10" xfId="30025" xr:uid="{CD8A5988-E47E-4A0B-B731-E668BD975E65}"/>
    <cellStyle name="Warning Text 2 2" xfId="26241" xr:uid="{D88F61CD-EDFA-420C-B928-AC9BD629A028}"/>
    <cellStyle name="Warning Text 2 2 2" xfId="30026" xr:uid="{11C525E0-3D3D-4C71-90CC-B4666C2E74F0}"/>
    <cellStyle name="Warning Text 2 3" xfId="30027" xr:uid="{E2CB579C-5C70-4080-A5A8-761FEE07F322}"/>
    <cellStyle name="Warning Text 2 4" xfId="30028" xr:uid="{AB79DC4C-2620-4597-AABA-2DAAF1AA5194}"/>
    <cellStyle name="Warning Text 2 5" xfId="30029" xr:uid="{ADB25556-3C12-4663-91A6-7B87E627707A}"/>
    <cellStyle name="Warning Text 2 6" xfId="30030" xr:uid="{14C2640D-5D3C-44B0-95E1-B8CC41B53A28}"/>
    <cellStyle name="Warning Text 2 7" xfId="30031" xr:uid="{F45A0967-27EA-442E-A26D-C4C3340B3A4E}"/>
    <cellStyle name="Warning Text 2 8" xfId="30032" xr:uid="{C179A102-E1C5-45A9-9134-3C02177BBC73}"/>
    <cellStyle name="Warning Text 2 9" xfId="30033" xr:uid="{F70628EE-69FC-4331-AD80-C58E59318510}"/>
    <cellStyle name="Warning Text 2_WBS Creation" xfId="30034" xr:uid="{E96C62EF-ACC3-45C9-8432-C4CC9D7318F9}"/>
    <cellStyle name="Warning Text 3 10" xfId="30035" xr:uid="{6BC3DBD2-6378-42BD-BC63-C20E408CBEBA}"/>
    <cellStyle name="Warning Text 3 2" xfId="30036" xr:uid="{CA2A4E4E-410C-49F3-B82E-FD99CD7A2D85}"/>
    <cellStyle name="Warning Text 3 3" xfId="30037" xr:uid="{70149B3F-556D-4B52-B6D3-84F4C489ED65}"/>
    <cellStyle name="Warning Text 3 4" xfId="30038" xr:uid="{08560512-DF9E-4130-93BD-B8789D337B3D}"/>
    <cellStyle name="Warning Text 3 5" xfId="30039" xr:uid="{A13F0CA1-E481-48C9-BBAC-55D8217901CD}"/>
    <cellStyle name="Warning Text 3 6" xfId="30040" xr:uid="{AF35B7DF-48C5-4692-9B64-FF56E479D669}"/>
    <cellStyle name="Warning Text 3 7" xfId="30041" xr:uid="{46CCEC7D-3511-4414-9DBF-3FC28713FC68}"/>
    <cellStyle name="Warning Text 3 8" xfId="30042" xr:uid="{C4FF7ABA-365A-4514-8BF6-F05A72FA9F35}"/>
    <cellStyle name="Warning Text 3 9" xfId="30043" xr:uid="{7DB1AA6C-C236-47EE-9C63-E5C282E6C024}"/>
    <cellStyle name="Warning Text 4 10" xfId="30044" xr:uid="{AD614D46-75A0-4403-A635-65C1E124BD2A}"/>
    <cellStyle name="Warning Text 4 2" xfId="30045" xr:uid="{B1F1B376-998B-4E6C-AF0D-9116952B4909}"/>
    <cellStyle name="Warning Text 4 3" xfId="30046" xr:uid="{002E170F-3D8A-4E31-B713-3AD0DE5149F5}"/>
    <cellStyle name="Warning Text 4 4" xfId="30047" xr:uid="{D28D0E02-C01E-49B6-9DA4-C0D974099706}"/>
    <cellStyle name="Warning Text 4 5" xfId="30048" xr:uid="{01F693D9-C3E0-4593-ADE6-C09F9C2FE59D}"/>
    <cellStyle name="Warning Text 4 6" xfId="30049" xr:uid="{B349F4D6-0762-49C2-B4BD-5F1F758C2F38}"/>
    <cellStyle name="Warning Text 4 7" xfId="30050" xr:uid="{18A4D332-A19D-43FE-9959-0E6527749598}"/>
    <cellStyle name="Warning Text 4 8" xfId="30051" xr:uid="{EB95AE6D-514A-4C6D-982E-233EDF9D1E52}"/>
    <cellStyle name="Warning Text 4 9" xfId="30052" xr:uid="{03BFCE37-8FC2-433F-885D-F6F054E2C68B}"/>
    <cellStyle name="Warning Text 5 10" xfId="30053" xr:uid="{E24522D3-5C7B-4200-A480-CC64E0C8CEDA}"/>
    <cellStyle name="Warning Text 5 2" xfId="30054" xr:uid="{DFCFCDF0-F6EE-45DB-B35A-0AA3BD20C06C}"/>
    <cellStyle name="Warning Text 5 3" xfId="30055" xr:uid="{A6D7EA2E-8FDE-4278-ABB1-4D67A4642151}"/>
    <cellStyle name="Warning Text 5 4" xfId="30056" xr:uid="{4F31F670-F2F7-494A-A4B8-6FCDC15BBBA2}"/>
    <cellStyle name="Warning Text 5 5" xfId="30057" xr:uid="{21BA1165-A273-4714-81C6-A31974ACBAB6}"/>
    <cellStyle name="Warning Text 5 6" xfId="30058" xr:uid="{97042CA7-CDE2-4E09-8E8D-6E8139F4643F}"/>
    <cellStyle name="Warning Text 5 7" xfId="30059" xr:uid="{FAE8F8EC-8099-4142-BC9F-49BE4ECEF341}"/>
    <cellStyle name="Warning Text 5 8" xfId="30060" xr:uid="{F26C4028-FA33-4A96-BE3D-D8860E819ABF}"/>
    <cellStyle name="Warning Text 5 9" xfId="30061" xr:uid="{DFA52E5D-9D60-4B63-B5AD-FC3311390271}"/>
    <cellStyle name="千位分隔 2" xfId="25920" xr:uid="{CD86334B-7AA4-4C47-B99B-1F996F298A87}"/>
    <cellStyle name="千位分隔 3" xfId="25939" xr:uid="{41A911E5-FD61-4972-A36D-BA870DC6D660}"/>
    <cellStyle name="好 2" xfId="25942" xr:uid="{04B12780-6687-4BA9-BB75-5032037F5F18}"/>
    <cellStyle name="差 2" xfId="25941" xr:uid="{B954B04F-6D27-4FA3-8044-4360C3183020}"/>
    <cellStyle name="常规 10" xfId="25905" xr:uid="{E7F70E4D-B5EF-447F-AE9F-DC2ED6DCAB2D}"/>
    <cellStyle name="常规 11" xfId="25904" xr:uid="{880FD8B6-CE7A-4627-8E75-426E11720500}"/>
    <cellStyle name="常规 11 2" xfId="25961" xr:uid="{42E6A3EB-2268-459F-8F60-0954BA473ACF}"/>
    <cellStyle name="常规 12" xfId="25917" xr:uid="{60AE517B-F65A-4523-B067-29E3D3598372}"/>
    <cellStyle name="常规 13" xfId="25923" xr:uid="{890A68F6-CE5B-4443-95F8-166952FED6CE}"/>
    <cellStyle name="常规 14" xfId="25957" xr:uid="{20FFB3CD-1781-434C-8B48-04386BB03679}"/>
    <cellStyle name="常规 14 2" xfId="25968" xr:uid="{3F3A2890-4994-4C24-B3DC-7C755E7DD09D}"/>
    <cellStyle name="常规 15" xfId="25958" xr:uid="{B61CABB0-0B44-4DBE-B6F8-8868FF739B88}"/>
    <cellStyle name="常规 2" xfId="25901" xr:uid="{053B75B1-AF3F-4DE1-A40F-327F024B2FDB}"/>
    <cellStyle name="常规 3" xfId="25924" xr:uid="{0E0C6D76-A388-405B-9F05-BD05D8EF797C}"/>
    <cellStyle name="常规 4" xfId="25916" xr:uid="{59D2FEDC-8F8C-491F-B56B-4E5496C054CD}"/>
    <cellStyle name="常规 4 2" xfId="25912" xr:uid="{3CB3B119-125F-4664-8B6C-F34231A97001}"/>
    <cellStyle name="常规 5" xfId="25887" xr:uid="{457C41D7-F59E-4938-928A-C089E3D33350}"/>
    <cellStyle name="常规 6" xfId="25921" xr:uid="{805DCC28-EC0B-4390-AA99-84AA3D04D1AC}"/>
    <cellStyle name="常规 7" xfId="25908" xr:uid="{F37223B6-2AB6-48EB-A4E1-C99076A3DFDA}"/>
    <cellStyle name="常规 8" xfId="25913" xr:uid="{EB8BF50E-F55C-476B-AFA2-B6ACFFFBCF92}"/>
    <cellStyle name="常规 9" xfId="25909" xr:uid="{2F986C64-63A0-41B0-89FF-3B70111DC265}"/>
    <cellStyle name="常规_IRAQI" xfId="30062" xr:uid="{CE990971-D156-4A23-9A16-1698EEECB3EE}"/>
    <cellStyle name="强调文字颜色 1 2" xfId="25948" xr:uid="{9E4A19AB-4C20-437F-9CD0-5019574A20BC}"/>
    <cellStyle name="强调文字颜色 2 2" xfId="25949" xr:uid="{EE5158BA-6C7D-48E8-B4FD-B06977EA8AE2}"/>
    <cellStyle name="强调文字颜色 3 2" xfId="25950" xr:uid="{96661D58-B278-43E0-ACF4-E6BFCB73A530}"/>
    <cellStyle name="强调文字颜色 4 2" xfId="25951" xr:uid="{191123C4-2E0C-4699-A8C2-003AC9879709}"/>
    <cellStyle name="强调文字颜色 5 2" xfId="25952" xr:uid="{85DDF280-0E61-4C88-A8E5-92C0789C47CB}"/>
    <cellStyle name="强调文字颜色 6 2" xfId="25953" xr:uid="{9E378246-2E7D-4816-9133-44BD2C9C5621}"/>
    <cellStyle name="标题 1 2" xfId="25935" xr:uid="{B079A924-3921-4315-8C72-71A5389311D6}"/>
    <cellStyle name="标题 2 2" xfId="25936" xr:uid="{0490445B-194E-4437-AC25-B3217C07BDB2}"/>
    <cellStyle name="标题 3 2" xfId="25937" xr:uid="{464DE3E2-E2A7-435A-B523-B9B2159B41F9}"/>
    <cellStyle name="标题 4 2" xfId="25938" xr:uid="{290961DC-B6B9-49B5-A897-272CECEB75AF}"/>
    <cellStyle name="标题 5" xfId="25940" xr:uid="{572FAFF7-ACBD-4876-87B3-2144361667D4}"/>
    <cellStyle name="检查单元格 2" xfId="25944" xr:uid="{B4465D61-AAA5-4C2D-A4EC-F035A27F8237}"/>
    <cellStyle name="汇总 2" xfId="25943" xr:uid="{DE64C07E-5C08-4237-A48F-017C972E9C9A}"/>
    <cellStyle name="汇总 2 2" xfId="25965" xr:uid="{90F3DD7E-6FD1-4A66-832F-C9F05BD53E11}"/>
    <cellStyle name="汇总 2 2 2" xfId="25978" xr:uid="{8C1AA4DF-865E-476A-B4F3-673489DDB88C}"/>
    <cellStyle name="汇总 2 2 2 2" xfId="26300" xr:uid="{3253FE0D-2AAF-43F7-B6BC-EFD634256F2B}"/>
    <cellStyle name="汇总 2 2 2 2 2" xfId="26445" xr:uid="{E5443469-1871-4E17-8D51-95BF3A6B173C}"/>
    <cellStyle name="汇总 2 2 2 2 2 2" xfId="26523" xr:uid="{2A117214-3F49-47CA-AC6F-D5DD85FEABC2}"/>
    <cellStyle name="汇总 2 2 2 2 2 2 2" xfId="26906" xr:uid="{12EEB0B5-7383-4EC8-8309-371C42D288AA}"/>
    <cellStyle name="汇总 2 2 2 2 2 3" xfId="26842" xr:uid="{8594E6B6-D37B-4E1C-A51D-50D235760903}"/>
    <cellStyle name="汇总 2 2 2 2 3" xfId="26716" xr:uid="{E39D13E0-5695-45A6-8309-D01BD1BF8A35}"/>
    <cellStyle name="汇总 2 2 2 3" xfId="26393" xr:uid="{ADEEA581-5181-490E-AB51-DA875A007B80}"/>
    <cellStyle name="汇总 2 2 2 3 2" xfId="26500" xr:uid="{CB0CA29C-E585-4394-A6A7-9FC1070434CA}"/>
    <cellStyle name="汇总 2 2 2 3 2 2" xfId="26883" xr:uid="{CE89F2BD-69F6-4F0C-B1DF-92DBB7F68344}"/>
    <cellStyle name="汇总 2 2 2 3 3" xfId="26792" xr:uid="{D04DAFB5-B0B7-43CD-B2BC-3D8C12C46FAA}"/>
    <cellStyle name="汇总 2 2 2 4" xfId="26596" xr:uid="{C39012C8-2BB5-415E-9AAD-02CA95359011}"/>
    <cellStyle name="汇总 2 2 3" xfId="26299" xr:uid="{39DD671B-FE63-4369-8FDD-BCF13AA00142}"/>
    <cellStyle name="汇总 2 2 3 2" xfId="26444" xr:uid="{18305147-6512-4A1D-A7C0-D723E79F8FAA}"/>
    <cellStyle name="汇总 2 2 3 2 2" xfId="26522" xr:uid="{C2B88847-6E69-4A88-B821-C3ADD98FEA76}"/>
    <cellStyle name="汇总 2 2 3 2 2 2" xfId="26905" xr:uid="{52BC07D6-7ECE-410B-B77A-C92FFE042665}"/>
    <cellStyle name="汇总 2 2 3 2 3" xfId="26841" xr:uid="{FE05E8E7-5142-4E63-90BF-A7DFE1A3C994}"/>
    <cellStyle name="汇总 2 2 3 3" xfId="26715" xr:uid="{44726415-86E3-4930-ACFD-6FB80A91DF26}"/>
    <cellStyle name="汇总 2 2 4" xfId="26385" xr:uid="{63341789-4E45-4AEC-92F1-5688FF502DB0}"/>
    <cellStyle name="汇总 2 2 4 2" xfId="26498" xr:uid="{A05541A8-1D5D-48F0-8368-AFAF286A86C6}"/>
    <cellStyle name="汇总 2 2 4 2 2" xfId="26881" xr:uid="{777105C8-8E51-4820-B477-4EFE81DF2822}"/>
    <cellStyle name="汇总 2 2 4 3" xfId="26785" xr:uid="{5B89F684-59B0-4A59-8F8B-241A0F2866D0}"/>
    <cellStyle name="汇总 2 2 5" xfId="26589" xr:uid="{274CE868-BFFC-4F82-9B3E-8898E148BE10}"/>
    <cellStyle name="汇总 2 3" xfId="25963" xr:uid="{AA524A75-F26C-4E95-AF6C-13B178D0A524}"/>
    <cellStyle name="汇总 2 3 2" xfId="25980" xr:uid="{11EA897E-FC49-41F4-A2CF-F5A38AA8C244}"/>
    <cellStyle name="汇总 2 3 2 2" xfId="26298" xr:uid="{B1AAC37D-66A9-4DB8-BB15-D6791F850914}"/>
    <cellStyle name="汇总 2 3 2 2 2" xfId="26443" xr:uid="{E7A3D7AB-F8DB-4A4A-95E6-D999F1F73AC6}"/>
    <cellStyle name="汇总 2 3 2 2 2 2" xfId="26521" xr:uid="{174571CA-006E-4C62-BA9A-6132C49AB031}"/>
    <cellStyle name="汇总 2 3 2 2 2 2 2" xfId="26904" xr:uid="{949C6B4B-73DB-487F-8F5F-942297871EEB}"/>
    <cellStyle name="汇总 2 3 2 2 2 3" xfId="26840" xr:uid="{83CF7EAA-ADE2-4FC3-B9D7-2243F57FCC8A}"/>
    <cellStyle name="汇总 2 3 2 2 3" xfId="26714" xr:uid="{FF7C524C-429A-43BB-BED8-D49E81251E36}"/>
    <cellStyle name="汇总 2 3 2 3" xfId="26395" xr:uid="{ED98E380-E985-4733-92C8-41BCF3433641}"/>
    <cellStyle name="汇总 2 3 2 3 2" xfId="26502" xr:uid="{56762A55-1959-4F16-BB13-8CD477EAD1EA}"/>
    <cellStyle name="汇总 2 3 2 3 2 2" xfId="26885" xr:uid="{25CAC1EE-EF8F-469C-81B1-CC4623144E72}"/>
    <cellStyle name="汇总 2 3 2 3 3" xfId="26794" xr:uid="{E7A14CC9-C892-44A2-99CA-C0ABCFAA09B4}"/>
    <cellStyle name="汇总 2 3 2 4" xfId="26598" xr:uid="{80377A69-43E8-4938-83DE-11E92064E152}"/>
    <cellStyle name="汇总 2 3 3" xfId="26280" xr:uid="{0E4BAE24-B2C1-4B51-B12E-07BAFC17899E}"/>
    <cellStyle name="汇总 2 3 3 2" xfId="26425" xr:uid="{B636B557-6AE9-4EA9-8939-8E6656B1EEAD}"/>
    <cellStyle name="汇总 2 3 3 2 2" xfId="26512" xr:uid="{8EAE1CE6-677D-4C0A-8F2E-997E02A5CD4F}"/>
    <cellStyle name="汇总 2 3 3 2 2 2" xfId="26895" xr:uid="{B31CA121-75EF-4357-AB85-608ECE93B32D}"/>
    <cellStyle name="汇总 2 3 3 2 3" xfId="26823" xr:uid="{06CF6523-665A-42D4-B052-EC31AF5C88D3}"/>
    <cellStyle name="汇总 2 3 3 3" xfId="26696" xr:uid="{12DA7C33-8830-4428-AAC7-F7D6CD5526FE}"/>
    <cellStyle name="汇总 2 3 4" xfId="26383" xr:uid="{CD6A7016-16B6-41DF-A2F7-30B9F36EC1ED}"/>
    <cellStyle name="汇总 2 3 4 2" xfId="26496" xr:uid="{CF88ECCE-495B-42DC-B874-66217D52190D}"/>
    <cellStyle name="汇总 2 3 4 2 2" xfId="26879" xr:uid="{ABAFA4F3-29D3-4E59-98E9-FF2C1F9A0C6B}"/>
    <cellStyle name="汇总 2 3 4 3" xfId="26783" xr:uid="{BED8CC31-B01D-439C-B220-856206E6F9F8}"/>
    <cellStyle name="汇总 2 3 5" xfId="26587" xr:uid="{53B16936-3792-4FB0-9EAA-874B5486A45A}"/>
    <cellStyle name="汇总 2 4" xfId="25986" xr:uid="{CB89DD32-CF70-44C1-A4FF-7FC86A05C079}"/>
    <cellStyle name="汇总 2 4 2" xfId="26308" xr:uid="{FDB9F63C-899D-45C2-968B-F5BB7BF16279}"/>
    <cellStyle name="汇总 2 4 2 2" xfId="26453" xr:uid="{E93B0F3B-AB9C-46B0-B453-D36486681C88}"/>
    <cellStyle name="汇总 2 4 2 2 2" xfId="26526" xr:uid="{33B0AA54-B6CF-46D3-80AC-5B04F4056E7D}"/>
    <cellStyle name="汇总 2 4 2 2 2 2" xfId="26909" xr:uid="{0EE2725A-DE9D-4E11-80C7-77113549CD50}"/>
    <cellStyle name="汇总 2 4 2 2 3" xfId="26849" xr:uid="{E1A888CE-E84E-45CC-B438-660B5AA825B5}"/>
    <cellStyle name="汇总 2 4 2 3" xfId="26723" xr:uid="{AEEA3D63-3BC9-4052-9636-F2AD2CC9F0F5}"/>
    <cellStyle name="汇总 2 4 3" xfId="26401" xr:uid="{4BF4612A-9152-45A2-B74E-F19E49BD3C05}"/>
    <cellStyle name="汇总 2 4 3 2" xfId="26503" xr:uid="{2BF60ECA-62B5-4BAF-8FCF-0A91EBE684A9}"/>
    <cellStyle name="汇总 2 4 3 2 2" xfId="26886" xr:uid="{5ADB5862-A0D9-491A-B82F-95DE531C94D7}"/>
    <cellStyle name="汇总 2 4 3 3" xfId="26800" xr:uid="{27A77A92-51BB-4A5E-8FD4-852BA7AE3776}"/>
    <cellStyle name="汇总 2 4 4" xfId="26603" xr:uid="{22A1A198-5FC7-47FC-8942-55A9343CD460}"/>
    <cellStyle name="汇总 2 5" xfId="26323" xr:uid="{29C86FB6-EC78-41C2-94A2-14A64D77DACB}"/>
    <cellStyle name="汇总 2 5 2" xfId="26468" xr:uid="{86161773-CBFE-4C1A-96AA-D439D964238B}"/>
    <cellStyle name="汇总 2 5 2 2" xfId="26529" xr:uid="{FB4F2F96-A7D2-4CA9-B4E8-F7797B53C72E}"/>
    <cellStyle name="汇总 2 5 2 2 2" xfId="26912" xr:uid="{29B9C810-ED9C-488F-B07B-9CB4D3080F05}"/>
    <cellStyle name="汇总 2 5 2 3" xfId="26860" xr:uid="{249D6E16-16D4-43CE-8D8C-B86F18263E3D}"/>
    <cellStyle name="汇总 2 5 3" xfId="26736" xr:uid="{57CF53B4-F501-4D58-BDD0-C4905C96A2A9}"/>
    <cellStyle name="汇总 2 6" xfId="26377" xr:uid="{4BCF48E7-8722-4BC1-A726-462BD3F76347}"/>
    <cellStyle name="汇总 2 6 2" xfId="26494" xr:uid="{069AE3AC-D94D-4C6B-9BAB-CCE44ADEC669}"/>
    <cellStyle name="汇总 2 6 2 2" xfId="26877" xr:uid="{9B585B34-0CF7-49DA-9189-80D75AC42E5A}"/>
    <cellStyle name="汇总 2 6 3" xfId="26778" xr:uid="{C36C17D7-2B39-428D-A2C3-A5711EC3C9B3}"/>
    <cellStyle name="汇总 2 7" xfId="26580" xr:uid="{D0EB77BC-B8A1-4A2C-B2FD-7396FC835446}"/>
    <cellStyle name="注释 2" xfId="25955" xr:uid="{7BFD3D64-D4C1-4DCA-B989-1A5FF7A073A9}"/>
    <cellStyle name="注释 2 2" xfId="25967" xr:uid="{52950FFE-A8B7-46D5-8BCD-343FB7EC393A}"/>
    <cellStyle name="注释 2 2 2" xfId="25975" xr:uid="{D8C6617D-5EF6-480C-9922-7ED2B465CC4B}"/>
    <cellStyle name="注释 2 2 2 2" xfId="26309" xr:uid="{A65D0F3F-0D32-46C7-BFAC-0B592462C648}"/>
    <cellStyle name="注释 2 2 2 2 2" xfId="26454" xr:uid="{5E53AEA4-1373-41E0-AB1D-CBE48B358BA7}"/>
    <cellStyle name="注释 2 2 2 2 2 2" xfId="26545" xr:uid="{8836A402-883A-4C76-91B5-8126670B934C}"/>
    <cellStyle name="注释 2 2 2 3" xfId="26390" xr:uid="{80E05E61-F079-4DDA-8B1D-F7F23E6083CC}"/>
    <cellStyle name="注释 2 2 2 3 2" xfId="26362" xr:uid="{5C54BD2E-1800-4059-AF70-CEAFA43BD191}"/>
    <cellStyle name="注释 2 2 3" xfId="26326" xr:uid="{1E3843D5-48DE-4C88-B48D-DF9263A6209F}"/>
    <cellStyle name="注释 2 2 3 2" xfId="26471" xr:uid="{CD4F8FFF-2EC8-4006-8C23-5DD94507FCC7}"/>
    <cellStyle name="注释 2 2 3 2 2" xfId="26557" xr:uid="{6E413054-E84D-4D4C-9FE8-1E9D708E502F}"/>
    <cellStyle name="注释 2 2 4" xfId="26387" xr:uid="{36AE3D1C-BCCC-48C0-B2D7-F12B6A79F443}"/>
    <cellStyle name="注释 2 2 4 2" xfId="26477" xr:uid="{1714252D-38F3-4D5D-A5F3-9013342C2D70}"/>
    <cellStyle name="注释 2 3" xfId="25970" xr:uid="{09AD9E91-A631-4B82-BB26-EAF7751AD19F}"/>
    <cellStyle name="注释 2 3 2" xfId="25990" xr:uid="{D7FDBF34-EDE1-44B0-B76F-6D0A5DE156C1}"/>
    <cellStyle name="注释 2 3 2 2" xfId="26305" xr:uid="{7C732674-1907-4861-8F42-1DDDF9324CD5}"/>
    <cellStyle name="注释 2 3 2 2 2" xfId="26450" xr:uid="{2CE6627B-F7BA-4D78-9FD9-1BE60CA0A840}"/>
    <cellStyle name="注释 2 3 2 2 2 2" xfId="26543" xr:uid="{99127680-7C42-43DB-88A0-A3795D8B7D19}"/>
    <cellStyle name="注释 2 3 2 3" xfId="26404" xr:uid="{E22F5305-E0AC-4410-ABB6-A1B831078C4E}"/>
    <cellStyle name="注释 2 3 2 3 2" xfId="26472" xr:uid="{4163164D-9C1D-4528-A67C-306CF7283DE9}"/>
    <cellStyle name="注释 2 3 3" xfId="26310" xr:uid="{4A348975-5842-47ED-A531-FDF80D81546E}"/>
    <cellStyle name="注释 2 3 3 2" xfId="26455" xr:uid="{94604950-5A71-444D-AB4B-970039FAD140}"/>
    <cellStyle name="注释 2 3 3 2 2" xfId="26546" xr:uid="{ACDE0926-F863-46FB-9298-FE96704866D6}"/>
    <cellStyle name="注释 2 3 4" xfId="26389" xr:uid="{C4906D36-3F0A-42C1-85F5-36ADEE5100A7}"/>
    <cellStyle name="注释 2 3 4 2" xfId="26364" xr:uid="{C439B414-4003-42D3-8AB4-7B4FB8C85C7D}"/>
    <cellStyle name="注释 2 4" xfId="25983" xr:uid="{4479E49C-4DC8-44BE-85DE-1824A9B048A2}"/>
    <cellStyle name="注释 2 4 2" xfId="26319" xr:uid="{D669295B-C7E5-4BFF-92EA-644169DC8FFF}"/>
    <cellStyle name="注释 2 4 2 2" xfId="26464" xr:uid="{9B35BE37-F5B4-4D70-B85A-D98AFC1791E3}"/>
    <cellStyle name="注释 2 4 2 2 2" xfId="26554" xr:uid="{D0C3BF81-A5C1-458D-9FB6-F3C9563BCDF7}"/>
    <cellStyle name="注释 2 4 3" xfId="26398" xr:uid="{E028E22D-5AE3-4249-B5BC-7C950E2F1BA9}"/>
    <cellStyle name="注释 2 4 3 2" xfId="26335" xr:uid="{75D70F60-2C32-4ACF-9D3E-77EC0E34DC78}"/>
    <cellStyle name="注释 2 5" xfId="26316" xr:uid="{C94F08FA-9A98-472C-90F9-4B43CED04CBE}"/>
    <cellStyle name="注释 2 5 2" xfId="26461" xr:uid="{88225F5F-ABA2-430B-98E9-4990F67CD21F}"/>
    <cellStyle name="注释 2 5 2 2" xfId="26551" xr:uid="{C96989F4-2208-4FAC-899C-704815FD1029}"/>
    <cellStyle name="注释 2 6" xfId="26379" xr:uid="{F17285D6-51DA-46A0-B135-088B988C881C}"/>
    <cellStyle name="注释 2 6 2" xfId="26341" xr:uid="{B1285D03-400D-4DB1-A9E2-DF9ABA57B97D}"/>
    <cellStyle name="解释性文本 2" xfId="25945" xr:uid="{9C74478F-2A4C-49FE-924B-D645702F892C}"/>
    <cellStyle name="警告文本 2" xfId="25946" xr:uid="{F8A7A5E8-71C5-4A64-9DA2-F5B3502F44C8}"/>
    <cellStyle name="计算 2" xfId="25915" xr:uid="{0BEDB71D-E6B1-4A28-8F45-6B43027F2616}"/>
    <cellStyle name="计算 2 2" xfId="25962" xr:uid="{539F57F1-4500-4051-BE34-6FFF69E3EEFE}"/>
    <cellStyle name="计算 2 2 2" xfId="25981" xr:uid="{DC62A061-42BC-4479-8A18-51F3AAB6C596}"/>
    <cellStyle name="计算 2 2 2 2" xfId="26321" xr:uid="{3DCAFCF9-FA33-49A0-A186-E6EA1F3FF109}"/>
    <cellStyle name="计算 2 2 2 2 2" xfId="26466" xr:uid="{048BB776-AE98-4703-9386-C69532779894}"/>
    <cellStyle name="计算 2 2 2 2 2 2" xfId="26556" xr:uid="{34C4E74D-26D4-4A19-A293-258B0C93BC9E}"/>
    <cellStyle name="计算 2 2 2 2 2 2 2" xfId="26935" xr:uid="{0BA6FF5E-2D72-40F2-8535-711AB07AAF4D}"/>
    <cellStyle name="计算 2 2 2 2 2 3" xfId="26858" xr:uid="{32925251-1D6E-48BA-8811-27F507EB468C}"/>
    <cellStyle name="计算 2 2 2 2 3" xfId="26734" xr:uid="{6D9F113E-2345-443A-BABB-C59D3805A882}"/>
    <cellStyle name="计算 2 2 2 3" xfId="26396" xr:uid="{1C36BA62-5FB5-416F-8899-1A8DA658C2B6}"/>
    <cellStyle name="计算 2 2 2 3 2" xfId="26363" xr:uid="{C73A84D4-D8B6-4BC9-B0F3-1017D600AC96}"/>
    <cellStyle name="计算 2 2 2 3 2 2" xfId="26765" xr:uid="{380044B0-7BB7-485F-8719-151BE0FA166F}"/>
    <cellStyle name="计算 2 2 2 3 3" xfId="26795" xr:uid="{73C9A04A-A61F-46DE-BF8C-1DB3E381F070}"/>
    <cellStyle name="计算 2 2 2 4" xfId="26599" xr:uid="{8AB451E0-094C-4DCE-8EAE-45B0E19F2FCD}"/>
    <cellStyle name="计算 2 2 3" xfId="26296" xr:uid="{B566F8A6-83E1-4F9B-A53A-1150446DDAF7}"/>
    <cellStyle name="计算 2 2 3 2" xfId="26441" xr:uid="{3711FA22-48F5-4AFB-BA2E-E3F9005F1173}"/>
    <cellStyle name="计算 2 2 3 2 2" xfId="26538" xr:uid="{56A30D2F-0C83-47E0-B309-6B0E7909837D}"/>
    <cellStyle name="计算 2 2 3 2 2 2" xfId="26920" xr:uid="{7CD813D5-05CB-46AA-9921-B87F812C3BA6}"/>
    <cellStyle name="计算 2 2 3 2 3" xfId="26838" xr:uid="{97BD05B4-238C-478A-8C8B-E7595ADFFF46}"/>
    <cellStyle name="计算 2 2 3 3" xfId="26712" xr:uid="{EB713597-5CAA-4A35-A83A-B416F1EEA886}"/>
    <cellStyle name="计算 2 2 4" xfId="26382" xr:uid="{11CB31CA-5D49-4C89-B2AF-CF3009A4CB4B}"/>
    <cellStyle name="计算 2 2 4 2" xfId="26480" xr:uid="{471C81A9-B8AB-473C-9B00-C5F677FD94AA}"/>
    <cellStyle name="计算 2 2 4 2 2" xfId="26868" xr:uid="{A81D55AD-178B-4D25-B10E-DAD467DBD138}"/>
    <cellStyle name="计算 2 2 4 3" xfId="26782" xr:uid="{34EA1C48-06CB-41C3-9228-52459C6876E0}"/>
    <cellStyle name="计算 2 2 5" xfId="26586" xr:uid="{796BB7C9-B01E-4022-BF3D-B359963C0F97}"/>
    <cellStyle name="计算 2 3" xfId="25959" xr:uid="{01B6F1B8-F1F8-4826-BD9B-1681962CF259}"/>
    <cellStyle name="计算 2 3 2" xfId="25982" xr:uid="{FA64B958-7038-41BD-B4BB-3EC20A2E838F}"/>
    <cellStyle name="计算 2 3 2 2" xfId="26320" xr:uid="{14A2C01A-C69A-4825-BB9B-6A063875F931}"/>
    <cellStyle name="计算 2 3 2 2 2" xfId="26465" xr:uid="{06AE3BD0-3D10-4C58-A3DC-3883E2C98D6A}"/>
    <cellStyle name="计算 2 3 2 2 2 2" xfId="26555" xr:uid="{E219F2EC-190F-4D72-B7E0-6CFA37856967}"/>
    <cellStyle name="计算 2 3 2 2 2 2 2" xfId="26934" xr:uid="{29E52E50-3762-40C7-81A4-D53C84742C27}"/>
    <cellStyle name="计算 2 3 2 2 2 3" xfId="26857" xr:uid="{0E6E3E60-BB9E-445B-A983-60851AB6FE92}"/>
    <cellStyle name="计算 2 3 2 2 3" xfId="26733" xr:uid="{22BAF557-0AAA-49E6-AEC9-57DB8C4B9678}"/>
    <cellStyle name="计算 2 3 2 3" xfId="26397" xr:uid="{8F47A7D0-9113-4A89-A1F7-A90491C2B4F6}"/>
    <cellStyle name="计算 2 3 2 3 2" xfId="26351" xr:uid="{C4A7615D-7380-41C4-87DA-25BE6C461BED}"/>
    <cellStyle name="计算 2 3 2 3 2 2" xfId="26756" xr:uid="{660610F6-ACE5-4374-8459-0CD671FC3176}"/>
    <cellStyle name="计算 2 3 2 3 3" xfId="26796" xr:uid="{28D783EA-F485-4D84-BEB6-B46FF2A8AFD6}"/>
    <cellStyle name="计算 2 3 2 4" xfId="26600" xr:uid="{5F3AEB0E-467F-4FBA-8C70-E84FF1DDAAFA}"/>
    <cellStyle name="计算 2 3 3" xfId="26314" xr:uid="{C45C4026-7813-48AA-96F8-B2FDF1FFC437}"/>
    <cellStyle name="计算 2 3 3 2" xfId="26459" xr:uid="{FAC5C8FC-A70F-406B-A03E-C46BEA8B304B}"/>
    <cellStyle name="计算 2 3 3 2 2" xfId="26549" xr:uid="{BDDBDFE6-FD9B-485D-B860-B6AE9613D4CC}"/>
    <cellStyle name="计算 2 3 3 2 2 2" xfId="26929" xr:uid="{6171C5F8-F9ED-4169-9F79-4EEAAA6406CB}"/>
    <cellStyle name="计算 2 3 3 2 3" xfId="26853" xr:uid="{965BE1C3-ABD0-48BA-8359-C5E17857CDDA}"/>
    <cellStyle name="计算 2 3 3 3" xfId="26729" xr:uid="{0310D767-0B0C-48BD-BEFC-1E489057AEEF}"/>
    <cellStyle name="计算 2 3 4" xfId="26380" xr:uid="{71999538-A3FB-41B5-804F-DDD79F8CFA2A}"/>
    <cellStyle name="计算 2 3 4 2" xfId="26479" xr:uid="{6E9ECAAB-2A29-4609-AEDC-BAC638704330}"/>
    <cellStyle name="计算 2 3 4 2 2" xfId="26867" xr:uid="{C41B5116-EA48-4C87-8BB8-55DBAA92CB5E}"/>
    <cellStyle name="计算 2 3 4 3" xfId="26780" xr:uid="{FF7EFCC0-3E9D-4DBD-BD0A-5980117E0F51}"/>
    <cellStyle name="计算 2 3 5" xfId="26584" xr:uid="{2E230F08-1BF5-45B0-B729-7730302D2237}"/>
    <cellStyle name="计算 2 4" xfId="25985" xr:uid="{C2CE2AE9-FE0E-4881-B1B5-94136632954A}"/>
    <cellStyle name="计算 2 4 2" xfId="26317" xr:uid="{D56E27F8-B44F-4E3B-BA53-A45A51ED1E4E}"/>
    <cellStyle name="计算 2 4 2 2" xfId="26462" xr:uid="{D7782FC7-3B82-4B86-BA61-FF36D4DAFA31}"/>
    <cellStyle name="计算 2 4 2 2 2" xfId="26552" xr:uid="{FF15E5EA-0736-4E93-87CE-6A24B73AB858}"/>
    <cellStyle name="计算 2 4 2 2 2 2" xfId="26932" xr:uid="{BEA4F263-4247-4D5E-861D-77DA7BB07758}"/>
    <cellStyle name="计算 2 4 2 2 3" xfId="26855" xr:uid="{F755A546-278D-4398-BDDD-11EEECC5C0CB}"/>
    <cellStyle name="计算 2 4 2 3" xfId="26731" xr:uid="{B9257871-2674-4980-BAC4-E2826863588D}"/>
    <cellStyle name="计算 2 4 3" xfId="26400" xr:uid="{C5DB2A7A-A207-4308-AA60-123E585D5080}"/>
    <cellStyle name="计算 2 4 3 2" xfId="26475" xr:uid="{F354BCC8-86C2-4A63-BFA5-50E5438A67CF}"/>
    <cellStyle name="计算 2 4 3 2 2" xfId="26864" xr:uid="{45A671C9-6CA5-4574-9E0B-63D53B9C561E}"/>
    <cellStyle name="计算 2 4 3 3" xfId="26799" xr:uid="{B5EA0362-CFEE-42F4-BA73-2A5065A5770B}"/>
    <cellStyle name="计算 2 4 4" xfId="26602" xr:uid="{69CABC43-2A4D-4196-BFE5-625AD149C7C1}"/>
    <cellStyle name="计算 2 5" xfId="26303" xr:uid="{0200DF44-1A66-4F90-98B6-969E12A586A4}"/>
    <cellStyle name="计算 2 5 2" xfId="26448" xr:uid="{875E599D-79F2-41FD-9A9E-91E74EE7E639}"/>
    <cellStyle name="计算 2 5 2 2" xfId="26541" xr:uid="{607D2D2C-A46C-4FAC-8B0A-A9C8167E25A2}"/>
    <cellStyle name="计算 2 5 2 2 2" xfId="26923" xr:uid="{8EC5010F-D3BB-4D39-AE7D-CDE04B73AFCD}"/>
    <cellStyle name="计算 2 5 2 3" xfId="26845" xr:uid="{2040F7C1-47EB-499D-886F-150079C07E76}"/>
    <cellStyle name="计算 2 5 3" xfId="26719" xr:uid="{7488E23F-1186-4F1E-929B-8D5ABC2A7DF8}"/>
    <cellStyle name="计算 2 6" xfId="26376" xr:uid="{0358F0D4-51E2-4E3E-A5FC-E6F9400ADE73}"/>
    <cellStyle name="计算 2 6 2" xfId="26478" xr:uid="{ED4CAE21-FCC6-4E90-B963-74A26DB22E49}"/>
    <cellStyle name="计算 2 6 2 2" xfId="26866" xr:uid="{0011F0E9-41EE-461C-95B8-63FE5D8945FC}"/>
    <cellStyle name="计算 2 6 3" xfId="26777" xr:uid="{2182BA1B-0E03-42D3-8BCD-5C653FE69A6C}"/>
    <cellStyle name="计算 2 7" xfId="26570" xr:uid="{234258C8-FE46-475D-BD3B-083860FB2A05}"/>
    <cellStyle name="输入 2" xfId="25954" xr:uid="{36603538-DAB2-4ACE-B277-E4246853AB6B}"/>
    <cellStyle name="输入 2 2" xfId="25966" xr:uid="{F2DD3CAC-8C07-4B95-B208-4E58FDED533F}"/>
    <cellStyle name="输入 2 2 2" xfId="25977" xr:uid="{45F98E86-535D-437F-A997-F04AC9451A0C}"/>
    <cellStyle name="输入 2 2 2 2" xfId="26304" xr:uid="{17E76547-D77D-48B3-82AB-432CDBA973D1}"/>
    <cellStyle name="输入 2 2 2 2 2" xfId="26449" xr:uid="{37115CD1-08CD-4965-8C6F-49D63E20BD55}"/>
    <cellStyle name="输入 2 2 2 2 2 2" xfId="26542" xr:uid="{D4350C16-9F19-41B1-B215-61E232007020}"/>
    <cellStyle name="输入 2 2 2 2 2 2 2" xfId="26924" xr:uid="{8B3D3075-2FA9-4BB2-A165-7AFA02360B2B}"/>
    <cellStyle name="输入 2 2 2 2 2 3" xfId="26846" xr:uid="{D6C9D658-1A41-473A-B987-D485DF475D11}"/>
    <cellStyle name="输入 2 2 2 2 3" xfId="26720" xr:uid="{1D9DBE81-C421-4E51-A74A-2DC2574A0D62}"/>
    <cellStyle name="输入 2 2 2 3" xfId="26392" xr:uid="{14167084-A1AB-4A00-A86C-1B5EF010CA77}"/>
    <cellStyle name="输入 2 2 2 3 2" xfId="26349" xr:uid="{77CE351F-E69B-4DEC-8D3D-CE16D5F207DD}"/>
    <cellStyle name="输入 2 2 2 3 2 2" xfId="26754" xr:uid="{249C4C51-8682-4D45-821D-6B3C7A2F0BA6}"/>
    <cellStyle name="输入 2 2 2 3 3" xfId="26791" xr:uid="{48F0AFF3-7D8A-4798-9A17-651B2D647C9A}"/>
    <cellStyle name="输入 2 2 2 4" xfId="26595" xr:uid="{0129F85B-8542-49B2-B95C-B548E2F9EB5B}"/>
    <cellStyle name="输入 2 2 3" xfId="26315" xr:uid="{292DE4CF-AEE0-42B9-9826-BD8E64F8E005}"/>
    <cellStyle name="输入 2 2 3 2" xfId="26460" xr:uid="{521A4868-5A17-4A70-A736-3A3D4E8C9D14}"/>
    <cellStyle name="输入 2 2 3 2 2" xfId="26550" xr:uid="{3D01AC15-CE1B-4D65-BED2-CA96F830655F}"/>
    <cellStyle name="输入 2 2 3 2 2 2" xfId="26930" xr:uid="{F1CDB9C0-995F-4B4D-B22D-9AB0D2DEDB9C}"/>
    <cellStyle name="输入 2 2 3 2 3" xfId="26854" xr:uid="{AD88BA34-11B5-4311-922E-A56D11A7BFD0}"/>
    <cellStyle name="输入 2 2 3 3" xfId="26730" xr:uid="{A7B01C79-F0AD-444A-9CA6-B858E9400F53}"/>
    <cellStyle name="输入 2 2 4" xfId="26386" xr:uid="{8E1D35D9-533D-45F1-8549-201209CA2FA7}"/>
    <cellStyle name="输入 2 2 4 2" xfId="26473" xr:uid="{6F46C193-595E-4AB8-90DD-1C2B6887CF46}"/>
    <cellStyle name="输入 2 2 4 2 2" xfId="26863" xr:uid="{462FC36A-B1B0-4AB8-BD21-164BC67F4C99}"/>
    <cellStyle name="输入 2 2 4 3" xfId="26786" xr:uid="{3B733CA8-D289-453B-B81D-A04EBE107DC8}"/>
    <cellStyle name="输入 2 2 5" xfId="26590" xr:uid="{D41042F3-0C3C-4AF1-8EC2-DFA0BF0011F7}"/>
    <cellStyle name="输入 2 3" xfId="25969" xr:uid="{F11D7C60-33E3-4E1B-B3D8-DB292C236297}"/>
    <cellStyle name="输入 2 3 2" xfId="25989" xr:uid="{12CE838E-110A-4284-B919-56BCFD9D9E5B}"/>
    <cellStyle name="输入 2 3 2 2" xfId="26306" xr:uid="{F1F6910B-F0B4-458B-A410-3A8ED6459830}"/>
    <cellStyle name="输入 2 3 2 2 2" xfId="26451" xr:uid="{8D378627-C008-4803-A179-49D265DA6B59}"/>
    <cellStyle name="输入 2 3 2 2 2 2" xfId="26544" xr:uid="{8397A1A2-E27C-4F84-8041-A6956B1D106B}"/>
    <cellStyle name="输入 2 3 2 2 2 2 2" xfId="26926" xr:uid="{378A7488-6DF0-4224-A774-8087B5448FD1}"/>
    <cellStyle name="输入 2 3 2 2 2 3" xfId="26847" xr:uid="{60992E19-96EA-46CE-BDF9-FCF947234462}"/>
    <cellStyle name="输入 2 3 2 2 3" xfId="26721" xr:uid="{97811945-1EB7-4FC7-A295-48FAF195B46D}"/>
    <cellStyle name="输入 2 3 2 3" xfId="26403" xr:uid="{0A31F912-C751-4C91-BA03-B1794840B742}"/>
    <cellStyle name="输入 2 3 2 3 2" xfId="26360" xr:uid="{1EBF11B0-ED80-4B4A-A2C1-60CA1DA6A6DC}"/>
    <cellStyle name="输入 2 3 2 3 2 2" xfId="26763" xr:uid="{6863C6DD-065B-4EDA-996C-D0E21A348EFA}"/>
    <cellStyle name="输入 2 3 2 3 3" xfId="26802" xr:uid="{3A8F2033-4FBE-4682-ABA4-ED7724B6DD32}"/>
    <cellStyle name="输入 2 3 2 4" xfId="26605" xr:uid="{81767C03-4AFC-4C38-B7E0-DFF1D0412EDC}"/>
    <cellStyle name="输入 2 3 3" xfId="26279" xr:uid="{42C6FAF9-EF6D-41F0-A42A-2569B591E70E}"/>
    <cellStyle name="输入 2 3 3 2" xfId="26424" xr:uid="{0767AFF9-BBF1-4338-AB45-F9378ED5CFF4}"/>
    <cellStyle name="输入 2 3 3 2 2" xfId="26339" xr:uid="{AD8F0C6F-78C8-4763-98A2-B3AE8C475BAE}"/>
    <cellStyle name="输入 2 3 3 2 2 2" xfId="26745" xr:uid="{065F5FE7-5DB8-44E4-85DD-610C8FC5D11C}"/>
    <cellStyle name="输入 2 3 3 2 3" xfId="26822" xr:uid="{6D702A8E-085B-47A7-89F2-6D67AC680934}"/>
    <cellStyle name="输入 2 3 3 3" xfId="26695" xr:uid="{D09289BB-CBB7-4FE5-BF23-5EACD1CFA154}"/>
    <cellStyle name="输入 2 3 4" xfId="26388" xr:uid="{088EBBFB-8B11-481D-AE24-CF31B6DB158E}"/>
    <cellStyle name="输入 2 3 4 2" xfId="26486" xr:uid="{EC2CE9BB-9D56-4C49-92DC-36076A290420}"/>
    <cellStyle name="输入 2 3 4 2 2" xfId="26870" xr:uid="{E3236E51-C827-42DB-AEEC-58F964AA783A}"/>
    <cellStyle name="输入 2 3 4 3" xfId="26788" xr:uid="{AE3E1ED0-44A6-42B0-99A3-9DFD382D2B51}"/>
    <cellStyle name="输入 2 3 5" xfId="26592" xr:uid="{7EA340DC-9296-483E-B933-3AD6BF128C09}"/>
    <cellStyle name="输入 2 4" xfId="25984" xr:uid="{5287B7F1-1B43-427A-884A-A48DF99AA807}"/>
    <cellStyle name="输入 2 4 2" xfId="26318" xr:uid="{648E5038-A110-4467-AD4D-B07DD385B020}"/>
    <cellStyle name="输入 2 4 2 2" xfId="26463" xr:uid="{1CBEFDFE-9666-4769-A8BA-47A76425F3E0}"/>
    <cellStyle name="输入 2 4 2 2 2" xfId="26553" xr:uid="{492E19B0-A939-4E3A-86AE-6150FB5C7E5A}"/>
    <cellStyle name="输入 2 4 2 2 2 2" xfId="26933" xr:uid="{F1EF9987-3870-4BEE-A150-18694413DFC1}"/>
    <cellStyle name="输入 2 4 2 2 3" xfId="26856" xr:uid="{BF8D55DE-937F-41BB-AC63-3DBF84AD9938}"/>
    <cellStyle name="输入 2 4 2 3" xfId="26732" xr:uid="{42F61DEA-DC7F-4D5B-8711-EF6A6DCC1D0C}"/>
    <cellStyle name="输入 2 4 3" xfId="26399" xr:uid="{2B221273-11FF-4C22-992C-1D9BEA2B00BE}"/>
    <cellStyle name="输入 2 4 3 2" xfId="26343" xr:uid="{472ECB4D-49DE-453D-8CD3-114576C7FD1C}"/>
    <cellStyle name="输入 2 4 3 2 2" xfId="26748" xr:uid="{AF374D1F-6509-4C61-B492-2529D18869B2}"/>
    <cellStyle name="输入 2 4 3 3" xfId="26798" xr:uid="{7953A2B0-1A79-4407-BA34-5B0520AD31C1}"/>
    <cellStyle name="输入 2 4 4" xfId="26601" xr:uid="{94A9C213-C20B-4B0A-ACAD-21AE570E3A51}"/>
    <cellStyle name="输入 2 5" xfId="26297" xr:uid="{F7C7A0F1-1AFD-42AA-AD51-07E74C11E8C9}"/>
    <cellStyle name="输入 2 5 2" xfId="26442" xr:uid="{3B0B5D81-6B04-4A42-A37B-77849AF0C280}"/>
    <cellStyle name="输入 2 5 2 2" xfId="26539" xr:uid="{346DD2E5-42F8-48A3-9A75-7D84B54BE7C9}"/>
    <cellStyle name="输入 2 5 2 2 2" xfId="26921" xr:uid="{BADDE003-1D8E-49B0-B309-3CB26EC17294}"/>
    <cellStyle name="输入 2 5 2 3" xfId="26839" xr:uid="{AD89B1B6-76E5-4F49-8DCF-4682A4A975C5}"/>
    <cellStyle name="输入 2 5 3" xfId="26713" xr:uid="{2A799EB4-5622-4501-890D-C8355B9492F1}"/>
    <cellStyle name="输入 2 6" xfId="26378" xr:uid="{4D18CA50-CBCC-445D-A646-4910759EE9B4}"/>
    <cellStyle name="输入 2 6 2" xfId="26346" xr:uid="{8F3FD3FF-2146-40BE-B7D5-04941A6E8B64}"/>
    <cellStyle name="输入 2 6 2 2" xfId="26751" xr:uid="{64F6B87F-F865-417A-9752-8A22247E6804}"/>
    <cellStyle name="输入 2 6 3" xfId="26779" xr:uid="{89C1B058-1300-411B-957D-B6F1A937E9CD}"/>
    <cellStyle name="输入 2 7" xfId="26582" xr:uid="{FA895B24-754C-4A6C-933F-AA73D2CB8938}"/>
    <cellStyle name="输出 2" xfId="25914" xr:uid="{1271AF31-E2D6-4CF0-AA14-837BE30FB0F3}"/>
    <cellStyle name="输出 2 2" xfId="25964" xr:uid="{FDE4DA7C-7E20-4337-866F-FC481074D880}"/>
    <cellStyle name="输出 2 2 2" xfId="25979" xr:uid="{5B3C0750-EF4E-4070-97EF-891615D641B4}"/>
    <cellStyle name="输出 2 2 2 2" xfId="26302" xr:uid="{6297168C-0383-4F0C-9F39-BFDED87B5720}"/>
    <cellStyle name="输出 2 2 2 2 2" xfId="26447" xr:uid="{45BE54C0-BDD5-4498-8895-B89690D07792}"/>
    <cellStyle name="输出 2 2 2 2 2 2" xfId="26524" xr:uid="{392507BB-7B61-43DE-A40B-3F7624F83D85}"/>
    <cellStyle name="输出 2 2 2 2 2 2 2" xfId="26907" xr:uid="{161DC567-D4B7-401F-AAFF-AEDC63131459}"/>
    <cellStyle name="输出 2 2 2 2 2 3" xfId="26844" xr:uid="{24E43CB8-1FB7-4C8A-8295-338323C390AE}"/>
    <cellStyle name="输出 2 2 2 2 3" xfId="26718" xr:uid="{08B1F8A8-E63A-4361-B945-C9FCE8AA07A3}"/>
    <cellStyle name="输出 2 2 2 3" xfId="26394" xr:uid="{2680027A-3723-4A4D-92CF-60D6315F32D3}"/>
    <cellStyle name="输出 2 2 2 3 2" xfId="26501" xr:uid="{11BC1CA8-C9C4-4A7B-BE28-1B83677A7CDB}"/>
    <cellStyle name="输出 2 2 2 3 2 2" xfId="26884" xr:uid="{FB1C661C-0390-4879-BD0C-36DE8C132ACC}"/>
    <cellStyle name="输出 2 2 2 3 3" xfId="26793" xr:uid="{4816DD97-EDAF-4ECF-A811-7759B2838547}"/>
    <cellStyle name="输出 2 2 2 4" xfId="26597" xr:uid="{0E768423-44C3-4EF3-8EFC-DA005D7F7C07}"/>
    <cellStyle name="输出 2 2 3" xfId="26290" xr:uid="{BDC01C80-E8F7-435E-9E2D-6E32A19AFA0E}"/>
    <cellStyle name="输出 2 2 3 2" xfId="26435" xr:uid="{F0D08423-112F-42DC-ACA9-74C3515C3A9F}"/>
    <cellStyle name="输出 2 2 3 2 2" xfId="26518" xr:uid="{309B6204-3A8F-4955-AA5B-C14971C999E7}"/>
    <cellStyle name="输出 2 2 3 2 2 2" xfId="26901" xr:uid="{D215646C-9CFF-4EB8-AAA4-318ADC8FD724}"/>
    <cellStyle name="输出 2 2 3 2 3" xfId="26832" xr:uid="{827172F9-86AA-4FCC-8095-DB271D10D363}"/>
    <cellStyle name="输出 2 2 3 3" xfId="26706" xr:uid="{F88637CC-5A8E-47E7-80D9-FFFA6D30242D}"/>
    <cellStyle name="输出 2 2 4" xfId="26384" xr:uid="{0D05FB88-4F85-4B4C-946A-9926F16E07E7}"/>
    <cellStyle name="输出 2 2 4 2" xfId="26497" xr:uid="{4BFA423F-4A80-43E9-9771-18E1F95A3F65}"/>
    <cellStyle name="输出 2 2 4 2 2" xfId="26880" xr:uid="{732E29DE-118B-4CE9-B9E9-939A7B3CA784}"/>
    <cellStyle name="输出 2 2 4 3" xfId="26784" xr:uid="{1C7B1B6A-1353-41EA-9EE3-48D2AFFF7538}"/>
    <cellStyle name="输出 2 2 5" xfId="26588" xr:uid="{A44D2409-076E-453C-8B47-653EEEC146B5}"/>
    <cellStyle name="输出 2 3" xfId="25960" xr:uid="{2B8D9393-D38A-42D8-9E63-303F6FE4AB56}"/>
    <cellStyle name="输出 2 3 2" xfId="25976" xr:uid="{244834C7-CEEC-4703-946E-E5186590E979}"/>
    <cellStyle name="输出 2 3 2 2" xfId="26322" xr:uid="{B569B878-336C-4DC1-8E8D-F884D26AD395}"/>
    <cellStyle name="输出 2 3 2 2 2" xfId="26467" xr:uid="{BE9DB548-054B-4BDF-A6FB-CABADF3EAD4D}"/>
    <cellStyle name="输出 2 3 2 2 2 2" xfId="26528" xr:uid="{8A63CBB5-58AE-4362-B170-363D59B9C44D}"/>
    <cellStyle name="输出 2 3 2 2 2 2 2" xfId="26911" xr:uid="{B4E8B8CB-A238-478A-86E6-83AC874E2644}"/>
    <cellStyle name="输出 2 3 2 2 2 3" xfId="26859" xr:uid="{9624D613-AF34-4BAF-AF94-4234122FC6E8}"/>
    <cellStyle name="输出 2 3 2 2 3" xfId="26735" xr:uid="{06A62BC8-5C21-4074-93A6-2E1BA2DF4A63}"/>
    <cellStyle name="输出 2 3 2 3" xfId="26391" xr:uid="{8C2898AE-7CB9-4184-A97E-CC859F5FA9D7}"/>
    <cellStyle name="输出 2 3 2 3 2" xfId="26499" xr:uid="{05DAD1F9-7444-4EE2-B1C1-AE593614B28D}"/>
    <cellStyle name="输出 2 3 2 3 2 2" xfId="26882" xr:uid="{603B883D-FB7D-41D6-9EDF-7AAD42E330E0}"/>
    <cellStyle name="输出 2 3 2 3 3" xfId="26790" xr:uid="{F44839D6-994B-4149-BCD5-9F36C348C00F}"/>
    <cellStyle name="输出 2 3 2 4" xfId="26594" xr:uid="{BBC7E130-F9BF-4DA9-A131-AA5F66078033}"/>
    <cellStyle name="输出 2 3 3" xfId="26324" xr:uid="{42F523AB-4D56-4758-8117-0DE3DFCF11DF}"/>
    <cellStyle name="输出 2 3 3 2" xfId="26469" xr:uid="{069169CB-B000-4052-9F7C-7CA889B364FD}"/>
    <cellStyle name="输出 2 3 3 2 2" xfId="26530" xr:uid="{7767A0F1-58DC-455C-A503-1FDDA59347F9}"/>
    <cellStyle name="输出 2 3 3 2 2 2" xfId="26913" xr:uid="{A8AEBFAC-8640-459E-888B-0E06BA7ABF4E}"/>
    <cellStyle name="输出 2 3 3 2 3" xfId="26861" xr:uid="{EC5AE812-6F7B-485C-B614-5EF837E6F843}"/>
    <cellStyle name="输出 2 3 3 3" xfId="26737" xr:uid="{826DE8AB-B881-45EE-B78F-546666D48BDE}"/>
    <cellStyle name="输出 2 3 4" xfId="26381" xr:uid="{15C15433-EA66-4552-83BE-5E2A762604D5}"/>
    <cellStyle name="输出 2 3 4 2" xfId="26495" xr:uid="{3D06F06D-3EF2-4DFD-9DC7-7057ADCA610E}"/>
    <cellStyle name="输出 2 3 4 2 2" xfId="26878" xr:uid="{145651A9-F766-430C-A8B2-4EAA93A21A7E}"/>
    <cellStyle name="输出 2 3 4 3" xfId="26781" xr:uid="{34EB660B-AA8B-46BB-ADEE-E2749526EF8E}"/>
    <cellStyle name="输出 2 3 5" xfId="26585" xr:uid="{59B59234-9426-4869-8A15-67B29F92B137}"/>
    <cellStyle name="输出 2 4" xfId="25987" xr:uid="{BC086345-4ECE-47A4-B9FD-47A259AAB353}"/>
    <cellStyle name="输出 2 4 2" xfId="26307" xr:uid="{9C8FD023-A73B-4378-9BA6-5FC79B3B4C48}"/>
    <cellStyle name="输出 2 4 2 2" xfId="26452" xr:uid="{91D97CB3-0C16-4293-86D3-3E79BE596D98}"/>
    <cellStyle name="输出 2 4 2 2 2" xfId="26525" xr:uid="{2D5FC42B-C1FD-44A4-8109-4DE9B5FF10B0}"/>
    <cellStyle name="输出 2 4 2 2 2 2" xfId="26908" xr:uid="{5E5FA4E4-AF9F-46F5-9C79-731DE3EC6111}"/>
    <cellStyle name="输出 2 4 2 2 3" xfId="26848" xr:uid="{A5B1AFE3-0E68-448C-A313-B38E45AAFBEC}"/>
    <cellStyle name="输出 2 4 2 3" xfId="26722" xr:uid="{44C7A4DF-A78A-443D-86FF-EC27F1D7F2EC}"/>
    <cellStyle name="输出 2 4 3" xfId="26402" xr:uid="{43A9FC66-9C13-4544-B7DE-EAE116399016}"/>
    <cellStyle name="输出 2 4 3 2" xfId="26504" xr:uid="{0DFC61A4-0C94-4F76-9E2E-2495EDD84218}"/>
    <cellStyle name="输出 2 4 3 2 2" xfId="26887" xr:uid="{A3879681-2E9C-4D88-B05C-E34E35FF058E}"/>
    <cellStyle name="输出 2 4 3 3" xfId="26801" xr:uid="{38214F15-CCC4-44EB-BDD8-CE30FC234A5C}"/>
    <cellStyle name="输出 2 4 4" xfId="26604" xr:uid="{181FE814-649B-442C-A0CD-1041DBA627C5}"/>
    <cellStyle name="输出 2 5" xfId="26325" xr:uid="{A7DBA263-D790-4493-9AA2-4664CA24A3E8}"/>
    <cellStyle name="输出 2 5 2" xfId="26470" xr:uid="{7162A676-AD45-40A0-9F36-E1648CCC9FA8}"/>
    <cellStyle name="输出 2 5 2 2" xfId="26531" xr:uid="{4232D1E2-578F-42CF-AE89-58D5DD840A16}"/>
    <cellStyle name="输出 2 5 2 2 2" xfId="26914" xr:uid="{1AA2D578-9E7F-4568-BF44-23EBA72F4004}"/>
    <cellStyle name="输出 2 5 2 3" xfId="26862" xr:uid="{97B239F9-3A9D-4817-A55C-73B3A324C2A2}"/>
    <cellStyle name="输出 2 5 3" xfId="26738" xr:uid="{F10CF618-D33B-4C33-A668-58B0F7A83017}"/>
    <cellStyle name="输出 2 6" xfId="26375" xr:uid="{1C9E6B7F-AED6-43DF-B734-01966FDC74D0}"/>
    <cellStyle name="输出 2 6 2" xfId="26493" xr:uid="{E288DC75-AD32-4ED1-9966-69A7378021D8}"/>
    <cellStyle name="输出 2 6 2 2" xfId="26876" xr:uid="{E78472CE-1F97-4D58-BCF9-83139FADC4D8}"/>
    <cellStyle name="输出 2 6 3" xfId="26776" xr:uid="{AF4BFEBA-9A5E-4C2B-B00B-206614AA25FF}"/>
    <cellStyle name="输出 2 7" xfId="26569" xr:uid="{E52E4235-F8DF-4819-9CA4-B83EE7AE7699}"/>
    <cellStyle name="适中 2" xfId="25910" xr:uid="{A02DD9E5-857A-47CD-B844-B6850581BD21}"/>
    <cellStyle name="链接单元格 2" xfId="25947" xr:uid="{203A988F-5E4A-4C4A-8C15-E9DC424F7872}"/>
  </cellStyles>
  <dxfs count="2">
    <dxf>
      <font>
        <strike val="0"/>
        <color theme="0"/>
      </font>
      <fill>
        <patternFill>
          <bgColor rgb="FF0070C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Table Style 1" pivot="0" count="2" xr9:uid="{6A6BC31F-78B2-4C81-AD8F-3C167BFD770B}">
      <tableStyleElement type="wholeTable" dxfId="1"/>
      <tableStyleElement type="headerRow" dxfId="0"/>
    </tableStyle>
  </tableStyles>
  <colors>
    <mruColors>
      <color rgb="FF0000FF"/>
      <color rgb="FFFF66FF"/>
      <color rgb="FFFFFF99"/>
      <color rgb="FFF2F2F2"/>
      <color rgb="FFCCFFCC"/>
      <color rgb="FFEBEBEB"/>
      <color rgb="FFD9D9D9"/>
      <color rgb="FFDCDC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20549</xdr:colOff>
      <xdr:row>2</xdr:row>
      <xdr:rowOff>267789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3E826A-1E54-4541-84D1-A0E7B1FD8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72638" cy="658314"/>
        </a:xfrm>
        <a:prstGeom prst="rect">
          <a:avLst/>
        </a:prstGeom>
      </xdr:spPr>
    </xdr:pic>
    <xdr:clientData/>
  </xdr:twoCellAnchor>
  <xdr:twoCellAnchor editAs="oneCell">
    <xdr:from>
      <xdr:col>0</xdr:col>
      <xdr:colOff>1630000</xdr:colOff>
      <xdr:row>64</xdr:row>
      <xdr:rowOff>193488</xdr:rowOff>
    </xdr:from>
    <xdr:to>
      <xdr:col>1</xdr:col>
      <xdr:colOff>1582394</xdr:colOff>
      <xdr:row>69</xdr:row>
      <xdr:rowOff>283600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4CC176C-106E-4A4E-8919-DBD3281D17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05829">
          <a:off x="1630000" y="15342048"/>
          <a:ext cx="1581169" cy="132074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53340</xdr:rowOff>
    </xdr:from>
    <xdr:to>
      <xdr:col>1</xdr:col>
      <xdr:colOff>2076450</xdr:colOff>
      <xdr:row>70</xdr:row>
      <xdr:rowOff>16510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36F3F76-2C19-4614-A902-22847AF4C3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8300" y="14759940"/>
          <a:ext cx="2080260" cy="1727200"/>
        </a:xfrm>
        <a:prstGeom prst="rect">
          <a:avLst/>
        </a:prstGeom>
      </xdr:spPr>
    </xdr:pic>
    <xdr:clientData/>
  </xdr:twoCellAnchor>
  <xdr:twoCellAnchor editAs="oneCell">
    <xdr:from>
      <xdr:col>0</xdr:col>
      <xdr:colOff>1584960</xdr:colOff>
      <xdr:row>62</xdr:row>
      <xdr:rowOff>0</xdr:rowOff>
    </xdr:from>
    <xdr:to>
      <xdr:col>1</xdr:col>
      <xdr:colOff>2152650</xdr:colOff>
      <xdr:row>69</xdr:row>
      <xdr:rowOff>245745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CAB382A-93EA-49C3-9DA1-4DE2E16F44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4960" y="14497050"/>
          <a:ext cx="2158365" cy="1950720"/>
        </a:xfrm>
        <a:prstGeom prst="rect">
          <a:avLst/>
        </a:prstGeom>
      </xdr:spPr>
    </xdr:pic>
    <xdr:clientData/>
  </xdr:twoCellAnchor>
  <xdr:twoCellAnchor editAs="oneCell">
    <xdr:from>
      <xdr:col>0</xdr:col>
      <xdr:colOff>1592580</xdr:colOff>
      <xdr:row>62</xdr:row>
      <xdr:rowOff>45720</xdr:rowOff>
    </xdr:from>
    <xdr:to>
      <xdr:col>1</xdr:col>
      <xdr:colOff>2159000</xdr:colOff>
      <xdr:row>70</xdr:row>
      <xdr:rowOff>12700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6B19800-840E-CA9C-29A3-36BDE70D8A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580" y="14523720"/>
          <a:ext cx="2204720" cy="196342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1600200</xdr:colOff>
      <xdr:row>61</xdr:row>
      <xdr:rowOff>213360</xdr:rowOff>
    </xdr:from>
    <xdr:to>
      <xdr:col>1</xdr:col>
      <xdr:colOff>2120900</xdr:colOff>
      <xdr:row>69</xdr:row>
      <xdr:rowOff>302260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A685816-FDA0-A646-4980-8F74B4C66A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0" y="14462760"/>
          <a:ext cx="2159000" cy="20091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2159000</xdr:colOff>
      <xdr:row>70</xdr:row>
      <xdr:rowOff>12700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EF833EC-823A-7D3E-BB34-2092FF54F7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0675" y="14497050"/>
          <a:ext cx="2159000" cy="203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 codeName="Sheet11">
    <tabColor rgb="FF00B0F0"/>
  </sheetPr>
  <dimension ref="A1:O274"/>
  <sheetViews>
    <sheetView tabSelected="1" view="pageBreakPreview" zoomScale="70" zoomScaleNormal="100" zoomScaleSheetLayoutView="70" workbookViewId="0">
      <selection activeCell="G10" sqref="G10"/>
    </sheetView>
  </sheetViews>
  <sheetFormatPr defaultColWidth="9.1796875" defaultRowHeight="12.5"/>
  <cols>
    <col min="1" max="1" width="23.81640625" style="1" customWidth="1"/>
    <col min="2" max="2" width="48.81640625" style="1" customWidth="1"/>
    <col min="3" max="3" width="26.1796875" style="1" customWidth="1"/>
    <col min="4" max="4" width="17.81640625" style="1" customWidth="1"/>
    <col min="5" max="5" width="26.1796875" style="1" customWidth="1"/>
    <col min="6" max="6" width="18.81640625" style="1" customWidth="1"/>
    <col min="7" max="7" width="20.453125" style="1" customWidth="1"/>
    <col min="8" max="8" width="9.54296875" style="17" customWidth="1"/>
    <col min="9" max="9" width="17" style="1" customWidth="1"/>
    <col min="10" max="10" width="21.1796875" style="1" customWidth="1"/>
    <col min="11" max="14" width="9.1796875" style="1"/>
    <col min="15" max="15" width="10.1796875" style="1" bestFit="1" customWidth="1"/>
    <col min="16" max="16384" width="9.1796875" style="1"/>
  </cols>
  <sheetData>
    <row r="1" spans="1:15" ht="18" customHeight="1">
      <c r="A1" s="3"/>
      <c r="B1" s="113" t="str">
        <f>IF(O2="FIDX","TAX ","TAX ")&amp;IF(G69&lt;0,"CREDIT NOTE","INVOICE")</f>
        <v>TAX INVOICE</v>
      </c>
      <c r="C1" s="113"/>
      <c r="D1" s="113"/>
      <c r="E1" s="113"/>
      <c r="F1" s="3"/>
      <c r="G1" s="3"/>
      <c r="H1" s="45"/>
      <c r="I1" s="3"/>
      <c r="J1" s="3"/>
    </row>
    <row r="2" spans="1:15" ht="12.75" customHeight="1">
      <c r="A2" s="3"/>
      <c r="B2" s="113"/>
      <c r="C2" s="113"/>
      <c r="D2" s="113"/>
      <c r="E2" s="113"/>
      <c r="F2" s="3"/>
      <c r="G2" s="3"/>
      <c r="H2" s="45"/>
      <c r="I2" s="3"/>
      <c r="J2" s="3"/>
      <c r="N2" s="15" t="s">
        <v>6</v>
      </c>
      <c r="O2" s="1" t="s">
        <v>2</v>
      </c>
    </row>
    <row r="3" spans="1:15" ht="23">
      <c r="A3" s="2" t="s">
        <v>7</v>
      </c>
      <c r="B3" s="11"/>
      <c r="C3" s="19" t="s">
        <v>8</v>
      </c>
      <c r="D3" s="18"/>
      <c r="E3" s="12">
        <f>IF(O2="FIDX",O3,O3)</f>
        <v>0</v>
      </c>
      <c r="F3" s="2"/>
      <c r="G3" s="2" t="s">
        <v>9</v>
      </c>
      <c r="H3" s="46"/>
      <c r="N3" s="15" t="s">
        <v>10</v>
      </c>
    </row>
    <row r="4" spans="1:15" ht="23">
      <c r="A4" s="3" t="s">
        <v>72</v>
      </c>
      <c r="B4"/>
      <c r="C4" s="59" t="s">
        <v>11</v>
      </c>
      <c r="D4" s="60"/>
      <c r="E4" s="61"/>
      <c r="F4" s="44"/>
      <c r="G4" s="13"/>
      <c r="H4" s="47"/>
      <c r="N4" s="15" t="s">
        <v>12</v>
      </c>
    </row>
    <row r="5" spans="1:15" ht="16.5">
      <c r="A5" s="3"/>
      <c r="B5" s="3"/>
      <c r="C5" s="59" t="str">
        <f>IF(O2="FIDX","Date of Delivery","")</f>
        <v>Date of Delivery</v>
      </c>
      <c r="D5" s="60"/>
      <c r="E5" s="62">
        <f>IF(O2="FIDX",O7,"")</f>
        <v>43150</v>
      </c>
      <c r="F5" s="3"/>
      <c r="G5" s="3"/>
      <c r="H5" s="45"/>
      <c r="N5" s="15" t="s">
        <v>13</v>
      </c>
      <c r="O5" s="17">
        <v>0.05</v>
      </c>
    </row>
    <row r="6" spans="1:15" ht="16.5">
      <c r="A6" s="2"/>
      <c r="B6" s="2"/>
      <c r="C6" s="59" t="str">
        <f>IF(O2="FIDX","Place of Delivery","")</f>
        <v>Place of Delivery</v>
      </c>
      <c r="D6" s="60"/>
      <c r="E6" s="62" t="str">
        <f>IF(O2="FIDX",O8,"")</f>
        <v>Dubai</v>
      </c>
      <c r="F6" s="2"/>
      <c r="G6" s="2" t="s">
        <v>14</v>
      </c>
      <c r="H6" s="46"/>
      <c r="N6" s="15" t="s">
        <v>15</v>
      </c>
      <c r="O6" s="1">
        <v>3.67</v>
      </c>
    </row>
    <row r="7" spans="1:15" ht="15.5">
      <c r="A7" s="2" t="s">
        <v>16</v>
      </c>
      <c r="B7" s="3"/>
      <c r="C7" s="20" t="s">
        <v>17</v>
      </c>
      <c r="D7" s="20"/>
      <c r="E7" s="8"/>
      <c r="F7" s="10"/>
      <c r="G7" s="10">
        <f>G4+30</f>
        <v>30</v>
      </c>
      <c r="H7" s="48"/>
      <c r="N7" s="15" t="s">
        <v>18</v>
      </c>
      <c r="O7" s="16">
        <v>43150</v>
      </c>
    </row>
    <row r="8" spans="1:15" ht="15.5">
      <c r="A8" s="114" t="s">
        <v>19</v>
      </c>
      <c r="B8" s="114"/>
      <c r="C8" s="115" t="s">
        <v>19</v>
      </c>
      <c r="D8" s="115"/>
      <c r="E8" s="115"/>
      <c r="F8" s="2"/>
      <c r="G8" s="2"/>
      <c r="H8" s="46"/>
      <c r="N8" s="15" t="s">
        <v>20</v>
      </c>
      <c r="O8" s="16" t="s">
        <v>3</v>
      </c>
    </row>
    <row r="9" spans="1:15" ht="35.75" customHeight="1">
      <c r="A9" s="114" t="s">
        <v>21</v>
      </c>
      <c r="B9" s="114"/>
      <c r="C9" s="114" t="s">
        <v>22</v>
      </c>
      <c r="D9" s="114"/>
      <c r="E9" s="114"/>
      <c r="F9" s="2" t="s">
        <v>23</v>
      </c>
      <c r="G9" s="2" t="s">
        <v>24</v>
      </c>
      <c r="H9" s="46"/>
      <c r="N9" s="15"/>
    </row>
    <row r="10" spans="1:15" ht="31">
      <c r="A10" s="114" t="s">
        <v>25</v>
      </c>
      <c r="B10" s="114"/>
      <c r="C10" s="114" t="s">
        <v>25</v>
      </c>
      <c r="D10" s="114"/>
      <c r="E10" s="114"/>
      <c r="F10" s="4" t="s">
        <v>26</v>
      </c>
      <c r="G10" s="5" t="s">
        <v>73</v>
      </c>
      <c r="H10" s="49"/>
      <c r="N10" s="15"/>
    </row>
    <row r="11" spans="1:15" ht="16" thickBot="1">
      <c r="A11" s="6"/>
      <c r="B11" s="6"/>
      <c r="C11" s="6"/>
      <c r="D11" s="6"/>
      <c r="E11" s="7"/>
      <c r="F11" s="6"/>
      <c r="G11" s="3"/>
      <c r="H11" s="45"/>
      <c r="I11" s="3"/>
      <c r="J11" s="3"/>
      <c r="N11" s="15"/>
    </row>
    <row r="12" spans="1:15" s="86" customFormat="1" ht="18">
      <c r="A12" s="80" t="s">
        <v>0</v>
      </c>
      <c r="B12" s="81" t="s">
        <v>27</v>
      </c>
      <c r="C12" s="81" t="s">
        <v>28</v>
      </c>
      <c r="D12" s="81" t="s">
        <v>29</v>
      </c>
      <c r="E12" s="81" t="s">
        <v>30</v>
      </c>
      <c r="F12" s="82" t="s">
        <v>5</v>
      </c>
      <c r="G12" s="83" t="s">
        <v>31</v>
      </c>
      <c r="H12" s="84" t="s">
        <v>1</v>
      </c>
      <c r="I12" s="85" t="s">
        <v>32</v>
      </c>
      <c r="J12" s="85" t="s">
        <v>33</v>
      </c>
      <c r="N12" s="87"/>
    </row>
    <row r="13" spans="1:15" s="112" customFormat="1" ht="18" customHeight="1">
      <c r="A13" s="22"/>
      <c r="B13" s="107"/>
      <c r="C13" s="108"/>
      <c r="D13" s="19"/>
      <c r="E13" s="109"/>
      <c r="F13" s="110"/>
      <c r="G13" s="110"/>
      <c r="H13" s="111"/>
      <c r="I13" s="110"/>
      <c r="J13" s="110"/>
    </row>
    <row r="14" spans="1:15" s="112" customFormat="1" ht="18" customHeight="1">
      <c r="A14" s="22"/>
      <c r="B14" s="107"/>
      <c r="C14" s="108"/>
      <c r="D14" s="19"/>
      <c r="E14" s="109"/>
      <c r="F14" s="110"/>
      <c r="G14" s="110"/>
      <c r="H14" s="111"/>
      <c r="I14" s="110"/>
      <c r="J14" s="110"/>
    </row>
    <row r="15" spans="1:15" s="112" customFormat="1" ht="18" customHeight="1">
      <c r="A15" s="22"/>
      <c r="B15" s="107"/>
      <c r="C15" s="22"/>
      <c r="D15" s="19"/>
      <c r="E15" s="109"/>
      <c r="F15" s="110"/>
      <c r="G15" s="110"/>
      <c r="H15" s="111"/>
      <c r="I15" s="110"/>
      <c r="J15" s="110"/>
    </row>
    <row r="16" spans="1:15" s="112" customFormat="1" ht="18" customHeight="1">
      <c r="A16" s="22"/>
      <c r="B16" s="22"/>
      <c r="C16" s="22"/>
      <c r="D16" s="19"/>
      <c r="E16" s="109"/>
      <c r="F16" s="110"/>
      <c r="G16" s="110"/>
      <c r="H16" s="111"/>
      <c r="I16" s="110"/>
      <c r="J16" s="110"/>
    </row>
    <row r="17" spans="1:10" s="112" customFormat="1" ht="18" customHeight="1">
      <c r="A17" s="22"/>
      <c r="B17" s="22"/>
      <c r="C17" s="22"/>
      <c r="D17" s="19"/>
      <c r="E17" s="109"/>
      <c r="F17" s="110"/>
      <c r="G17" s="110"/>
      <c r="H17" s="111"/>
      <c r="I17" s="110"/>
      <c r="J17" s="110"/>
    </row>
    <row r="18" spans="1:10" s="112" customFormat="1" ht="18" customHeight="1">
      <c r="A18" s="22"/>
      <c r="B18" s="22"/>
      <c r="C18" s="22"/>
      <c r="D18" s="19"/>
      <c r="E18" s="109"/>
      <c r="F18" s="110"/>
      <c r="G18" s="110"/>
      <c r="H18" s="111"/>
      <c r="I18" s="110"/>
      <c r="J18" s="110"/>
    </row>
    <row r="19" spans="1:10" s="112" customFormat="1" ht="18" customHeight="1">
      <c r="A19" s="22"/>
      <c r="B19" s="22"/>
      <c r="C19" s="22"/>
      <c r="D19" s="19"/>
      <c r="E19" s="109"/>
      <c r="F19" s="110"/>
      <c r="G19" s="110"/>
      <c r="H19" s="111"/>
      <c r="I19" s="110"/>
      <c r="J19" s="110"/>
    </row>
    <row r="20" spans="1:10" s="112" customFormat="1" ht="18" customHeight="1">
      <c r="A20" s="22"/>
      <c r="B20" s="22"/>
      <c r="C20" s="22"/>
      <c r="D20" s="19"/>
      <c r="E20" s="109"/>
      <c r="F20" s="110"/>
      <c r="G20" s="110"/>
      <c r="H20" s="111"/>
      <c r="I20" s="110"/>
      <c r="J20" s="110"/>
    </row>
    <row r="21" spans="1:10" s="112" customFormat="1" ht="18" customHeight="1">
      <c r="A21" s="22"/>
      <c r="B21" s="22"/>
      <c r="C21" s="22"/>
      <c r="D21" s="19"/>
      <c r="E21" s="109"/>
      <c r="F21" s="110"/>
      <c r="G21" s="110"/>
      <c r="H21" s="111"/>
      <c r="I21" s="110"/>
      <c r="J21" s="110"/>
    </row>
    <row r="22" spans="1:10" s="112" customFormat="1" ht="18" customHeight="1">
      <c r="A22" s="22"/>
      <c r="B22" s="22"/>
      <c r="C22" s="22"/>
      <c r="D22" s="19"/>
      <c r="E22" s="109"/>
      <c r="F22" s="110"/>
      <c r="G22" s="110"/>
      <c r="H22" s="111"/>
      <c r="I22" s="110"/>
      <c r="J22" s="110"/>
    </row>
    <row r="23" spans="1:10" s="112" customFormat="1" ht="18" customHeight="1">
      <c r="A23" s="22"/>
      <c r="B23" s="22"/>
      <c r="C23" s="22"/>
      <c r="D23" s="19"/>
      <c r="E23" s="109"/>
      <c r="F23" s="110"/>
      <c r="G23" s="110"/>
      <c r="H23" s="111"/>
      <c r="I23" s="110"/>
      <c r="J23" s="110"/>
    </row>
    <row r="24" spans="1:10" s="112" customFormat="1" ht="18" customHeight="1">
      <c r="A24" s="22"/>
      <c r="B24" s="22"/>
      <c r="C24" s="22"/>
      <c r="D24" s="19"/>
      <c r="E24" s="109"/>
      <c r="F24" s="110"/>
      <c r="G24" s="110"/>
      <c r="H24" s="111"/>
      <c r="I24" s="110"/>
      <c r="J24" s="110"/>
    </row>
    <row r="25" spans="1:10" s="112" customFormat="1" ht="18" customHeight="1">
      <c r="A25" s="22"/>
      <c r="B25" s="22"/>
      <c r="C25" s="22"/>
      <c r="D25" s="19"/>
      <c r="E25" s="109"/>
      <c r="F25" s="110"/>
      <c r="G25" s="110"/>
      <c r="H25" s="111"/>
      <c r="I25" s="110"/>
      <c r="J25" s="110"/>
    </row>
    <row r="26" spans="1:10" s="112" customFormat="1" ht="18" customHeight="1">
      <c r="A26" s="22"/>
      <c r="B26" s="22"/>
      <c r="C26" s="22"/>
      <c r="D26" s="19"/>
      <c r="E26" s="109"/>
      <c r="F26" s="110"/>
      <c r="G26" s="110"/>
      <c r="H26" s="111"/>
      <c r="I26" s="110"/>
      <c r="J26" s="110"/>
    </row>
    <row r="27" spans="1:10" s="112" customFormat="1" ht="18" customHeight="1">
      <c r="A27" s="22"/>
      <c r="B27" s="22"/>
      <c r="C27" s="22"/>
      <c r="D27" s="19"/>
      <c r="E27" s="109"/>
      <c r="F27" s="110"/>
      <c r="G27" s="110"/>
      <c r="H27" s="111"/>
      <c r="I27" s="110"/>
      <c r="J27" s="110"/>
    </row>
    <row r="28" spans="1:10" s="112" customFormat="1" ht="18" customHeight="1">
      <c r="A28" s="22"/>
      <c r="B28" s="22"/>
      <c r="C28" s="22"/>
      <c r="D28" s="19"/>
      <c r="E28" s="109"/>
      <c r="F28" s="110"/>
      <c r="G28" s="110"/>
      <c r="H28" s="111"/>
      <c r="I28" s="110"/>
      <c r="J28" s="110"/>
    </row>
    <row r="29" spans="1:10" s="112" customFormat="1" ht="18" customHeight="1">
      <c r="A29" s="22"/>
      <c r="B29" s="22"/>
      <c r="C29" s="22"/>
      <c r="D29" s="19"/>
      <c r="E29" s="109"/>
      <c r="F29" s="110"/>
      <c r="G29" s="110"/>
      <c r="H29" s="111"/>
      <c r="I29" s="110"/>
      <c r="J29" s="110"/>
    </row>
    <row r="30" spans="1:10" s="112" customFormat="1" ht="18" customHeight="1">
      <c r="A30" s="22"/>
      <c r="B30" s="22"/>
      <c r="C30" s="22"/>
      <c r="D30" s="19"/>
      <c r="E30" s="109"/>
      <c r="F30" s="110"/>
      <c r="G30" s="110"/>
      <c r="H30" s="111"/>
      <c r="I30" s="110"/>
      <c r="J30" s="110"/>
    </row>
    <row r="31" spans="1:10" s="112" customFormat="1" ht="18" customHeight="1">
      <c r="A31" s="22"/>
      <c r="B31" s="22"/>
      <c r="C31" s="22"/>
      <c r="D31" s="19"/>
      <c r="E31" s="109"/>
      <c r="F31" s="110"/>
      <c r="G31" s="110"/>
      <c r="H31" s="111"/>
      <c r="I31" s="110"/>
      <c r="J31" s="110"/>
    </row>
    <row r="32" spans="1:10" s="112" customFormat="1" ht="18" customHeight="1">
      <c r="A32" s="22"/>
      <c r="B32" s="22"/>
      <c r="C32" s="22"/>
      <c r="D32" s="19"/>
      <c r="E32" s="109"/>
      <c r="F32" s="110"/>
      <c r="G32" s="110"/>
      <c r="H32" s="111"/>
      <c r="I32" s="110"/>
      <c r="J32" s="110"/>
    </row>
    <row r="33" spans="1:10" s="112" customFormat="1" ht="18" customHeight="1">
      <c r="A33" s="22"/>
      <c r="B33" s="22"/>
      <c r="C33" s="22"/>
      <c r="D33" s="19"/>
      <c r="E33" s="109"/>
      <c r="F33" s="110"/>
      <c r="G33" s="110"/>
      <c r="H33" s="111"/>
      <c r="I33" s="110"/>
      <c r="J33" s="110"/>
    </row>
    <row r="34" spans="1:10" s="112" customFormat="1" ht="18" customHeight="1">
      <c r="A34" s="22"/>
      <c r="B34" s="22"/>
      <c r="C34" s="22"/>
      <c r="D34" s="19"/>
      <c r="E34" s="109"/>
      <c r="F34" s="110"/>
      <c r="G34" s="110"/>
      <c r="H34" s="111"/>
      <c r="I34" s="110"/>
      <c r="J34" s="110"/>
    </row>
    <row r="35" spans="1:10" s="112" customFormat="1" ht="18" customHeight="1">
      <c r="A35" s="22"/>
      <c r="B35" s="22"/>
      <c r="C35" s="22"/>
      <c r="D35" s="19"/>
      <c r="E35" s="109"/>
      <c r="F35" s="110"/>
      <c r="G35" s="110"/>
      <c r="H35" s="111"/>
      <c r="I35" s="110"/>
      <c r="J35" s="110"/>
    </row>
    <row r="36" spans="1:10" s="112" customFormat="1" ht="18" customHeight="1">
      <c r="A36" s="22"/>
      <c r="B36" s="22"/>
      <c r="C36" s="22"/>
      <c r="D36" s="19"/>
      <c r="E36" s="109"/>
      <c r="F36" s="110"/>
      <c r="G36" s="110"/>
      <c r="H36" s="111"/>
      <c r="I36" s="110"/>
      <c r="J36" s="110"/>
    </row>
    <row r="37" spans="1:10" s="112" customFormat="1" ht="18" customHeight="1">
      <c r="A37" s="22"/>
      <c r="B37" s="22"/>
      <c r="C37" s="22"/>
      <c r="D37" s="19"/>
      <c r="E37" s="109"/>
      <c r="F37" s="110"/>
      <c r="G37" s="110"/>
      <c r="H37" s="111"/>
      <c r="I37" s="110"/>
      <c r="J37" s="110"/>
    </row>
    <row r="38" spans="1:10" s="112" customFormat="1" ht="18" customHeight="1">
      <c r="A38" s="22"/>
      <c r="B38" s="22"/>
      <c r="C38" s="22"/>
      <c r="D38" s="19"/>
      <c r="E38" s="109"/>
      <c r="F38" s="110"/>
      <c r="G38" s="110"/>
      <c r="H38" s="111"/>
      <c r="I38" s="110"/>
      <c r="J38" s="110"/>
    </row>
    <row r="39" spans="1:10" s="112" customFormat="1" ht="18" customHeight="1">
      <c r="A39" s="22"/>
      <c r="B39" s="22"/>
      <c r="C39" s="22"/>
      <c r="D39" s="19"/>
      <c r="E39" s="109"/>
      <c r="F39" s="110"/>
      <c r="G39" s="110"/>
      <c r="H39" s="111"/>
      <c r="I39" s="110"/>
      <c r="J39" s="110"/>
    </row>
    <row r="40" spans="1:10" s="112" customFormat="1" ht="18" customHeight="1">
      <c r="A40" s="22"/>
      <c r="B40" s="22"/>
      <c r="C40" s="22"/>
      <c r="D40" s="19"/>
      <c r="E40" s="109"/>
      <c r="F40" s="110"/>
      <c r="G40" s="110"/>
      <c r="H40" s="111"/>
      <c r="I40" s="110"/>
      <c r="J40" s="110"/>
    </row>
    <row r="41" spans="1:10" s="112" customFormat="1" ht="18" customHeight="1">
      <c r="A41" s="22"/>
      <c r="B41" s="22"/>
      <c r="C41" s="22"/>
      <c r="D41" s="19"/>
      <c r="E41" s="109"/>
      <c r="F41" s="110"/>
      <c r="G41" s="110"/>
      <c r="H41" s="111"/>
      <c r="I41" s="110"/>
      <c r="J41" s="110"/>
    </row>
    <row r="42" spans="1:10" s="112" customFormat="1" ht="18" customHeight="1">
      <c r="A42" s="22"/>
      <c r="B42" s="22"/>
      <c r="C42" s="22"/>
      <c r="D42" s="19"/>
      <c r="E42" s="109"/>
      <c r="F42" s="110"/>
      <c r="G42" s="110"/>
      <c r="H42" s="111"/>
      <c r="I42" s="110"/>
      <c r="J42" s="110"/>
    </row>
    <row r="43" spans="1:10" s="112" customFormat="1" ht="18" customHeight="1">
      <c r="A43" s="22"/>
      <c r="B43" s="22"/>
      <c r="C43" s="22"/>
      <c r="D43" s="19"/>
      <c r="E43" s="109"/>
      <c r="F43" s="110"/>
      <c r="G43" s="110"/>
      <c r="H43" s="111"/>
      <c r="I43" s="110"/>
      <c r="J43" s="110"/>
    </row>
    <row r="44" spans="1:10" s="112" customFormat="1" ht="18" customHeight="1">
      <c r="A44" s="22"/>
      <c r="B44" s="22"/>
      <c r="C44" s="22"/>
      <c r="D44" s="19"/>
      <c r="E44" s="109"/>
      <c r="F44" s="110"/>
      <c r="G44" s="110"/>
      <c r="H44" s="111"/>
      <c r="I44" s="110"/>
      <c r="J44" s="110"/>
    </row>
    <row r="45" spans="1:10" s="112" customFormat="1" ht="18" customHeight="1">
      <c r="A45" s="22"/>
      <c r="B45" s="22"/>
      <c r="C45" s="22"/>
      <c r="D45" s="19"/>
      <c r="E45" s="109"/>
      <c r="F45" s="110"/>
      <c r="G45" s="110"/>
      <c r="H45" s="111"/>
      <c r="I45" s="110"/>
      <c r="J45" s="110"/>
    </row>
    <row r="46" spans="1:10" s="112" customFormat="1" ht="18" customHeight="1">
      <c r="A46" s="22"/>
      <c r="B46" s="22"/>
      <c r="C46" s="22"/>
      <c r="D46" s="19"/>
      <c r="E46" s="109"/>
      <c r="F46" s="110"/>
      <c r="G46" s="110"/>
      <c r="H46" s="111"/>
      <c r="I46" s="110"/>
      <c r="J46" s="110"/>
    </row>
    <row r="47" spans="1:10" ht="18" customHeight="1">
      <c r="A47" s="22"/>
      <c r="B47" s="95"/>
      <c r="C47" s="94" t="s">
        <v>31</v>
      </c>
      <c r="D47" s="94" t="s">
        <v>34</v>
      </c>
      <c r="E47" s="96" t="s">
        <v>4</v>
      </c>
      <c r="F47" s="25"/>
      <c r="G47" s="25"/>
      <c r="H47" s="50"/>
      <c r="I47" s="25"/>
      <c r="J47" s="25"/>
    </row>
    <row r="48" spans="1:10" ht="18" customHeight="1">
      <c r="A48" s="22"/>
      <c r="B48" s="64" t="s">
        <v>35</v>
      </c>
      <c r="C48" s="65"/>
      <c r="D48" s="65"/>
      <c r="E48" s="66"/>
      <c r="F48" s="25"/>
      <c r="G48" s="25"/>
      <c r="H48" s="50"/>
      <c r="I48" s="25"/>
      <c r="J48" s="25"/>
    </row>
    <row r="49" spans="1:10" ht="18" customHeight="1">
      <c r="A49" s="22"/>
      <c r="B49" s="67" t="s">
        <v>36</v>
      </c>
      <c r="C49" s="68">
        <f>-$G$69*0</f>
        <v>0</v>
      </c>
      <c r="D49" s="68">
        <f>0*0.05</f>
        <v>0</v>
      </c>
      <c r="E49" s="69">
        <f>SUM($C$49:$D$49)</f>
        <v>0</v>
      </c>
      <c r="F49" s="25"/>
      <c r="G49" s="25"/>
      <c r="H49" s="50"/>
      <c r="I49" s="25"/>
      <c r="J49" s="25"/>
    </row>
    <row r="50" spans="1:10" ht="18" customHeight="1">
      <c r="A50" s="22"/>
      <c r="B50" s="65"/>
      <c r="C50" s="70"/>
      <c r="D50" s="70"/>
      <c r="E50" s="70"/>
      <c r="F50" s="25"/>
      <c r="G50" s="25"/>
      <c r="H50" s="50"/>
      <c r="I50" s="25"/>
      <c r="J50" s="25"/>
    </row>
    <row r="51" spans="1:10" ht="18" customHeight="1">
      <c r="A51" s="22"/>
      <c r="B51" s="95" t="s">
        <v>37</v>
      </c>
      <c r="C51" s="98">
        <f>$G$69+$C$49</f>
        <v>0</v>
      </c>
      <c r="D51" s="98">
        <f>($G$69*0.05)+$D$49</f>
        <v>0</v>
      </c>
      <c r="E51" s="99">
        <f>SUM($C$51:$D$51)</f>
        <v>0</v>
      </c>
      <c r="F51" s="25"/>
      <c r="G51" s="25"/>
      <c r="H51" s="50"/>
      <c r="I51" s="25"/>
      <c r="J51" s="25"/>
    </row>
    <row r="52" spans="1:10" ht="18" customHeight="1">
      <c r="A52" s="22"/>
      <c r="B52" s="67" t="s">
        <v>38</v>
      </c>
      <c r="C52" s="68"/>
      <c r="D52" s="68">
        <f>$D$51*$G$78</f>
        <v>0</v>
      </c>
      <c r="E52" s="69"/>
      <c r="F52" s="25"/>
      <c r="G52" s="25"/>
      <c r="H52" s="50"/>
      <c r="I52" s="25"/>
      <c r="J52" s="25"/>
    </row>
    <row r="53" spans="1:10" ht="18" customHeight="1">
      <c r="A53" s="22"/>
      <c r="B53" s="65"/>
      <c r="C53" s="65"/>
      <c r="D53" s="65"/>
      <c r="E53" s="71"/>
      <c r="F53" s="25"/>
      <c r="G53" s="25"/>
      <c r="H53" s="50"/>
      <c r="I53" s="25"/>
      <c r="J53" s="25"/>
    </row>
    <row r="54" spans="1:10" ht="18" customHeight="1">
      <c r="A54" s="22"/>
      <c r="B54" s="95" t="s">
        <v>39</v>
      </c>
      <c r="C54" s="101"/>
      <c r="D54" s="101"/>
      <c r="E54" s="99">
        <f>SUM($E$55:$E$57)</f>
        <v>0</v>
      </c>
      <c r="F54" s="25"/>
      <c r="G54" s="25"/>
      <c r="H54" s="50"/>
      <c r="I54" s="25"/>
      <c r="J54" s="25"/>
    </row>
    <row r="55" spans="1:10" ht="18" customHeight="1">
      <c r="A55" s="22"/>
      <c r="B55" s="64" t="s">
        <v>40</v>
      </c>
      <c r="C55" s="65"/>
      <c r="D55" s="65"/>
      <c r="E55" s="66"/>
      <c r="F55" s="25"/>
      <c r="G55" s="25"/>
      <c r="H55" s="50"/>
      <c r="I55" s="25"/>
      <c r="J55" s="25"/>
    </row>
    <row r="56" spans="1:10" ht="18" customHeight="1">
      <c r="A56" s="22"/>
      <c r="B56" s="64" t="s">
        <v>41</v>
      </c>
      <c r="C56" s="65"/>
      <c r="D56" s="65"/>
      <c r="E56" s="72">
        <f>$G$69+$C$49-$E$57+$D$51</f>
        <v>0</v>
      </c>
      <c r="F56" s="25"/>
      <c r="G56" s="25"/>
      <c r="H56" s="50"/>
      <c r="I56" s="25"/>
      <c r="J56" s="25"/>
    </row>
    <row r="57" spans="1:10" ht="18" customHeight="1">
      <c r="A57" s="22"/>
      <c r="B57" s="67" t="s">
        <v>42</v>
      </c>
      <c r="C57" s="73"/>
      <c r="D57" s="73"/>
      <c r="E57" s="74">
        <f>$G$69*0.1</f>
        <v>0</v>
      </c>
      <c r="F57" s="25"/>
      <c r="G57" s="25"/>
      <c r="H57" s="50"/>
      <c r="I57" s="25"/>
      <c r="J57" s="25"/>
    </row>
    <row r="58" spans="1:10" ht="18" customHeight="1">
      <c r="A58" s="22"/>
      <c r="B58" s="41"/>
      <c r="C58" s="21"/>
      <c r="D58" s="23"/>
      <c r="E58" s="24"/>
      <c r="F58" s="25"/>
      <c r="G58" s="25"/>
      <c r="H58" s="50"/>
      <c r="I58" s="25"/>
      <c r="J58" s="25"/>
    </row>
    <row r="59" spans="1:10" ht="18" customHeight="1">
      <c r="A59" s="22"/>
      <c r="F59" s="25"/>
      <c r="G59" s="25"/>
      <c r="H59" s="50"/>
      <c r="I59" s="25"/>
      <c r="J59" s="25"/>
    </row>
    <row r="60" spans="1:10" ht="18" customHeight="1">
      <c r="A60" s="22"/>
      <c r="F60" s="25"/>
      <c r="G60" s="25"/>
      <c r="H60" s="50"/>
      <c r="I60" s="25"/>
      <c r="J60" s="25"/>
    </row>
    <row r="61" spans="1:10" ht="18" customHeight="1">
      <c r="A61" s="22"/>
      <c r="F61" s="25"/>
      <c r="G61" s="25"/>
      <c r="H61" s="50"/>
      <c r="I61" s="25"/>
      <c r="J61" s="25"/>
    </row>
    <row r="62" spans="1:10" ht="18" customHeight="1">
      <c r="A62" s="22"/>
      <c r="F62" s="25"/>
      <c r="G62" s="25"/>
      <c r="H62" s="50"/>
      <c r="I62" s="25"/>
      <c r="J62" s="25"/>
    </row>
    <row r="63" spans="1:10" ht="18" customHeight="1">
      <c r="A63" s="22"/>
      <c r="F63" s="25"/>
      <c r="G63" s="25"/>
      <c r="H63" s="50"/>
      <c r="I63" s="25"/>
      <c r="J63" s="25"/>
    </row>
    <row r="64" spans="1:10" ht="18" customHeight="1">
      <c r="A64" s="22"/>
      <c r="G64" s="25"/>
      <c r="H64" s="50"/>
      <c r="I64" s="25"/>
      <c r="J64" s="25"/>
    </row>
    <row r="65" spans="1:10" ht="18" customHeight="1">
      <c r="A65" s="22"/>
      <c r="G65" s="25"/>
      <c r="H65" s="50"/>
      <c r="I65" s="25"/>
      <c r="J65" s="25"/>
    </row>
    <row r="66" spans="1:10" ht="18" customHeight="1">
      <c r="A66" s="22"/>
      <c r="F66" s="25"/>
      <c r="G66" s="25"/>
      <c r="H66" s="50"/>
      <c r="I66" s="25"/>
      <c r="J66" s="25"/>
    </row>
    <row r="67" spans="1:10" ht="18" customHeight="1">
      <c r="A67" s="42"/>
      <c r="F67" s="26"/>
      <c r="G67" s="14"/>
      <c r="H67" s="51"/>
      <c r="I67" s="14"/>
      <c r="J67" s="14"/>
    </row>
    <row r="68" spans="1:10" ht="19.5" thickBot="1">
      <c r="A68" s="43"/>
      <c r="B68" s="27"/>
      <c r="C68" s="27"/>
      <c r="D68" s="27"/>
      <c r="E68" s="28"/>
      <c r="F68" s="29"/>
      <c r="G68" s="30"/>
      <c r="H68" s="52"/>
      <c r="I68" s="30"/>
      <c r="J68" s="30"/>
    </row>
    <row r="69" spans="1:10" ht="23.5" thickBot="1">
      <c r="A69" s="32"/>
      <c r="B69" s="3"/>
      <c r="C69" s="31"/>
      <c r="D69" s="31"/>
      <c r="E69" s="32"/>
      <c r="F69" s="56" t="s">
        <v>43</v>
      </c>
      <c r="G69" s="102">
        <f>SUM(G13:G68)</f>
        <v>0</v>
      </c>
      <c r="H69" s="102"/>
      <c r="I69" s="102">
        <f>SUM(I13:I68)</f>
        <v>0</v>
      </c>
      <c r="J69" s="102">
        <f>SUM(J13:J68)</f>
        <v>0</v>
      </c>
    </row>
    <row r="70" spans="1:10" ht="24" thickTop="1" thickBot="1">
      <c r="A70" s="32"/>
      <c r="B70" s="3"/>
      <c r="C70" s="31"/>
      <c r="D70" s="31"/>
      <c r="E70" s="32"/>
      <c r="F70" s="55"/>
      <c r="G70" s="103"/>
      <c r="H70" s="104"/>
      <c r="I70" s="103"/>
      <c r="J70" s="103"/>
    </row>
    <row r="71" spans="1:10" ht="23.5" thickBot="1">
      <c r="A71" s="32"/>
      <c r="B71" s="3"/>
      <c r="C71" s="31"/>
      <c r="D71" s="31"/>
      <c r="E71" s="32"/>
      <c r="F71" s="56" t="s">
        <v>44</v>
      </c>
      <c r="G71" s="102">
        <f>G69*$G$78</f>
        <v>0</v>
      </c>
      <c r="H71" s="102"/>
      <c r="I71" s="102">
        <f>I69*$G$78</f>
        <v>0</v>
      </c>
      <c r="J71" s="102">
        <f>J69*$G$78</f>
        <v>0</v>
      </c>
    </row>
    <row r="72" spans="1:10" ht="19.5" thickTop="1">
      <c r="A72" s="57" t="str">
        <f>IF(O2="FIDX","For NOKIA NETWORKS L.L.C",IF(O2="FI85","For Nokia Solutions and Networks",IF(O2="BP","For Nokia Solutions and Networks")))</f>
        <v>For NOKIA NETWORKS L.L.C</v>
      </c>
      <c r="B72" s="58"/>
      <c r="C72" s="33"/>
      <c r="D72" s="33"/>
      <c r="E72" s="34"/>
      <c r="F72" s="35"/>
      <c r="G72" s="105"/>
      <c r="H72" s="106"/>
      <c r="I72" s="105"/>
      <c r="J72" s="105"/>
    </row>
    <row r="73" spans="1:10" ht="13">
      <c r="A73" s="37" t="s">
        <v>45</v>
      </c>
      <c r="B73" s="37"/>
      <c r="C73" s="37"/>
      <c r="D73" s="37"/>
      <c r="E73" s="33" t="s">
        <v>46</v>
      </c>
      <c r="H73" s="1"/>
    </row>
    <row r="74" spans="1:10" ht="15.5">
      <c r="A74" s="33" t="str">
        <f>IF(O2="FIDX","Our VAT ID: 104198654600003",IF(O2="FI85","Our VAT ID: 100452257700003",IF(O2="BP","VAT ID :100452257700003")))</f>
        <v>Our VAT ID: 104198654600003</v>
      </c>
      <c r="B74" s="15"/>
      <c r="E74" s="33" t="str">
        <f>IF(O2="FIDX","Citibank N.A., Dubai, U.A.E",IF(O2="FI85","Nordea Bank Finland",IF(O2="BP","Nordea Bank AB (publ), Finnish Branch")))</f>
        <v>Citibank N.A., Dubai, U.A.E</v>
      </c>
      <c r="G74" s="38"/>
      <c r="H74" s="54"/>
      <c r="I74" s="38"/>
      <c r="J74" s="38"/>
    </row>
    <row r="75" spans="1:10">
      <c r="A75" s="33" t="str">
        <f>IF(O2="FIDX","NOKIA NETWORKS L.L.C",IF(O2="FI85","Nokia Solutions and Networks Oy",IF(O2="BP","Nokia Solutions and Networks Oy")))</f>
        <v>NOKIA NETWORKS L.L.C</v>
      </c>
      <c r="B75" s="39"/>
      <c r="C75" s="63" t="str">
        <f>IF(O2="FIDX","Tel: +971 4 363 0700",IF(O2="FI85","Tel: +358 71 400 4000",IF(O2="BP","Tel: +358 7140 04000")))</f>
        <v>Tel: +971 4 363 0700</v>
      </c>
      <c r="D75" s="39"/>
      <c r="E75" s="33" t="s">
        <v>47</v>
      </c>
      <c r="G75" s="40"/>
      <c r="I75" s="40"/>
      <c r="J75" s="40"/>
    </row>
    <row r="76" spans="1:10">
      <c r="A76" s="33" t="str">
        <f>IF(O2="FIDX","Office No. 01-412,Al Hebia 4th,PO Box - 11487",IF(O2="FI85","Karaportti 3, P.O. Box 1",IF(O2="BP","Karakaari 7")))</f>
        <v>Office No. 01-412,Al Hebia 4th,PO Box - 11487</v>
      </c>
      <c r="B76" s="39"/>
      <c r="C76" s="63" t="str">
        <f>IF(O2="FIDX","",IF(O2="FI85","Fax: +358 71 400 4000",IF(O2="BP","Fax: +358 7180 64573")))</f>
        <v/>
      </c>
      <c r="D76" s="39"/>
      <c r="E76" s="33" t="str">
        <f>IF(O2="FIDX","0101861228",IF(O2="FI85","0101861228",IF(O2="BP","0101861236")))</f>
        <v>0101861228</v>
      </c>
      <c r="G76" s="40"/>
      <c r="I76" s="40"/>
      <c r="J76" s="40"/>
    </row>
    <row r="77" spans="1:10">
      <c r="A77" s="33" t="str">
        <f>IF(O2="FIDX","Dubai · United Arab Emirates ",IF(O2="FI85","FI-02022, Finland",IF(O2="BP","FI-02610 Espoo, Finland")))</f>
        <v xml:space="preserve">Dubai · United Arab Emirates </v>
      </c>
      <c r="B77" s="39"/>
      <c r="C77" s="63" t="str">
        <f>IF(O2="FIDX","Trade License Number: 788469",IF(O2="FI85","Business ID: 2058430-6",IF(O2="BP","Business ID: 2058430-6")))</f>
        <v>Trade License Number: 788469</v>
      </c>
      <c r="D77" s="39"/>
      <c r="E77" s="33" t="str">
        <f>IF(O2="FIDX","IBAN: AE380211000000101861228",IF(O2="FI85","IBAN: AE380211000000101861228",IF(O2="BP","IBAN: AE160211000000101861236")))</f>
        <v>IBAN: AE380211000000101861228</v>
      </c>
      <c r="G77" s="40"/>
      <c r="I77" s="40"/>
      <c r="J77" s="40"/>
    </row>
    <row r="78" spans="1:10" ht="15.5">
      <c r="A78" s="3"/>
      <c r="B78" s="3"/>
      <c r="C78" s="3"/>
      <c r="D78" s="3"/>
      <c r="E78" s="33" t="str">
        <f>IF(O2="FIDX","SWIFT: CITIAEAD",IF(O2="FI85","SWIFT: NDEAFIHH",IF(O2="BP","S.W.I.F.T. Code NDEAFIHH")))</f>
        <v>SWIFT: CITIAEAD</v>
      </c>
      <c r="F78" s="88" t="str">
        <f>IF(O2="FIDX","Exchange Rate USD/AED","")</f>
        <v>Exchange Rate USD/AED</v>
      </c>
      <c r="G78" s="79">
        <v>3.6735000000000002</v>
      </c>
      <c r="I78" s="40"/>
      <c r="J78" s="40"/>
    </row>
    <row r="79" spans="1:10" ht="15.5">
      <c r="B79" s="3"/>
      <c r="C79" s="3"/>
      <c r="D79" s="3"/>
      <c r="E79" s="9"/>
    </row>
    <row r="80" spans="1:10" ht="15.5">
      <c r="A80" s="3"/>
      <c r="B80" s="3"/>
      <c r="C80" s="3"/>
      <c r="D80" s="3"/>
      <c r="E80" s="9"/>
      <c r="F80" s="3"/>
      <c r="G80" s="3"/>
      <c r="H80" s="45"/>
      <c r="I80" s="3"/>
      <c r="J80" s="3"/>
    </row>
    <row r="81" spans="1:10" s="17" customFormat="1" ht="13.5" thickBot="1">
      <c r="A81" s="91" t="s">
        <v>48</v>
      </c>
      <c r="B81" s="1"/>
      <c r="C81" s="1"/>
      <c r="D81" s="1"/>
      <c r="E81" s="1"/>
      <c r="F81" s="1"/>
      <c r="G81" s="1"/>
    </row>
    <row r="82" spans="1:10" ht="13">
      <c r="A82" s="57" t="str">
        <f>IF(O11="FIDX","For Nokia Solutions and Networks Branch Operations OY Dubai Branch","For Nokia Solutions and Networks")</f>
        <v>For Nokia Solutions and Networks</v>
      </c>
      <c r="B82" s="58"/>
      <c r="C82" s="33"/>
      <c r="D82" s="33"/>
      <c r="E82" s="34"/>
      <c r="F82" s="35"/>
      <c r="G82" s="36"/>
    </row>
    <row r="83" spans="1:10" ht="13">
      <c r="A83" s="37" t="s">
        <v>45</v>
      </c>
      <c r="B83" s="37"/>
      <c r="C83" s="37"/>
      <c r="D83" s="37"/>
      <c r="E83" s="33" t="s">
        <v>46</v>
      </c>
    </row>
    <row r="84" spans="1:10" ht="15.5">
      <c r="A84" s="33" t="str">
        <f>IF(O11="FIDX","Our VAT ID: 100305349100003","Our VAT ID: FI20584306")</f>
        <v>Our VAT ID: FI20584306</v>
      </c>
      <c r="B84" s="15"/>
      <c r="E84" s="33" t="str">
        <f>IF(O11="FIDX","Citibank N.A., Dubai, U.A.E","Nordea Bank Finland")</f>
        <v>Nordea Bank Finland</v>
      </c>
      <c r="G84" s="38"/>
    </row>
    <row r="85" spans="1:10">
      <c r="A85" s="33" t="str">
        <f>IF(O11="FIDX","Nokia Solutions and Networks Branch Operations OY Dubai Branch","Nokia Solutions and Networks Oy")</f>
        <v>Nokia Solutions and Networks Oy</v>
      </c>
      <c r="B85" s="39"/>
      <c r="C85" s="63" t="str">
        <f>IF(O11="FIDX","Tel: +971 4 363 0700","Tel: +358 71 400 4000 ")</f>
        <v xml:space="preserve">Tel: +358 71 400 4000 </v>
      </c>
      <c r="D85" s="39"/>
      <c r="E85" s="33" t="s">
        <v>47</v>
      </c>
      <c r="G85" s="40"/>
    </row>
    <row r="86" spans="1:10">
      <c r="A86" s="33" t="str">
        <f>IF(O11="FIDX","Unit 2802, 28th Floor, Ubora Tower 2, Business Bay, PO Box - 11487","Karaportti 3, P.O. Box 1")</f>
        <v>Karaportti 3, P.O. Box 1</v>
      </c>
      <c r="B86" s="39"/>
      <c r="C86" s="63" t="str">
        <f>IF(O11="FIDX","","Fax: +358 71 400 4000 ")</f>
        <v xml:space="preserve">Fax: +358 71 400 4000 </v>
      </c>
      <c r="D86" s="39"/>
      <c r="E86" s="33" t="str">
        <f>IF(O11="FIDX","AE220211000000101861031","166052-10237")</f>
        <v>166052-10237</v>
      </c>
      <c r="G86" s="40"/>
    </row>
    <row r="87" spans="1:10">
      <c r="A87" s="33" t="str">
        <f>IF(O11="FIDX","Dubai · United Arab Emirates ","FI-02022, Finland")</f>
        <v>FI-02022, Finland</v>
      </c>
      <c r="B87" s="39"/>
      <c r="C87" s="63" t="str">
        <f>IF(O11="FIDX","Trade License Number: 788469","Business ID: 2058430-6 ")</f>
        <v xml:space="preserve">Business ID: 2058430-6 </v>
      </c>
      <c r="D87" s="39"/>
      <c r="E87" s="33" t="str">
        <f>IF(O12="FIDX","IBAN: AE380211000000101861228","IBAN: AE380211000000101861228")</f>
        <v>IBAN: AE380211000000101861228</v>
      </c>
      <c r="G87" s="40"/>
    </row>
    <row r="88" spans="1:10" ht="15.5">
      <c r="A88" s="3"/>
      <c r="B88" s="3"/>
      <c r="C88" s="3"/>
      <c r="D88" s="3"/>
      <c r="E88" s="33" t="str">
        <f>IF(O12="FIDX","SWIFT: CITIAEAD","SWIFT: NDEAFIHH")</f>
        <v>SWIFT: NDEAFIHH</v>
      </c>
      <c r="F88" s="88" t="str">
        <f>IF(O12="FI85","Exchange Rate USD/AED","")</f>
        <v/>
      </c>
      <c r="G88" s="79">
        <v>3.6724999999999999</v>
      </c>
    </row>
    <row r="89" spans="1:10" ht="13.5" thickBot="1">
      <c r="A89" s="90" t="s">
        <v>49</v>
      </c>
    </row>
    <row r="90" spans="1:10" ht="13">
      <c r="A90" s="57" t="str">
        <f>IF(O2="FIDX","For Nokia Solutions and Networks Branch Operations OY Dubai Branch",IF(O2="FI85","For Nokia Solutions and Networks",IF(O2="BP","For Nokia Solutions and Networks")))</f>
        <v>For Nokia Solutions and Networks Branch Operations OY Dubai Branch</v>
      </c>
      <c r="B90" s="58"/>
      <c r="C90" s="33"/>
      <c r="D90" s="33"/>
      <c r="E90" s="34"/>
      <c r="F90" s="35"/>
      <c r="G90" s="36"/>
      <c r="H90" s="53"/>
      <c r="I90" s="36"/>
      <c r="J90" s="36"/>
    </row>
    <row r="91" spans="1:10" ht="13">
      <c r="A91" s="37" t="s">
        <v>45</v>
      </c>
      <c r="B91" s="37"/>
      <c r="C91" s="37"/>
      <c r="D91" s="37"/>
      <c r="E91" s="33" t="s">
        <v>46</v>
      </c>
      <c r="H91" s="1"/>
    </row>
    <row r="92" spans="1:10" ht="15.5">
      <c r="A92" s="33" t="str">
        <f>IF(O2="FIDX","Our VAT ID: 100305349100003",IF(O2="FI85","Our VAT ID: 100452257700003",IF(O2="BP","VAT ID :100452257700003")))</f>
        <v>Our VAT ID: 100305349100003</v>
      </c>
      <c r="B92" s="15"/>
      <c r="E92" s="33" t="str">
        <f>IF(O2="FIDX","Citibank N.A., Dubai, U.A.E",IF(O2="FI85","Nordea Bank Finland",IF(O2="BP","Nordea Bank AB (publ), Finnish Branch")))</f>
        <v>Citibank N.A., Dubai, U.A.E</v>
      </c>
      <c r="G92" s="38"/>
      <c r="H92" s="54"/>
      <c r="I92" s="38"/>
      <c r="J92" s="38"/>
    </row>
    <row r="93" spans="1:10">
      <c r="A93" s="33" t="str">
        <f>IF(O2="FIDX","Nokia Solutions and Networks Branch Operations OY Dubai Branch",IF(O2="FI85","Nokia Solutions and Networks Oy",IF(O2="BP","Nokia Solutions and Networks Oy")))</f>
        <v>Nokia Solutions and Networks Branch Operations OY Dubai Branch</v>
      </c>
      <c r="B93" s="39"/>
      <c r="C93" s="63" t="str">
        <f>IF(O2="FIDX","Tel: +971 4 363 0700",IF(O2="FI85","Tel: +358 71 400 4000",IF(O2="BP","Tel: +358 7140 04000")))</f>
        <v>Tel: +971 4 363 0700</v>
      </c>
      <c r="D93" s="39"/>
      <c r="E93" s="33" t="s">
        <v>47</v>
      </c>
      <c r="G93" s="40"/>
      <c r="I93" s="40"/>
      <c r="J93" s="40"/>
    </row>
    <row r="94" spans="1:10">
      <c r="A94" s="33" t="str">
        <f>IF(O2="FIDX","Unit 2802, 28th Floor, Ubora Tower 2, Business Bay, PO Box - 11487",IF(O2="FI85","Karaportti 3, P.O. Box 1",IF(O2="BP","Karakaari 7")))</f>
        <v>Unit 2802, 28th Floor, Ubora Tower 2, Business Bay, PO Box - 11487</v>
      </c>
      <c r="B94" s="39"/>
      <c r="C94" s="63" t="str">
        <f>IF(O2="FIDX","",IF(O2="FI85","Fax: +358 71 400 4000",IF(O2="BP","Fax: +358 7180 64573")))</f>
        <v/>
      </c>
      <c r="D94" s="39"/>
      <c r="E94" s="33" t="str">
        <f>IF(O2="FIDX","AE380211000000101861228",IF(O2="FI85","166052-10237",IF(O2="BP","166052-39830")))</f>
        <v>AE380211000000101861228</v>
      </c>
      <c r="G94" s="40"/>
      <c r="I94" s="40"/>
      <c r="J94" s="40"/>
    </row>
    <row r="95" spans="1:10">
      <c r="A95" s="33" t="str">
        <f>IF(O2="FIDX","Dubai · United Arab Emirates ",IF(O2="FI85","FI-02022, Finland",IF(O2="BP","FI-02610 Espoo, Finland")))</f>
        <v xml:space="preserve">Dubai · United Arab Emirates </v>
      </c>
      <c r="B95" s="39"/>
      <c r="C95" s="63" t="str">
        <f>IF(O2="FIDX","Trade License Number: 788469",IF(O2="FI85","Business ID: 2058430-6",IF(O2="BP","Business ID: 2058430-6")))</f>
        <v>Trade License Number: 788469</v>
      </c>
      <c r="D95" s="39"/>
      <c r="E95" s="33" t="str">
        <f>IF(O2="FIDX","IBAN: AE380211000000101861228",IF(O2="FI85","IBAN: AE380211000000101861228",IF(O2="BP","FI8916605200039830")))</f>
        <v>IBAN: AE380211000000101861228</v>
      </c>
      <c r="G95" s="40"/>
      <c r="I95" s="40"/>
      <c r="J95" s="40"/>
    </row>
    <row r="96" spans="1:10" ht="15.5">
      <c r="A96" s="3"/>
      <c r="B96" s="3"/>
      <c r="C96" s="3"/>
      <c r="D96" s="3"/>
      <c r="E96" s="33" t="str">
        <f>IF(O2="FIDX","SWIFT: CITIAEAD",IF(O2="FI85","SWIFT: NDEAFIHH",IF(O2="BP","S.W.I.F.T. Code NDEAFIHH")))</f>
        <v>SWIFT: CITIAEAD</v>
      </c>
      <c r="F96" s="88" t="str">
        <f>IF(O20="FIDX","Exchange Rate USD/AED","")</f>
        <v/>
      </c>
      <c r="G96" s="79">
        <v>3.6724999999999999</v>
      </c>
      <c r="I96" s="40"/>
      <c r="J96" s="40"/>
    </row>
    <row r="97" spans="1:5" ht="15.5">
      <c r="B97" s="3"/>
      <c r="C97" s="3"/>
      <c r="D97" s="3"/>
      <c r="E97" s="9"/>
    </row>
    <row r="98" spans="1:5">
      <c r="A98" s="1" t="s">
        <v>50</v>
      </c>
    </row>
    <row r="100" spans="1:5" ht="19">
      <c r="A100" s="95"/>
      <c r="B100" s="94" t="s">
        <v>31</v>
      </c>
      <c r="C100" s="94" t="s">
        <v>34</v>
      </c>
      <c r="D100" s="96" t="s">
        <v>4</v>
      </c>
    </row>
    <row r="101" spans="1:5" ht="15.5">
      <c r="A101" s="64" t="s">
        <v>35</v>
      </c>
      <c r="B101" s="65"/>
      <c r="C101" s="65"/>
      <c r="D101" s="66"/>
    </row>
    <row r="102" spans="1:5" ht="15.5">
      <c r="A102" s="67" t="s">
        <v>36</v>
      </c>
      <c r="B102" s="68">
        <f>-$G$69*0</f>
        <v>0</v>
      </c>
      <c r="C102" s="68">
        <f>0*0.05</f>
        <v>0</v>
      </c>
      <c r="D102" s="69">
        <f>SUM(B102:C102)</f>
        <v>0</v>
      </c>
    </row>
    <row r="103" spans="1:5" ht="15.5">
      <c r="A103" s="65"/>
      <c r="B103" s="70"/>
      <c r="C103" s="70"/>
      <c r="D103" s="70"/>
    </row>
    <row r="104" spans="1:5" ht="15.5">
      <c r="A104" s="95" t="s">
        <v>37</v>
      </c>
      <c r="B104" s="98">
        <f>$G$69+$C$49</f>
        <v>0</v>
      </c>
      <c r="C104" s="98">
        <f>($G$69*0.05)+$D$49</f>
        <v>0</v>
      </c>
      <c r="D104" s="99">
        <f>SUM(B104:C104)</f>
        <v>0</v>
      </c>
    </row>
    <row r="105" spans="1:5" ht="15.5">
      <c r="A105" s="67" t="s">
        <v>38</v>
      </c>
      <c r="B105" s="68"/>
      <c r="C105" s="68">
        <f>$D$51*$G$78</f>
        <v>0</v>
      </c>
      <c r="D105" s="69"/>
    </row>
    <row r="106" spans="1:5" ht="15.5">
      <c r="A106" s="65"/>
      <c r="B106" s="65"/>
      <c r="C106" s="65"/>
      <c r="D106" s="71"/>
    </row>
    <row r="107" spans="1:5" ht="15.5">
      <c r="A107" s="95" t="s">
        <v>39</v>
      </c>
      <c r="B107" s="101"/>
      <c r="C107" s="101"/>
      <c r="D107" s="99">
        <f>SUM(D108:D110)</f>
        <v>0</v>
      </c>
    </row>
    <row r="108" spans="1:5" ht="15.5">
      <c r="A108" s="64" t="s">
        <v>40</v>
      </c>
      <c r="B108" s="65"/>
      <c r="C108" s="65"/>
      <c r="D108" s="66"/>
    </row>
    <row r="109" spans="1:5" ht="15.5">
      <c r="A109" s="64" t="s">
        <v>41</v>
      </c>
      <c r="B109" s="65"/>
      <c r="C109" s="65"/>
      <c r="D109" s="72">
        <f>$G$69+$C$49-$E$57+$D$51</f>
        <v>0</v>
      </c>
    </row>
    <row r="110" spans="1:5" ht="15.5">
      <c r="A110" s="67" t="s">
        <v>42</v>
      </c>
      <c r="B110" s="73"/>
      <c r="C110" s="73"/>
      <c r="D110" s="74">
        <f>$G$69*0.1</f>
        <v>0</v>
      </c>
    </row>
    <row r="113" spans="1:4">
      <c r="A113" s="92" t="s">
        <v>51</v>
      </c>
    </row>
    <row r="114" spans="1:4">
      <c r="A114" s="1" t="s">
        <v>71</v>
      </c>
    </row>
    <row r="115" spans="1:4" ht="13.25" customHeight="1"/>
    <row r="116" spans="1:4" ht="19">
      <c r="A116" s="95"/>
      <c r="B116" s="94" t="s">
        <v>31</v>
      </c>
      <c r="C116" s="94" t="s">
        <v>34</v>
      </c>
      <c r="D116" s="96" t="s">
        <v>4</v>
      </c>
    </row>
    <row r="117" spans="1:4" ht="15.5">
      <c r="A117" s="64" t="s">
        <v>35</v>
      </c>
      <c r="B117" s="65"/>
      <c r="C117" s="65"/>
      <c r="D117" s="66"/>
    </row>
    <row r="118" spans="1:4" ht="15.5">
      <c r="A118" s="67" t="s">
        <v>36</v>
      </c>
      <c r="B118" s="68">
        <f>-$G$69*0</f>
        <v>0</v>
      </c>
      <c r="C118" s="68">
        <f>0*0.05</f>
        <v>0</v>
      </c>
      <c r="D118" s="69">
        <f>SUM($C$49:$D$49)</f>
        <v>0</v>
      </c>
    </row>
    <row r="119" spans="1:4" ht="15.5">
      <c r="A119" s="65"/>
      <c r="B119" s="70"/>
      <c r="C119" s="70"/>
      <c r="D119" s="70"/>
    </row>
    <row r="120" spans="1:4" ht="15.5">
      <c r="A120" s="95" t="s">
        <v>37</v>
      </c>
      <c r="B120" s="98">
        <f>$G$69+$C$49</f>
        <v>0</v>
      </c>
      <c r="C120" s="98">
        <f>($G$69*0.05)+$D$49</f>
        <v>0</v>
      </c>
      <c r="D120" s="99">
        <f>SUM($C$51:$D$51)</f>
        <v>0</v>
      </c>
    </row>
    <row r="121" spans="1:4" ht="15.5">
      <c r="A121" s="67" t="s">
        <v>38</v>
      </c>
      <c r="B121" s="68"/>
      <c r="C121" s="68">
        <f>$D$51*$G$78</f>
        <v>0</v>
      </c>
      <c r="D121" s="69"/>
    </row>
    <row r="122" spans="1:4" ht="15.5">
      <c r="A122" s="65"/>
      <c r="B122" s="65"/>
      <c r="C122" s="65"/>
      <c r="D122" s="71"/>
    </row>
    <row r="123" spans="1:4" ht="15.5">
      <c r="A123" s="95" t="s">
        <v>39</v>
      </c>
      <c r="B123" s="101"/>
      <c r="C123" s="101"/>
      <c r="D123" s="99">
        <f>SUM($E$55:$E$57)</f>
        <v>0</v>
      </c>
    </row>
    <row r="124" spans="1:4" ht="15.5">
      <c r="A124" s="64" t="s">
        <v>40</v>
      </c>
      <c r="B124" s="65"/>
      <c r="C124" s="65"/>
      <c r="D124" s="66"/>
    </row>
    <row r="125" spans="1:4" ht="15.5">
      <c r="A125" s="64" t="s">
        <v>41</v>
      </c>
      <c r="B125" s="65"/>
      <c r="C125" s="65"/>
      <c r="D125" s="72">
        <f>$G$69+$C$49-$E$57+$D$51</f>
        <v>0</v>
      </c>
    </row>
    <row r="126" spans="1:4" ht="15.5">
      <c r="A126" s="67" t="s">
        <v>42</v>
      </c>
      <c r="B126" s="73"/>
      <c r="C126" s="73"/>
      <c r="D126" s="74">
        <f>$G$69*0.1</f>
        <v>0</v>
      </c>
    </row>
    <row r="129" spans="1:4">
      <c r="A129" s="1" t="s">
        <v>52</v>
      </c>
    </row>
    <row r="130" spans="1:4">
      <c r="A130" s="1" t="s">
        <v>53</v>
      </c>
    </row>
    <row r="132" spans="1:4" ht="19">
      <c r="A132" s="95"/>
      <c r="B132" s="94" t="s">
        <v>31</v>
      </c>
      <c r="C132" s="94" t="s">
        <v>34</v>
      </c>
      <c r="D132" s="96" t="s">
        <v>4</v>
      </c>
    </row>
    <row r="133" spans="1:4" ht="15.5">
      <c r="A133" s="64" t="s">
        <v>35</v>
      </c>
      <c r="B133" s="75"/>
      <c r="C133" s="65"/>
      <c r="D133" s="66"/>
    </row>
    <row r="134" spans="1:4" ht="15.5">
      <c r="A134" s="67" t="s">
        <v>36</v>
      </c>
      <c r="B134" s="76">
        <f>-$G$69*0.3</f>
        <v>0</v>
      </c>
      <c r="C134" s="68">
        <f>0*0.05</f>
        <v>0</v>
      </c>
      <c r="D134" s="69">
        <f>SUM(B134:C134)</f>
        <v>0</v>
      </c>
    </row>
    <row r="135" spans="1:4" ht="15.5">
      <c r="A135" s="65"/>
      <c r="B135" s="77"/>
      <c r="C135" s="70"/>
      <c r="D135" s="70"/>
    </row>
    <row r="136" spans="1:4" ht="15.5">
      <c r="A136" s="95" t="s">
        <v>37</v>
      </c>
      <c r="B136" s="97">
        <f>$G$69+$C$49</f>
        <v>0</v>
      </c>
      <c r="C136" s="98">
        <f>($G$69*0.05)+$D$49</f>
        <v>0</v>
      </c>
      <c r="D136" s="99">
        <f>SUM(B136:C136)</f>
        <v>0</v>
      </c>
    </row>
    <row r="137" spans="1:4" ht="15.5">
      <c r="A137" s="67" t="s">
        <v>38</v>
      </c>
      <c r="B137" s="76"/>
      <c r="C137" s="68">
        <f>$D$51*$G$78</f>
        <v>0</v>
      </c>
      <c r="D137" s="69"/>
    </row>
    <row r="138" spans="1:4" ht="15.5">
      <c r="A138" s="65"/>
      <c r="B138" s="75"/>
      <c r="C138" s="65"/>
      <c r="D138" s="71"/>
    </row>
    <row r="139" spans="1:4" ht="15.5">
      <c r="A139" s="95" t="s">
        <v>39</v>
      </c>
      <c r="B139" s="100"/>
      <c r="C139" s="101"/>
      <c r="D139" s="99">
        <f>SUM($E$55:$E$57)</f>
        <v>0</v>
      </c>
    </row>
    <row r="140" spans="1:4" ht="15.5">
      <c r="A140" s="64" t="s">
        <v>40</v>
      </c>
      <c r="B140" s="75"/>
      <c r="C140" s="65"/>
      <c r="D140" s="66"/>
    </row>
    <row r="141" spans="1:4" ht="15.5">
      <c r="A141" s="64" t="s">
        <v>41</v>
      </c>
      <c r="B141" s="75"/>
      <c r="C141" s="65"/>
      <c r="D141" s="72">
        <f>$G$69+$B$134-$D$142+$C$136</f>
        <v>0</v>
      </c>
    </row>
    <row r="142" spans="1:4" ht="15.5">
      <c r="A142" s="67" t="s">
        <v>42</v>
      </c>
      <c r="B142" s="78"/>
      <c r="C142" s="73"/>
      <c r="D142" s="74">
        <f>$G$69*0.1</f>
        <v>0</v>
      </c>
    </row>
    <row r="148" spans="1:4" ht="13">
      <c r="A148" s="89" t="s">
        <v>54</v>
      </c>
    </row>
    <row r="151" spans="1:4" ht="19">
      <c r="A151" s="95"/>
      <c r="B151" s="94" t="s">
        <v>31</v>
      </c>
      <c r="C151" s="94" t="s">
        <v>34</v>
      </c>
      <c r="D151" s="96" t="s">
        <v>4</v>
      </c>
    </row>
    <row r="152" spans="1:4" ht="15.5">
      <c r="A152" s="64" t="s">
        <v>35</v>
      </c>
      <c r="B152" s="75"/>
      <c r="C152" s="65"/>
      <c r="D152" s="66"/>
    </row>
    <row r="153" spans="1:4" ht="15.5">
      <c r="A153" s="67" t="s">
        <v>55</v>
      </c>
      <c r="B153" s="76">
        <f>-$G$69*0.1</f>
        <v>0</v>
      </c>
      <c r="C153" s="68">
        <f>B153*0.05</f>
        <v>0</v>
      </c>
      <c r="D153" s="69">
        <f>SUM(B153:C153)</f>
        <v>0</v>
      </c>
    </row>
    <row r="154" spans="1:4" ht="15.5">
      <c r="A154" s="65"/>
      <c r="B154" s="77"/>
      <c r="C154" s="70"/>
      <c r="D154" s="70"/>
    </row>
    <row r="155" spans="1:4" ht="15.5">
      <c r="A155" s="95" t="s">
        <v>37</v>
      </c>
      <c r="B155" s="97">
        <f>$G$69+$C$49</f>
        <v>0</v>
      </c>
      <c r="C155" s="98">
        <f>($G$69*0.05)+$D$49</f>
        <v>0</v>
      </c>
      <c r="D155" s="99">
        <f>SUM(B155:C155)</f>
        <v>0</v>
      </c>
    </row>
    <row r="156" spans="1:4" ht="15.5">
      <c r="A156" s="67" t="s">
        <v>38</v>
      </c>
      <c r="B156" s="76"/>
      <c r="C156" s="68">
        <f>$D$51*$G$78</f>
        <v>0</v>
      </c>
      <c r="D156" s="69"/>
    </row>
    <row r="157" spans="1:4" ht="15.5">
      <c r="A157" s="65"/>
      <c r="B157" s="75"/>
      <c r="C157" s="65"/>
      <c r="D157" s="71"/>
    </row>
    <row r="158" spans="1:4" ht="15.5">
      <c r="A158" s="95" t="s">
        <v>39</v>
      </c>
      <c r="B158" s="100"/>
      <c r="C158" s="101"/>
      <c r="D158" s="99">
        <f>SUM($E$55:$E$57)</f>
        <v>0</v>
      </c>
    </row>
    <row r="159" spans="1:4" ht="15.5">
      <c r="A159" s="64" t="s">
        <v>40</v>
      </c>
      <c r="B159" s="75"/>
      <c r="C159" s="65"/>
      <c r="D159" s="66"/>
    </row>
    <row r="160" spans="1:4" ht="15.5">
      <c r="A160" s="64" t="s">
        <v>41</v>
      </c>
      <c r="B160" s="75"/>
      <c r="C160" s="65"/>
      <c r="D160" s="93">
        <f>$G$69+$C$49-$E$57+$D$51</f>
        <v>0</v>
      </c>
    </row>
    <row r="161" spans="1:4" ht="15.5">
      <c r="A161" s="67" t="s">
        <v>42</v>
      </c>
      <c r="B161" s="78"/>
      <c r="C161" s="73"/>
      <c r="D161" s="74">
        <f>$G$69*0.1</f>
        <v>0</v>
      </c>
    </row>
    <row r="164" spans="1:4" ht="13">
      <c r="A164" s="89" t="s">
        <v>56</v>
      </c>
    </row>
    <row r="167" spans="1:4" ht="19">
      <c r="A167" s="95"/>
      <c r="B167" s="94" t="s">
        <v>31</v>
      </c>
      <c r="C167" s="94" t="s">
        <v>34</v>
      </c>
      <c r="D167" s="96" t="s">
        <v>4</v>
      </c>
    </row>
    <row r="168" spans="1:4" ht="15.5">
      <c r="A168" s="64" t="s">
        <v>35</v>
      </c>
      <c r="B168" s="75"/>
      <c r="C168" s="65"/>
      <c r="D168" s="66"/>
    </row>
    <row r="169" spans="1:4" ht="15.5">
      <c r="A169" s="67" t="s">
        <v>55</v>
      </c>
      <c r="B169" s="76">
        <f>-$G$69*0</f>
        <v>0</v>
      </c>
      <c r="C169" s="68">
        <f>B169*0.05</f>
        <v>0</v>
      </c>
      <c r="D169" s="69">
        <f>SUM(B169:C169)</f>
        <v>0</v>
      </c>
    </row>
    <row r="170" spans="1:4" ht="15.5">
      <c r="A170" s="65"/>
      <c r="B170" s="77"/>
      <c r="C170" s="70"/>
      <c r="D170" s="70"/>
    </row>
    <row r="171" spans="1:4" ht="15.5">
      <c r="A171" s="95" t="s">
        <v>37</v>
      </c>
      <c r="B171" s="97">
        <f>$G$69+$C$49</f>
        <v>0</v>
      </c>
      <c r="C171" s="98">
        <f>($G$69*0.05)+$D$49</f>
        <v>0</v>
      </c>
      <c r="D171" s="99">
        <f>SUM(B171:C171)</f>
        <v>0</v>
      </c>
    </row>
    <row r="172" spans="1:4" ht="15.5">
      <c r="A172" s="67" t="s">
        <v>38</v>
      </c>
      <c r="B172" s="76"/>
      <c r="C172" s="68">
        <f>$D$51*$G$78</f>
        <v>0</v>
      </c>
      <c r="D172" s="69"/>
    </row>
    <row r="173" spans="1:4" ht="15.5">
      <c r="A173" s="65"/>
      <c r="B173" s="75"/>
      <c r="C173" s="65"/>
      <c r="D173" s="71"/>
    </row>
    <row r="174" spans="1:4" ht="15.5">
      <c r="A174" s="95" t="s">
        <v>39</v>
      </c>
      <c r="B174" s="100"/>
      <c r="C174" s="101"/>
      <c r="D174" s="99">
        <f>SUM($E$55:$E$57)</f>
        <v>0</v>
      </c>
    </row>
    <row r="175" spans="1:4" ht="15.5">
      <c r="A175" s="64" t="s">
        <v>40</v>
      </c>
      <c r="B175" s="75"/>
      <c r="C175" s="65"/>
      <c r="D175" s="66"/>
    </row>
    <row r="176" spans="1:4" ht="15.5">
      <c r="A176" s="64" t="s">
        <v>41</v>
      </c>
      <c r="B176" s="75"/>
      <c r="C176" s="65"/>
      <c r="D176" s="72">
        <f>$G$69+$B$169-$D$177+$C$171</f>
        <v>0</v>
      </c>
    </row>
    <row r="177" spans="1:4" ht="15.5">
      <c r="A177" s="67" t="s">
        <v>42</v>
      </c>
      <c r="B177" s="78"/>
      <c r="C177" s="73"/>
      <c r="D177" s="74">
        <f>$G$69*0.1</f>
        <v>0</v>
      </c>
    </row>
    <row r="179" spans="1:4" ht="13">
      <c r="A179" s="89" t="s">
        <v>57</v>
      </c>
    </row>
    <row r="180" spans="1:4">
      <c r="A180" s="1" t="s">
        <v>58</v>
      </c>
    </row>
    <row r="181" spans="1:4" ht="19">
      <c r="A181" s="95"/>
      <c r="B181" s="94" t="s">
        <v>31</v>
      </c>
      <c r="C181" s="94" t="s">
        <v>34</v>
      </c>
      <c r="D181" s="96" t="s">
        <v>4</v>
      </c>
    </row>
    <row r="182" spans="1:4" ht="15.5">
      <c r="A182" s="64" t="s">
        <v>35</v>
      </c>
      <c r="B182" s="75"/>
      <c r="C182" s="65"/>
      <c r="D182" s="66"/>
    </row>
    <row r="183" spans="1:4" ht="15.5">
      <c r="A183" s="67" t="s">
        <v>36</v>
      </c>
      <c r="B183" s="76">
        <f>-$G$69*0</f>
        <v>0</v>
      </c>
      <c r="C183" s="68">
        <f>B183*0.05</f>
        <v>0</v>
      </c>
      <c r="D183" s="69">
        <f>SUM(B183:C183)</f>
        <v>0</v>
      </c>
    </row>
    <row r="184" spans="1:4" ht="15.5">
      <c r="A184" s="65"/>
      <c r="B184" s="77"/>
      <c r="C184" s="70"/>
      <c r="D184" s="70"/>
    </row>
    <row r="185" spans="1:4" ht="15.5">
      <c r="A185" s="95" t="s">
        <v>37</v>
      </c>
      <c r="B185" s="97">
        <f>$G$69+$C$49</f>
        <v>0</v>
      </c>
      <c r="C185" s="98">
        <f>($G$69*0.05)+$D$49</f>
        <v>0</v>
      </c>
      <c r="D185" s="99">
        <f>SUM(B185:C185)</f>
        <v>0</v>
      </c>
    </row>
    <row r="186" spans="1:4" ht="15.5">
      <c r="A186" s="67" t="s">
        <v>38</v>
      </c>
      <c r="B186" s="76"/>
      <c r="C186" s="68">
        <f>$D$51*$G$78</f>
        <v>0</v>
      </c>
      <c r="D186" s="69"/>
    </row>
    <row r="187" spans="1:4" ht="15.5">
      <c r="A187" s="65"/>
      <c r="B187" s="75"/>
      <c r="C187" s="65"/>
      <c r="D187" s="71"/>
    </row>
    <row r="188" spans="1:4" ht="15.5">
      <c r="A188" s="95" t="s">
        <v>39</v>
      </c>
      <c r="B188" s="100"/>
      <c r="C188" s="101"/>
      <c r="D188" s="99">
        <f>SUM($E$55:$E$57)</f>
        <v>0</v>
      </c>
    </row>
    <row r="189" spans="1:4" ht="15.5">
      <c r="A189" s="64" t="s">
        <v>40</v>
      </c>
      <c r="B189" s="75"/>
      <c r="C189" s="65"/>
      <c r="D189" s="66"/>
    </row>
    <row r="190" spans="1:4" ht="15.5">
      <c r="A190" s="64" t="s">
        <v>59</v>
      </c>
      <c r="B190" s="75"/>
      <c r="C190" s="65"/>
      <c r="D190" s="93">
        <f>$G$69+$B$183-$D$191+$C$185</f>
        <v>0</v>
      </c>
    </row>
    <row r="191" spans="1:4" ht="15.5">
      <c r="A191" s="67" t="s">
        <v>60</v>
      </c>
      <c r="B191" s="78"/>
      <c r="C191" s="73"/>
      <c r="D191" s="74">
        <f>$G$69*0.5</f>
        <v>0</v>
      </c>
    </row>
    <row r="194" spans="1:4" ht="13">
      <c r="A194" s="89" t="s">
        <v>61</v>
      </c>
    </row>
    <row r="196" spans="1:4" ht="19">
      <c r="A196" s="95"/>
      <c r="B196" s="94" t="s">
        <v>31</v>
      </c>
      <c r="C196" s="94" t="s">
        <v>34</v>
      </c>
      <c r="D196" s="96" t="s">
        <v>4</v>
      </c>
    </row>
    <row r="197" spans="1:4" ht="15.5">
      <c r="A197" s="64" t="s">
        <v>35</v>
      </c>
      <c r="B197" s="75"/>
      <c r="C197" s="65"/>
      <c r="D197" s="66"/>
    </row>
    <row r="198" spans="1:4" ht="15.5">
      <c r="A198" s="67" t="s">
        <v>62</v>
      </c>
      <c r="B198" s="76">
        <f>-$G$69*0</f>
        <v>0</v>
      </c>
      <c r="C198" s="68">
        <f>B198*0.05</f>
        <v>0</v>
      </c>
      <c r="D198" s="69">
        <f>SUM(B198:C198)</f>
        <v>0</v>
      </c>
    </row>
    <row r="199" spans="1:4" ht="15.5">
      <c r="A199" s="65"/>
      <c r="B199" s="77"/>
      <c r="C199" s="70"/>
      <c r="D199" s="70"/>
    </row>
    <row r="200" spans="1:4" ht="15.5">
      <c r="A200" s="95" t="s">
        <v>37</v>
      </c>
      <c r="B200" s="97">
        <f>$G$69+$C$49</f>
        <v>0</v>
      </c>
      <c r="C200" s="98">
        <f>($G$69*0.05)+$D$49</f>
        <v>0</v>
      </c>
      <c r="D200" s="99">
        <f>SUM(B200:C200)</f>
        <v>0</v>
      </c>
    </row>
    <row r="201" spans="1:4" ht="15.5">
      <c r="A201" s="67" t="s">
        <v>38</v>
      </c>
      <c r="B201" s="76"/>
      <c r="C201" s="68">
        <f>$D$51*$G$78</f>
        <v>0</v>
      </c>
      <c r="D201" s="69"/>
    </row>
    <row r="202" spans="1:4" ht="15.5">
      <c r="A202" s="65"/>
      <c r="B202" s="75"/>
      <c r="C202" s="65"/>
      <c r="D202" s="71"/>
    </row>
    <row r="203" spans="1:4" ht="15.5">
      <c r="A203" s="95" t="s">
        <v>39</v>
      </c>
      <c r="B203" s="100"/>
      <c r="C203" s="101"/>
      <c r="D203" s="99">
        <f>SUM($E$55:$E$57)</f>
        <v>0</v>
      </c>
    </row>
    <row r="204" spans="1:4" ht="15.5">
      <c r="A204" s="64" t="s">
        <v>40</v>
      </c>
      <c r="B204" s="75"/>
      <c r="C204" s="65"/>
      <c r="D204" s="66"/>
    </row>
    <row r="205" spans="1:4" ht="15.5">
      <c r="A205" s="64" t="s">
        <v>41</v>
      </c>
      <c r="B205" s="75"/>
      <c r="C205" s="65"/>
      <c r="D205" s="93">
        <f>$G$69+$C$49-$E$57+$D$51</f>
        <v>0</v>
      </c>
    </row>
    <row r="206" spans="1:4" ht="15.5">
      <c r="A206" s="67" t="s">
        <v>42</v>
      </c>
      <c r="B206" s="78"/>
      <c r="C206" s="73"/>
      <c r="D206" s="74">
        <f>$G$69*0.1</f>
        <v>0</v>
      </c>
    </row>
    <row r="208" spans="1:4" ht="13">
      <c r="A208" s="89" t="s">
        <v>63</v>
      </c>
    </row>
    <row r="210" spans="1:4" ht="19">
      <c r="A210" s="95"/>
      <c r="B210" s="94" t="s">
        <v>31</v>
      </c>
      <c r="C210" s="94" t="s">
        <v>34</v>
      </c>
      <c r="D210" s="96" t="s">
        <v>4</v>
      </c>
    </row>
    <row r="211" spans="1:4" ht="15.5">
      <c r="A211" s="64" t="s">
        <v>35</v>
      </c>
      <c r="B211" s="75"/>
      <c r="C211" s="65"/>
      <c r="D211" s="66"/>
    </row>
    <row r="212" spans="1:4" ht="15.5">
      <c r="A212" s="67" t="s">
        <v>36</v>
      </c>
      <c r="B212" s="76">
        <f>-$G$69*30%</f>
        <v>0</v>
      </c>
      <c r="C212" s="68">
        <f>-B212*-0.05</f>
        <v>0</v>
      </c>
      <c r="D212" s="69">
        <f>SUM(B212:C212)</f>
        <v>0</v>
      </c>
    </row>
    <row r="213" spans="1:4" ht="15.5">
      <c r="A213" s="65"/>
      <c r="B213" s="77"/>
      <c r="C213" s="70"/>
      <c r="D213" s="70"/>
    </row>
    <row r="214" spans="1:4" ht="15.5">
      <c r="A214" s="95" t="s">
        <v>37</v>
      </c>
      <c r="B214" s="97">
        <f>$G$69+$C$49</f>
        <v>0</v>
      </c>
      <c r="C214" s="98">
        <f>($G$69*0.05)+$D$49</f>
        <v>0</v>
      </c>
      <c r="D214" s="99">
        <f>SUM(B214:C214)</f>
        <v>0</v>
      </c>
    </row>
    <row r="215" spans="1:4" ht="15.5">
      <c r="A215" s="67" t="s">
        <v>38</v>
      </c>
      <c r="B215" s="76"/>
      <c r="C215" s="68">
        <f>$D$51*$G$78</f>
        <v>0</v>
      </c>
      <c r="D215" s="69"/>
    </row>
    <row r="216" spans="1:4" ht="15.5">
      <c r="A216" s="65"/>
      <c r="B216" s="75"/>
      <c r="C216" s="65"/>
      <c r="D216" s="71"/>
    </row>
    <row r="217" spans="1:4" ht="15.5">
      <c r="A217" s="95" t="s">
        <v>39</v>
      </c>
      <c r="B217" s="100"/>
      <c r="C217" s="101"/>
      <c r="D217" s="99">
        <f>SUM($E$55:$E$57)</f>
        <v>0</v>
      </c>
    </row>
    <row r="218" spans="1:4" ht="15.5">
      <c r="A218" s="64" t="s">
        <v>40</v>
      </c>
      <c r="B218" s="75"/>
      <c r="C218" s="65"/>
      <c r="D218" s="66"/>
    </row>
    <row r="219" spans="1:4" ht="15.5">
      <c r="A219" s="64" t="s">
        <v>41</v>
      </c>
      <c r="B219" s="75"/>
      <c r="C219" s="65"/>
      <c r="D219" s="72">
        <f>$G$69+$C$49-$E$57+$D$51</f>
        <v>0</v>
      </c>
    </row>
    <row r="220" spans="1:4" ht="15.5">
      <c r="A220" s="67" t="s">
        <v>42</v>
      </c>
      <c r="B220" s="78"/>
      <c r="C220" s="73"/>
      <c r="D220" s="74">
        <f>$G$69*0.1</f>
        <v>0</v>
      </c>
    </row>
    <row r="222" spans="1:4">
      <c r="A222" s="1" t="s">
        <v>64</v>
      </c>
    </row>
    <row r="224" spans="1:4" ht="19">
      <c r="A224" s="95"/>
      <c r="B224" s="94" t="s">
        <v>31</v>
      </c>
      <c r="C224" s="94" t="s">
        <v>34</v>
      </c>
      <c r="D224" s="96" t="s">
        <v>4</v>
      </c>
    </row>
    <row r="225" spans="1:4" ht="15.5">
      <c r="A225" s="64" t="s">
        <v>35</v>
      </c>
      <c r="B225" s="65"/>
      <c r="C225" s="65"/>
      <c r="D225" s="66"/>
    </row>
    <row r="226" spans="1:4" ht="15.5">
      <c r="A226" s="67" t="s">
        <v>36</v>
      </c>
      <c r="B226" s="68">
        <f>-$G$69*0</f>
        <v>0</v>
      </c>
      <c r="C226" s="68">
        <f>0*0.05</f>
        <v>0</v>
      </c>
      <c r="D226" s="69">
        <f>SUM($C$49:$D$49)</f>
        <v>0</v>
      </c>
    </row>
    <row r="227" spans="1:4" ht="15.5">
      <c r="A227" s="65"/>
      <c r="B227" s="70"/>
      <c r="C227" s="70"/>
      <c r="D227" s="70"/>
    </row>
    <row r="228" spans="1:4" ht="15.5">
      <c r="A228" s="95" t="s">
        <v>37</v>
      </c>
      <c r="B228" s="98">
        <f>$G$69+$C$49</f>
        <v>0</v>
      </c>
      <c r="C228" s="98">
        <f>($G$69*0.05)+$D$49</f>
        <v>0</v>
      </c>
      <c r="D228" s="99">
        <f>SUM($C$51:$D$51)</f>
        <v>0</v>
      </c>
    </row>
    <row r="229" spans="1:4" ht="15.5">
      <c r="A229" s="67" t="s">
        <v>38</v>
      </c>
      <c r="B229" s="68"/>
      <c r="C229" s="68">
        <f>$D$51*$G$78</f>
        <v>0</v>
      </c>
      <c r="D229" s="69"/>
    </row>
    <row r="230" spans="1:4" ht="15.5">
      <c r="A230" s="65"/>
      <c r="B230" s="65"/>
      <c r="C230" s="65"/>
      <c r="D230" s="71"/>
    </row>
    <row r="231" spans="1:4" ht="15.5">
      <c r="A231" s="95" t="s">
        <v>39</v>
      </c>
      <c r="B231" s="101"/>
      <c r="C231" s="101"/>
      <c r="D231" s="99">
        <f>SUM($E$55:$E$56)</f>
        <v>0</v>
      </c>
    </row>
    <row r="232" spans="1:4" ht="15.5">
      <c r="A232" s="64" t="s">
        <v>40</v>
      </c>
      <c r="B232" s="65"/>
      <c r="C232" s="65"/>
      <c r="D232" s="66"/>
    </row>
    <row r="233" spans="1:4" ht="15.5">
      <c r="A233" s="67" t="s">
        <v>69</v>
      </c>
      <c r="B233" s="73"/>
      <c r="C233" s="73"/>
      <c r="D233" s="74">
        <f>$G$69+$C$49+$D$51</f>
        <v>0</v>
      </c>
    </row>
    <row r="235" spans="1:4">
      <c r="A235" s="1" t="s">
        <v>67</v>
      </c>
    </row>
    <row r="237" spans="1:4" ht="19">
      <c r="A237" s="95"/>
      <c r="B237" s="94" t="s">
        <v>31</v>
      </c>
      <c r="C237" s="94" t="s">
        <v>34</v>
      </c>
      <c r="D237" s="96" t="s">
        <v>4</v>
      </c>
    </row>
    <row r="238" spans="1:4" ht="15.5">
      <c r="A238" s="64" t="s">
        <v>35</v>
      </c>
      <c r="B238" s="75"/>
      <c r="C238" s="65"/>
      <c r="D238" s="66"/>
    </row>
    <row r="239" spans="1:4" ht="15.5">
      <c r="A239" s="67" t="s">
        <v>36</v>
      </c>
      <c r="B239" s="76">
        <f>-$G$69*0</f>
        <v>0</v>
      </c>
      <c r="C239" s="68">
        <f>B239*0.05</f>
        <v>0</v>
      </c>
      <c r="D239" s="69">
        <f>SUM(B239:C239)</f>
        <v>0</v>
      </c>
    </row>
    <row r="240" spans="1:4" ht="15.5">
      <c r="A240" s="65"/>
      <c r="B240" s="77"/>
      <c r="C240" s="70"/>
      <c r="D240" s="70"/>
    </row>
    <row r="241" spans="1:4" ht="15.5">
      <c r="A241" s="95" t="s">
        <v>37</v>
      </c>
      <c r="B241" s="97">
        <f>$G$69+$C$49</f>
        <v>0</v>
      </c>
      <c r="C241" s="98">
        <f>($G$69*0.05)+$D$49</f>
        <v>0</v>
      </c>
      <c r="D241" s="99">
        <f>SUM(B241:C241)</f>
        <v>0</v>
      </c>
    </row>
    <row r="242" spans="1:4" ht="15.5">
      <c r="A242" s="67" t="s">
        <v>38</v>
      </c>
      <c r="B242" s="76"/>
      <c r="C242" s="68">
        <f>$D$51*$G$78</f>
        <v>0</v>
      </c>
      <c r="D242" s="69"/>
    </row>
    <row r="243" spans="1:4" ht="15.5">
      <c r="A243" s="65"/>
      <c r="B243" s="75"/>
      <c r="C243" s="65"/>
      <c r="D243" s="71"/>
    </row>
    <row r="244" spans="1:4" ht="15.5">
      <c r="A244" s="95" t="s">
        <v>39</v>
      </c>
      <c r="B244" s="100"/>
      <c r="C244" s="101"/>
      <c r="D244" s="99">
        <f>SUM($E$55:$E$57)</f>
        <v>0</v>
      </c>
    </row>
    <row r="245" spans="1:4" ht="15.5">
      <c r="A245" s="64" t="s">
        <v>40</v>
      </c>
      <c r="B245" s="75"/>
      <c r="C245" s="65"/>
      <c r="D245" s="66"/>
    </row>
    <row r="246" spans="1:4" ht="15.5">
      <c r="A246" s="64" t="s">
        <v>66</v>
      </c>
      <c r="B246" s="75"/>
      <c r="C246" s="65"/>
      <c r="D246" s="93">
        <f>$G$69+$B$183-$D$191+$C$185</f>
        <v>0</v>
      </c>
    </row>
    <row r="247" spans="1:4" ht="15.5">
      <c r="A247" s="67" t="s">
        <v>65</v>
      </c>
      <c r="B247" s="78"/>
      <c r="C247" s="73"/>
      <c r="D247" s="74">
        <f>$G$69*0.5</f>
        <v>0</v>
      </c>
    </row>
    <row r="250" spans="1:4">
      <c r="A250" s="1" t="s">
        <v>70</v>
      </c>
    </row>
    <row r="252" spans="1:4" ht="19">
      <c r="A252" s="95"/>
      <c r="B252" s="94" t="s">
        <v>31</v>
      </c>
      <c r="C252" s="94" t="s">
        <v>34</v>
      </c>
      <c r="D252" s="96" t="s">
        <v>4</v>
      </c>
    </row>
    <row r="253" spans="1:4" ht="15.5">
      <c r="A253" s="64" t="s">
        <v>35</v>
      </c>
      <c r="B253" s="75"/>
      <c r="C253" s="65"/>
      <c r="D253" s="66"/>
    </row>
    <row r="254" spans="1:4" ht="15.5">
      <c r="A254" s="67" t="s">
        <v>36</v>
      </c>
      <c r="B254" s="76">
        <f>-$G$69*0</f>
        <v>0</v>
      </c>
      <c r="C254" s="68">
        <f>B254*0.05</f>
        <v>0</v>
      </c>
      <c r="D254" s="69">
        <f>SUM(B254:C254)</f>
        <v>0</v>
      </c>
    </row>
    <row r="255" spans="1:4" ht="15.5">
      <c r="A255" s="65"/>
      <c r="B255" s="77"/>
      <c r="C255" s="70"/>
      <c r="D255" s="70"/>
    </row>
    <row r="256" spans="1:4" ht="15.5">
      <c r="A256" s="95" t="s">
        <v>37</v>
      </c>
      <c r="B256" s="97">
        <f>$G$69+$C$49</f>
        <v>0</v>
      </c>
      <c r="C256" s="98">
        <f>($G$69*0.05)+$D$49</f>
        <v>0</v>
      </c>
      <c r="D256" s="99">
        <f>SUM(B256:C256)</f>
        <v>0</v>
      </c>
    </row>
    <row r="257" spans="1:4" ht="15.5">
      <c r="A257" s="67" t="s">
        <v>38</v>
      </c>
      <c r="B257" s="76"/>
      <c r="C257" s="68">
        <f>$D$51*$G$78</f>
        <v>0</v>
      </c>
      <c r="D257" s="69"/>
    </row>
    <row r="258" spans="1:4" ht="15.5">
      <c r="A258" s="65"/>
      <c r="B258" s="75"/>
      <c r="C258" s="65"/>
      <c r="D258" s="71"/>
    </row>
    <row r="259" spans="1:4" ht="15.5">
      <c r="A259" s="95" t="s">
        <v>39</v>
      </c>
      <c r="B259" s="100"/>
      <c r="C259" s="101"/>
      <c r="D259" s="99">
        <f>SUM($E$55:$E$57)</f>
        <v>0</v>
      </c>
    </row>
    <row r="260" spans="1:4" ht="15.5">
      <c r="A260" s="64" t="s">
        <v>40</v>
      </c>
      <c r="B260" s="75"/>
      <c r="C260" s="65"/>
      <c r="D260" s="66"/>
    </row>
    <row r="261" spans="1:4" ht="15.5">
      <c r="A261" s="64" t="s">
        <v>68</v>
      </c>
      <c r="B261" s="75"/>
      <c r="C261" s="65"/>
      <c r="D261" s="93">
        <f>$G$69+$C$49-$E$57+$D$51</f>
        <v>0</v>
      </c>
    </row>
    <row r="262" spans="1:4" ht="15.5">
      <c r="A262" s="67"/>
      <c r="B262" s="78"/>
      <c r="C262" s="73"/>
      <c r="D262" s="74"/>
    </row>
    <row r="264" spans="1:4" ht="19">
      <c r="A264" s="95"/>
      <c r="B264" s="94" t="s">
        <v>31</v>
      </c>
      <c r="C264" s="94" t="s">
        <v>34</v>
      </c>
      <c r="D264" s="96" t="s">
        <v>4</v>
      </c>
    </row>
    <row r="265" spans="1:4" ht="15.5">
      <c r="A265" s="64" t="s">
        <v>35</v>
      </c>
      <c r="B265" s="75"/>
      <c r="C265" s="65"/>
      <c r="D265" s="66"/>
    </row>
    <row r="266" spans="1:4" ht="15.5">
      <c r="A266" s="67" t="s">
        <v>36</v>
      </c>
      <c r="B266" s="76">
        <f>-$G$69*0</f>
        <v>0</v>
      </c>
      <c r="C266" s="68">
        <f>B266*0.05</f>
        <v>0</v>
      </c>
      <c r="D266" s="69">
        <f>SUM(B266:C266)</f>
        <v>0</v>
      </c>
    </row>
    <row r="267" spans="1:4" ht="15.5">
      <c r="A267" s="65"/>
      <c r="B267" s="77"/>
      <c r="C267" s="70"/>
      <c r="D267" s="70"/>
    </row>
    <row r="268" spans="1:4" ht="15.5">
      <c r="A268" s="95" t="s">
        <v>37</v>
      </c>
      <c r="B268" s="97">
        <f>$G$69+$C$49</f>
        <v>0</v>
      </c>
      <c r="C268" s="98">
        <f>($G$69*0.05)+$D$49</f>
        <v>0</v>
      </c>
      <c r="D268" s="99">
        <f>SUM(B268:C268)</f>
        <v>0</v>
      </c>
    </row>
    <row r="269" spans="1:4" ht="15.5">
      <c r="A269" s="67" t="s">
        <v>38</v>
      </c>
      <c r="B269" s="76"/>
      <c r="C269" s="68">
        <f>$D$51*$G$78</f>
        <v>0</v>
      </c>
      <c r="D269" s="69"/>
    </row>
    <row r="270" spans="1:4" ht="15.5">
      <c r="A270" s="65"/>
      <c r="B270" s="75"/>
      <c r="C270" s="65"/>
      <c r="D270" s="71"/>
    </row>
    <row r="271" spans="1:4" ht="15.5">
      <c r="A271" s="95" t="s">
        <v>39</v>
      </c>
      <c r="B271" s="100"/>
      <c r="C271" s="101"/>
      <c r="D271" s="99">
        <f>SUM($E$55:$E$57)</f>
        <v>0</v>
      </c>
    </row>
    <row r="272" spans="1:4" ht="15.5">
      <c r="A272" s="64" t="s">
        <v>40</v>
      </c>
      <c r="B272" s="75"/>
      <c r="C272" s="65"/>
      <c r="D272" s="66"/>
    </row>
    <row r="273" spans="1:4" ht="15.5">
      <c r="A273" s="64" t="s">
        <v>59</v>
      </c>
      <c r="B273" s="75"/>
      <c r="C273" s="65"/>
      <c r="D273" s="93">
        <f>$G$69+$B$183-$D$191+$C$185</f>
        <v>0</v>
      </c>
    </row>
    <row r="274" spans="1:4" ht="15.5">
      <c r="A274" s="67" t="s">
        <v>60</v>
      </c>
      <c r="B274" s="78"/>
      <c r="C274" s="73"/>
      <c r="D274" s="74">
        <f>$G$69*0.5</f>
        <v>0</v>
      </c>
    </row>
  </sheetData>
  <sheetProtection formatCells="0" autoFilter="0"/>
  <mergeCells count="7">
    <mergeCell ref="B1:E2"/>
    <mergeCell ref="A10:B10"/>
    <mergeCell ref="A8:B8"/>
    <mergeCell ref="A9:B9"/>
    <mergeCell ref="C8:E8"/>
    <mergeCell ref="C9:E9"/>
    <mergeCell ref="C10:E10"/>
  </mergeCells>
  <pageMargins left="0.70866141732283472" right="0.70866141732283472" top="0.39370078740157483" bottom="0" header="0" footer="0"/>
  <pageSetup paperSize="9" scale="37" orientation="portrait" r:id="rId1"/>
  <rowBreaks count="1" manualBreakCount="1">
    <brk id="79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2FA40F93C85D42A72471B311275EFA" ma:contentTypeVersion="17" ma:contentTypeDescription="Create a new document." ma:contentTypeScope="" ma:versionID="d949a70673ff005da24c429224bfba92">
  <xsd:schema xmlns:xsd="http://www.w3.org/2001/XMLSchema" xmlns:xs="http://www.w3.org/2001/XMLSchema" xmlns:p="http://schemas.microsoft.com/office/2006/metadata/properties" xmlns:ns2="71c5aaf6-e6ce-465b-b873-5148d2a4c105" xmlns:ns3="7cdef5b0-b8f2-4d57-8999-151bc7d9f969" xmlns:ns4="809b3d50-8693-4c6d-bc83-1806d0620670" targetNamespace="http://schemas.microsoft.com/office/2006/metadata/properties" ma:root="true" ma:fieldsID="384be1f9f14eccf385b80cbc6dd16c92" ns2:_="" ns3:_="" ns4:_="">
    <xsd:import namespace="71c5aaf6-e6ce-465b-b873-5148d2a4c105"/>
    <xsd:import namespace="7cdef5b0-b8f2-4d57-8999-151bc7d9f969"/>
    <xsd:import namespace="809b3d50-8693-4c6d-bc83-1806d0620670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HideFromDelve" minOccurs="0"/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3:MediaServiceObjectDetectorVersions" minOccurs="0"/>
                <xsd:element ref="ns3:lcf76f155ced4ddcb4097134ff3c332f" minOccurs="0"/>
                <xsd:element ref="ns4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c5aaf6-e6ce-465b-b873-5148d2a4c10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ideFromDelve" ma:index="11" nillable="true" ma:displayName="HideFromDelve" ma:default="0" ma:internalName="HideFromDelv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def5b0-b8f2-4d57-8999-151bc7d9f9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34c87397-5fc1-491e-85e7-d6110dbe9c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9b3d50-8693-4c6d-bc83-1806d062067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40350c5-28e9-4552-984c-8f5e994b0ccd}" ma:internalName="TaxCatchAll" ma:showField="CatchAllData" ma:web="809b3d50-8693-4c6d-bc83-1806d06206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ideFromDelve xmlns="71c5aaf6-e6ce-465b-b873-5148d2a4c105">false</HideFromDelve>
    <_dlc_DocId xmlns="71c5aaf6-e6ce-465b-b873-5148d2a4c105">LSITP5OIULB5-2125786304-86902</_dlc_DocId>
    <_dlc_DocIdUrl xmlns="71c5aaf6-e6ce-465b-b873-5148d2a4c105">
      <Url>https://nokia.sharepoint.com/sites/rpa_du_invoicing/_layouts/15/DocIdRedir.aspx?ID=LSITP5OIULB5-2125786304-86902</Url>
      <Description>LSITP5OIULB5-2125786304-86902</Description>
    </_dlc_DocIdUrl>
    <lcf76f155ced4ddcb4097134ff3c332f xmlns="7cdef5b0-b8f2-4d57-8999-151bc7d9f969">
      <Terms xmlns="http://schemas.microsoft.com/office/infopath/2007/PartnerControls"/>
    </lcf76f155ced4ddcb4097134ff3c332f>
    <TaxCatchAll xmlns="809b3d50-8693-4c6d-bc83-1806d0620670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?mso-contentType ?>
<SharedContentType xmlns="Microsoft.SharePoint.Taxonomy.ContentTypeSync" SourceId="34c87397-5fc1-491e-85e7-d6110dbe9cbd" ContentTypeId="0x0101" PreviousValue="false"/>
</file>

<file path=customXml/itemProps1.xml><?xml version="1.0" encoding="utf-8"?>
<ds:datastoreItem xmlns:ds="http://schemas.openxmlformats.org/officeDocument/2006/customXml" ds:itemID="{F4A3E8C7-2587-44FD-B507-D4EFBCD1A402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16458904-0B6B-4399-9FF5-2E34425C95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c5aaf6-e6ce-465b-b873-5148d2a4c105"/>
    <ds:schemaRef ds:uri="7cdef5b0-b8f2-4d57-8999-151bc7d9f969"/>
    <ds:schemaRef ds:uri="809b3d50-8693-4c6d-bc83-1806d06206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F0AB7F0-DB35-48C7-A312-E90BF4757317}">
  <ds:schemaRefs>
    <ds:schemaRef ds:uri="71c5aaf6-e6ce-465b-b873-5148d2a4c105"/>
    <ds:schemaRef ds:uri="http://schemas.microsoft.com/office/2006/documentManagement/types"/>
    <ds:schemaRef ds:uri="http://purl.org/dc/terms/"/>
    <ds:schemaRef ds:uri="7cdef5b0-b8f2-4d57-8999-151bc7d9f969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809b3d50-8693-4c6d-bc83-1806d0620670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68DA764C-0F6C-4F2C-9E8C-F3D59CF80394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95FB0F84-AC02-4649-9766-A8FF0E12ABC0}">
  <ds:schemaRefs>
    <ds:schemaRef ds:uri="Microsoft.SharePoint.Taxonomy.ContentTypeSync"/>
  </ds:schemaRefs>
</ds:datastoreItem>
</file>

<file path=docMetadata/LabelInfo.xml><?xml version="1.0" encoding="utf-8"?>
<clbl:labelList xmlns:clbl="http://schemas.microsoft.com/office/2020/mipLabelMetadata">
  <clbl:label id="{4610b643-e0dc-49a3-bdd7-06f3c6cb789f}" enabled="1" method="Privileged" siteId="{5d471751-9675-428d-917b-70f44f9630b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Invoice</vt:lpstr>
      <vt:lpstr>Invoice!Print_Area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Mendonca, Liane (NSN - AE/Dubai)</dc:creator>
  <cp:keywords/>
  <dc:description/>
  <cp:lastModifiedBy>Kareem Hosny (EXT-Nokia)</cp:lastModifiedBy>
  <cp:revision/>
  <cp:lastPrinted>2026-01-12T12:33:42Z</cp:lastPrinted>
  <dcterms:created xsi:type="dcterms:W3CDTF">2012-05-16T12:33:16Z</dcterms:created>
  <dcterms:modified xsi:type="dcterms:W3CDTF">2026-02-15T15:45:30Z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ExAnalyzer_OldName">
    <vt:lpwstr>NSN Statement.xlsb</vt:lpwstr>
  </property>
  <property fmtid="{D5CDD505-2E9C-101B-9397-08002B2CF9AE}" pid="3" name="_NewReviewCycle">
    <vt:lpwstr/>
  </property>
  <property fmtid="{D5CDD505-2E9C-101B-9397-08002B2CF9AE}" pid="4" name="ContentTypeId">
    <vt:lpwstr>0x010100482FA40F93C85D42A72471B311275EFA</vt:lpwstr>
  </property>
  <property fmtid="{D5CDD505-2E9C-101B-9397-08002B2CF9AE}" pid="5" name="_dlc_DocIdItemGuid">
    <vt:lpwstr>9b809425-1841-4fd6-b86b-734bde43f4a1</vt:lpwstr>
  </property>
  <property fmtid="{D5CDD505-2E9C-101B-9397-08002B2CF9AE}" pid="6" name="MediaServiceImageTags">
    <vt:lpwstr/>
  </property>
</Properties>
</file>